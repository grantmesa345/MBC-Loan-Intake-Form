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mesabridgecapital.sharepoint.com/sites/MesaBridgeCapital/Shared Documents/General/Mesa Bridge Capital/Projects/02 - Potential Projects/01 - DD Master Folder/"/>
    </mc:Choice>
  </mc:AlternateContent>
  <xr:revisionPtr revIDLastSave="3791" documentId="8_{8AA9D9BC-7ED9-4C6A-A061-72671903B306}" xr6:coauthVersionLast="47" xr6:coauthVersionMax="47" xr10:uidLastSave="{1419ABC4-186A-43A3-B446-F1685164CB93}"/>
  <bookViews>
    <workbookView xWindow="-120" yWindow="-120" windowWidth="29040" windowHeight="15720" tabRatio="590" firstSheet="2" activeTab="2" xr2:uid="{00000000-000D-0000-FFFF-FFFF00000000}"/>
  </bookViews>
  <sheets>
    <sheet name="Version Control" sheetId="31" r:id="rId1"/>
    <sheet name="LOI" sheetId="34" r:id="rId2"/>
    <sheet name="Deal Details" sheetId="19" r:id="rId3"/>
    <sheet name="Drawn" sheetId="35" r:id="rId4"/>
    <sheet name="Notes" sheetId="30" r:id="rId5"/>
    <sheet name="Deal Tracker" sheetId="29" r:id="rId6"/>
    <sheet name="Visuals" sheetId="16" r:id="rId7"/>
    <sheet name="Data" sheetId="23" r:id="rId8"/>
    <sheet name="Valuation" sheetId="25" r:id="rId9"/>
    <sheet name="ProForma" sheetId="18" r:id="rId10"/>
    <sheet name="Senior Amort" sheetId="21" r:id="rId11"/>
    <sheet name="Mezz Amort" sheetId="22" r:id="rId12"/>
    <sheet name="Summary" sheetId="20" r:id="rId13"/>
    <sheet name="Release Price" sheetId="36" r:id="rId14"/>
    <sheet name="Process Checklist" sheetId="12" r:id="rId15"/>
  </sheets>
  <definedNames>
    <definedName name="balance" localSheetId="11">#REF!</definedName>
    <definedName name="balance" localSheetId="9">#REF!</definedName>
    <definedName name="balance" localSheetId="10">#REF!</definedName>
    <definedName name="balance">#REF!</definedName>
    <definedName name="cashrisk" localSheetId="11">#REF!</definedName>
    <definedName name="cashrisk" localSheetId="9">#REF!</definedName>
    <definedName name="cashrisk" localSheetId="10">#REF!</definedName>
    <definedName name="cashrisk">#REF!</definedName>
    <definedName name="fees" localSheetId="11">#REF!</definedName>
    <definedName name="fees" localSheetId="9">#REF!</definedName>
    <definedName name="fees" localSheetId="10">#REF!</definedName>
    <definedName name="fees">#REF!</definedName>
    <definedName name="feespd" localSheetId="11">#REF!</definedName>
    <definedName name="feespd" localSheetId="9">#REF!</definedName>
    <definedName name="feespd" localSheetId="10">#REF!</definedName>
    <definedName name="feespd">#REF!</definedName>
    <definedName name="interest" localSheetId="11">#REF!</definedName>
    <definedName name="interest" localSheetId="9">#REF!</definedName>
    <definedName name="interest" localSheetId="10">#REF!</definedName>
    <definedName name="interest">#REF!</definedName>
    <definedName name="payments" localSheetId="11">#REF!</definedName>
    <definedName name="payments" localSheetId="9">#REF!</definedName>
    <definedName name="payments" localSheetId="10">#REF!</definedName>
    <definedName name="payments">#REF!</definedName>
    <definedName name="points" localSheetId="11">#REF!</definedName>
    <definedName name="points" localSheetId="9">#REF!</definedName>
    <definedName name="points" localSheetId="10">#REF!</definedName>
    <definedName name="points">#REF!</definedName>
    <definedName name="Principal" localSheetId="11">#REF!</definedName>
    <definedName name="Principal" localSheetId="9">#REF!</definedName>
    <definedName name="Principal" localSheetId="10">#REF!</definedName>
    <definedName name="Principal">#REF!</definedName>
    <definedName name="principaloutstd" localSheetId="11">#REF!</definedName>
    <definedName name="principaloutstd" localSheetId="9">#REF!</definedName>
    <definedName name="principaloutstd" localSheetId="10">#REF!</definedName>
    <definedName name="principaloutstd">#REF!</definedName>
    <definedName name="projectdays" localSheetId="11">#REF!</definedName>
    <definedName name="projectdays" localSheetId="9">#REF!</definedName>
    <definedName name="projectdays" localSheetId="10">#REF!</definedName>
    <definedName name="projectdays">#REF!</definedName>
    <definedName name="riskcash" localSheetId="11">#REF!</definedName>
    <definedName name="riskcash" localSheetId="9">#REF!</definedName>
    <definedName name="riskcash" localSheetId="10">#REF!</definedName>
    <definedName name="riskcash">#REF!</definedName>
    <definedName name="riskcash2" localSheetId="11">#REF!</definedName>
    <definedName name="riskcash2" localSheetId="9">#REF!</definedName>
    <definedName name="riskcash2" localSheetId="10">#REF!</definedName>
    <definedName name="riskcash2">#REF!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5" l="1"/>
  <c r="B10" i="25"/>
  <c r="D11" i="35"/>
  <c r="L23" i="35"/>
  <c r="AB3" i="35"/>
  <c r="Y10" i="35"/>
  <c r="X10" i="35"/>
  <c r="B29" i="35"/>
  <c r="L9" i="25"/>
  <c r="C8" i="35"/>
  <c r="C13" i="35" s="1"/>
  <c r="C10" i="35"/>
  <c r="C9" i="35"/>
  <c r="C7" i="35"/>
  <c r="R55" i="35"/>
  <c r="R54" i="35"/>
  <c r="R53" i="35"/>
  <c r="R52" i="35"/>
  <c r="R51" i="35"/>
  <c r="R50" i="35"/>
  <c r="R49" i="35"/>
  <c r="R48" i="35"/>
  <c r="R47" i="35"/>
  <c r="R46" i="35"/>
  <c r="R45" i="35"/>
  <c r="R44" i="35"/>
  <c r="R43" i="35"/>
  <c r="R42" i="35"/>
  <c r="R41" i="35"/>
  <c r="R40" i="35"/>
  <c r="R39" i="35"/>
  <c r="R38" i="35"/>
  <c r="R37" i="35"/>
  <c r="R36" i="35"/>
  <c r="R35" i="35"/>
  <c r="R34" i="35"/>
  <c r="R33" i="35"/>
  <c r="R32" i="35"/>
  <c r="E29" i="35"/>
  <c r="S19" i="35"/>
  <c r="R19" i="35"/>
  <c r="S18" i="35"/>
  <c r="R18" i="35"/>
  <c r="S17" i="35"/>
  <c r="R17" i="35"/>
  <c r="S16" i="35"/>
  <c r="R16" i="35"/>
  <c r="S15" i="35"/>
  <c r="R15" i="35"/>
  <c r="R14" i="35"/>
  <c r="L14" i="35"/>
  <c r="S13" i="35"/>
  <c r="R13" i="35"/>
  <c r="L13" i="35"/>
  <c r="S12" i="35"/>
  <c r="R12" i="35"/>
  <c r="L12" i="35"/>
  <c r="R11" i="35"/>
  <c r="L11" i="35"/>
  <c r="X4" i="35"/>
  <c r="S10" i="35"/>
  <c r="R10" i="35"/>
  <c r="L10" i="35"/>
  <c r="S9" i="35"/>
  <c r="R9" i="35"/>
  <c r="L9" i="35"/>
  <c r="S14" i="35" s="1"/>
  <c r="R8" i="35"/>
  <c r="L8" i="35"/>
  <c r="L7" i="35"/>
  <c r="L6" i="35"/>
  <c r="S11" i="35" s="1"/>
  <c r="R5" i="35"/>
  <c r="M5" i="35"/>
  <c r="M6" i="35" s="1"/>
  <c r="M7" i="35" s="1"/>
  <c r="M8" i="35" s="1"/>
  <c r="M9" i="35" s="1"/>
  <c r="M10" i="35" s="1"/>
  <c r="M11" i="35" s="1"/>
  <c r="M12" i="35" s="1"/>
  <c r="M13" i="35" s="1"/>
  <c r="M14" i="35" s="1"/>
  <c r="M15" i="35" s="1"/>
  <c r="M16" i="35" s="1"/>
  <c r="M17" i="35" s="1"/>
  <c r="M18" i="35" s="1"/>
  <c r="M19" i="35" s="1"/>
  <c r="M20" i="35" s="1"/>
  <c r="M21" i="35" s="1"/>
  <c r="M22" i="35" s="1"/>
  <c r="M23" i="35" s="1"/>
  <c r="M24" i="35" s="1"/>
  <c r="M25" i="35" s="1"/>
  <c r="M26" i="35" s="1"/>
  <c r="L5" i="35"/>
  <c r="I5" i="35"/>
  <c r="I6" i="35" s="1"/>
  <c r="I7" i="35" s="1"/>
  <c r="I8" i="35" s="1"/>
  <c r="I9" i="35" s="1"/>
  <c r="I10" i="35" s="1"/>
  <c r="I11" i="35" s="1"/>
  <c r="I12" i="35" s="1"/>
  <c r="I13" i="35" s="1"/>
  <c r="I14" i="35" s="1"/>
  <c r="I15" i="35" s="1"/>
  <c r="M4" i="35"/>
  <c r="L4" i="35"/>
  <c r="I4" i="35"/>
  <c r="L3" i="35"/>
  <c r="M11" i="36"/>
  <c r="N11" i="36"/>
  <c r="O11" i="36"/>
  <c r="M8" i="36"/>
  <c r="N8" i="36"/>
  <c r="O8" i="36"/>
  <c r="M7" i="36"/>
  <c r="N7" i="36"/>
  <c r="O7" i="36"/>
  <c r="L11" i="36"/>
  <c r="L8" i="36"/>
  <c r="L7" i="36"/>
  <c r="C35" i="19"/>
  <c r="AD11" i="22"/>
  <c r="AC8" i="22"/>
  <c r="Q34" i="22" s="1"/>
  <c r="AD6" i="22"/>
  <c r="O26" i="25"/>
  <c r="O27" i="25"/>
  <c r="I16" i="35" l="1"/>
  <c r="Z10" i="35"/>
  <c r="R7" i="35"/>
  <c r="C8" i="23"/>
  <c r="C10" i="23" s="1"/>
  <c r="C31" i="19"/>
  <c r="I17" i="35" l="1"/>
  <c r="L15" i="35"/>
  <c r="S20" i="35" s="1"/>
  <c r="R20" i="35"/>
  <c r="AC12" i="22"/>
  <c r="AC13" i="22" s="1"/>
  <c r="D2" i="36"/>
  <c r="I18" i="35" l="1"/>
  <c r="R21" i="35"/>
  <c r="L16" i="35"/>
  <c r="S21" i="35" s="1"/>
  <c r="P31" i="22"/>
  <c r="D3" i="25"/>
  <c r="D7" i="36" s="1"/>
  <c r="D4" i="25"/>
  <c r="D5" i="25"/>
  <c r="D11" i="36"/>
  <c r="D8" i="36"/>
  <c r="B11" i="36"/>
  <c r="B8" i="36"/>
  <c r="B7" i="36"/>
  <c r="C11" i="36"/>
  <c r="C6" i="25"/>
  <c r="C8" i="36"/>
  <c r="C7" i="36"/>
  <c r="C6" i="36"/>
  <c r="B2" i="36"/>
  <c r="A8" i="36"/>
  <c r="A7" i="36"/>
  <c r="A6" i="36"/>
  <c r="L17" i="35" l="1"/>
  <c r="S22" i="35" s="1"/>
  <c r="R22" i="35"/>
  <c r="I19" i="35"/>
  <c r="C9" i="36"/>
  <c r="G11" i="36"/>
  <c r="C13" i="36"/>
  <c r="L18" i="35" l="1"/>
  <c r="S23" i="35" s="1"/>
  <c r="R23" i="35"/>
  <c r="I20" i="35"/>
  <c r="I11" i="36"/>
  <c r="J11" i="36" s="1"/>
  <c r="H11" i="36"/>
  <c r="I21" i="35" l="1"/>
  <c r="L19" i="35"/>
  <c r="S24" i="35" s="1"/>
  <c r="R24" i="35"/>
  <c r="R25" i="19"/>
  <c r="L20" i="35" l="1"/>
  <c r="S25" i="35" s="1"/>
  <c r="R25" i="35"/>
  <c r="I22" i="35"/>
  <c r="R21" i="19"/>
  <c r="Q17" i="19"/>
  <c r="Q16" i="19"/>
  <c r="Q15" i="19" s="1"/>
  <c r="T14" i="19"/>
  <c r="S14" i="19" s="1"/>
  <c r="I23" i="35" l="1"/>
  <c r="R26" i="35"/>
  <c r="L21" i="35"/>
  <c r="S26" i="35" s="1"/>
  <c r="R14" i="19"/>
  <c r="U14" i="19"/>
  <c r="Q18" i="19"/>
  <c r="L22" i="35" l="1"/>
  <c r="S27" i="35" s="1"/>
  <c r="R27" i="35"/>
  <c r="I24" i="35"/>
  <c r="V14" i="19"/>
  <c r="Q19" i="19"/>
  <c r="S28" i="35" l="1"/>
  <c r="R28" i="35"/>
  <c r="I25" i="35"/>
  <c r="R22" i="19"/>
  <c r="R29" i="35" l="1"/>
  <c r="L24" i="35"/>
  <c r="S29" i="35" s="1"/>
  <c r="I26" i="35"/>
  <c r="D4" i="29"/>
  <c r="F32" i="19"/>
  <c r="C4" i="29"/>
  <c r="F4" i="29"/>
  <c r="G4" i="29"/>
  <c r="H4" i="29"/>
  <c r="I4" i="29"/>
  <c r="J4" i="29"/>
  <c r="L4" i="29"/>
  <c r="O4" i="29"/>
  <c r="P4" i="29"/>
  <c r="Q4" i="29"/>
  <c r="R4" i="29"/>
  <c r="S4" i="29"/>
  <c r="T4" i="29"/>
  <c r="U4" i="29"/>
  <c r="V4" i="29"/>
  <c r="C5" i="29"/>
  <c r="D5" i="29"/>
  <c r="F5" i="29"/>
  <c r="G5" i="29"/>
  <c r="H5" i="29"/>
  <c r="I5" i="29"/>
  <c r="J5" i="29"/>
  <c r="O5" i="29"/>
  <c r="P5" i="29"/>
  <c r="R5" i="29"/>
  <c r="S5" i="29"/>
  <c r="T5" i="29"/>
  <c r="U5" i="29"/>
  <c r="V5" i="29"/>
  <c r="L26" i="35" l="1"/>
  <c r="S31" i="35" s="1"/>
  <c r="R31" i="35"/>
  <c r="K27" i="35"/>
  <c r="R30" i="35"/>
  <c r="L25" i="35"/>
  <c r="S30" i="35" s="1"/>
  <c r="M4" i="29"/>
  <c r="R27" i="19"/>
  <c r="S27" i="19" s="1"/>
  <c r="R26" i="19"/>
  <c r="S26" i="19" s="1"/>
  <c r="H22" i="19"/>
  <c r="L13" i="25" l="1"/>
  <c r="B5" i="34" l="1"/>
  <c r="C15" i="34" l="1"/>
  <c r="C14" i="34"/>
  <c r="H21" i="18" l="1"/>
  <c r="H17" i="18"/>
  <c r="L8" i="21"/>
  <c r="D3" i="21"/>
  <c r="B9" i="34"/>
  <c r="D25" i="34"/>
  <c r="K23" i="19"/>
  <c r="L15" i="25"/>
  <c r="H20" i="19"/>
  <c r="C49" i="20"/>
  <c r="B6" i="34"/>
  <c r="B7" i="34"/>
  <c r="E16" i="34"/>
  <c r="D20" i="34"/>
  <c r="D21" i="34"/>
  <c r="D23" i="34"/>
  <c r="D27" i="34"/>
  <c r="B4" i="34"/>
  <c r="C6" i="20"/>
  <c r="C5" i="20"/>
  <c r="I7" i="22"/>
  <c r="A1" i="19" l="1"/>
  <c r="I3" i="22"/>
  <c r="E37" i="18"/>
  <c r="J38" i="18" s="1"/>
  <c r="C17" i="18"/>
  <c r="C33" i="18"/>
  <c r="H33" i="18" s="1"/>
  <c r="C34" i="18"/>
  <c r="C55" i="18"/>
  <c r="C27" i="18"/>
  <c r="D59" i="18"/>
  <c r="C56" i="18"/>
  <c r="C57" i="18"/>
  <c r="L10" i="21" s="1"/>
  <c r="C51" i="20" s="1"/>
  <c r="C53" i="18"/>
  <c r="C10" i="22"/>
  <c r="I5" i="22"/>
  <c r="I4" i="22"/>
  <c r="H55" i="18"/>
  <c r="J55" i="18" s="1"/>
  <c r="G27" i="19"/>
  <c r="F31" i="19"/>
  <c r="H34" i="19"/>
  <c r="H33" i="19"/>
  <c r="G21" i="20"/>
  <c r="F35" i="19"/>
  <c r="F34" i="19"/>
  <c r="F33" i="19"/>
  <c r="L3" i="25"/>
  <c r="L6" i="25" s="1"/>
  <c r="L28" i="25"/>
  <c r="M28" i="25"/>
  <c r="B19" i="25" s="1"/>
  <c r="N24" i="25"/>
  <c r="H20" i="18"/>
  <c r="C8" i="20"/>
  <c r="C7" i="20"/>
  <c r="B1" i="18"/>
  <c r="B2" i="20" s="1"/>
  <c r="R9" i="25"/>
  <c r="L19" i="25"/>
  <c r="R19" i="25" s="1"/>
  <c r="R18" i="25"/>
  <c r="R15" i="25"/>
  <c r="R8" i="25"/>
  <c r="R4" i="25"/>
  <c r="C24" i="21"/>
  <c r="C25" i="21"/>
  <c r="G6" i="22"/>
  <c r="C27" i="21"/>
  <c r="V6" i="22"/>
  <c r="Z6" i="22" s="1"/>
  <c r="F5" i="20"/>
  <c r="L11" i="21"/>
  <c r="C52" i="20" s="1"/>
  <c r="C10" i="20"/>
  <c r="D32" i="20" s="1"/>
  <c r="G22" i="20"/>
  <c r="C8" i="22"/>
  <c r="A2" i="22"/>
  <c r="P2" i="22" s="1"/>
  <c r="B2" i="21"/>
  <c r="A20" i="21"/>
  <c r="A19" i="21" s="1"/>
  <c r="K7" i="21"/>
  <c r="B48" i="20" s="1"/>
  <c r="C19" i="18"/>
  <c r="C15" i="18"/>
  <c r="G7" i="20"/>
  <c r="C21" i="20"/>
  <c r="X24" i="22"/>
  <c r="AI23" i="22"/>
  <c r="AH23" i="22"/>
  <c r="R32" i="22"/>
  <c r="C9" i="22"/>
  <c r="M59" i="21"/>
  <c r="O43" i="21"/>
  <c r="P31" i="21"/>
  <c r="I15" i="21"/>
  <c r="L13" i="21"/>
  <c r="G8" i="21"/>
  <c r="G35" i="18"/>
  <c r="H29" i="18"/>
  <c r="B66" i="20"/>
  <c r="B65" i="20"/>
  <c r="D64" i="20"/>
  <c r="B64" i="20"/>
  <c r="C63" i="20"/>
  <c r="B63" i="20"/>
  <c r="D62" i="20"/>
  <c r="C62" i="20"/>
  <c r="B62" i="20"/>
  <c r="D61" i="20"/>
  <c r="B61" i="20"/>
  <c r="D60" i="20"/>
  <c r="B60" i="20"/>
  <c r="B59" i="20"/>
  <c r="D58" i="20"/>
  <c r="C58" i="20"/>
  <c r="B58" i="20"/>
  <c r="C57" i="20"/>
  <c r="B57" i="20"/>
  <c r="C56" i="20"/>
  <c r="B56" i="20"/>
  <c r="B55" i="20"/>
  <c r="C54" i="20"/>
  <c r="B54" i="20"/>
  <c r="B53" i="20"/>
  <c r="B52" i="20"/>
  <c r="B51" i="20"/>
  <c r="B50" i="20"/>
  <c r="B49" i="20"/>
  <c r="Q5" i="29" l="1"/>
  <c r="H35" i="19"/>
  <c r="I1" i="22"/>
  <c r="Q36" i="22"/>
  <c r="P50" i="22" s="1"/>
  <c r="C11" i="22"/>
  <c r="AC9" i="22"/>
  <c r="AC3" i="22"/>
  <c r="L14" i="25"/>
  <c r="R17" i="25"/>
  <c r="R7" i="25"/>
  <c r="A15" i="22"/>
  <c r="L7" i="25"/>
  <c r="C34" i="20"/>
  <c r="D34" i="18"/>
  <c r="C41" i="20" s="1"/>
  <c r="D40" i="20"/>
  <c r="H27" i="18"/>
  <c r="I33" i="18" s="1"/>
  <c r="D41" i="20"/>
  <c r="D33" i="18"/>
  <c r="C40" i="20" s="1"/>
  <c r="H34" i="18"/>
  <c r="H39" i="18" s="1"/>
  <c r="G26" i="20"/>
  <c r="G51" i="20"/>
  <c r="G24" i="20" s="1"/>
  <c r="G59" i="20"/>
  <c r="G25" i="20" s="1"/>
  <c r="P4" i="22"/>
  <c r="C26" i="21"/>
  <c r="P48" i="21" s="1"/>
  <c r="A16" i="22" l="1"/>
  <c r="A17" i="22" s="1"/>
  <c r="A18" i="22" s="1"/>
  <c r="P5" i="22"/>
  <c r="L16" i="25"/>
  <c r="L17" i="25" s="1"/>
  <c r="R16" i="25"/>
  <c r="R14" i="25" s="1"/>
  <c r="R13" i="25" s="1"/>
  <c r="R6" i="25"/>
  <c r="R3" i="25" s="1"/>
  <c r="R2" i="25" s="1"/>
  <c r="B7" i="21"/>
  <c r="C12" i="21" s="1"/>
  <c r="Q48" i="22"/>
  <c r="T4" i="22"/>
  <c r="X4" i="22" s="1"/>
  <c r="X5" i="22" s="1"/>
  <c r="Q40" i="22"/>
  <c r="X31" i="22" s="1"/>
  <c r="L8" i="25"/>
  <c r="L10" i="25" s="1"/>
  <c r="I39" i="18"/>
  <c r="I34" i="18"/>
  <c r="I29" i="18"/>
  <c r="P6" i="22"/>
  <c r="P7" i="22" s="1"/>
  <c r="P8" i="22" s="1"/>
  <c r="P9" i="22" s="1"/>
  <c r="P10" i="22" s="1"/>
  <c r="P11" i="22" s="1"/>
  <c r="P12" i="22" s="1"/>
  <c r="P13" i="22" s="1"/>
  <c r="P14" i="22" s="1"/>
  <c r="P15" i="22" s="1"/>
  <c r="P16" i="22" s="1"/>
  <c r="P17" i="22" s="1"/>
  <c r="P18" i="22" s="1"/>
  <c r="P19" i="22" s="1"/>
  <c r="P20" i="22" s="1"/>
  <c r="P21" i="22" s="1"/>
  <c r="P22" i="22" s="1"/>
  <c r="P23" i="22" s="1"/>
  <c r="P24" i="22" s="1"/>
  <c r="P25" i="22" s="1"/>
  <c r="P26" i="22" s="1"/>
  <c r="P27" i="22" s="1"/>
  <c r="P28" i="22" s="1"/>
  <c r="P29" i="22" s="1"/>
  <c r="P30" i="22" s="1"/>
  <c r="T24" i="22"/>
  <c r="V29" i="22" s="1"/>
  <c r="U24" i="22"/>
  <c r="X17" i="22"/>
  <c r="A33" i="21"/>
  <c r="C28" i="21"/>
  <c r="K58" i="21" s="1"/>
  <c r="K33" i="21"/>
  <c r="K34" i="21" l="1"/>
  <c r="K35" i="21" s="1"/>
  <c r="K36" i="21" s="1"/>
  <c r="K37" i="21" s="1"/>
  <c r="K38" i="21" s="1"/>
  <c r="K39" i="21" s="1"/>
  <c r="K40" i="21" s="1"/>
  <c r="K41" i="21" s="1"/>
  <c r="K42" i="21" s="1"/>
  <c r="K43" i="21" s="1"/>
  <c r="K44" i="21" s="1"/>
  <c r="K45" i="21" s="1"/>
  <c r="K46" i="21" s="1"/>
  <c r="K47" i="21" s="1"/>
  <c r="K48" i="21" s="1"/>
  <c r="K49" i="21" s="1"/>
  <c r="K50" i="21" s="1"/>
  <c r="K51" i="21" s="1"/>
  <c r="K52" i="21" s="1"/>
  <c r="K53" i="21" s="1"/>
  <c r="K54" i="21" s="1"/>
  <c r="K55" i="21" s="1"/>
  <c r="K56" i="21" s="1"/>
  <c r="K57" i="21" s="1"/>
  <c r="K32" i="21"/>
  <c r="K31" i="21" s="1"/>
  <c r="K30" i="21" s="1"/>
  <c r="T6" i="22"/>
  <c r="X6" i="22" s="1"/>
  <c r="L18" i="25"/>
  <c r="L20" i="25" s="1"/>
  <c r="F13" i="19"/>
  <c r="D28" i="18"/>
  <c r="C31" i="20" s="1"/>
  <c r="C28" i="18"/>
  <c r="T5" i="22"/>
  <c r="C52" i="18"/>
  <c r="F17" i="22"/>
  <c r="F16" i="22"/>
  <c r="Q50" i="22"/>
  <c r="V28" i="22"/>
  <c r="X27" i="22" s="1"/>
  <c r="F18" i="22"/>
  <c r="A19" i="22"/>
  <c r="L14" i="21"/>
  <c r="C55" i="20" s="1"/>
  <c r="G3" i="21"/>
  <c r="F26" i="21"/>
  <c r="A34" i="21"/>
  <c r="O31" i="21"/>
  <c r="O30" i="21"/>
  <c r="P49" i="21"/>
  <c r="O16" i="19" l="1"/>
  <c r="O17" i="19"/>
  <c r="O15" i="19"/>
  <c r="O18" i="19"/>
  <c r="O19" i="19"/>
  <c r="C51" i="18"/>
  <c r="C54" i="18" s="1"/>
  <c r="D54" i="18" s="1"/>
  <c r="C37" i="18"/>
  <c r="C30" i="18"/>
  <c r="C44" i="18" s="1"/>
  <c r="D44" i="18" s="1"/>
  <c r="D31" i="20"/>
  <c r="H28" i="18"/>
  <c r="C37" i="19"/>
  <c r="F15" i="19"/>
  <c r="F16" i="19"/>
  <c r="F26" i="19"/>
  <c r="F14" i="19"/>
  <c r="C33" i="20"/>
  <c r="C35" i="20"/>
  <c r="C36" i="20" s="1"/>
  <c r="L9" i="21"/>
  <c r="C62" i="18"/>
  <c r="C7" i="21"/>
  <c r="C13" i="21" s="1"/>
  <c r="R50" i="22"/>
  <c r="G34" i="21"/>
  <c r="A35" i="21"/>
  <c r="A20" i="22"/>
  <c r="F19" i="22"/>
  <c r="P18" i="19" l="1"/>
  <c r="N18" i="19"/>
  <c r="P15" i="19"/>
  <c r="N15" i="19"/>
  <c r="P19" i="19"/>
  <c r="N19" i="19"/>
  <c r="N17" i="19"/>
  <c r="P17" i="19"/>
  <c r="P16" i="19"/>
  <c r="N16" i="19"/>
  <c r="H30" i="18"/>
  <c r="I28" i="18"/>
  <c r="D12" i="21"/>
  <c r="D37" i="18"/>
  <c r="C44" i="20" s="1"/>
  <c r="H38" i="18"/>
  <c r="I38" i="18" s="1"/>
  <c r="D44" i="20"/>
  <c r="G48" i="20" s="1"/>
  <c r="D33" i="20"/>
  <c r="D35" i="20"/>
  <c r="D36" i="20" s="1"/>
  <c r="C50" i="20"/>
  <c r="C23" i="20" s="1"/>
  <c r="E12" i="21"/>
  <c r="H6" i="21" s="1"/>
  <c r="L18" i="21" s="1"/>
  <c r="C59" i="20" s="1"/>
  <c r="C21" i="21"/>
  <c r="L30" i="21" s="1"/>
  <c r="L12" i="21"/>
  <c r="C53" i="20" s="1"/>
  <c r="E13" i="21"/>
  <c r="E14" i="21" s="1"/>
  <c r="E15" i="21" s="1"/>
  <c r="E16" i="21" s="1"/>
  <c r="D56" i="18"/>
  <c r="D57" i="18"/>
  <c r="D55" i="18"/>
  <c r="S50" i="22"/>
  <c r="D7" i="21"/>
  <c r="C14" i="21" s="1"/>
  <c r="E3" i="21"/>
  <c r="I3" i="21"/>
  <c r="F20" i="22"/>
  <c r="A21" i="22"/>
  <c r="A36" i="21"/>
  <c r="G35" i="21"/>
  <c r="G56" i="20" l="1"/>
  <c r="G64" i="20"/>
  <c r="D14" i="21"/>
  <c r="D13" i="21"/>
  <c r="D15" i="21"/>
  <c r="D16" i="21"/>
  <c r="J6" i="21"/>
  <c r="L20" i="21" s="1"/>
  <c r="C61" i="20" s="1"/>
  <c r="H45" i="18"/>
  <c r="I45" i="18" s="1"/>
  <c r="I30" i="18"/>
  <c r="C17" i="34"/>
  <c r="D60" i="18"/>
  <c r="L31" i="21" s="1"/>
  <c r="C16" i="34"/>
  <c r="C13" i="34"/>
  <c r="E57" i="18"/>
  <c r="D61" i="18"/>
  <c r="C61" i="18" s="1"/>
  <c r="F24" i="21" s="1"/>
  <c r="H21" i="21"/>
  <c r="C33" i="21"/>
  <c r="T50" i="22"/>
  <c r="F7" i="21" s="1"/>
  <c r="C16" i="21" s="1"/>
  <c r="E7" i="21"/>
  <c r="C15" i="21" s="1"/>
  <c r="F21" i="22"/>
  <c r="A22" i="22"/>
  <c r="A37" i="21"/>
  <c r="G36" i="21"/>
  <c r="L36" i="21" l="1" a="1"/>
  <c r="L36" i="21" s="1"/>
  <c r="L48" i="21" a="1"/>
  <c r="L48" i="21" s="1"/>
  <c r="L32" i="21"/>
  <c r="L50" i="21" a="1"/>
  <c r="L50" i="21" s="1"/>
  <c r="L51" i="21" a="1"/>
  <c r="L51" i="21" s="1"/>
  <c r="L40" i="21" a="1"/>
  <c r="L40" i="21" s="1"/>
  <c r="L35" i="21" a="1"/>
  <c r="L35" i="21" s="1"/>
  <c r="L37" i="21" a="1"/>
  <c r="L37" i="21" s="1"/>
  <c r="L49" i="21" a="1"/>
  <c r="L49" i="21" s="1"/>
  <c r="L38" i="21" a="1"/>
  <c r="L38" i="21" s="1"/>
  <c r="L39" i="21" a="1"/>
  <c r="L39" i="21" s="1"/>
  <c r="L52" i="21" a="1"/>
  <c r="L52" i="21" s="1"/>
  <c r="L46" i="21" a="1"/>
  <c r="L46" i="21" s="1"/>
  <c r="L41" i="21" a="1"/>
  <c r="L41" i="21" s="1"/>
  <c r="L53" i="21" a="1"/>
  <c r="L53" i="21" s="1"/>
  <c r="L42" i="21" a="1"/>
  <c r="L42" i="21" s="1"/>
  <c r="L54" i="21" a="1"/>
  <c r="L54" i="21" s="1"/>
  <c r="L43" i="21" a="1"/>
  <c r="L43" i="21" s="1"/>
  <c r="L45" i="21" a="1"/>
  <c r="L45" i="21" s="1"/>
  <c r="L34" i="21" a="1"/>
  <c r="L34" i="21" s="1"/>
  <c r="L55" i="21" a="1"/>
  <c r="L55" i="21" s="1"/>
  <c r="L44" i="21" a="1"/>
  <c r="L44" i="21" s="1"/>
  <c r="L56" i="21" a="1"/>
  <c r="L56" i="21" s="1"/>
  <c r="L57" i="21" a="1"/>
  <c r="L57" i="21" s="1"/>
  <c r="L47" i="21" a="1"/>
  <c r="L47" i="21" s="1"/>
  <c r="D33" i="21"/>
  <c r="F33" i="21" s="1"/>
  <c r="P53" i="21"/>
  <c r="C23" i="21"/>
  <c r="C60" i="18"/>
  <c r="C63" i="18" s="1"/>
  <c r="C64" i="18"/>
  <c r="G37" i="21"/>
  <c r="A38" i="21"/>
  <c r="F22" i="22"/>
  <c r="A23" i="22"/>
  <c r="E33" i="21" l="1"/>
  <c r="H33" i="21" s="1"/>
  <c r="C34" i="21" s="1"/>
  <c r="D34" i="21" s="1"/>
  <c r="F20" i="19"/>
  <c r="D63" i="18"/>
  <c r="F40" i="19"/>
  <c r="F21" i="21"/>
  <c r="F23" i="21" s="1"/>
  <c r="C36" i="18"/>
  <c r="D64" i="18"/>
  <c r="A24" i="22"/>
  <c r="F23" i="22"/>
  <c r="G38" i="21"/>
  <c r="A39" i="21"/>
  <c r="C11" i="34" l="1"/>
  <c r="C18" i="34" s="1"/>
  <c r="E34" i="21"/>
  <c r="H34" i="21" s="1"/>
  <c r="C35" i="21" s="1"/>
  <c r="D35" i="21" s="1"/>
  <c r="F35" i="21" s="1"/>
  <c r="I33" i="21"/>
  <c r="F34" i="21"/>
  <c r="P30" i="21"/>
  <c r="H36" i="18"/>
  <c r="I36" i="18" s="1"/>
  <c r="D36" i="18"/>
  <c r="C43" i="20" s="1"/>
  <c r="D43" i="20"/>
  <c r="G36" i="20" s="1"/>
  <c r="G39" i="21"/>
  <c r="A40" i="21"/>
  <c r="A25" i="22"/>
  <c r="F24" i="22"/>
  <c r="P43" i="21" l="1"/>
  <c r="P44" i="21" s="1"/>
  <c r="I34" i="21"/>
  <c r="E35" i="21"/>
  <c r="H35" i="21" s="1"/>
  <c r="C36" i="21" s="1"/>
  <c r="D36" i="21" s="1"/>
  <c r="A26" i="22"/>
  <c r="F25" i="22"/>
  <c r="A41" i="21"/>
  <c r="G40" i="21"/>
  <c r="I35" i="21" l="1"/>
  <c r="F36" i="21"/>
  <c r="E36" i="21"/>
  <c r="F26" i="22"/>
  <c r="A27" i="22"/>
  <c r="G41" i="21"/>
  <c r="A42" i="21"/>
  <c r="AA24" i="22" l="1"/>
  <c r="H36" i="21"/>
  <c r="C37" i="21" s="1"/>
  <c r="D37" i="21" s="1"/>
  <c r="I36" i="21"/>
  <c r="F27" i="22"/>
  <c r="A28" i="22"/>
  <c r="G42" i="21"/>
  <c r="A43" i="21"/>
  <c r="E37" i="21" l="1"/>
  <c r="H37" i="21" s="1"/>
  <c r="C38" i="21" s="1"/>
  <c r="D38" i="21" s="1"/>
  <c r="F37" i="21"/>
  <c r="G43" i="21"/>
  <c r="A44" i="21"/>
  <c r="A29" i="22"/>
  <c r="F28" i="22"/>
  <c r="I37" i="21" l="1"/>
  <c r="E38" i="21"/>
  <c r="I38" i="21" s="1"/>
  <c r="F38" i="21"/>
  <c r="F29" i="22"/>
  <c r="A30" i="22"/>
  <c r="A45" i="21"/>
  <c r="G44" i="21"/>
  <c r="H38" i="21" l="1"/>
  <c r="C39" i="21" s="1"/>
  <c r="D39" i="21" s="1"/>
  <c r="G45" i="21"/>
  <c r="A46" i="21"/>
  <c r="A31" i="22"/>
  <c r="F30" i="22"/>
  <c r="F39" i="21" l="1"/>
  <c r="E39" i="21"/>
  <c r="A32" i="22"/>
  <c r="F31" i="22"/>
  <c r="A47" i="21"/>
  <c r="G46" i="21"/>
  <c r="H39" i="21" l="1"/>
  <c r="C40" i="21" s="1"/>
  <c r="D40" i="21" s="1"/>
  <c r="I39" i="21"/>
  <c r="G47" i="21"/>
  <c r="A48" i="21"/>
  <c r="F32" i="22"/>
  <c r="A33" i="22"/>
  <c r="E40" i="21" l="1"/>
  <c r="H40" i="21" s="1"/>
  <c r="C41" i="21" s="1"/>
  <c r="D41" i="21" s="1"/>
  <c r="F40" i="21"/>
  <c r="F33" i="22"/>
  <c r="A34" i="22"/>
  <c r="A49" i="21"/>
  <c r="G48" i="21"/>
  <c r="I40" i="21" l="1"/>
  <c r="F41" i="21"/>
  <c r="E41" i="21"/>
  <c r="A50" i="21"/>
  <c r="G49" i="21"/>
  <c r="A35" i="22"/>
  <c r="F34" i="22"/>
  <c r="H41" i="21" l="1"/>
  <c r="C42" i="21" s="1"/>
  <c r="D42" i="21" s="1"/>
  <c r="I41" i="21"/>
  <c r="F35" i="22"/>
  <c r="A36" i="22"/>
  <c r="G50" i="21"/>
  <c r="A51" i="21"/>
  <c r="F42" i="21" l="1"/>
  <c r="E42" i="21"/>
  <c r="F36" i="22"/>
  <c r="A37" i="22"/>
  <c r="G51" i="21"/>
  <c r="A52" i="21"/>
  <c r="H42" i="21" l="1"/>
  <c r="C43" i="21" s="1"/>
  <c r="D43" i="21" s="1"/>
  <c r="I42" i="21"/>
  <c r="A38" i="22"/>
  <c r="F37" i="22"/>
  <c r="G52" i="21"/>
  <c r="A53" i="21"/>
  <c r="F43" i="21" l="1"/>
  <c r="E43" i="21"/>
  <c r="F38" i="22"/>
  <c r="A39" i="22"/>
  <c r="G53" i="21"/>
  <c r="A54" i="21"/>
  <c r="H43" i="21" l="1"/>
  <c r="C44" i="21" s="1"/>
  <c r="D44" i="21" s="1"/>
  <c r="E44" i="21" s="1"/>
  <c r="I43" i="21"/>
  <c r="G54" i="21"/>
  <c r="A55" i="21"/>
  <c r="F39" i="22"/>
  <c r="A40" i="22"/>
  <c r="I44" i="21" l="1"/>
  <c r="F44" i="21"/>
  <c r="H44" i="21"/>
  <c r="C45" i="21" s="1"/>
  <c r="D45" i="21" s="1"/>
  <c r="E45" i="21" s="1"/>
  <c r="F40" i="22"/>
  <c r="A41" i="22"/>
  <c r="G55" i="21"/>
  <c r="A56" i="21"/>
  <c r="H45" i="21" l="1"/>
  <c r="C46" i="21" s="1"/>
  <c r="D46" i="21" s="1"/>
  <c r="E46" i="21" s="1"/>
  <c r="I45" i="21"/>
  <c r="F45" i="21"/>
  <c r="A57" i="21"/>
  <c r="G56" i="21"/>
  <c r="F41" i="22"/>
  <c r="A42" i="22"/>
  <c r="H46" i="21" l="1"/>
  <c r="C47" i="21" s="1"/>
  <c r="D47" i="21" s="1"/>
  <c r="E47" i="21" s="1"/>
  <c r="I46" i="21"/>
  <c r="F46" i="21"/>
  <c r="F42" i="22"/>
  <c r="A43" i="22"/>
  <c r="G57" i="21"/>
  <c r="A58" i="21"/>
  <c r="H47" i="21" l="1"/>
  <c r="C48" i="21" s="1"/>
  <c r="D48" i="21" s="1"/>
  <c r="I47" i="21"/>
  <c r="F47" i="21"/>
  <c r="A59" i="21"/>
  <c r="G58" i="21"/>
  <c r="A44" i="22"/>
  <c r="F48" i="21" l="1"/>
  <c r="E48" i="21"/>
  <c r="G59" i="21"/>
  <c r="A60" i="21"/>
  <c r="F44" i="22"/>
  <c r="A45" i="22"/>
  <c r="H48" i="21" l="1"/>
  <c r="C49" i="21" s="1"/>
  <c r="D49" i="21" s="1"/>
  <c r="E49" i="21" s="1"/>
  <c r="I48" i="21"/>
  <c r="A46" i="22"/>
  <c r="F45" i="22"/>
  <c r="A61" i="21"/>
  <c r="G60" i="21"/>
  <c r="H49" i="21" l="1"/>
  <c r="C50" i="21" s="1"/>
  <c r="D50" i="21" s="1"/>
  <c r="I49" i="21"/>
  <c r="F49" i="21"/>
  <c r="G61" i="21"/>
  <c r="A62" i="21"/>
  <c r="A47" i="22"/>
  <c r="F50" i="21" l="1"/>
  <c r="E50" i="21"/>
  <c r="F47" i="22"/>
  <c r="A48" i="22"/>
  <c r="A63" i="21"/>
  <c r="G62" i="21"/>
  <c r="H50" i="21" l="1"/>
  <c r="C51" i="21" s="1"/>
  <c r="D51" i="21" s="1"/>
  <c r="I50" i="21"/>
  <c r="G63" i="21"/>
  <c r="A64" i="21"/>
  <c r="F48" i="22"/>
  <c r="A49" i="22"/>
  <c r="F51" i="21" l="1"/>
  <c r="E51" i="21"/>
  <c r="G64" i="21"/>
  <c r="A65" i="21"/>
  <c r="F49" i="22"/>
  <c r="A50" i="22"/>
  <c r="H51" i="21" l="1"/>
  <c r="C52" i="21" s="1"/>
  <c r="D52" i="21" s="1"/>
  <c r="E52" i="21" s="1"/>
  <c r="I51" i="21"/>
  <c r="A66" i="21"/>
  <c r="G65" i="21"/>
  <c r="A51" i="22"/>
  <c r="F50" i="22"/>
  <c r="H52" i="21" l="1"/>
  <c r="C53" i="21" s="1"/>
  <c r="D53" i="21" s="1"/>
  <c r="I52" i="21"/>
  <c r="F52" i="21"/>
  <c r="G66" i="21"/>
  <c r="A67" i="21"/>
  <c r="F51" i="22"/>
  <c r="A52" i="22"/>
  <c r="F53" i="21" l="1"/>
  <c r="E53" i="21"/>
  <c r="F52" i="22"/>
  <c r="A53" i="22"/>
  <c r="G67" i="21"/>
  <c r="A68" i="21"/>
  <c r="H53" i="21" l="1"/>
  <c r="C54" i="21" s="1"/>
  <c r="D54" i="21" s="1"/>
  <c r="I53" i="21"/>
  <c r="G68" i="21"/>
  <c r="A69" i="21"/>
  <c r="A54" i="22"/>
  <c r="F53" i="22"/>
  <c r="F54" i="21" l="1"/>
  <c r="E54" i="21"/>
  <c r="A55" i="22"/>
  <c r="F54" i="22"/>
  <c r="A70" i="21"/>
  <c r="G69" i="21"/>
  <c r="H54" i="21" l="1"/>
  <c r="C55" i="21" s="1"/>
  <c r="D55" i="21" s="1"/>
  <c r="I54" i="21"/>
  <c r="G70" i="21"/>
  <c r="A71" i="21"/>
  <c r="A56" i="22"/>
  <c r="F55" i="22"/>
  <c r="F55" i="21" l="1"/>
  <c r="E55" i="21"/>
  <c r="G71" i="21"/>
  <c r="A72" i="21"/>
  <c r="F56" i="22"/>
  <c r="A57" i="22"/>
  <c r="H55" i="21" l="1"/>
  <c r="C56" i="21" s="1"/>
  <c r="D56" i="21" s="1"/>
  <c r="I55" i="21"/>
  <c r="F57" i="22"/>
  <c r="A58" i="22"/>
  <c r="G72" i="21"/>
  <c r="A73" i="21"/>
  <c r="F56" i="21" l="1"/>
  <c r="E56" i="21"/>
  <c r="A59" i="22"/>
  <c r="F58" i="22"/>
  <c r="G73" i="21"/>
  <c r="A74" i="21"/>
  <c r="H56" i="21" l="1"/>
  <c r="C57" i="21" s="1"/>
  <c r="D57" i="21" s="1"/>
  <c r="I56" i="21"/>
  <c r="G74" i="21"/>
  <c r="A75" i="21"/>
  <c r="F59" i="22"/>
  <c r="A60" i="22"/>
  <c r="F57" i="21" l="1"/>
  <c r="E57" i="21"/>
  <c r="A61" i="22"/>
  <c r="F60" i="22"/>
  <c r="A76" i="21"/>
  <c r="G75" i="21"/>
  <c r="H57" i="21" l="1"/>
  <c r="C58" i="21" s="1"/>
  <c r="D58" i="21" s="1"/>
  <c r="I57" i="21"/>
  <c r="G76" i="21"/>
  <c r="A77" i="21"/>
  <c r="F61" i="22"/>
  <c r="A62" i="22"/>
  <c r="F58" i="21" l="1"/>
  <c r="E58" i="21"/>
  <c r="G77" i="21"/>
  <c r="A78" i="21"/>
  <c r="A63" i="22"/>
  <c r="F62" i="22"/>
  <c r="H58" i="21" l="1"/>
  <c r="C59" i="21" s="1"/>
  <c r="D59" i="21" s="1"/>
  <c r="E59" i="21" s="1"/>
  <c r="I58" i="21"/>
  <c r="A64" i="22"/>
  <c r="F63" i="22"/>
  <c r="G78" i="21"/>
  <c r="A79" i="21"/>
  <c r="H59" i="21" l="1"/>
  <c r="C60" i="21" s="1"/>
  <c r="D60" i="21" s="1"/>
  <c r="I59" i="21"/>
  <c r="F59" i="21"/>
  <c r="G79" i="21"/>
  <c r="A80" i="21"/>
  <c r="F64" i="22"/>
  <c r="A65" i="22"/>
  <c r="F60" i="21" l="1"/>
  <c r="E60" i="21"/>
  <c r="F65" i="22"/>
  <c r="A66" i="22"/>
  <c r="G80" i="21"/>
  <c r="A81" i="21"/>
  <c r="H60" i="21" l="1"/>
  <c r="C61" i="21" s="1"/>
  <c r="D61" i="21" s="1"/>
  <c r="E61" i="21" s="1"/>
  <c r="I60" i="21"/>
  <c r="G81" i="21"/>
  <c r="A82" i="21"/>
  <c r="A67" i="22"/>
  <c r="F66" i="22"/>
  <c r="H61" i="21" l="1"/>
  <c r="C62" i="21" s="1"/>
  <c r="D62" i="21" s="1"/>
  <c r="I61" i="21"/>
  <c r="F61" i="21"/>
  <c r="G82" i="21"/>
  <c r="A83" i="21"/>
  <c r="F67" i="22"/>
  <c r="A68" i="22"/>
  <c r="F62" i="21" l="1"/>
  <c r="E62" i="21"/>
  <c r="G83" i="21"/>
  <c r="A84" i="21"/>
  <c r="F68" i="22"/>
  <c r="A69" i="22"/>
  <c r="H62" i="21" l="1"/>
  <c r="C63" i="21" s="1"/>
  <c r="D63" i="21" s="1"/>
  <c r="I62" i="21"/>
  <c r="A70" i="22"/>
  <c r="F69" i="22"/>
  <c r="A85" i="21"/>
  <c r="G84" i="21"/>
  <c r="F63" i="21" l="1"/>
  <c r="E63" i="21"/>
  <c r="G85" i="21"/>
  <c r="A86" i="21"/>
  <c r="F70" i="22"/>
  <c r="A71" i="22"/>
  <c r="H63" i="21" l="1"/>
  <c r="C64" i="21" s="1"/>
  <c r="D64" i="21" s="1"/>
  <c r="E64" i="21" s="1"/>
  <c r="I63" i="21"/>
  <c r="A72" i="22"/>
  <c r="F71" i="22"/>
  <c r="G86" i="21"/>
  <c r="A87" i="21"/>
  <c r="H64" i="21" l="1"/>
  <c r="C65" i="21" s="1"/>
  <c r="D65" i="21" s="1"/>
  <c r="E65" i="21" s="1"/>
  <c r="I64" i="21"/>
  <c r="F64" i="21"/>
  <c r="A88" i="21"/>
  <c r="G87" i="21"/>
  <c r="F72" i="22"/>
  <c r="A73" i="22"/>
  <c r="H65" i="21" l="1"/>
  <c r="C66" i="21" s="1"/>
  <c r="D66" i="21" s="1"/>
  <c r="E66" i="21" s="1"/>
  <c r="I65" i="21"/>
  <c r="F65" i="21"/>
  <c r="F73" i="22"/>
  <c r="A74" i="22"/>
  <c r="A89" i="21"/>
  <c r="G88" i="21"/>
  <c r="H66" i="21" l="1"/>
  <c r="C67" i="21" s="1"/>
  <c r="D67" i="21" s="1"/>
  <c r="E67" i="21" s="1"/>
  <c r="I66" i="21"/>
  <c r="F66" i="21"/>
  <c r="G89" i="21"/>
  <c r="A90" i="21"/>
  <c r="A75" i="22"/>
  <c r="H67" i="21" l="1"/>
  <c r="C68" i="21" s="1"/>
  <c r="D68" i="21" s="1"/>
  <c r="I67" i="21"/>
  <c r="F67" i="21"/>
  <c r="A91" i="21"/>
  <c r="G90" i="21"/>
  <c r="F75" i="22"/>
  <c r="A76" i="22"/>
  <c r="F68" i="21" l="1"/>
  <c r="E68" i="21"/>
  <c r="A77" i="22"/>
  <c r="G91" i="21"/>
  <c r="A92" i="21"/>
  <c r="H68" i="21" l="1"/>
  <c r="C69" i="21" s="1"/>
  <c r="D69" i="21" s="1"/>
  <c r="I68" i="21"/>
  <c r="A93" i="21"/>
  <c r="G92" i="21"/>
  <c r="F77" i="22"/>
  <c r="A78" i="22"/>
  <c r="F69" i="21" l="1"/>
  <c r="E69" i="21"/>
  <c r="F78" i="22"/>
  <c r="A79" i="22"/>
  <c r="G93" i="21"/>
  <c r="A94" i="21"/>
  <c r="H69" i="21" l="1"/>
  <c r="C70" i="21" s="1"/>
  <c r="D70" i="21" s="1"/>
  <c r="I69" i="21"/>
  <c r="G94" i="21"/>
  <c r="A95" i="21"/>
  <c r="A80" i="22"/>
  <c r="F79" i="22"/>
  <c r="F70" i="21" l="1"/>
  <c r="E70" i="21"/>
  <c r="I70" i="21" s="1"/>
  <c r="A81" i="22"/>
  <c r="F80" i="22"/>
  <c r="G95" i="21"/>
  <c r="A96" i="21"/>
  <c r="H70" i="21" l="1"/>
  <c r="C71" i="21" s="1"/>
  <c r="D71" i="21" s="1"/>
  <c r="A97" i="21"/>
  <c r="G96" i="21"/>
  <c r="A82" i="22"/>
  <c r="F81" i="22"/>
  <c r="F71" i="21" l="1"/>
  <c r="E71" i="21"/>
  <c r="A83" i="22"/>
  <c r="F82" i="22"/>
  <c r="G97" i="21"/>
  <c r="A98" i="21"/>
  <c r="H71" i="21" l="1"/>
  <c r="C72" i="21" s="1"/>
  <c r="D72" i="21" s="1"/>
  <c r="E72" i="21" s="1"/>
  <c r="I71" i="21"/>
  <c r="A99" i="21"/>
  <c r="G98" i="21"/>
  <c r="F83" i="22"/>
  <c r="A84" i="22"/>
  <c r="H72" i="21" l="1"/>
  <c r="C73" i="21" s="1"/>
  <c r="D73" i="21" s="1"/>
  <c r="I72" i="21"/>
  <c r="F72" i="21"/>
  <c r="A100" i="21"/>
  <c r="G99" i="21"/>
  <c r="A85" i="22"/>
  <c r="F84" i="22"/>
  <c r="F73" i="21" l="1"/>
  <c r="E73" i="21"/>
  <c r="A86" i="22"/>
  <c r="F85" i="22"/>
  <c r="A101" i="21"/>
  <c r="G100" i="21"/>
  <c r="H73" i="21" l="1"/>
  <c r="C74" i="21" s="1"/>
  <c r="D74" i="21" s="1"/>
  <c r="E74" i="21" s="1"/>
  <c r="I73" i="21"/>
  <c r="G101" i="21"/>
  <c r="A102" i="21"/>
  <c r="A87" i="22"/>
  <c r="F86" i="22"/>
  <c r="H74" i="21" l="1"/>
  <c r="C75" i="21" s="1"/>
  <c r="D75" i="21" s="1"/>
  <c r="I74" i="21"/>
  <c r="F74" i="21"/>
  <c r="F87" i="22"/>
  <c r="A88" i="22"/>
  <c r="A103" i="21"/>
  <c r="G102" i="21"/>
  <c r="F75" i="21" l="1"/>
  <c r="E75" i="21"/>
  <c r="A89" i="22"/>
  <c r="F88" i="22"/>
  <c r="A104" i="21"/>
  <c r="G103" i="21"/>
  <c r="H75" i="21" l="1"/>
  <c r="C76" i="21" s="1"/>
  <c r="D76" i="21" s="1"/>
  <c r="I75" i="21"/>
  <c r="A105" i="21"/>
  <c r="G104" i="21"/>
  <c r="F89" i="22"/>
  <c r="A90" i="22"/>
  <c r="F76" i="21" l="1"/>
  <c r="E76" i="21"/>
  <c r="F90" i="22"/>
  <c r="A91" i="22"/>
  <c r="G105" i="21"/>
  <c r="A106" i="21"/>
  <c r="H76" i="21" l="1"/>
  <c r="C77" i="21" s="1"/>
  <c r="D77" i="21" s="1"/>
  <c r="I76" i="21"/>
  <c r="G106" i="21"/>
  <c r="A107" i="21"/>
  <c r="F91" i="22"/>
  <c r="A92" i="22"/>
  <c r="F77" i="21" l="1"/>
  <c r="E77" i="21"/>
  <c r="I77" i="21" s="1"/>
  <c r="F92" i="22"/>
  <c r="A93" i="22"/>
  <c r="A108" i="21"/>
  <c r="G107" i="21"/>
  <c r="H77" i="21" l="1"/>
  <c r="C78" i="21" s="1"/>
  <c r="D78" i="21" s="1"/>
  <c r="E78" i="21" s="1"/>
  <c r="G108" i="21"/>
  <c r="A109" i="21"/>
  <c r="A94" i="22"/>
  <c r="F93" i="22"/>
  <c r="H78" i="21" l="1"/>
  <c r="C79" i="21" s="1"/>
  <c r="D79" i="21" s="1"/>
  <c r="I78" i="21"/>
  <c r="F78" i="21"/>
  <c r="F94" i="22"/>
  <c r="A95" i="22"/>
  <c r="G109" i="21"/>
  <c r="A110" i="21"/>
  <c r="F79" i="21" l="1"/>
  <c r="E79" i="21"/>
  <c r="G110" i="21"/>
  <c r="A111" i="21"/>
  <c r="A96" i="22"/>
  <c r="F95" i="22"/>
  <c r="H79" i="21" l="1"/>
  <c r="C80" i="21" s="1"/>
  <c r="D80" i="21" s="1"/>
  <c r="I79" i="21"/>
  <c r="A112" i="21"/>
  <c r="G111" i="21"/>
  <c r="F96" i="22"/>
  <c r="A97" i="22"/>
  <c r="F80" i="21" l="1"/>
  <c r="E80" i="21"/>
  <c r="F97" i="22"/>
  <c r="A98" i="22"/>
  <c r="G112" i="21"/>
  <c r="A113" i="21"/>
  <c r="H80" i="21" l="1"/>
  <c r="C81" i="21" s="1"/>
  <c r="D81" i="21" s="1"/>
  <c r="I80" i="21"/>
  <c r="F98" i="22"/>
  <c r="A99" i="22"/>
  <c r="G113" i="21"/>
  <c r="A114" i="21"/>
  <c r="F81" i="21" l="1"/>
  <c r="E81" i="21"/>
  <c r="G114" i="21"/>
  <c r="A115" i="21"/>
  <c r="A100" i="22"/>
  <c r="F99" i="22"/>
  <c r="H81" i="21" l="1"/>
  <c r="C82" i="21" s="1"/>
  <c r="D82" i="21" s="1"/>
  <c r="I81" i="21"/>
  <c r="A101" i="22"/>
  <c r="F100" i="22"/>
  <c r="G115" i="21"/>
  <c r="A116" i="21"/>
  <c r="F82" i="21" l="1"/>
  <c r="E82" i="21"/>
  <c r="G116" i="21"/>
  <c r="A117" i="21"/>
  <c r="A102" i="22"/>
  <c r="F101" i="22"/>
  <c r="H82" i="21" l="1"/>
  <c r="C83" i="21" s="1"/>
  <c r="D83" i="21" s="1"/>
  <c r="I82" i="21"/>
  <c r="A103" i="22"/>
  <c r="F102" i="22"/>
  <c r="G117" i="21"/>
  <c r="A118" i="21"/>
  <c r="F83" i="21" l="1"/>
  <c r="E83" i="21"/>
  <c r="A119" i="21"/>
  <c r="G118" i="21"/>
  <c r="F103" i="22"/>
  <c r="A104" i="22"/>
  <c r="H83" i="21" l="1"/>
  <c r="C84" i="21" s="1"/>
  <c r="D84" i="21" s="1"/>
  <c r="E84" i="21" s="1"/>
  <c r="I83" i="21"/>
  <c r="A120" i="21"/>
  <c r="G119" i="21"/>
  <c r="A105" i="22"/>
  <c r="H84" i="21" l="1"/>
  <c r="C85" i="21" s="1"/>
  <c r="D85" i="21" s="1"/>
  <c r="I84" i="21"/>
  <c r="F84" i="21"/>
  <c r="A106" i="22"/>
  <c r="G120" i="21"/>
  <c r="A121" i="21"/>
  <c r="F85" i="21" l="1"/>
  <c r="E85" i="21"/>
  <c r="G121" i="21"/>
  <c r="A122" i="21"/>
  <c r="F106" i="22"/>
  <c r="A107" i="22"/>
  <c r="H85" i="21" l="1"/>
  <c r="C86" i="21" s="1"/>
  <c r="D86" i="21" s="1"/>
  <c r="E86" i="21" s="1"/>
  <c r="I85" i="21"/>
  <c r="A108" i="22"/>
  <c r="G122" i="21"/>
  <c r="A123" i="21"/>
  <c r="H86" i="21" l="1"/>
  <c r="C87" i="21" s="1"/>
  <c r="D87" i="21" s="1"/>
  <c r="I86" i="21"/>
  <c r="F86" i="21"/>
  <c r="A109" i="22"/>
  <c r="F108" i="22"/>
  <c r="G123" i="21"/>
  <c r="A124" i="21"/>
  <c r="F87" i="21" l="1"/>
  <c r="E87" i="21"/>
  <c r="G124" i="21"/>
  <c r="A125" i="21"/>
  <c r="F109" i="22"/>
  <c r="A110" i="22"/>
  <c r="H87" i="21" l="1"/>
  <c r="C88" i="21" s="1"/>
  <c r="D88" i="21" s="1"/>
  <c r="I87" i="21"/>
  <c r="G125" i="21"/>
  <c r="A126" i="21"/>
  <c r="A111" i="22"/>
  <c r="F110" i="22"/>
  <c r="F88" i="21" l="1"/>
  <c r="E88" i="21"/>
  <c r="A127" i="21"/>
  <c r="G126" i="21"/>
  <c r="A112" i="22"/>
  <c r="F111" i="22"/>
  <c r="H88" i="21" l="1"/>
  <c r="C89" i="21" s="1"/>
  <c r="D89" i="21" s="1"/>
  <c r="I88" i="21"/>
  <c r="F112" i="22"/>
  <c r="A113" i="22"/>
  <c r="A128" i="21"/>
  <c r="G127" i="21"/>
  <c r="F89" i="21" l="1"/>
  <c r="E89" i="21"/>
  <c r="G128" i="21"/>
  <c r="A129" i="21"/>
  <c r="A114" i="22"/>
  <c r="F113" i="22"/>
  <c r="H89" i="21" l="1"/>
  <c r="C90" i="21" s="1"/>
  <c r="D90" i="21" s="1"/>
  <c r="I89" i="21"/>
  <c r="F114" i="22"/>
  <c r="A115" i="22"/>
  <c r="G129" i="21"/>
  <c r="A130" i="21"/>
  <c r="F90" i="21" l="1"/>
  <c r="E90" i="21"/>
  <c r="F115" i="22"/>
  <c r="A116" i="22"/>
  <c r="A131" i="21"/>
  <c r="G130" i="21"/>
  <c r="H90" i="21" l="1"/>
  <c r="C91" i="21" s="1"/>
  <c r="D91" i="21" s="1"/>
  <c r="I90" i="21"/>
  <c r="G131" i="21"/>
  <c r="A132" i="21"/>
  <c r="A117" i="22"/>
  <c r="F116" i="22"/>
  <c r="F91" i="21" l="1"/>
  <c r="E91" i="21"/>
  <c r="F117" i="22"/>
  <c r="A118" i="22"/>
  <c r="A133" i="21"/>
  <c r="G132" i="21"/>
  <c r="H91" i="21" l="1"/>
  <c r="C92" i="21" s="1"/>
  <c r="D92" i="21" s="1"/>
  <c r="I91" i="21"/>
  <c r="G133" i="21"/>
  <c r="A134" i="21"/>
  <c r="F118" i="22"/>
  <c r="A119" i="22"/>
  <c r="F92" i="21" l="1"/>
  <c r="E92" i="21"/>
  <c r="F119" i="22"/>
  <c r="A120" i="22"/>
  <c r="A135" i="21"/>
  <c r="G134" i="21"/>
  <c r="H92" i="21" l="1"/>
  <c r="C93" i="21" s="1"/>
  <c r="D93" i="21" s="1"/>
  <c r="E93" i="21" s="1"/>
  <c r="I92" i="21"/>
  <c r="G135" i="21"/>
  <c r="A136" i="21"/>
  <c r="F120" i="22"/>
  <c r="A121" i="22"/>
  <c r="H93" i="21" l="1"/>
  <c r="C94" i="21" s="1"/>
  <c r="D94" i="21" s="1"/>
  <c r="I93" i="21"/>
  <c r="F93" i="21"/>
  <c r="A137" i="21"/>
  <c r="G136" i="21"/>
  <c r="A122" i="22"/>
  <c r="F121" i="22"/>
  <c r="F94" i="21" l="1"/>
  <c r="E94" i="21"/>
  <c r="F122" i="22"/>
  <c r="A123" i="22"/>
  <c r="G137" i="21"/>
  <c r="A138" i="21"/>
  <c r="H94" i="21" l="1"/>
  <c r="C95" i="21" s="1"/>
  <c r="D95" i="21" s="1"/>
  <c r="E95" i="21" s="1"/>
  <c r="I94" i="21"/>
  <c r="A139" i="21"/>
  <c r="G138" i="21"/>
  <c r="F123" i="22"/>
  <c r="A124" i="22"/>
  <c r="H95" i="21" l="1"/>
  <c r="C96" i="21" s="1"/>
  <c r="D96" i="21" s="1"/>
  <c r="I95" i="21"/>
  <c r="F95" i="21"/>
  <c r="F124" i="22"/>
  <c r="A125" i="22"/>
  <c r="G139" i="21"/>
  <c r="A140" i="21"/>
  <c r="F96" i="21" l="1"/>
  <c r="E96" i="21"/>
  <c r="F125" i="22"/>
  <c r="A126" i="22"/>
  <c r="G140" i="21"/>
  <c r="A141" i="21"/>
  <c r="H96" i="21" l="1"/>
  <c r="C97" i="21" s="1"/>
  <c r="D97" i="21" s="1"/>
  <c r="E97" i="21" s="1"/>
  <c r="I96" i="21"/>
  <c r="G141" i="21"/>
  <c r="A142" i="21"/>
  <c r="A127" i="22"/>
  <c r="F126" i="22"/>
  <c r="H97" i="21" l="1"/>
  <c r="C98" i="21" s="1"/>
  <c r="D98" i="21" s="1"/>
  <c r="I97" i="21"/>
  <c r="F97" i="21"/>
  <c r="A128" i="22"/>
  <c r="F127" i="22"/>
  <c r="G142" i="21"/>
  <c r="A143" i="21"/>
  <c r="F98" i="21" l="1"/>
  <c r="E98" i="21"/>
  <c r="G143" i="21"/>
  <c r="A144" i="21"/>
  <c r="A129" i="22"/>
  <c r="F128" i="22"/>
  <c r="H98" i="21" l="1"/>
  <c r="C99" i="21" s="1"/>
  <c r="D99" i="21" s="1"/>
  <c r="E99" i="21" s="1"/>
  <c r="I98" i="21"/>
  <c r="G144" i="21"/>
  <c r="A145" i="21"/>
  <c r="A130" i="22"/>
  <c r="F129" i="22"/>
  <c r="H99" i="21" l="1"/>
  <c r="C100" i="21" s="1"/>
  <c r="I99" i="21"/>
  <c r="F99" i="21"/>
  <c r="A131" i="22"/>
  <c r="F130" i="22"/>
  <c r="G145" i="21"/>
  <c r="A146" i="21"/>
  <c r="D100" i="21" l="1"/>
  <c r="E100" i="21" s="1"/>
  <c r="G146" i="21"/>
  <c r="A147" i="21"/>
  <c r="F131" i="22"/>
  <c r="A132" i="22"/>
  <c r="F100" i="21" l="1"/>
  <c r="H100" i="21"/>
  <c r="C101" i="21" s="1"/>
  <c r="D101" i="21" s="1"/>
  <c r="F101" i="21" s="1"/>
  <c r="I100" i="21"/>
  <c r="F132" i="22"/>
  <c r="A133" i="22"/>
  <c r="A148" i="21"/>
  <c r="G147" i="21"/>
  <c r="E101" i="21" l="1"/>
  <c r="H101" i="21" s="1"/>
  <c r="C102" i="21" s="1"/>
  <c r="D102" i="21" s="1"/>
  <c r="E102" i="21" s="1"/>
  <c r="G148" i="21"/>
  <c r="A149" i="21"/>
  <c r="A134" i="22"/>
  <c r="F133" i="22"/>
  <c r="I101" i="21" l="1"/>
  <c r="H102" i="21"/>
  <c r="C103" i="21" s="1"/>
  <c r="D103" i="21" s="1"/>
  <c r="E103" i="21" s="1"/>
  <c r="I102" i="21"/>
  <c r="F102" i="21"/>
  <c r="A135" i="22"/>
  <c r="F134" i="22"/>
  <c r="G149" i="21"/>
  <c r="A150" i="21"/>
  <c r="H103" i="21" l="1"/>
  <c r="C104" i="21" s="1"/>
  <c r="D104" i="21" s="1"/>
  <c r="E104" i="21" s="1"/>
  <c r="I103" i="21"/>
  <c r="F103" i="21"/>
  <c r="A151" i="21"/>
  <c r="G150" i="21"/>
  <c r="A136" i="22"/>
  <c r="H104" i="21" l="1"/>
  <c r="C105" i="21" s="1"/>
  <c r="D105" i="21" s="1"/>
  <c r="I104" i="21"/>
  <c r="F104" i="21"/>
  <c r="F136" i="22"/>
  <c r="A137" i="22"/>
  <c r="G151" i="21"/>
  <c r="A152" i="21"/>
  <c r="F105" i="21" l="1"/>
  <c r="E105" i="21"/>
  <c r="G152" i="21"/>
  <c r="A153" i="21"/>
  <c r="A138" i="22"/>
  <c r="H105" i="21" l="1"/>
  <c r="C106" i="21" s="1"/>
  <c r="D106" i="21" s="1"/>
  <c r="E106" i="21" s="1"/>
  <c r="I105" i="21"/>
  <c r="F138" i="22"/>
  <c r="A139" i="22"/>
  <c r="A154" i="21"/>
  <c r="G153" i="21"/>
  <c r="H106" i="21" l="1"/>
  <c r="C107" i="21" s="1"/>
  <c r="D107" i="21" s="1"/>
  <c r="E107" i="21" s="1"/>
  <c r="I106" i="21"/>
  <c r="F106" i="21"/>
  <c r="A140" i="22"/>
  <c r="F139" i="22"/>
  <c r="A155" i="21"/>
  <c r="G154" i="21"/>
  <c r="H107" i="21" l="1"/>
  <c r="C108" i="21" s="1"/>
  <c r="D108" i="21" s="1"/>
  <c r="E108" i="21" s="1"/>
  <c r="I107" i="21"/>
  <c r="F107" i="21"/>
  <c r="G155" i="21"/>
  <c r="A156" i="21"/>
  <c r="F140" i="22"/>
  <c r="A141" i="22"/>
  <c r="H108" i="21" l="1"/>
  <c r="C109" i="21" s="1"/>
  <c r="D109" i="21" s="1"/>
  <c r="E109" i="21" s="1"/>
  <c r="I108" i="21"/>
  <c r="F108" i="21"/>
  <c r="F141" i="22"/>
  <c r="A142" i="22"/>
  <c r="A157" i="21"/>
  <c r="G156" i="21"/>
  <c r="H109" i="21" l="1"/>
  <c r="C110" i="21" s="1"/>
  <c r="D110" i="21" s="1"/>
  <c r="E110" i="21" s="1"/>
  <c r="I109" i="21"/>
  <c r="F109" i="21"/>
  <c r="F142" i="22"/>
  <c r="A143" i="22"/>
  <c r="A158" i="21"/>
  <c r="G157" i="21"/>
  <c r="H110" i="21" l="1"/>
  <c r="C111" i="21" s="1"/>
  <c r="D111" i="21" s="1"/>
  <c r="E111" i="21" s="1"/>
  <c r="I110" i="21"/>
  <c r="F110" i="21"/>
  <c r="A159" i="21"/>
  <c r="G158" i="21"/>
  <c r="F143" i="22"/>
  <c r="A144" i="22"/>
  <c r="H111" i="21" l="1"/>
  <c r="C112" i="21" s="1"/>
  <c r="D112" i="21" s="1"/>
  <c r="I111" i="21"/>
  <c r="F111" i="21"/>
  <c r="A145" i="22"/>
  <c r="F144" i="22"/>
  <c r="G159" i="21"/>
  <c r="A160" i="21"/>
  <c r="F112" i="21" l="1"/>
  <c r="E112" i="21"/>
  <c r="G160" i="21"/>
  <c r="A161" i="21"/>
  <c r="A146" i="22"/>
  <c r="F145" i="22"/>
  <c r="H112" i="21" l="1"/>
  <c r="C113" i="21" s="1"/>
  <c r="D113" i="21" s="1"/>
  <c r="E113" i="21" s="1"/>
  <c r="I112" i="21"/>
  <c r="A147" i="22"/>
  <c r="F146" i="22"/>
  <c r="G161" i="21"/>
  <c r="A162" i="21"/>
  <c r="H113" i="21" l="1"/>
  <c r="C114" i="21" s="1"/>
  <c r="D114" i="21" s="1"/>
  <c r="I113" i="21"/>
  <c r="F113" i="21"/>
  <c r="A163" i="21"/>
  <c r="G162" i="21"/>
  <c r="A148" i="22"/>
  <c r="F147" i="22"/>
  <c r="F114" i="21" l="1"/>
  <c r="E114" i="21"/>
  <c r="F148" i="22"/>
  <c r="A149" i="22"/>
  <c r="G163" i="21"/>
  <c r="A164" i="21"/>
  <c r="H114" i="21" l="1"/>
  <c r="C115" i="21" s="1"/>
  <c r="D115" i="21" s="1"/>
  <c r="E115" i="21" s="1"/>
  <c r="I114" i="21"/>
  <c r="A150" i="22"/>
  <c r="F149" i="22"/>
  <c r="G164" i="21"/>
  <c r="A165" i="21"/>
  <c r="I115" i="21" l="1"/>
  <c r="F115" i="21"/>
  <c r="H115" i="21"/>
  <c r="C116" i="21" s="1"/>
  <c r="D116" i="21" s="1"/>
  <c r="E116" i="21" s="1"/>
  <c r="F150" i="22"/>
  <c r="A151" i="22"/>
  <c r="G165" i="21"/>
  <c r="A166" i="21"/>
  <c r="H116" i="21" l="1"/>
  <c r="C117" i="21" s="1"/>
  <c r="D117" i="21" s="1"/>
  <c r="I116" i="21"/>
  <c r="F116" i="21"/>
  <c r="F151" i="22"/>
  <c r="A152" i="22"/>
  <c r="G166" i="21"/>
  <c r="A167" i="21"/>
  <c r="F117" i="21" l="1"/>
  <c r="E117" i="21"/>
  <c r="F152" i="22"/>
  <c r="A153" i="22"/>
  <c r="G167" i="21"/>
  <c r="A168" i="21"/>
  <c r="H117" i="21" l="1"/>
  <c r="C118" i="21" s="1"/>
  <c r="D118" i="21" s="1"/>
  <c r="E118" i="21" s="1"/>
  <c r="I117" i="21"/>
  <c r="F153" i="22"/>
  <c r="A154" i="22"/>
  <c r="A169" i="21"/>
  <c r="G168" i="21"/>
  <c r="H118" i="21" l="1"/>
  <c r="C119" i="21" s="1"/>
  <c r="D119" i="21" s="1"/>
  <c r="E119" i="21" s="1"/>
  <c r="I118" i="21"/>
  <c r="F118" i="21"/>
  <c r="G169" i="21"/>
  <c r="A170" i="21"/>
  <c r="F154" i="22"/>
  <c r="A155" i="22"/>
  <c r="H119" i="21" l="1"/>
  <c r="C120" i="21" s="1"/>
  <c r="D120" i="21" s="1"/>
  <c r="I119" i="21"/>
  <c r="F119" i="21"/>
  <c r="F155" i="22"/>
  <c r="A156" i="22"/>
  <c r="G170" i="21"/>
  <c r="A171" i="21"/>
  <c r="F120" i="21" l="1"/>
  <c r="E120" i="21"/>
  <c r="G171" i="21"/>
  <c r="A172" i="21"/>
  <c r="A157" i="22"/>
  <c r="F156" i="22"/>
  <c r="H120" i="21" l="1"/>
  <c r="C121" i="21" s="1"/>
  <c r="D121" i="21" s="1"/>
  <c r="I120" i="21"/>
  <c r="F157" i="22"/>
  <c r="A158" i="22"/>
  <c r="G172" i="21"/>
  <c r="A173" i="21"/>
  <c r="F121" i="21" l="1"/>
  <c r="E121" i="21"/>
  <c r="G173" i="21"/>
  <c r="A174" i="21"/>
  <c r="A159" i="22"/>
  <c r="F158" i="22"/>
  <c r="H121" i="21" l="1"/>
  <c r="C122" i="21" s="1"/>
  <c r="D122" i="21" s="1"/>
  <c r="E122" i="21" s="1"/>
  <c r="I121" i="21"/>
  <c r="F159" i="22"/>
  <c r="A160" i="22"/>
  <c r="G174" i="21"/>
  <c r="A175" i="21"/>
  <c r="H122" i="21" l="1"/>
  <c r="C123" i="21" s="1"/>
  <c r="D123" i="21" s="1"/>
  <c r="E123" i="21" s="1"/>
  <c r="I122" i="21"/>
  <c r="F122" i="21"/>
  <c r="A161" i="22"/>
  <c r="F160" i="22"/>
  <c r="G175" i="21"/>
  <c r="A176" i="21"/>
  <c r="H123" i="21" l="1"/>
  <c r="C124" i="21" s="1"/>
  <c r="D124" i="21" s="1"/>
  <c r="E124" i="21" s="1"/>
  <c r="I123" i="21"/>
  <c r="F123" i="21"/>
  <c r="A177" i="21"/>
  <c r="G176" i="21"/>
  <c r="F161" i="22"/>
  <c r="A162" i="22"/>
  <c r="H124" i="21" l="1"/>
  <c r="C125" i="21" s="1"/>
  <c r="D125" i="21" s="1"/>
  <c r="I124" i="21"/>
  <c r="F124" i="21"/>
  <c r="F162" i="22"/>
  <c r="A163" i="22"/>
  <c r="G177" i="21"/>
  <c r="A178" i="21"/>
  <c r="F125" i="21" l="1"/>
  <c r="E125" i="21"/>
  <c r="A164" i="22"/>
  <c r="F163" i="22"/>
  <c r="G178" i="21"/>
  <c r="A179" i="21"/>
  <c r="H125" i="21" l="1"/>
  <c r="C126" i="21" s="1"/>
  <c r="D126" i="21" s="1"/>
  <c r="E126" i="21" s="1"/>
  <c r="I125" i="21"/>
  <c r="G179" i="21"/>
  <c r="A180" i="21"/>
  <c r="A165" i="22"/>
  <c r="F164" i="22"/>
  <c r="H126" i="21" l="1"/>
  <c r="C127" i="21" s="1"/>
  <c r="D127" i="21" s="1"/>
  <c r="I126" i="21"/>
  <c r="F126" i="21"/>
  <c r="A166" i="22"/>
  <c r="G180" i="21"/>
  <c r="A181" i="21"/>
  <c r="F127" i="21" l="1"/>
  <c r="E127" i="21"/>
  <c r="A167" i="22"/>
  <c r="G181" i="21"/>
  <c r="A182" i="21"/>
  <c r="H127" i="21" l="1"/>
  <c r="C128" i="21" s="1"/>
  <c r="D128" i="21" s="1"/>
  <c r="I127" i="21"/>
  <c r="A183" i="21"/>
  <c r="G182" i="21"/>
  <c r="A168" i="22"/>
  <c r="F167" i="22"/>
  <c r="F128" i="21" l="1"/>
  <c r="E128" i="21"/>
  <c r="A169" i="22"/>
  <c r="G183" i="21"/>
  <c r="A184" i="21"/>
  <c r="H128" i="21" l="1"/>
  <c r="C129" i="21" s="1"/>
  <c r="D129" i="21" s="1"/>
  <c r="E129" i="21" s="1"/>
  <c r="I128" i="21"/>
  <c r="A185" i="21"/>
  <c r="G184" i="21"/>
  <c r="A170" i="22"/>
  <c r="F169" i="22"/>
  <c r="H129" i="21" l="1"/>
  <c r="C130" i="21" s="1"/>
  <c r="D130" i="21" s="1"/>
  <c r="I129" i="21"/>
  <c r="F129" i="21"/>
  <c r="A171" i="22"/>
  <c r="F170" i="22"/>
  <c r="G185" i="21"/>
  <c r="A186" i="21"/>
  <c r="F130" i="21" l="1"/>
  <c r="E130" i="21"/>
  <c r="G186" i="21"/>
  <c r="A187" i="21"/>
  <c r="A172" i="22"/>
  <c r="F171" i="22"/>
  <c r="H130" i="21" l="1"/>
  <c r="C131" i="21" s="1"/>
  <c r="D131" i="21" s="1"/>
  <c r="E131" i="21" s="1"/>
  <c r="I130" i="21"/>
  <c r="F172" i="22"/>
  <c r="A173" i="22"/>
  <c r="A188" i="21"/>
  <c r="G187" i="21"/>
  <c r="H131" i="21" l="1"/>
  <c r="C132" i="21" s="1"/>
  <c r="D132" i="21" s="1"/>
  <c r="I131" i="21"/>
  <c r="F131" i="21"/>
  <c r="F173" i="22"/>
  <c r="A174" i="22"/>
  <c r="G188" i="21"/>
  <c r="A189" i="21"/>
  <c r="F132" i="21" l="1"/>
  <c r="E132" i="21"/>
  <c r="A190" i="21"/>
  <c r="G189" i="21"/>
  <c r="A175" i="22"/>
  <c r="F174" i="22"/>
  <c r="H132" i="21" l="1"/>
  <c r="C133" i="21" s="1"/>
  <c r="D133" i="21" s="1"/>
  <c r="E133" i="21" s="1"/>
  <c r="I132" i="21"/>
  <c r="A176" i="22"/>
  <c r="F175" i="22"/>
  <c r="G190" i="21"/>
  <c r="A191" i="21"/>
  <c r="H133" i="21" l="1"/>
  <c r="C134" i="21" s="1"/>
  <c r="D134" i="21" s="1"/>
  <c r="E134" i="21" s="1"/>
  <c r="I133" i="21"/>
  <c r="F133" i="21"/>
  <c r="F176" i="22"/>
  <c r="A177" i="22"/>
  <c r="G191" i="21"/>
  <c r="A192" i="21"/>
  <c r="H134" i="21" l="1"/>
  <c r="C135" i="21" s="1"/>
  <c r="D135" i="21" s="1"/>
  <c r="E135" i="21" s="1"/>
  <c r="I134" i="21"/>
  <c r="F134" i="21"/>
  <c r="G192" i="21"/>
  <c r="A193" i="21"/>
  <c r="F177" i="22"/>
  <c r="A178" i="22"/>
  <c r="H135" i="21" l="1"/>
  <c r="C136" i="21" s="1"/>
  <c r="D136" i="21" s="1"/>
  <c r="E136" i="21" s="1"/>
  <c r="I135" i="21"/>
  <c r="F135" i="21"/>
  <c r="F178" i="22"/>
  <c r="A179" i="22"/>
  <c r="G193" i="21"/>
  <c r="A194" i="21"/>
  <c r="H136" i="21" l="1"/>
  <c r="C137" i="21" s="1"/>
  <c r="D137" i="21" s="1"/>
  <c r="E137" i="21" s="1"/>
  <c r="I136" i="21"/>
  <c r="F136" i="21"/>
  <c r="G194" i="21"/>
  <c r="A195" i="21"/>
  <c r="F179" i="22"/>
  <c r="A180" i="22"/>
  <c r="H137" i="21" l="1"/>
  <c r="C138" i="21" s="1"/>
  <c r="D138" i="21" s="1"/>
  <c r="E138" i="21" s="1"/>
  <c r="I137" i="21"/>
  <c r="F137" i="21"/>
  <c r="F180" i="22"/>
  <c r="A181" i="22"/>
  <c r="A196" i="21"/>
  <c r="G195" i="21"/>
  <c r="H138" i="21" l="1"/>
  <c r="C139" i="21" s="1"/>
  <c r="D139" i="21" s="1"/>
  <c r="E139" i="21" s="1"/>
  <c r="I138" i="21"/>
  <c r="F138" i="21"/>
  <c r="A182" i="22"/>
  <c r="F181" i="22"/>
  <c r="A197" i="21"/>
  <c r="G196" i="21"/>
  <c r="H139" i="21" l="1"/>
  <c r="C140" i="21" s="1"/>
  <c r="D140" i="21" s="1"/>
  <c r="E140" i="21" s="1"/>
  <c r="I139" i="21"/>
  <c r="F139" i="21"/>
  <c r="A183" i="22"/>
  <c r="F182" i="22"/>
  <c r="A198" i="21"/>
  <c r="G197" i="21"/>
  <c r="H140" i="21" l="1"/>
  <c r="C141" i="21" s="1"/>
  <c r="D141" i="21" s="1"/>
  <c r="E141" i="21" s="1"/>
  <c r="I140" i="21"/>
  <c r="F140" i="21"/>
  <c r="G198" i="21"/>
  <c r="A199" i="21"/>
  <c r="F183" i="22"/>
  <c r="A184" i="22"/>
  <c r="H141" i="21" l="1"/>
  <c r="C142" i="21" s="1"/>
  <c r="D142" i="21" s="1"/>
  <c r="E142" i="21" s="1"/>
  <c r="I141" i="21"/>
  <c r="F141" i="21"/>
  <c r="G199" i="21"/>
  <c r="A200" i="21"/>
  <c r="F184" i="22"/>
  <c r="A185" i="22"/>
  <c r="H142" i="21" l="1"/>
  <c r="C143" i="21" s="1"/>
  <c r="D143" i="21" s="1"/>
  <c r="I142" i="21"/>
  <c r="F142" i="21"/>
  <c r="A186" i="22"/>
  <c r="F185" i="22"/>
  <c r="A201" i="21"/>
  <c r="G200" i="21"/>
  <c r="F143" i="21" l="1"/>
  <c r="E143" i="21"/>
  <c r="A202" i="21"/>
  <c r="G201" i="21"/>
  <c r="A187" i="22"/>
  <c r="F186" i="22"/>
  <c r="H143" i="21" l="1"/>
  <c r="C144" i="21" s="1"/>
  <c r="D144" i="21" s="1"/>
  <c r="E144" i="21" s="1"/>
  <c r="I143" i="21"/>
  <c r="F187" i="22"/>
  <c r="A188" i="22"/>
  <c r="G202" i="21"/>
  <c r="A203" i="21"/>
  <c r="H144" i="21" l="1"/>
  <c r="C145" i="21" s="1"/>
  <c r="D145" i="21" s="1"/>
  <c r="E145" i="21" s="1"/>
  <c r="I144" i="21"/>
  <c r="F144" i="21"/>
  <c r="A189" i="22"/>
  <c r="F188" i="22"/>
  <c r="A204" i="21"/>
  <c r="G203" i="21"/>
  <c r="H145" i="21" l="1"/>
  <c r="C146" i="21" s="1"/>
  <c r="D146" i="21" s="1"/>
  <c r="E146" i="21" s="1"/>
  <c r="I145" i="21"/>
  <c r="F145" i="21"/>
  <c r="A205" i="21"/>
  <c r="G204" i="21"/>
  <c r="A190" i="22"/>
  <c r="F189" i="22"/>
  <c r="H146" i="21" l="1"/>
  <c r="C147" i="21" s="1"/>
  <c r="D147" i="21" s="1"/>
  <c r="I146" i="21"/>
  <c r="F146" i="21"/>
  <c r="A206" i="21"/>
  <c r="G205" i="21"/>
  <c r="F190" i="22"/>
  <c r="A191" i="22"/>
  <c r="F147" i="21" l="1"/>
  <c r="E147" i="21"/>
  <c r="I147" i="21" s="1"/>
  <c r="F191" i="22"/>
  <c r="A192" i="22"/>
  <c r="A207" i="21"/>
  <c r="G206" i="21"/>
  <c r="H147" i="21" l="1"/>
  <c r="C148" i="21" s="1"/>
  <c r="D148" i="21" s="1"/>
  <c r="A193" i="22"/>
  <c r="F192" i="22"/>
  <c r="A208" i="21"/>
  <c r="G207" i="21"/>
  <c r="F148" i="21" l="1"/>
  <c r="E148" i="21"/>
  <c r="A209" i="21"/>
  <c r="G208" i="21"/>
  <c r="F193" i="22"/>
  <c r="A194" i="22"/>
  <c r="H148" i="21" l="1"/>
  <c r="C149" i="21" s="1"/>
  <c r="D149" i="21" s="1"/>
  <c r="E149" i="21" s="1"/>
  <c r="I148" i="21"/>
  <c r="A210" i="21"/>
  <c r="G209" i="21"/>
  <c r="F194" i="22"/>
  <c r="A195" i="22"/>
  <c r="H149" i="21" l="1"/>
  <c r="C150" i="21" s="1"/>
  <c r="D150" i="21" s="1"/>
  <c r="E150" i="21" s="1"/>
  <c r="I149" i="21"/>
  <c r="F149" i="21"/>
  <c r="F195" i="22"/>
  <c r="A196" i="22"/>
  <c r="A211" i="21"/>
  <c r="G210" i="21"/>
  <c r="H150" i="21" l="1"/>
  <c r="C151" i="21" s="1"/>
  <c r="D151" i="21" s="1"/>
  <c r="E151" i="21" s="1"/>
  <c r="I150" i="21"/>
  <c r="F150" i="21"/>
  <c r="G211" i="21"/>
  <c r="A212" i="21"/>
  <c r="A197" i="22"/>
  <c r="H151" i="21" l="1"/>
  <c r="C152" i="21" s="1"/>
  <c r="D152" i="21" s="1"/>
  <c r="E152" i="21" s="1"/>
  <c r="I151" i="21"/>
  <c r="F151" i="21"/>
  <c r="G212" i="21"/>
  <c r="A213" i="21"/>
  <c r="A198" i="22"/>
  <c r="F197" i="22"/>
  <c r="H152" i="21" l="1"/>
  <c r="C153" i="21" s="1"/>
  <c r="D153" i="21" s="1"/>
  <c r="I152" i="21"/>
  <c r="F152" i="21"/>
  <c r="A199" i="22"/>
  <c r="F198" i="22"/>
  <c r="A214" i="21"/>
  <c r="G213" i="21"/>
  <c r="F153" i="21" l="1"/>
  <c r="E153" i="21"/>
  <c r="A200" i="22"/>
  <c r="A215" i="21"/>
  <c r="G214" i="21"/>
  <c r="H153" i="21" l="1"/>
  <c r="C154" i="21" s="1"/>
  <c r="D154" i="21" s="1"/>
  <c r="E154" i="21" s="1"/>
  <c r="I153" i="21"/>
  <c r="F200" i="22"/>
  <c r="A201" i="22"/>
  <c r="G215" i="21"/>
  <c r="A216" i="21"/>
  <c r="H154" i="21" l="1"/>
  <c r="C155" i="21" s="1"/>
  <c r="D155" i="21" s="1"/>
  <c r="I154" i="21"/>
  <c r="F154" i="21"/>
  <c r="F201" i="22"/>
  <c r="A202" i="22"/>
  <c r="A217" i="21"/>
  <c r="G216" i="21"/>
  <c r="F155" i="21" l="1"/>
  <c r="E155" i="21"/>
  <c r="I155" i="21" s="1"/>
  <c r="A203" i="22"/>
  <c r="F202" i="22"/>
  <c r="A218" i="21"/>
  <c r="G217" i="21"/>
  <c r="H155" i="21" l="1"/>
  <c r="C156" i="21" s="1"/>
  <c r="D156" i="21" s="1"/>
  <c r="E156" i="21" s="1"/>
  <c r="G218" i="21"/>
  <c r="A219" i="21"/>
  <c r="A204" i="22"/>
  <c r="F203" i="22"/>
  <c r="H156" i="21" l="1"/>
  <c r="C157" i="21" s="1"/>
  <c r="D157" i="21" s="1"/>
  <c r="E157" i="21" s="1"/>
  <c r="I156" i="21"/>
  <c r="F156" i="21"/>
  <c r="A205" i="22"/>
  <c r="F204" i="22"/>
  <c r="A220" i="21"/>
  <c r="G219" i="21"/>
  <c r="H157" i="21" l="1"/>
  <c r="C158" i="21" s="1"/>
  <c r="D158" i="21" s="1"/>
  <c r="E158" i="21" s="1"/>
  <c r="I157" i="21"/>
  <c r="F157" i="21"/>
  <c r="A221" i="21"/>
  <c r="G220" i="21"/>
  <c r="A206" i="22"/>
  <c r="F205" i="22"/>
  <c r="H158" i="21" l="1"/>
  <c r="C159" i="21" s="1"/>
  <c r="D159" i="21" s="1"/>
  <c r="I158" i="21"/>
  <c r="F158" i="21"/>
  <c r="F206" i="22"/>
  <c r="A207" i="22"/>
  <c r="G221" i="21"/>
  <c r="A222" i="21"/>
  <c r="F159" i="21" l="1"/>
  <c r="E159" i="21"/>
  <c r="A223" i="21"/>
  <c r="G222" i="21"/>
  <c r="F207" i="22"/>
  <c r="A208" i="22"/>
  <c r="H159" i="21" l="1"/>
  <c r="C160" i="21" s="1"/>
  <c r="D160" i="21" s="1"/>
  <c r="I159" i="21"/>
  <c r="F208" i="22"/>
  <c r="A209" i="22"/>
  <c r="G223" i="21"/>
  <c r="A224" i="21"/>
  <c r="F160" i="21" l="1"/>
  <c r="E160" i="21"/>
  <c r="G224" i="21"/>
  <c r="A225" i="21"/>
  <c r="A210" i="22"/>
  <c r="F209" i="22"/>
  <c r="H160" i="21" l="1"/>
  <c r="C161" i="21" s="1"/>
  <c r="D161" i="21" s="1"/>
  <c r="I160" i="21"/>
  <c r="A226" i="21"/>
  <c r="G225" i="21"/>
  <c r="A211" i="22"/>
  <c r="F210" i="22"/>
  <c r="F161" i="21" l="1"/>
  <c r="E161" i="21"/>
  <c r="A212" i="22"/>
  <c r="F211" i="22"/>
  <c r="A227" i="21"/>
  <c r="G226" i="21"/>
  <c r="H161" i="21" l="1"/>
  <c r="C162" i="21" s="1"/>
  <c r="D162" i="21" s="1"/>
  <c r="E162" i="21" s="1"/>
  <c r="I161" i="21"/>
  <c r="A228" i="21"/>
  <c r="G227" i="21"/>
  <c r="F212" i="22"/>
  <c r="A213" i="22"/>
  <c r="H162" i="21" l="1"/>
  <c r="C163" i="21" s="1"/>
  <c r="D163" i="21" s="1"/>
  <c r="I162" i="21"/>
  <c r="F162" i="21"/>
  <c r="F213" i="22"/>
  <c r="A214" i="22"/>
  <c r="A229" i="21"/>
  <c r="G228" i="21"/>
  <c r="F163" i="21" l="1"/>
  <c r="E163" i="21"/>
  <c r="F214" i="22"/>
  <c r="A215" i="22"/>
  <c r="A230" i="21"/>
  <c r="G229" i="21"/>
  <c r="H163" i="21" l="1"/>
  <c r="C164" i="21" s="1"/>
  <c r="D164" i="21" s="1"/>
  <c r="E164" i="21" s="1"/>
  <c r="I163" i="21"/>
  <c r="G230" i="21"/>
  <c r="A231" i="21"/>
  <c r="A216" i="22"/>
  <c r="F215" i="22"/>
  <c r="H164" i="21" l="1"/>
  <c r="C165" i="21" s="1"/>
  <c r="D165" i="21" s="1"/>
  <c r="E165" i="21" s="1"/>
  <c r="I164" i="21"/>
  <c r="F164" i="21"/>
  <c r="F216" i="22"/>
  <c r="A217" i="22"/>
  <c r="G231" i="21"/>
  <c r="A232" i="21"/>
  <c r="H165" i="21" l="1"/>
  <c r="C166" i="21" s="1"/>
  <c r="D166" i="21" s="1"/>
  <c r="E166" i="21" s="1"/>
  <c r="I165" i="21"/>
  <c r="F165" i="21"/>
  <c r="F217" i="22"/>
  <c r="A218" i="22"/>
  <c r="G232" i="21"/>
  <c r="A233" i="21"/>
  <c r="H166" i="21" l="1"/>
  <c r="C167" i="21" s="1"/>
  <c r="D167" i="21" s="1"/>
  <c r="E167" i="21" s="1"/>
  <c r="I166" i="21"/>
  <c r="F166" i="21"/>
  <c r="A219" i="22"/>
  <c r="F218" i="22"/>
  <c r="G233" i="21"/>
  <c r="A234" i="21"/>
  <c r="H167" i="21" l="1"/>
  <c r="C168" i="21" s="1"/>
  <c r="D168" i="21" s="1"/>
  <c r="E168" i="21" s="1"/>
  <c r="I167" i="21"/>
  <c r="F167" i="21"/>
  <c r="F219" i="22"/>
  <c r="A220" i="22"/>
  <c r="G234" i="21"/>
  <c r="A235" i="21"/>
  <c r="H168" i="21" l="1"/>
  <c r="C169" i="21" s="1"/>
  <c r="D169" i="21" s="1"/>
  <c r="I168" i="21"/>
  <c r="F168" i="21"/>
  <c r="G235" i="21"/>
  <c r="A236" i="21"/>
  <c r="A221" i="22"/>
  <c r="F220" i="22"/>
  <c r="F169" i="21" l="1"/>
  <c r="E169" i="21"/>
  <c r="I169" i="21" s="1"/>
  <c r="A222" i="22"/>
  <c r="F221" i="22"/>
  <c r="G236" i="21"/>
  <c r="A237" i="21"/>
  <c r="H169" i="21" l="1"/>
  <c r="C170" i="21" s="1"/>
  <c r="D170" i="21" s="1"/>
  <c r="E170" i="21" s="1"/>
  <c r="A238" i="21"/>
  <c r="G237" i="21"/>
  <c r="A223" i="22"/>
  <c r="F222" i="22"/>
  <c r="H170" i="21" l="1"/>
  <c r="C171" i="21" s="1"/>
  <c r="D171" i="21" s="1"/>
  <c r="E171" i="21" s="1"/>
  <c r="I170" i="21"/>
  <c r="F170" i="21"/>
  <c r="A224" i="22"/>
  <c r="F223" i="22"/>
  <c r="A239" i="21"/>
  <c r="G238" i="21"/>
  <c r="H171" i="21" l="1"/>
  <c r="C172" i="21" s="1"/>
  <c r="D172" i="21" s="1"/>
  <c r="E172" i="21" s="1"/>
  <c r="I171" i="21"/>
  <c r="F171" i="21"/>
  <c r="A225" i="22"/>
  <c r="F224" i="22"/>
  <c r="G239" i="21"/>
  <c r="A240" i="21"/>
  <c r="H172" i="21" l="1"/>
  <c r="C173" i="21" s="1"/>
  <c r="D173" i="21" s="1"/>
  <c r="E173" i="21" s="1"/>
  <c r="I172" i="21"/>
  <c r="F172" i="21"/>
  <c r="A241" i="21"/>
  <c r="G240" i="21"/>
  <c r="A226" i="22"/>
  <c r="F225" i="22"/>
  <c r="H173" i="21" l="1"/>
  <c r="C174" i="21" s="1"/>
  <c r="D174" i="21" s="1"/>
  <c r="I173" i="21"/>
  <c r="F173" i="21"/>
  <c r="A227" i="22"/>
  <c r="F226" i="22"/>
  <c r="G241" i="21"/>
  <c r="A242" i="21"/>
  <c r="F174" i="21" l="1"/>
  <c r="E174" i="21"/>
  <c r="A228" i="22"/>
  <c r="F227" i="22"/>
  <c r="A243" i="21"/>
  <c r="G242" i="21"/>
  <c r="H174" i="21" l="1"/>
  <c r="C175" i="21" s="1"/>
  <c r="D175" i="21" s="1"/>
  <c r="E175" i="21" s="1"/>
  <c r="I174" i="21"/>
  <c r="G243" i="21"/>
  <c r="A244" i="21"/>
  <c r="F228" i="22"/>
  <c r="A229" i="22"/>
  <c r="H175" i="21" l="1"/>
  <c r="C176" i="21" s="1"/>
  <c r="D176" i="21" s="1"/>
  <c r="E176" i="21" s="1"/>
  <c r="I175" i="21"/>
  <c r="F175" i="21"/>
  <c r="F229" i="22"/>
  <c r="A230" i="22"/>
  <c r="G244" i="21"/>
  <c r="A245" i="21"/>
  <c r="H176" i="21" l="1"/>
  <c r="C177" i="21" s="1"/>
  <c r="D177" i="21" s="1"/>
  <c r="E177" i="21" s="1"/>
  <c r="I176" i="21"/>
  <c r="F176" i="21"/>
  <c r="A246" i="21"/>
  <c r="G245" i="21"/>
  <c r="A231" i="22"/>
  <c r="F230" i="22"/>
  <c r="H177" i="21" l="1"/>
  <c r="C178" i="21" s="1"/>
  <c r="D178" i="21" s="1"/>
  <c r="E178" i="21" s="1"/>
  <c r="I177" i="21"/>
  <c r="F177" i="21"/>
  <c r="F231" i="22"/>
  <c r="A232" i="22"/>
  <c r="G246" i="21"/>
  <c r="A247" i="21"/>
  <c r="H178" i="21" l="1"/>
  <c r="C179" i="21" s="1"/>
  <c r="D179" i="21" s="1"/>
  <c r="E179" i="21" s="1"/>
  <c r="I178" i="21"/>
  <c r="F178" i="21"/>
  <c r="A233" i="22"/>
  <c r="F232" i="22"/>
  <c r="G247" i="21"/>
  <c r="A248" i="21"/>
  <c r="H179" i="21" l="1"/>
  <c r="C180" i="21" s="1"/>
  <c r="D180" i="21" s="1"/>
  <c r="I179" i="21"/>
  <c r="F179" i="21"/>
  <c r="G248" i="21"/>
  <c r="A249" i="21"/>
  <c r="A234" i="22"/>
  <c r="F233" i="22"/>
  <c r="F180" i="21" l="1"/>
  <c r="E180" i="21"/>
  <c r="A235" i="22"/>
  <c r="F234" i="22"/>
  <c r="G249" i="21"/>
  <c r="A250" i="21"/>
  <c r="H180" i="21" l="1"/>
  <c r="C181" i="21" s="1"/>
  <c r="D181" i="21" s="1"/>
  <c r="I180" i="21"/>
  <c r="A251" i="21"/>
  <c r="G250" i="21"/>
  <c r="F235" i="22"/>
  <c r="A236" i="22"/>
  <c r="F181" i="21" l="1"/>
  <c r="E181" i="21"/>
  <c r="I181" i="21" s="1"/>
  <c r="A237" i="22"/>
  <c r="F236" i="22"/>
  <c r="A252" i="21"/>
  <c r="G251" i="21"/>
  <c r="H181" i="21" l="1"/>
  <c r="C182" i="21" s="1"/>
  <c r="D182" i="21" s="1"/>
  <c r="E182" i="21" s="1"/>
  <c r="A253" i="21"/>
  <c r="G252" i="21"/>
  <c r="A238" i="22"/>
  <c r="F237" i="22"/>
  <c r="H182" i="21" l="1"/>
  <c r="C183" i="21" s="1"/>
  <c r="D183" i="21" s="1"/>
  <c r="E183" i="21" s="1"/>
  <c r="I182" i="21"/>
  <c r="F182" i="21"/>
  <c r="F238" i="22"/>
  <c r="A239" i="22"/>
  <c r="G253" i="21"/>
  <c r="A254" i="21"/>
  <c r="H183" i="21" l="1"/>
  <c r="C184" i="21" s="1"/>
  <c r="D184" i="21" s="1"/>
  <c r="E184" i="21" s="1"/>
  <c r="I183" i="21"/>
  <c r="F183" i="21"/>
  <c r="G254" i="21"/>
  <c r="A255" i="21"/>
  <c r="A240" i="22"/>
  <c r="F239" i="22"/>
  <c r="H184" i="21" l="1"/>
  <c r="C185" i="21" s="1"/>
  <c r="D185" i="21" s="1"/>
  <c r="I184" i="21"/>
  <c r="F184" i="21"/>
  <c r="F240" i="22"/>
  <c r="A241" i="22"/>
  <c r="G255" i="21"/>
  <c r="A256" i="21"/>
  <c r="F185" i="21" l="1"/>
  <c r="E185" i="21"/>
  <c r="A242" i="22"/>
  <c r="F241" i="22"/>
  <c r="G256" i="21"/>
  <c r="A257" i="21"/>
  <c r="H185" i="21" l="1"/>
  <c r="C186" i="21" s="1"/>
  <c r="D186" i="21" s="1"/>
  <c r="E186" i="21" s="1"/>
  <c r="I185" i="21"/>
  <c r="G257" i="21"/>
  <c r="A258" i="21"/>
  <c r="A243" i="22"/>
  <c r="F242" i="22"/>
  <c r="H186" i="21" l="1"/>
  <c r="C187" i="21" s="1"/>
  <c r="D187" i="21" s="1"/>
  <c r="I186" i="21"/>
  <c r="F186" i="21"/>
  <c r="A259" i="21"/>
  <c r="G258" i="21"/>
  <c r="F243" i="22"/>
  <c r="A244" i="22"/>
  <c r="F187" i="21" l="1"/>
  <c r="E187" i="21"/>
  <c r="F244" i="22"/>
  <c r="A245" i="22"/>
  <c r="G259" i="21"/>
  <c r="A260" i="21"/>
  <c r="H187" i="21" l="1"/>
  <c r="C188" i="21" s="1"/>
  <c r="D188" i="21" s="1"/>
  <c r="E188" i="21" s="1"/>
  <c r="I187" i="21"/>
  <c r="A261" i="21"/>
  <c r="G260" i="21"/>
  <c r="F245" i="22"/>
  <c r="A246" i="22"/>
  <c r="H188" i="21" l="1"/>
  <c r="C189" i="21" s="1"/>
  <c r="D189" i="21" s="1"/>
  <c r="I188" i="21"/>
  <c r="F188" i="21"/>
  <c r="F246" i="22"/>
  <c r="A247" i="22"/>
  <c r="A262" i="21"/>
  <c r="G261" i="21"/>
  <c r="F189" i="21" l="1"/>
  <c r="E189" i="21"/>
  <c r="I189" i="21" s="1"/>
  <c r="A263" i="21"/>
  <c r="G262" i="21"/>
  <c r="F247" i="22"/>
  <c r="A248" i="22"/>
  <c r="H189" i="21" l="1"/>
  <c r="C190" i="21" s="1"/>
  <c r="D190" i="21" s="1"/>
  <c r="F248" i="22"/>
  <c r="A249" i="22"/>
  <c r="A264" i="21"/>
  <c r="G263" i="21"/>
  <c r="F190" i="21" l="1"/>
  <c r="E190" i="21"/>
  <c r="I190" i="21" s="1"/>
  <c r="A265" i="21"/>
  <c r="G264" i="21"/>
  <c r="F249" i="22"/>
  <c r="A250" i="22"/>
  <c r="H190" i="21" l="1"/>
  <c r="C191" i="21" s="1"/>
  <c r="D191" i="21" s="1"/>
  <c r="E191" i="21" s="1"/>
  <c r="A251" i="22"/>
  <c r="F250" i="22"/>
  <c r="G265" i="21"/>
  <c r="A266" i="21"/>
  <c r="H191" i="21" l="1"/>
  <c r="C192" i="21" s="1"/>
  <c r="D192" i="21" s="1"/>
  <c r="E192" i="21" s="1"/>
  <c r="I191" i="21"/>
  <c r="F191" i="21"/>
  <c r="F251" i="22"/>
  <c r="A252" i="22"/>
  <c r="A267" i="21"/>
  <c r="G266" i="21"/>
  <c r="H192" i="21" l="1"/>
  <c r="C193" i="21" s="1"/>
  <c r="D193" i="21" s="1"/>
  <c r="E193" i="21" s="1"/>
  <c r="I192" i="21"/>
  <c r="F192" i="21"/>
  <c r="F252" i="22"/>
  <c r="A253" i="22"/>
  <c r="G267" i="21"/>
  <c r="A268" i="21"/>
  <c r="H193" i="21" l="1"/>
  <c r="C194" i="21" s="1"/>
  <c r="D194" i="21" s="1"/>
  <c r="E194" i="21" s="1"/>
  <c r="I193" i="21"/>
  <c r="F193" i="21"/>
  <c r="A254" i="22"/>
  <c r="F253" i="22"/>
  <c r="A269" i="21"/>
  <c r="G268" i="21"/>
  <c r="H194" i="21" l="1"/>
  <c r="C195" i="21" s="1"/>
  <c r="D195" i="21" s="1"/>
  <c r="I194" i="21"/>
  <c r="F194" i="21"/>
  <c r="G269" i="21"/>
  <c r="A270" i="21"/>
  <c r="A255" i="22"/>
  <c r="F254" i="22"/>
  <c r="F195" i="21" l="1"/>
  <c r="E195" i="21"/>
  <c r="I195" i="21" s="1"/>
  <c r="G270" i="21"/>
  <c r="A271" i="21"/>
  <c r="A256" i="22"/>
  <c r="F255" i="22"/>
  <c r="H195" i="21" l="1"/>
  <c r="C196" i="21" s="1"/>
  <c r="D196" i="21" s="1"/>
  <c r="A257" i="22"/>
  <c r="F256" i="22"/>
  <c r="A272" i="21"/>
  <c r="G271" i="21"/>
  <c r="F196" i="21" l="1"/>
  <c r="E196" i="21"/>
  <c r="I196" i="21" s="1"/>
  <c r="A258" i="22"/>
  <c r="F257" i="22"/>
  <c r="A273" i="21"/>
  <c r="G272" i="21"/>
  <c r="H196" i="21" l="1"/>
  <c r="C197" i="21" s="1"/>
  <c r="D197" i="21" s="1"/>
  <c r="G273" i="21"/>
  <c r="A274" i="21"/>
  <c r="F258" i="22"/>
  <c r="A259" i="22"/>
  <c r="F197" i="21" l="1"/>
  <c r="E197" i="21"/>
  <c r="G274" i="21"/>
  <c r="A275" i="21"/>
  <c r="F259" i="22"/>
  <c r="A260" i="22"/>
  <c r="H197" i="21" l="1"/>
  <c r="C198" i="21" s="1"/>
  <c r="D198" i="21" s="1"/>
  <c r="I197" i="21"/>
  <c r="F260" i="22"/>
  <c r="A261" i="22"/>
  <c r="G275" i="21"/>
  <c r="A276" i="21"/>
  <c r="F198" i="21" l="1"/>
  <c r="E198" i="21"/>
  <c r="A277" i="21"/>
  <c r="G276" i="21"/>
  <c r="F261" i="22"/>
  <c r="A262" i="22"/>
  <c r="H198" i="21" l="1"/>
  <c r="C199" i="21" s="1"/>
  <c r="D199" i="21" s="1"/>
  <c r="E199" i="21" s="1"/>
  <c r="I198" i="21"/>
  <c r="A263" i="22"/>
  <c r="F262" i="22"/>
  <c r="A278" i="21"/>
  <c r="G277" i="21"/>
  <c r="H199" i="21" l="1"/>
  <c r="C200" i="21" s="1"/>
  <c r="D200" i="21" s="1"/>
  <c r="I199" i="21"/>
  <c r="F199" i="21"/>
  <c r="A264" i="22"/>
  <c r="F263" i="22"/>
  <c r="G278" i="21"/>
  <c r="A279" i="21"/>
  <c r="F200" i="21" l="1"/>
  <c r="E200" i="21"/>
  <c r="G279" i="21"/>
  <c r="A280" i="21"/>
  <c r="A265" i="22"/>
  <c r="F264" i="22"/>
  <c r="H200" i="21" l="1"/>
  <c r="C201" i="21" s="1"/>
  <c r="D201" i="21" s="1"/>
  <c r="I200" i="21"/>
  <c r="F265" i="22"/>
  <c r="A266" i="22"/>
  <c r="G280" i="21"/>
  <c r="A281" i="21"/>
  <c r="F201" i="21" l="1"/>
  <c r="E201" i="21"/>
  <c r="I201" i="21" s="1"/>
  <c r="G281" i="21"/>
  <c r="A282" i="21"/>
  <c r="F266" i="22"/>
  <c r="A267" i="22"/>
  <c r="H201" i="21" l="1"/>
  <c r="C202" i="21" s="1"/>
  <c r="D202" i="21" s="1"/>
  <c r="A268" i="22"/>
  <c r="F267" i="22"/>
  <c r="A283" i="21"/>
  <c r="G282" i="21"/>
  <c r="F202" i="21" l="1"/>
  <c r="E202" i="21"/>
  <c r="G283" i="21"/>
  <c r="A284" i="21"/>
  <c r="F268" i="22"/>
  <c r="A269" i="22"/>
  <c r="H202" i="21" l="1"/>
  <c r="C203" i="21" s="1"/>
  <c r="D203" i="21" s="1"/>
  <c r="I202" i="21"/>
  <c r="G284" i="21"/>
  <c r="A285" i="21"/>
  <c r="F269" i="22"/>
  <c r="A270" i="22"/>
  <c r="F203" i="21" l="1"/>
  <c r="E203" i="21"/>
  <c r="G285" i="21"/>
  <c r="A286" i="21"/>
  <c r="F270" i="22"/>
  <c r="A271" i="22"/>
  <c r="H203" i="21" l="1"/>
  <c r="C204" i="21" s="1"/>
  <c r="D204" i="21" s="1"/>
  <c r="E204" i="21" s="1"/>
  <c r="I203" i="21"/>
  <c r="G286" i="21"/>
  <c r="A287" i="21"/>
  <c r="F271" i="22"/>
  <c r="A272" i="22"/>
  <c r="H204" i="21" l="1"/>
  <c r="C205" i="21" s="1"/>
  <c r="D205" i="21" s="1"/>
  <c r="E205" i="21" s="1"/>
  <c r="I204" i="21"/>
  <c r="F204" i="21"/>
  <c r="G287" i="21"/>
  <c r="A288" i="21"/>
  <c r="A273" i="22"/>
  <c r="F272" i="22"/>
  <c r="H205" i="21" l="1"/>
  <c r="C206" i="21" s="1"/>
  <c r="D206" i="21" s="1"/>
  <c r="I205" i="21"/>
  <c r="F205" i="21"/>
  <c r="A274" i="22"/>
  <c r="F273" i="22"/>
  <c r="G288" i="21"/>
  <c r="A289" i="21"/>
  <c r="F206" i="21" l="1"/>
  <c r="E206" i="21"/>
  <c r="G289" i="21"/>
  <c r="A290" i="21"/>
  <c r="F274" i="22"/>
  <c r="A275" i="22"/>
  <c r="H206" i="21" l="1"/>
  <c r="C207" i="21" s="1"/>
  <c r="D207" i="21" s="1"/>
  <c r="I206" i="21"/>
  <c r="G290" i="21"/>
  <c r="A291" i="21"/>
  <c r="F275" i="22"/>
  <c r="A276" i="22"/>
  <c r="F207" i="21" l="1"/>
  <c r="E207" i="21"/>
  <c r="A277" i="22"/>
  <c r="F276" i="22"/>
  <c r="A292" i="21"/>
  <c r="G291" i="21"/>
  <c r="H207" i="21" l="1"/>
  <c r="C208" i="21" s="1"/>
  <c r="D208" i="21" s="1"/>
  <c r="I207" i="21"/>
  <c r="G292" i="21"/>
  <c r="A293" i="21"/>
  <c r="F277" i="22"/>
  <c r="A278" i="22"/>
  <c r="F208" i="21" l="1"/>
  <c r="E208" i="21"/>
  <c r="I208" i="21" s="1"/>
  <c r="G293" i="21"/>
  <c r="A294" i="21"/>
  <c r="A279" i="22"/>
  <c r="F278" i="22"/>
  <c r="H208" i="21" l="1"/>
  <c r="C209" i="21" s="1"/>
  <c r="D209" i="21" s="1"/>
  <c r="E209" i="21" s="1"/>
  <c r="G294" i="21"/>
  <c r="A295" i="21"/>
  <c r="A280" i="22"/>
  <c r="F279" i="22"/>
  <c r="H209" i="21" l="1"/>
  <c r="C210" i="21" s="1"/>
  <c r="D210" i="21" s="1"/>
  <c r="I209" i="21"/>
  <c r="F209" i="21"/>
  <c r="G295" i="21"/>
  <c r="A296" i="21"/>
  <c r="A281" i="22"/>
  <c r="F280" i="22"/>
  <c r="F210" i="21" l="1"/>
  <c r="E210" i="21"/>
  <c r="A297" i="21"/>
  <c r="G296" i="21"/>
  <c r="F281" i="22"/>
  <c r="A282" i="22"/>
  <c r="H210" i="21" l="1"/>
  <c r="C211" i="21" s="1"/>
  <c r="D211" i="21" s="1"/>
  <c r="E211" i="21" s="1"/>
  <c r="I210" i="21"/>
  <c r="A283" i="22"/>
  <c r="F282" i="22"/>
  <c r="A298" i="21"/>
  <c r="G297" i="21"/>
  <c r="H211" i="21" l="1"/>
  <c r="C212" i="21" s="1"/>
  <c r="D212" i="21" s="1"/>
  <c r="I211" i="21"/>
  <c r="F211" i="21"/>
  <c r="G298" i="21"/>
  <c r="A299" i="21"/>
  <c r="F283" i="22"/>
  <c r="A284" i="22"/>
  <c r="F212" i="21" l="1"/>
  <c r="E212" i="21"/>
  <c r="F284" i="22"/>
  <c r="A285" i="22"/>
  <c r="G299" i="21"/>
  <c r="A300" i="21"/>
  <c r="H212" i="21" l="1"/>
  <c r="C213" i="21" s="1"/>
  <c r="D213" i="21" s="1"/>
  <c r="E213" i="21" s="1"/>
  <c r="I212" i="21"/>
  <c r="G300" i="21"/>
  <c r="A301" i="21"/>
  <c r="A286" i="22"/>
  <c r="F285" i="22"/>
  <c r="H213" i="21" l="1"/>
  <c r="C214" i="21" s="1"/>
  <c r="D214" i="21" s="1"/>
  <c r="E214" i="21" s="1"/>
  <c r="I213" i="21"/>
  <c r="F213" i="21"/>
  <c r="G301" i="21"/>
  <c r="A302" i="21"/>
  <c r="A287" i="22"/>
  <c r="F286" i="22"/>
  <c r="H214" i="21" l="1"/>
  <c r="C215" i="21" s="1"/>
  <c r="D215" i="21" s="1"/>
  <c r="E215" i="21" s="1"/>
  <c r="I214" i="21"/>
  <c r="F214" i="21"/>
  <c r="A288" i="22"/>
  <c r="F287" i="22"/>
  <c r="A303" i="21"/>
  <c r="G302" i="21"/>
  <c r="H215" i="21" l="1"/>
  <c r="C216" i="21" s="1"/>
  <c r="D216" i="21" s="1"/>
  <c r="I215" i="21"/>
  <c r="F215" i="21"/>
  <c r="G303" i="21"/>
  <c r="A304" i="21"/>
  <c r="A289" i="22"/>
  <c r="F288" i="22"/>
  <c r="F216" i="21" l="1"/>
  <c r="E216" i="21"/>
  <c r="G304" i="21"/>
  <c r="A305" i="21"/>
  <c r="F289" i="22"/>
  <c r="A290" i="22"/>
  <c r="H216" i="21" l="1"/>
  <c r="C217" i="21" s="1"/>
  <c r="D217" i="21" s="1"/>
  <c r="I216" i="21"/>
  <c r="G305" i="21"/>
  <c r="A306" i="21"/>
  <c r="F290" i="22"/>
  <c r="A291" i="22"/>
  <c r="F217" i="21" l="1"/>
  <c r="E217" i="21"/>
  <c r="G306" i="21"/>
  <c r="A307" i="21"/>
  <c r="F291" i="22"/>
  <c r="A292" i="22"/>
  <c r="H217" i="21" l="1"/>
  <c r="C218" i="21" s="1"/>
  <c r="D218" i="21" s="1"/>
  <c r="E218" i="21" s="1"/>
  <c r="I217" i="21"/>
  <c r="A293" i="22"/>
  <c r="F292" i="22"/>
  <c r="G307" i="21"/>
  <c r="A308" i="21"/>
  <c r="H218" i="21" l="1"/>
  <c r="C219" i="21" s="1"/>
  <c r="D219" i="21" s="1"/>
  <c r="I218" i="21"/>
  <c r="F218" i="21"/>
  <c r="G308" i="21"/>
  <c r="A309" i="21"/>
  <c r="F293" i="22"/>
  <c r="A294" i="22"/>
  <c r="F219" i="21" l="1"/>
  <c r="E219" i="21"/>
  <c r="F294" i="22"/>
  <c r="A295" i="22"/>
  <c r="G309" i="21"/>
  <c r="A310" i="21"/>
  <c r="H219" i="21" l="1"/>
  <c r="C220" i="21" s="1"/>
  <c r="D220" i="21" s="1"/>
  <c r="I219" i="21"/>
  <c r="G310" i="21"/>
  <c r="A311" i="21"/>
  <c r="F295" i="22"/>
  <c r="A296" i="22"/>
  <c r="F220" i="21" l="1"/>
  <c r="E220" i="21"/>
  <c r="A312" i="21"/>
  <c r="G311" i="21"/>
  <c r="F296" i="22"/>
  <c r="A297" i="22"/>
  <c r="H220" i="21" l="1"/>
  <c r="C221" i="21" s="1"/>
  <c r="D221" i="21" s="1"/>
  <c r="E221" i="21" s="1"/>
  <c r="I220" i="21"/>
  <c r="F297" i="22"/>
  <c r="A298" i="22"/>
  <c r="G312" i="21"/>
  <c r="A313" i="21"/>
  <c r="H221" i="21" l="1"/>
  <c r="C222" i="21" s="1"/>
  <c r="D222" i="21" s="1"/>
  <c r="E222" i="21" s="1"/>
  <c r="I221" i="21"/>
  <c r="F221" i="21"/>
  <c r="A299" i="22"/>
  <c r="F298" i="22"/>
  <c r="A314" i="21"/>
  <c r="G313" i="21"/>
  <c r="H222" i="21" l="1"/>
  <c r="C223" i="21" s="1"/>
  <c r="D223" i="21" s="1"/>
  <c r="E223" i="21" s="1"/>
  <c r="I222" i="21"/>
  <c r="F222" i="21"/>
  <c r="F299" i="22"/>
  <c r="A300" i="22"/>
  <c r="A315" i="21"/>
  <c r="G314" i="21"/>
  <c r="H223" i="21" l="1"/>
  <c r="C224" i="21" s="1"/>
  <c r="D224" i="21" s="1"/>
  <c r="E224" i="21" s="1"/>
  <c r="I223" i="21"/>
  <c r="F223" i="21"/>
  <c r="A316" i="21"/>
  <c r="G315" i="21"/>
  <c r="A301" i="22"/>
  <c r="F300" i="22"/>
  <c r="H224" i="21" l="1"/>
  <c r="C225" i="21" s="1"/>
  <c r="D225" i="21" s="1"/>
  <c r="I224" i="21"/>
  <c r="F224" i="21"/>
  <c r="F301" i="22"/>
  <c r="A302" i="22"/>
  <c r="G316" i="21"/>
  <c r="A317" i="21"/>
  <c r="F225" i="21" l="1"/>
  <c r="E225" i="21"/>
  <c r="G317" i="21"/>
  <c r="A318" i="21"/>
  <c r="A303" i="22"/>
  <c r="F302" i="22"/>
  <c r="H225" i="21" l="1"/>
  <c r="C226" i="21" s="1"/>
  <c r="D226" i="21" s="1"/>
  <c r="E226" i="21" s="1"/>
  <c r="I225" i="21"/>
  <c r="G318" i="21"/>
  <c r="A319" i="21"/>
  <c r="A304" i="22"/>
  <c r="F303" i="22"/>
  <c r="H226" i="21" l="1"/>
  <c r="C227" i="21" s="1"/>
  <c r="D227" i="21" s="1"/>
  <c r="E227" i="21" s="1"/>
  <c r="I226" i="21"/>
  <c r="F226" i="21"/>
  <c r="F304" i="22"/>
  <c r="A305" i="22"/>
  <c r="A320" i="21"/>
  <c r="G319" i="21"/>
  <c r="H227" i="21" l="1"/>
  <c r="C228" i="21" s="1"/>
  <c r="D228" i="21" s="1"/>
  <c r="I227" i="21"/>
  <c r="F227" i="21"/>
  <c r="A321" i="21"/>
  <c r="G320" i="21"/>
  <c r="F305" i="22"/>
  <c r="A306" i="22"/>
  <c r="F228" i="21" l="1"/>
  <c r="E228" i="21"/>
  <c r="A307" i="22"/>
  <c r="F306" i="22"/>
  <c r="G321" i="21"/>
  <c r="A322" i="21"/>
  <c r="H228" i="21" l="1"/>
  <c r="C229" i="21" s="1"/>
  <c r="D229" i="21" s="1"/>
  <c r="I228" i="21"/>
  <c r="G322" i="21"/>
  <c r="A323" i="21"/>
  <c r="A308" i="22"/>
  <c r="F307" i="22"/>
  <c r="F229" i="21" l="1"/>
  <c r="E229" i="21"/>
  <c r="A324" i="21"/>
  <c r="G323" i="21"/>
  <c r="F308" i="22"/>
  <c r="A309" i="22"/>
  <c r="H229" i="21" l="1"/>
  <c r="C230" i="21" s="1"/>
  <c r="D230" i="21" s="1"/>
  <c r="I229" i="21"/>
  <c r="A310" i="22"/>
  <c r="F309" i="22"/>
  <c r="G324" i="21"/>
  <c r="A325" i="21"/>
  <c r="F230" i="21" l="1"/>
  <c r="E230" i="21"/>
  <c r="A326" i="21"/>
  <c r="G325" i="21"/>
  <c r="A311" i="22"/>
  <c r="F310" i="22"/>
  <c r="H230" i="21" l="1"/>
  <c r="C231" i="21" s="1"/>
  <c r="D231" i="21" s="1"/>
  <c r="I230" i="21"/>
  <c r="F311" i="22"/>
  <c r="A312" i="22"/>
  <c r="A327" i="21"/>
  <c r="G326" i="21"/>
  <c r="F231" i="21" l="1"/>
  <c r="E231" i="21"/>
  <c r="G327" i="21"/>
  <c r="A328" i="21"/>
  <c r="F312" i="22"/>
  <c r="A313" i="22"/>
  <c r="H231" i="21" l="1"/>
  <c r="C232" i="21" s="1"/>
  <c r="D232" i="21" s="1"/>
  <c r="I231" i="21"/>
  <c r="G328" i="21"/>
  <c r="A329" i="21"/>
  <c r="A314" i="22"/>
  <c r="F313" i="22"/>
  <c r="F232" i="21" l="1"/>
  <c r="E232" i="21"/>
  <c r="G329" i="21"/>
  <c r="A330" i="21"/>
  <c r="F314" i="22"/>
  <c r="A315" i="22"/>
  <c r="H232" i="21" l="1"/>
  <c r="C233" i="21" s="1"/>
  <c r="D233" i="21" s="1"/>
  <c r="I232" i="21"/>
  <c r="G330" i="21"/>
  <c r="A331" i="21"/>
  <c r="F315" i="22"/>
  <c r="A316" i="22"/>
  <c r="F233" i="21" l="1"/>
  <c r="E233" i="21"/>
  <c r="F316" i="22"/>
  <c r="A317" i="22"/>
  <c r="A332" i="21"/>
  <c r="G331" i="21"/>
  <c r="H233" i="21" l="1"/>
  <c r="C234" i="21" s="1"/>
  <c r="D234" i="21" s="1"/>
  <c r="I233" i="21"/>
  <c r="A333" i="21"/>
  <c r="G332" i="21"/>
  <c r="A318" i="22"/>
  <c r="F317" i="22"/>
  <c r="F234" i="21" l="1"/>
  <c r="E234" i="21"/>
  <c r="F318" i="22"/>
  <c r="A319" i="22"/>
  <c r="G333" i="21"/>
  <c r="A334" i="21"/>
  <c r="H234" i="21" l="1"/>
  <c r="C235" i="21" s="1"/>
  <c r="D235" i="21" s="1"/>
  <c r="I234" i="21"/>
  <c r="A335" i="21"/>
  <c r="G334" i="21"/>
  <c r="F319" i="22"/>
  <c r="A320" i="22"/>
  <c r="F235" i="21" l="1"/>
  <c r="E235" i="21"/>
  <c r="A336" i="21"/>
  <c r="G335" i="21"/>
  <c r="F320" i="22"/>
  <c r="A321" i="22"/>
  <c r="H235" i="21" l="1"/>
  <c r="C236" i="21" s="1"/>
  <c r="D236" i="21" s="1"/>
  <c r="E236" i="21" s="1"/>
  <c r="I235" i="21"/>
  <c r="A322" i="22"/>
  <c r="F321" i="22"/>
  <c r="G336" i="21"/>
  <c r="A337" i="21"/>
  <c r="H236" i="21" l="1"/>
  <c r="C237" i="21" s="1"/>
  <c r="D237" i="21" s="1"/>
  <c r="I236" i="21"/>
  <c r="F236" i="21"/>
  <c r="A323" i="22"/>
  <c r="F322" i="22"/>
  <c r="A338" i="21"/>
  <c r="G337" i="21"/>
  <c r="F237" i="21" l="1"/>
  <c r="E237" i="21"/>
  <c r="I237" i="21" s="1"/>
  <c r="G338" i="21"/>
  <c r="A339" i="21"/>
  <c r="A324" i="22"/>
  <c r="F323" i="22"/>
  <c r="H237" i="21" l="1"/>
  <c r="C238" i="21" s="1"/>
  <c r="D238" i="21" s="1"/>
  <c r="E238" i="21" s="1"/>
  <c r="F324" i="22"/>
  <c r="A325" i="22"/>
  <c r="A340" i="21"/>
  <c r="G339" i="21"/>
  <c r="H238" i="21" l="1"/>
  <c r="C239" i="21" s="1"/>
  <c r="D239" i="21" s="1"/>
  <c r="I238" i="21"/>
  <c r="F238" i="21"/>
  <c r="G340" i="21"/>
  <c r="A341" i="21"/>
  <c r="F325" i="22"/>
  <c r="A326" i="22"/>
  <c r="F239" i="21" l="1"/>
  <c r="E239" i="21"/>
  <c r="A327" i="22"/>
  <c r="F326" i="22"/>
  <c r="A342" i="21"/>
  <c r="G341" i="21"/>
  <c r="H239" i="21" l="1"/>
  <c r="C240" i="21" s="1"/>
  <c r="D240" i="21" s="1"/>
  <c r="I239" i="21"/>
  <c r="A343" i="21"/>
  <c r="G342" i="21"/>
  <c r="A328" i="22"/>
  <c r="F327" i="22"/>
  <c r="F240" i="21" l="1"/>
  <c r="E240" i="21"/>
  <c r="I240" i="21" s="1"/>
  <c r="A329" i="22"/>
  <c r="F328" i="22"/>
  <c r="G343" i="21"/>
  <c r="A344" i="21"/>
  <c r="H240" i="21" l="1"/>
  <c r="C241" i="21" s="1"/>
  <c r="D241" i="21" s="1"/>
  <c r="E241" i="21" s="1"/>
  <c r="A330" i="22"/>
  <c r="F329" i="22"/>
  <c r="A345" i="21"/>
  <c r="G344" i="21"/>
  <c r="H241" i="21" l="1"/>
  <c r="C242" i="21" s="1"/>
  <c r="D242" i="21" s="1"/>
  <c r="I241" i="21"/>
  <c r="F241" i="21"/>
  <c r="G345" i="21"/>
  <c r="A346" i="21"/>
  <c r="A331" i="22"/>
  <c r="F330" i="22"/>
  <c r="F242" i="21" l="1"/>
  <c r="E242" i="21"/>
  <c r="A347" i="21"/>
  <c r="G346" i="21"/>
  <c r="A332" i="22"/>
  <c r="F331" i="22"/>
  <c r="H242" i="21" l="1"/>
  <c r="C243" i="21" s="1"/>
  <c r="D243" i="21" s="1"/>
  <c r="E243" i="21" s="1"/>
  <c r="I242" i="21"/>
  <c r="G347" i="21"/>
  <c r="A348" i="21"/>
  <c r="F332" i="22"/>
  <c r="A333" i="22"/>
  <c r="H243" i="21" l="1"/>
  <c r="C244" i="21" s="1"/>
  <c r="D244" i="21" s="1"/>
  <c r="E244" i="21" s="1"/>
  <c r="I243" i="21"/>
  <c r="F243" i="21"/>
  <c r="A334" i="22"/>
  <c r="F333" i="22"/>
  <c r="G348" i="21"/>
  <c r="A349" i="21"/>
  <c r="H244" i="21" l="1"/>
  <c r="C245" i="21" s="1"/>
  <c r="D245" i="21" s="1"/>
  <c r="I244" i="21"/>
  <c r="F244" i="21"/>
  <c r="G349" i="21"/>
  <c r="A350" i="21"/>
  <c r="F334" i="22"/>
  <c r="A335" i="22"/>
  <c r="F245" i="21" l="1"/>
  <c r="E245" i="21"/>
  <c r="I245" i="21" s="1"/>
  <c r="A336" i="22"/>
  <c r="F335" i="22"/>
  <c r="G350" i="21"/>
  <c r="A351" i="21"/>
  <c r="H245" i="21" l="1"/>
  <c r="C246" i="21" s="1"/>
  <c r="D246" i="21" s="1"/>
  <c r="A352" i="21"/>
  <c r="G351" i="21"/>
  <c r="A337" i="22"/>
  <c r="F336" i="22"/>
  <c r="F246" i="21" l="1"/>
  <c r="E246" i="21"/>
  <c r="F337" i="22"/>
  <c r="A338" i="22"/>
  <c r="G352" i="21"/>
  <c r="A353" i="21"/>
  <c r="H246" i="21" l="1"/>
  <c r="C247" i="21" s="1"/>
  <c r="D247" i="21" s="1"/>
  <c r="I246" i="21"/>
  <c r="A354" i="21"/>
  <c r="G353" i="21"/>
  <c r="A339" i="22"/>
  <c r="F338" i="22"/>
  <c r="F247" i="21" l="1"/>
  <c r="E247" i="21"/>
  <c r="A340" i="22"/>
  <c r="F339" i="22"/>
  <c r="G354" i="21"/>
  <c r="A355" i="21"/>
  <c r="H247" i="21" l="1"/>
  <c r="C248" i="21" s="1"/>
  <c r="D248" i="21" s="1"/>
  <c r="I247" i="21"/>
  <c r="A356" i="21"/>
  <c r="G355" i="21"/>
  <c r="A341" i="22"/>
  <c r="F340" i="22"/>
  <c r="F248" i="21" l="1"/>
  <c r="E248" i="21"/>
  <c r="F341" i="22"/>
  <c r="A342" i="22"/>
  <c r="G356" i="21"/>
  <c r="A357" i="21"/>
  <c r="H248" i="21" l="1"/>
  <c r="C249" i="21" s="1"/>
  <c r="D249" i="21" s="1"/>
  <c r="I248" i="21"/>
  <c r="A358" i="21"/>
  <c r="G357" i="21"/>
  <c r="F342" i="22"/>
  <c r="A343" i="22"/>
  <c r="F249" i="21" l="1"/>
  <c r="E249" i="21"/>
  <c r="I249" i="21" s="1"/>
  <c r="F343" i="22"/>
  <c r="A344" i="22"/>
  <c r="G358" i="21"/>
  <c r="A359" i="21"/>
  <c r="H249" i="21" l="1"/>
  <c r="C250" i="21" s="1"/>
  <c r="D250" i="21" s="1"/>
  <c r="F344" i="22"/>
  <c r="A345" i="22"/>
  <c r="G359" i="21"/>
  <c r="A360" i="21"/>
  <c r="F250" i="21" l="1"/>
  <c r="E250" i="21"/>
  <c r="I250" i="21" s="1"/>
  <c r="A361" i="21"/>
  <c r="G360" i="21"/>
  <c r="F345" i="22"/>
  <c r="A346" i="22"/>
  <c r="H250" i="21" l="1"/>
  <c r="C251" i="21" s="1"/>
  <c r="D251" i="21" s="1"/>
  <c r="A347" i="22"/>
  <c r="F346" i="22"/>
  <c r="A362" i="21"/>
  <c r="G361" i="21"/>
  <c r="F251" i="21" l="1"/>
  <c r="E251" i="21"/>
  <c r="I251" i="21" s="1"/>
  <c r="A363" i="21"/>
  <c r="G362" i="21"/>
  <c r="A348" i="22"/>
  <c r="F347" i="22"/>
  <c r="H251" i="21" l="1"/>
  <c r="C252" i="21" s="1"/>
  <c r="D252" i="21" s="1"/>
  <c r="E252" i="21" s="1"/>
  <c r="A349" i="22"/>
  <c r="F348" i="22"/>
  <c r="G363" i="21"/>
  <c r="A364" i="21"/>
  <c r="H252" i="21" l="1"/>
  <c r="C253" i="21" s="1"/>
  <c r="D253" i="21" s="1"/>
  <c r="E253" i="21" s="1"/>
  <c r="I252" i="21"/>
  <c r="F252" i="21"/>
  <c r="A365" i="21"/>
  <c r="G364" i="21"/>
  <c r="F349" i="22"/>
  <c r="A350" i="22"/>
  <c r="H253" i="21" l="1"/>
  <c r="C254" i="21" s="1"/>
  <c r="D254" i="21" s="1"/>
  <c r="E254" i="21" s="1"/>
  <c r="I253" i="21"/>
  <c r="F253" i="21"/>
  <c r="G365" i="21"/>
  <c r="A366" i="21"/>
  <c r="A351" i="22"/>
  <c r="F350" i="22"/>
  <c r="H254" i="21" l="1"/>
  <c r="C255" i="21" s="1"/>
  <c r="D255" i="21" s="1"/>
  <c r="E255" i="21" s="1"/>
  <c r="I254" i="21"/>
  <c r="F254" i="21"/>
  <c r="A352" i="22"/>
  <c r="F351" i="22"/>
  <c r="G366" i="21"/>
  <c r="A367" i="21"/>
  <c r="H255" i="21" l="1"/>
  <c r="C256" i="21" s="1"/>
  <c r="D256" i="21" s="1"/>
  <c r="I255" i="21"/>
  <c r="F255" i="21"/>
  <c r="G367" i="21"/>
  <c r="A368" i="21"/>
  <c r="A353" i="22"/>
  <c r="F352" i="22"/>
  <c r="F256" i="21" l="1"/>
  <c r="E256" i="21"/>
  <c r="F353" i="22"/>
  <c r="A354" i="22"/>
  <c r="A369" i="21"/>
  <c r="G368" i="21"/>
  <c r="H256" i="21" l="1"/>
  <c r="C257" i="21" s="1"/>
  <c r="D257" i="21" s="1"/>
  <c r="E257" i="21" s="1"/>
  <c r="I256" i="21"/>
  <c r="G369" i="21"/>
  <c r="A370" i="21"/>
  <c r="A355" i="22"/>
  <c r="F354" i="22"/>
  <c r="H257" i="21" l="1"/>
  <c r="C258" i="21" s="1"/>
  <c r="D258" i="21" s="1"/>
  <c r="E258" i="21" s="1"/>
  <c r="I257" i="21"/>
  <c r="F257" i="21"/>
  <c r="A356" i="22"/>
  <c r="F355" i="22"/>
  <c r="G370" i="21"/>
  <c r="A371" i="21"/>
  <c r="H258" i="21" l="1"/>
  <c r="C259" i="21" s="1"/>
  <c r="D259" i="21" s="1"/>
  <c r="E259" i="21" s="1"/>
  <c r="I258" i="21"/>
  <c r="F258" i="21"/>
  <c r="F356" i="22"/>
  <c r="A357" i="22"/>
  <c r="G371" i="21"/>
  <c r="A372" i="21"/>
  <c r="H259" i="21" l="1"/>
  <c r="C260" i="21" s="1"/>
  <c r="D260" i="21" s="1"/>
  <c r="I259" i="21"/>
  <c r="F259" i="21"/>
  <c r="A373" i="21"/>
  <c r="G372" i="21"/>
  <c r="F357" i="22"/>
  <c r="A358" i="22"/>
  <c r="F260" i="21" l="1"/>
  <c r="E260" i="21"/>
  <c r="A359" i="22"/>
  <c r="F358" i="22"/>
  <c r="G373" i="21"/>
  <c r="A374" i="21"/>
  <c r="H260" i="21" l="1"/>
  <c r="C261" i="21" s="1"/>
  <c r="D261" i="21" s="1"/>
  <c r="I260" i="21"/>
  <c r="F359" i="22"/>
  <c r="A360" i="22"/>
  <c r="A375" i="21"/>
  <c r="G374" i="21"/>
  <c r="F261" i="21" l="1"/>
  <c r="E261" i="21"/>
  <c r="A376" i="21"/>
  <c r="G375" i="21"/>
  <c r="F360" i="22"/>
  <c r="A361" i="22"/>
  <c r="H261" i="21" l="1"/>
  <c r="C262" i="21" s="1"/>
  <c r="D262" i="21" s="1"/>
  <c r="I261" i="21"/>
  <c r="F361" i="22"/>
  <c r="A362" i="22"/>
  <c r="A377" i="21"/>
  <c r="G376" i="21"/>
  <c r="F262" i="21" l="1"/>
  <c r="E262" i="21"/>
  <c r="I262" i="21" s="1"/>
  <c r="G377" i="21"/>
  <c r="A378" i="21"/>
  <c r="F362" i="22"/>
  <c r="A363" i="22"/>
  <c r="H262" i="21" l="1"/>
  <c r="C263" i="21" s="1"/>
  <c r="D263" i="21" s="1"/>
  <c r="A364" i="22"/>
  <c r="F363" i="22"/>
  <c r="A379" i="21"/>
  <c r="G378" i="21"/>
  <c r="F263" i="21" l="1"/>
  <c r="E263" i="21"/>
  <c r="A380" i="21"/>
  <c r="G379" i="21"/>
  <c r="A365" i="22"/>
  <c r="F364" i="22"/>
  <c r="H263" i="21" l="1"/>
  <c r="C264" i="21" s="1"/>
  <c r="D264" i="21" s="1"/>
  <c r="E264" i="21" s="1"/>
  <c r="I263" i="21"/>
  <c r="A366" i="22"/>
  <c r="F365" i="22"/>
  <c r="G380" i="21"/>
  <c r="A381" i="21"/>
  <c r="H264" i="21" l="1"/>
  <c r="C265" i="21" s="1"/>
  <c r="D265" i="21" s="1"/>
  <c r="I264" i="21"/>
  <c r="F264" i="21"/>
  <c r="A382" i="21"/>
  <c r="G381" i="21"/>
  <c r="F366" i="22"/>
  <c r="A367" i="22"/>
  <c r="F265" i="21" l="1"/>
  <c r="E265" i="21"/>
  <c r="F367" i="22"/>
  <c r="A368" i="22"/>
  <c r="G382" i="21"/>
  <c r="A383" i="21"/>
  <c r="H265" i="21" l="1"/>
  <c r="C266" i="21" s="1"/>
  <c r="D266" i="21" s="1"/>
  <c r="E266" i="21" s="1"/>
  <c r="I265" i="21"/>
  <c r="F368" i="22"/>
  <c r="A369" i="22"/>
  <c r="G383" i="21"/>
  <c r="A384" i="21"/>
  <c r="H266" i="21" l="1"/>
  <c r="C267" i="21" s="1"/>
  <c r="D267" i="21" s="1"/>
  <c r="I266" i="21"/>
  <c r="F266" i="21"/>
  <c r="F369" i="22"/>
  <c r="A370" i="22"/>
  <c r="A385" i="21"/>
  <c r="G384" i="21"/>
  <c r="F267" i="21" l="1"/>
  <c r="E267" i="21"/>
  <c r="F370" i="22"/>
  <c r="A371" i="22"/>
  <c r="G385" i="21"/>
  <c r="A386" i="21"/>
  <c r="H267" i="21" l="1"/>
  <c r="C268" i="21" s="1"/>
  <c r="D268" i="21" s="1"/>
  <c r="I267" i="21"/>
  <c r="G386" i="21"/>
  <c r="A387" i="21"/>
  <c r="F371" i="22"/>
  <c r="A372" i="22"/>
  <c r="F268" i="21" l="1"/>
  <c r="E268" i="21"/>
  <c r="I268" i="21" s="1"/>
  <c r="F372" i="22"/>
  <c r="A373" i="22"/>
  <c r="A388" i="21"/>
  <c r="G387" i="21"/>
  <c r="H268" i="21" l="1"/>
  <c r="C269" i="21" s="1"/>
  <c r="D269" i="21" s="1"/>
  <c r="E269" i="21" s="1"/>
  <c r="A389" i="21"/>
  <c r="G388" i="21"/>
  <c r="A374" i="22"/>
  <c r="F373" i="22"/>
  <c r="H269" i="21" l="1"/>
  <c r="C270" i="21" s="1"/>
  <c r="D270" i="21" s="1"/>
  <c r="I269" i="21"/>
  <c r="F269" i="21"/>
  <c r="G389" i="21"/>
  <c r="A390" i="21"/>
  <c r="A375" i="22"/>
  <c r="F374" i="22"/>
  <c r="F270" i="21" l="1"/>
  <c r="E270" i="21"/>
  <c r="F375" i="22"/>
  <c r="A376" i="22"/>
  <c r="A391" i="21"/>
  <c r="G390" i="21"/>
  <c r="H270" i="21" l="1"/>
  <c r="C271" i="21" s="1"/>
  <c r="D271" i="21" s="1"/>
  <c r="I270" i="21"/>
  <c r="G391" i="21"/>
  <c r="A392" i="21"/>
  <c r="F376" i="22"/>
  <c r="A377" i="22"/>
  <c r="F271" i="21" l="1"/>
  <c r="E271" i="21"/>
  <c r="I271" i="21" s="1"/>
  <c r="A378" i="22"/>
  <c r="F377" i="22"/>
  <c r="G392" i="21"/>
  <c r="A393" i="21"/>
  <c r="H271" i="21" l="1"/>
  <c r="C272" i="21" s="1"/>
  <c r="D272" i="21" s="1"/>
  <c r="G393" i="21"/>
  <c r="A394" i="21"/>
  <c r="A379" i="22"/>
  <c r="F378" i="22"/>
  <c r="F272" i="21" l="1"/>
  <c r="E272" i="21"/>
  <c r="A380" i="22"/>
  <c r="F379" i="22"/>
  <c r="G394" i="21"/>
  <c r="A395" i="21"/>
  <c r="H272" i="21" l="1"/>
  <c r="C273" i="21" s="1"/>
  <c r="D273" i="21" s="1"/>
  <c r="I272" i="21"/>
  <c r="A381" i="22"/>
  <c r="F380" i="22"/>
  <c r="A396" i="21"/>
  <c r="G395" i="21"/>
  <c r="R17" i="19" l="1"/>
  <c r="R18" i="19"/>
  <c r="R19" i="19"/>
  <c r="R16" i="19"/>
  <c r="R15" i="19"/>
  <c r="F273" i="21"/>
  <c r="E273" i="21"/>
  <c r="G396" i="21"/>
  <c r="A397" i="21"/>
  <c r="A382" i="22"/>
  <c r="F381" i="22"/>
  <c r="H273" i="21" l="1"/>
  <c r="C274" i="21" s="1"/>
  <c r="D274" i="21" s="1"/>
  <c r="E274" i="21" s="1"/>
  <c r="I273" i="21"/>
  <c r="F382" i="22"/>
  <c r="A383" i="22"/>
  <c r="A398" i="21"/>
  <c r="G397" i="21"/>
  <c r="H274" i="21" l="1"/>
  <c r="C275" i="21" s="1"/>
  <c r="D275" i="21" s="1"/>
  <c r="E275" i="21" s="1"/>
  <c r="I274" i="21"/>
  <c r="F274" i="21"/>
  <c r="G398" i="21"/>
  <c r="A399" i="21"/>
  <c r="A384" i="22"/>
  <c r="F383" i="22"/>
  <c r="H275" i="21" l="1"/>
  <c r="C276" i="21" s="1"/>
  <c r="D276" i="21" s="1"/>
  <c r="I275" i="21"/>
  <c r="F275" i="21"/>
  <c r="F384" i="22"/>
  <c r="A385" i="22"/>
  <c r="G399" i="21"/>
  <c r="A400" i="21"/>
  <c r="F276" i="21" l="1"/>
  <c r="E276" i="21"/>
  <c r="A401" i="21"/>
  <c r="G400" i="21"/>
  <c r="F385" i="22"/>
  <c r="A386" i="22"/>
  <c r="H276" i="21" l="1"/>
  <c r="C277" i="21" s="1"/>
  <c r="D277" i="21" s="1"/>
  <c r="E277" i="21" s="1"/>
  <c r="I276" i="21"/>
  <c r="A402" i="21"/>
  <c r="G401" i="21"/>
  <c r="A387" i="22"/>
  <c r="F386" i="22"/>
  <c r="H277" i="21" l="1"/>
  <c r="C278" i="21" s="1"/>
  <c r="D278" i="21" s="1"/>
  <c r="I277" i="21"/>
  <c r="F277" i="21"/>
  <c r="A388" i="22"/>
  <c r="F387" i="22"/>
  <c r="A403" i="21"/>
  <c r="G402" i="21"/>
  <c r="F278" i="21" l="1"/>
  <c r="E278" i="21"/>
  <c r="G403" i="21"/>
  <c r="A404" i="21"/>
  <c r="F388" i="22"/>
  <c r="A389" i="22"/>
  <c r="H278" i="21" l="1"/>
  <c r="C279" i="21" s="1"/>
  <c r="D279" i="21" s="1"/>
  <c r="I278" i="21"/>
  <c r="F389" i="22"/>
  <c r="A390" i="22"/>
  <c r="G404" i="21"/>
  <c r="A405" i="21"/>
  <c r="F279" i="21" l="1"/>
  <c r="E279" i="21"/>
  <c r="G405" i="21"/>
  <c r="A406" i="21"/>
  <c r="A391" i="22"/>
  <c r="F390" i="22"/>
  <c r="H279" i="21" l="1"/>
  <c r="C280" i="21" s="1"/>
  <c r="D280" i="21" s="1"/>
  <c r="I279" i="21"/>
  <c r="A392" i="22"/>
  <c r="F391" i="22"/>
  <c r="A407" i="21"/>
  <c r="G406" i="21"/>
  <c r="F280" i="21" l="1"/>
  <c r="E280" i="21"/>
  <c r="A393" i="22"/>
  <c r="F392" i="22"/>
  <c r="G407" i="21"/>
  <c r="A408" i="21"/>
  <c r="H280" i="21" l="1"/>
  <c r="C281" i="21" s="1"/>
  <c r="D281" i="21" s="1"/>
  <c r="I280" i="21"/>
  <c r="G408" i="21"/>
  <c r="A409" i="21"/>
  <c r="F393" i="22"/>
  <c r="A394" i="22"/>
  <c r="F281" i="21" l="1"/>
  <c r="E281" i="21"/>
  <c r="A395" i="22"/>
  <c r="F394" i="22"/>
  <c r="A410" i="21"/>
  <c r="G409" i="21"/>
  <c r="H281" i="21" l="1"/>
  <c r="C282" i="21" s="1"/>
  <c r="D282" i="21" s="1"/>
  <c r="I281" i="21"/>
  <c r="A396" i="22"/>
  <c r="F395" i="22"/>
  <c r="A411" i="21"/>
  <c r="G410" i="21"/>
  <c r="F282" i="21" l="1"/>
  <c r="E282" i="21"/>
  <c r="I282" i="21" s="1"/>
  <c r="A412" i="21"/>
  <c r="G411" i="21"/>
  <c r="F396" i="22"/>
  <c r="A397" i="22"/>
  <c r="H282" i="21" l="1"/>
  <c r="C283" i="21" s="1"/>
  <c r="D283" i="21" s="1"/>
  <c r="A398" i="22"/>
  <c r="F397" i="22"/>
  <c r="G412" i="21"/>
  <c r="A413" i="21"/>
  <c r="F283" i="21" l="1"/>
  <c r="E283" i="21"/>
  <c r="G413" i="21"/>
  <c r="A414" i="21"/>
  <c r="A399" i="22"/>
  <c r="F398" i="22"/>
  <c r="H283" i="21" l="1"/>
  <c r="C284" i="21" s="1"/>
  <c r="D284" i="21" s="1"/>
  <c r="E284" i="21" s="1"/>
  <c r="I283" i="21"/>
  <c r="G414" i="21"/>
  <c r="A415" i="21"/>
  <c r="F399" i="22"/>
  <c r="A400" i="22"/>
  <c r="H284" i="21" l="1"/>
  <c r="C285" i="21" s="1"/>
  <c r="D285" i="21" s="1"/>
  <c r="E285" i="21" s="1"/>
  <c r="I284" i="21"/>
  <c r="F284" i="21"/>
  <c r="F400" i="22"/>
  <c r="A401" i="22"/>
  <c r="G415" i="21"/>
  <c r="A416" i="21"/>
  <c r="H285" i="21" l="1"/>
  <c r="C286" i="21" s="1"/>
  <c r="D286" i="21" s="1"/>
  <c r="E286" i="21" s="1"/>
  <c r="I285" i="21"/>
  <c r="F285" i="21"/>
  <c r="A402" i="22"/>
  <c r="F401" i="22"/>
  <c r="A417" i="21"/>
  <c r="G416" i="21"/>
  <c r="H286" i="21" l="1"/>
  <c r="C287" i="21" s="1"/>
  <c r="D287" i="21" s="1"/>
  <c r="E287" i="21" s="1"/>
  <c r="I286" i="21"/>
  <c r="F286" i="21"/>
  <c r="G417" i="21"/>
  <c r="A418" i="21"/>
  <c r="A403" i="22"/>
  <c r="F402" i="22"/>
  <c r="H287" i="21" l="1"/>
  <c r="C288" i="21" s="1"/>
  <c r="D288" i="21" s="1"/>
  <c r="E288" i="21" s="1"/>
  <c r="I287" i="21"/>
  <c r="F287" i="21"/>
  <c r="A419" i="21"/>
  <c r="G418" i="21"/>
  <c r="F403" i="22"/>
  <c r="A404" i="22"/>
  <c r="H288" i="21" l="1"/>
  <c r="C289" i="21" s="1"/>
  <c r="D289" i="21" s="1"/>
  <c r="I288" i="21"/>
  <c r="F288" i="21"/>
  <c r="G419" i="21"/>
  <c r="A420" i="21"/>
  <c r="A405" i="22"/>
  <c r="F404" i="22"/>
  <c r="F289" i="21" l="1"/>
  <c r="E289" i="21"/>
  <c r="I289" i="21" s="1"/>
  <c r="A406" i="22"/>
  <c r="F405" i="22"/>
  <c r="G420" i="21"/>
  <c r="A421" i="21"/>
  <c r="H289" i="21" l="1"/>
  <c r="C290" i="21" s="1"/>
  <c r="D290" i="21" s="1"/>
  <c r="A422" i="21"/>
  <c r="G421" i="21"/>
  <c r="A407" i="22"/>
  <c r="F406" i="22"/>
  <c r="F290" i="21" l="1"/>
  <c r="E290" i="21"/>
  <c r="I290" i="21" s="1"/>
  <c r="F407" i="22"/>
  <c r="A408" i="22"/>
  <c r="A423" i="21"/>
  <c r="G422" i="21"/>
  <c r="H290" i="21" l="1"/>
  <c r="C291" i="21" s="1"/>
  <c r="D291" i="21" s="1"/>
  <c r="G423" i="21"/>
  <c r="A424" i="21"/>
  <c r="A409" i="22"/>
  <c r="F408" i="22"/>
  <c r="F291" i="21" l="1"/>
  <c r="E291" i="21"/>
  <c r="I291" i="21" s="1"/>
  <c r="A410" i="22"/>
  <c r="F409" i="22"/>
  <c r="G424" i="21"/>
  <c r="A425" i="21"/>
  <c r="H291" i="21" l="1"/>
  <c r="C292" i="21" s="1"/>
  <c r="D292" i="21" s="1"/>
  <c r="A411" i="22"/>
  <c r="F410" i="22"/>
  <c r="G425" i="21"/>
  <c r="A426" i="21"/>
  <c r="F292" i="21" l="1"/>
  <c r="E292" i="21"/>
  <c r="G426" i="21"/>
  <c r="A427" i="21"/>
  <c r="F411" i="22"/>
  <c r="A412" i="22"/>
  <c r="H292" i="21" l="1"/>
  <c r="C293" i="21" s="1"/>
  <c r="D293" i="21" s="1"/>
  <c r="E293" i="21" s="1"/>
  <c r="I292" i="21"/>
  <c r="A413" i="22"/>
  <c r="F412" i="22"/>
  <c r="A428" i="21"/>
  <c r="G427" i="21"/>
  <c r="H293" i="21" l="1"/>
  <c r="C294" i="21" s="1"/>
  <c r="D294" i="21" s="1"/>
  <c r="E294" i="21" s="1"/>
  <c r="I293" i="21"/>
  <c r="F293" i="21"/>
  <c r="A429" i="21"/>
  <c r="G428" i="21"/>
  <c r="A414" i="22"/>
  <c r="F413" i="22"/>
  <c r="H294" i="21" l="1"/>
  <c r="C295" i="21" s="1"/>
  <c r="D295" i="21" s="1"/>
  <c r="E295" i="21" s="1"/>
  <c r="I294" i="21"/>
  <c r="F294" i="21"/>
  <c r="A415" i="22"/>
  <c r="F414" i="22"/>
  <c r="G429" i="21"/>
  <c r="A430" i="21"/>
  <c r="H295" i="21" l="1"/>
  <c r="C296" i="21" s="1"/>
  <c r="D296" i="21" s="1"/>
  <c r="E296" i="21" s="1"/>
  <c r="I295" i="21"/>
  <c r="F295" i="21"/>
  <c r="A431" i="21"/>
  <c r="G430" i="21"/>
  <c r="A416" i="22"/>
  <c r="F415" i="22"/>
  <c r="H296" i="21" l="1"/>
  <c r="C297" i="21" s="1"/>
  <c r="D297" i="21" s="1"/>
  <c r="I296" i="21"/>
  <c r="F296" i="21"/>
  <c r="A432" i="21"/>
  <c r="G431" i="21"/>
  <c r="A417" i="22"/>
  <c r="F416" i="22"/>
  <c r="F297" i="21" l="1"/>
  <c r="E297" i="21"/>
  <c r="A418" i="22"/>
  <c r="F417" i="22"/>
  <c r="A433" i="21"/>
  <c r="G432" i="21"/>
  <c r="H297" i="21" l="1"/>
  <c r="C298" i="21" s="1"/>
  <c r="D298" i="21" s="1"/>
  <c r="E298" i="21" s="1"/>
  <c r="I297" i="21"/>
  <c r="A434" i="21"/>
  <c r="G433" i="21"/>
  <c r="F418" i="22"/>
  <c r="A419" i="22"/>
  <c r="H298" i="21" l="1"/>
  <c r="C299" i="21" s="1"/>
  <c r="D299" i="21" s="1"/>
  <c r="E299" i="21" s="1"/>
  <c r="I298" i="21"/>
  <c r="F298" i="21"/>
  <c r="A420" i="22"/>
  <c r="F419" i="22"/>
  <c r="A435" i="21"/>
  <c r="G434" i="21"/>
  <c r="H299" i="21" l="1"/>
  <c r="C300" i="21" s="1"/>
  <c r="D300" i="21" s="1"/>
  <c r="E300" i="21" s="1"/>
  <c r="I299" i="21"/>
  <c r="F299" i="21"/>
  <c r="A436" i="21"/>
  <c r="G435" i="21"/>
  <c r="F420" i="22"/>
  <c r="A421" i="22"/>
  <c r="H300" i="21" l="1"/>
  <c r="C301" i="21" s="1"/>
  <c r="D301" i="21" s="1"/>
  <c r="E301" i="21" s="1"/>
  <c r="I300" i="21"/>
  <c r="F300" i="21"/>
  <c r="A422" i="22"/>
  <c r="F421" i="22"/>
  <c r="A437" i="21"/>
  <c r="G436" i="21"/>
  <c r="H301" i="21" l="1"/>
  <c r="C302" i="21" s="1"/>
  <c r="D302" i="21" s="1"/>
  <c r="I301" i="21"/>
  <c r="F301" i="21"/>
  <c r="G437" i="21"/>
  <c r="A438" i="21"/>
  <c r="A423" i="22"/>
  <c r="F422" i="22"/>
  <c r="F302" i="21" l="1"/>
  <c r="E302" i="21"/>
  <c r="F423" i="22"/>
  <c r="A424" i="22"/>
  <c r="A439" i="21"/>
  <c r="G438" i="21"/>
  <c r="H302" i="21" l="1"/>
  <c r="C303" i="21" s="1"/>
  <c r="D303" i="21" s="1"/>
  <c r="E303" i="21" s="1"/>
  <c r="I302" i="21"/>
  <c r="A440" i="21"/>
  <c r="G439" i="21"/>
  <c r="A425" i="22"/>
  <c r="F424" i="22"/>
  <c r="H303" i="21" l="1"/>
  <c r="C304" i="21" s="1"/>
  <c r="D304" i="21" s="1"/>
  <c r="E304" i="21" s="1"/>
  <c r="I303" i="21"/>
  <c r="F303" i="21"/>
  <c r="A441" i="21"/>
  <c r="G440" i="21"/>
  <c r="F425" i="22"/>
  <c r="A426" i="22"/>
  <c r="H304" i="21" l="1"/>
  <c r="C305" i="21" s="1"/>
  <c r="D305" i="21" s="1"/>
  <c r="E305" i="21" s="1"/>
  <c r="I304" i="21"/>
  <c r="F304" i="21"/>
  <c r="A427" i="22"/>
  <c r="F426" i="22"/>
  <c r="A442" i="21"/>
  <c r="G441" i="21"/>
  <c r="H305" i="21" l="1"/>
  <c r="C306" i="21" s="1"/>
  <c r="D306" i="21" s="1"/>
  <c r="I305" i="21"/>
  <c r="F305" i="21"/>
  <c r="A443" i="21"/>
  <c r="G442" i="21"/>
  <c r="F427" i="22"/>
  <c r="A428" i="22"/>
  <c r="F306" i="21" l="1"/>
  <c r="E306" i="21"/>
  <c r="I306" i="21" s="1"/>
  <c r="F428" i="22"/>
  <c r="A429" i="22"/>
  <c r="G443" i="21"/>
  <c r="A444" i="21"/>
  <c r="H306" i="21" l="1"/>
  <c r="C307" i="21" s="1"/>
  <c r="D307" i="21" s="1"/>
  <c r="E307" i="21" s="1"/>
  <c r="G444" i="21"/>
  <c r="A445" i="21"/>
  <c r="F429" i="22"/>
  <c r="A430" i="22"/>
  <c r="H307" i="21" l="1"/>
  <c r="C308" i="21" s="1"/>
  <c r="D308" i="21" s="1"/>
  <c r="I307" i="21"/>
  <c r="F307" i="21"/>
  <c r="G445" i="21"/>
  <c r="A446" i="21"/>
  <c r="F430" i="22"/>
  <c r="A431" i="22"/>
  <c r="F308" i="21" l="1"/>
  <c r="E308" i="21"/>
  <c r="I308" i="21" s="1"/>
  <c r="F431" i="22"/>
  <c r="A432" i="22"/>
  <c r="G446" i="21"/>
  <c r="A447" i="21"/>
  <c r="H308" i="21" l="1"/>
  <c r="C309" i="21" s="1"/>
  <c r="D309" i="21" s="1"/>
  <c r="E309" i="21" s="1"/>
  <c r="A448" i="21"/>
  <c r="G447" i="21"/>
  <c r="A433" i="22"/>
  <c r="F432" i="22"/>
  <c r="H309" i="21" l="1"/>
  <c r="C310" i="21" s="1"/>
  <c r="D310" i="21" s="1"/>
  <c r="I309" i="21"/>
  <c r="F309" i="21"/>
  <c r="A434" i="22"/>
  <c r="F433" i="22"/>
  <c r="G448" i="21"/>
  <c r="A449" i="21"/>
  <c r="F310" i="21" l="1"/>
  <c r="E310" i="21"/>
  <c r="A435" i="22"/>
  <c r="F434" i="22"/>
  <c r="G449" i="21"/>
  <c r="A450" i="21"/>
  <c r="H310" i="21" l="1"/>
  <c r="C311" i="21" s="1"/>
  <c r="D311" i="21" s="1"/>
  <c r="E311" i="21" s="1"/>
  <c r="I310" i="21"/>
  <c r="G450" i="21"/>
  <c r="A451" i="21"/>
  <c r="A436" i="22"/>
  <c r="F435" i="22"/>
  <c r="I311" i="21" l="1"/>
  <c r="F311" i="21"/>
  <c r="H311" i="21"/>
  <c r="C312" i="21" s="1"/>
  <c r="D312" i="21" s="1"/>
  <c r="A437" i="22"/>
  <c r="F436" i="22"/>
  <c r="G451" i="21"/>
  <c r="A452" i="21"/>
  <c r="F312" i="21" l="1"/>
  <c r="E312" i="21"/>
  <c r="I312" i="21" s="1"/>
  <c r="F437" i="22"/>
  <c r="A438" i="22"/>
  <c r="G452" i="21"/>
  <c r="A453" i="21"/>
  <c r="H312" i="21" l="1"/>
  <c r="C313" i="21" s="1"/>
  <c r="D313" i="21" s="1"/>
  <c r="E313" i="21" s="1"/>
  <c r="G453" i="21"/>
  <c r="A454" i="21"/>
  <c r="F438" i="22"/>
  <c r="A439" i="22"/>
  <c r="H313" i="21" l="1"/>
  <c r="C314" i="21" s="1"/>
  <c r="D314" i="21" s="1"/>
  <c r="E314" i="21" s="1"/>
  <c r="I313" i="21"/>
  <c r="F313" i="21"/>
  <c r="A440" i="22"/>
  <c r="F439" i="22"/>
  <c r="A455" i="21"/>
  <c r="G454" i="21"/>
  <c r="H314" i="21" l="1"/>
  <c r="C315" i="21" s="1"/>
  <c r="D315" i="21" s="1"/>
  <c r="E315" i="21" s="1"/>
  <c r="I314" i="21"/>
  <c r="F314" i="21"/>
  <c r="A456" i="21"/>
  <c r="G455" i="21"/>
  <c r="A441" i="22"/>
  <c r="F440" i="22"/>
  <c r="H315" i="21" l="1"/>
  <c r="C316" i="21" s="1"/>
  <c r="D316" i="21" s="1"/>
  <c r="E316" i="21" s="1"/>
  <c r="I315" i="21"/>
  <c r="F315" i="21"/>
  <c r="A457" i="21"/>
  <c r="G456" i="21"/>
  <c r="F441" i="22"/>
  <c r="A442" i="22"/>
  <c r="H316" i="21" l="1"/>
  <c r="C317" i="21" s="1"/>
  <c r="D317" i="21" s="1"/>
  <c r="E317" i="21" s="1"/>
  <c r="I316" i="21"/>
  <c r="F316" i="21"/>
  <c r="F442" i="22"/>
  <c r="A443" i="22"/>
  <c r="G457" i="21"/>
  <c r="A458" i="21"/>
  <c r="H317" i="21" l="1"/>
  <c r="C318" i="21" s="1"/>
  <c r="D318" i="21" s="1"/>
  <c r="E318" i="21" s="1"/>
  <c r="I317" i="21"/>
  <c r="F317" i="21"/>
  <c r="A444" i="22"/>
  <c r="F443" i="22"/>
  <c r="G458" i="21"/>
  <c r="A459" i="21"/>
  <c r="H318" i="21" l="1"/>
  <c r="C319" i="21" s="1"/>
  <c r="D319" i="21" s="1"/>
  <c r="I318" i="21"/>
  <c r="F318" i="21"/>
  <c r="G459" i="21"/>
  <c r="A460" i="21"/>
  <c r="F444" i="22"/>
  <c r="A445" i="22"/>
  <c r="F319" i="21" l="1"/>
  <c r="E319" i="21"/>
  <c r="A461" i="21"/>
  <c r="G460" i="21"/>
  <c r="F445" i="22"/>
  <c r="A446" i="22"/>
  <c r="H319" i="21" l="1"/>
  <c r="C320" i="21" s="1"/>
  <c r="D320" i="21" s="1"/>
  <c r="I319" i="21"/>
  <c r="F446" i="22"/>
  <c r="A447" i="22"/>
  <c r="G461" i="21"/>
  <c r="A462" i="21"/>
  <c r="F320" i="21" l="1"/>
  <c r="E320" i="21"/>
  <c r="I320" i="21" s="1"/>
  <c r="F447" i="22"/>
  <c r="A448" i="22"/>
  <c r="G462" i="21"/>
  <c r="A463" i="21"/>
  <c r="H320" i="21" l="1"/>
  <c r="C321" i="21" s="1"/>
  <c r="D321" i="21" s="1"/>
  <c r="G463" i="21"/>
  <c r="A464" i="21"/>
  <c r="A449" i="22"/>
  <c r="F448" i="22"/>
  <c r="F321" i="21" l="1"/>
  <c r="E321" i="21"/>
  <c r="F449" i="22"/>
  <c r="A450" i="22"/>
  <c r="G464" i="21"/>
  <c r="A465" i="21"/>
  <c r="H321" i="21" l="1"/>
  <c r="C322" i="21" s="1"/>
  <c r="D322" i="21" s="1"/>
  <c r="E322" i="21" s="1"/>
  <c r="I321" i="21"/>
  <c r="A451" i="22"/>
  <c r="F450" i="22"/>
  <c r="A466" i="21"/>
  <c r="G465" i="21"/>
  <c r="H322" i="21" l="1"/>
  <c r="C323" i="21" s="1"/>
  <c r="D323" i="21" s="1"/>
  <c r="I322" i="21"/>
  <c r="F322" i="21"/>
  <c r="G466" i="21"/>
  <c r="A467" i="21"/>
  <c r="F451" i="22"/>
  <c r="A452" i="22"/>
  <c r="F323" i="21" l="1"/>
  <c r="E323" i="21"/>
  <c r="G467" i="21"/>
  <c r="A468" i="21"/>
  <c r="A453" i="22"/>
  <c r="F452" i="22"/>
  <c r="H323" i="21" l="1"/>
  <c r="C324" i="21" s="1"/>
  <c r="D324" i="21" s="1"/>
  <c r="I323" i="21"/>
  <c r="A454" i="22"/>
  <c r="F453" i="22"/>
  <c r="G468" i="21"/>
  <c r="A469" i="21"/>
  <c r="F324" i="21" l="1"/>
  <c r="E324" i="21"/>
  <c r="A470" i="21"/>
  <c r="G469" i="21"/>
  <c r="F454" i="22"/>
  <c r="A455" i="22"/>
  <c r="H324" i="21" l="1"/>
  <c r="C325" i="21" s="1"/>
  <c r="D325" i="21" s="1"/>
  <c r="E325" i="21" s="1"/>
  <c r="I324" i="21"/>
  <c r="A456" i="22"/>
  <c r="F455" i="22"/>
  <c r="G470" i="21"/>
  <c r="A471" i="21"/>
  <c r="I325" i="21" l="1"/>
  <c r="F325" i="21"/>
  <c r="H325" i="21"/>
  <c r="C326" i="21" s="1"/>
  <c r="D326" i="21" s="1"/>
  <c r="F456" i="22"/>
  <c r="A457" i="22"/>
  <c r="G471" i="21"/>
  <c r="A472" i="21"/>
  <c r="F326" i="21" l="1"/>
  <c r="E326" i="21"/>
  <c r="A458" i="22"/>
  <c r="F457" i="22"/>
  <c r="A473" i="21"/>
  <c r="G472" i="21"/>
  <c r="H326" i="21" l="1"/>
  <c r="C327" i="21" s="1"/>
  <c r="D327" i="21" s="1"/>
  <c r="E327" i="21" s="1"/>
  <c r="I326" i="21"/>
  <c r="G473" i="21"/>
  <c r="A474" i="21"/>
  <c r="F458" i="22"/>
  <c r="A459" i="22"/>
  <c r="H327" i="21" l="1"/>
  <c r="C328" i="21" s="1"/>
  <c r="D328" i="21" s="1"/>
  <c r="I327" i="21"/>
  <c r="F327" i="21"/>
  <c r="F459" i="22"/>
  <c r="A460" i="22"/>
  <c r="A475" i="21"/>
  <c r="G474" i="21"/>
  <c r="F328" i="21" l="1"/>
  <c r="E328" i="21"/>
  <c r="G475" i="21"/>
  <c r="A476" i="21"/>
  <c r="A461" i="22"/>
  <c r="F460" i="22"/>
  <c r="H328" i="21" l="1"/>
  <c r="C329" i="21" s="1"/>
  <c r="D329" i="21" s="1"/>
  <c r="E329" i="21" s="1"/>
  <c r="I328" i="21"/>
  <c r="G476" i="21"/>
  <c r="A477" i="21"/>
  <c r="F461" i="22"/>
  <c r="A462" i="22"/>
  <c r="I329" i="21" l="1"/>
  <c r="F329" i="21"/>
  <c r="H329" i="21"/>
  <c r="C330" i="21" s="1"/>
  <c r="D330" i="21" s="1"/>
  <c r="E330" i="21" s="1"/>
  <c r="F462" i="22"/>
  <c r="A463" i="22"/>
  <c r="A478" i="21"/>
  <c r="G477" i="21"/>
  <c r="I330" i="21" l="1"/>
  <c r="F330" i="21"/>
  <c r="H330" i="21"/>
  <c r="C331" i="21" s="1"/>
  <c r="D331" i="21" s="1"/>
  <c r="E331" i="21" s="1"/>
  <c r="G478" i="21"/>
  <c r="A479" i="21"/>
  <c r="A464" i="22"/>
  <c r="F463" i="22"/>
  <c r="H331" i="21" l="1"/>
  <c r="C332" i="21" s="1"/>
  <c r="D332" i="21" s="1"/>
  <c r="E332" i="21" s="1"/>
  <c r="I331" i="21"/>
  <c r="F331" i="21"/>
  <c r="G479" i="21"/>
  <c r="A480" i="21"/>
  <c r="A465" i="22"/>
  <c r="F464" i="22"/>
  <c r="H332" i="21" l="1"/>
  <c r="C333" i="21" s="1"/>
  <c r="D333" i="21" s="1"/>
  <c r="E333" i="21" s="1"/>
  <c r="I332" i="21"/>
  <c r="F332" i="21"/>
  <c r="G480" i="21"/>
  <c r="A481" i="21"/>
  <c r="A466" i="22"/>
  <c r="F465" i="22"/>
  <c r="S17" i="19" l="1"/>
  <c r="S18" i="19"/>
  <c r="S19" i="19"/>
  <c r="S16" i="19"/>
  <c r="S15" i="19"/>
  <c r="H333" i="21"/>
  <c r="C334" i="21" s="1"/>
  <c r="D334" i="21" s="1"/>
  <c r="I333" i="21"/>
  <c r="F333" i="21"/>
  <c r="F466" i="22"/>
  <c r="A467" i="22"/>
  <c r="G481" i="21"/>
  <c r="A482" i="21"/>
  <c r="F334" i="21" l="1"/>
  <c r="E334" i="21"/>
  <c r="G482" i="21"/>
  <c r="A483" i="21"/>
  <c r="F467" i="22"/>
  <c r="A468" i="22"/>
  <c r="H334" i="21" l="1"/>
  <c r="C335" i="21" s="1"/>
  <c r="D335" i="21" s="1"/>
  <c r="E335" i="21" s="1"/>
  <c r="I334" i="21"/>
  <c r="G483" i="21"/>
  <c r="A484" i="21"/>
  <c r="A469" i="22"/>
  <c r="F468" i="22"/>
  <c r="I335" i="21" l="1"/>
  <c r="F335" i="21"/>
  <c r="H335" i="21"/>
  <c r="C336" i="21" s="1"/>
  <c r="D336" i="21" s="1"/>
  <c r="E336" i="21" s="1"/>
  <c r="A485" i="21"/>
  <c r="G484" i="21"/>
  <c r="F469" i="22"/>
  <c r="A470" i="22"/>
  <c r="H336" i="21" l="1"/>
  <c r="C337" i="21" s="1"/>
  <c r="D337" i="21" s="1"/>
  <c r="I336" i="21"/>
  <c r="F336" i="21"/>
  <c r="F470" i="22"/>
  <c r="A471" i="22"/>
  <c r="G485" i="21"/>
  <c r="A486" i="21"/>
  <c r="F337" i="21" l="1"/>
  <c r="E337" i="21"/>
  <c r="A487" i="21"/>
  <c r="G486" i="21"/>
  <c r="F471" i="22"/>
  <c r="A472" i="22"/>
  <c r="H337" i="21" l="1"/>
  <c r="C338" i="21" s="1"/>
  <c r="D338" i="21" s="1"/>
  <c r="E338" i="21" s="1"/>
  <c r="I337" i="21"/>
  <c r="F472" i="22"/>
  <c r="A473" i="22"/>
  <c r="G487" i="21"/>
  <c r="A488" i="21"/>
  <c r="H338" i="21" l="1"/>
  <c r="C339" i="21" s="1"/>
  <c r="D339" i="21" s="1"/>
  <c r="E339" i="21" s="1"/>
  <c r="I338" i="21"/>
  <c r="F338" i="21"/>
  <c r="A474" i="22"/>
  <c r="F473" i="22"/>
  <c r="A489" i="21"/>
  <c r="G488" i="21"/>
  <c r="H339" i="21" l="1"/>
  <c r="C340" i="21" s="1"/>
  <c r="D340" i="21" s="1"/>
  <c r="E340" i="21" s="1"/>
  <c r="I339" i="21"/>
  <c r="F339" i="21"/>
  <c r="G489" i="21"/>
  <c r="A490" i="21"/>
  <c r="A475" i="22"/>
  <c r="F474" i="22"/>
  <c r="H340" i="21" l="1"/>
  <c r="C341" i="21" s="1"/>
  <c r="D341" i="21" s="1"/>
  <c r="I340" i="21"/>
  <c r="F340" i="21"/>
  <c r="F475" i="22"/>
  <c r="A476" i="22"/>
  <c r="G490" i="21"/>
  <c r="A491" i="21"/>
  <c r="F341" i="21" l="1"/>
  <c r="E341" i="21"/>
  <c r="F476" i="22"/>
  <c r="A477" i="22"/>
  <c r="G491" i="21"/>
  <c r="A492" i="21"/>
  <c r="H341" i="21" l="1"/>
  <c r="C342" i="21" s="1"/>
  <c r="D342" i="21" s="1"/>
  <c r="E342" i="21" s="1"/>
  <c r="I341" i="21"/>
  <c r="G492" i="21"/>
  <c r="A493" i="21"/>
  <c r="A478" i="22"/>
  <c r="F477" i="22"/>
  <c r="H342" i="21" l="1"/>
  <c r="C343" i="21" s="1"/>
  <c r="D343" i="21" s="1"/>
  <c r="I342" i="21"/>
  <c r="F342" i="21"/>
  <c r="F478" i="22"/>
  <c r="A479" i="22"/>
  <c r="A494" i="21"/>
  <c r="G493" i="21"/>
  <c r="F343" i="21" l="1"/>
  <c r="E343" i="21"/>
  <c r="A480" i="22"/>
  <c r="F479" i="22"/>
  <c r="A495" i="21"/>
  <c r="G494" i="21"/>
  <c r="H343" i="21" l="1"/>
  <c r="C344" i="21" s="1"/>
  <c r="D344" i="21" s="1"/>
  <c r="E344" i="21" s="1"/>
  <c r="I343" i="21"/>
  <c r="G495" i="21"/>
  <c r="A496" i="21"/>
  <c r="A481" i="22"/>
  <c r="F480" i="22"/>
  <c r="H344" i="21" l="1"/>
  <c r="C345" i="21" s="1"/>
  <c r="D345" i="21" s="1"/>
  <c r="E345" i="21" s="1"/>
  <c r="I344" i="21"/>
  <c r="F344" i="21"/>
  <c r="A482" i="22"/>
  <c r="F481" i="22"/>
  <c r="A497" i="21"/>
  <c r="G496" i="21"/>
  <c r="H345" i="21" l="1"/>
  <c r="C346" i="21" s="1"/>
  <c r="D346" i="21" s="1"/>
  <c r="I345" i="21"/>
  <c r="F345" i="21"/>
  <c r="G497" i="21"/>
  <c r="A498" i="21"/>
  <c r="F482" i="22"/>
  <c r="A483" i="22"/>
  <c r="F346" i="21" l="1"/>
  <c r="E346" i="21"/>
  <c r="G498" i="21"/>
  <c r="A499" i="21"/>
  <c r="F483" i="22"/>
  <c r="A484" i="22"/>
  <c r="H346" i="21" l="1"/>
  <c r="C347" i="21" s="1"/>
  <c r="D347" i="21" s="1"/>
  <c r="E347" i="21" s="1"/>
  <c r="I346" i="21"/>
  <c r="F484" i="22"/>
  <c r="A485" i="22"/>
  <c r="G499" i="21"/>
  <c r="A500" i="21"/>
  <c r="I347" i="21" l="1"/>
  <c r="F347" i="21"/>
  <c r="H347" i="21"/>
  <c r="C348" i="21" s="1"/>
  <c r="D348" i="21" s="1"/>
  <c r="E348" i="21" s="1"/>
  <c r="G500" i="21"/>
  <c r="A501" i="21"/>
  <c r="F485" i="22"/>
  <c r="A486" i="22"/>
  <c r="H348" i="21" l="1"/>
  <c r="C349" i="21" s="1"/>
  <c r="D349" i="21" s="1"/>
  <c r="E349" i="21" s="1"/>
  <c r="I348" i="21"/>
  <c r="F348" i="21"/>
  <c r="G501" i="21"/>
  <c r="A502" i="21"/>
  <c r="F486" i="22"/>
  <c r="A487" i="22"/>
  <c r="H349" i="21" l="1"/>
  <c r="C350" i="21" s="1"/>
  <c r="D350" i="21" s="1"/>
  <c r="I349" i="21"/>
  <c r="F349" i="21"/>
  <c r="G502" i="21"/>
  <c r="A503" i="21"/>
  <c r="F487" i="22"/>
  <c r="A488" i="22"/>
  <c r="F350" i="21" l="1"/>
  <c r="E350" i="21"/>
  <c r="I350" i="21" s="1"/>
  <c r="A489" i="22"/>
  <c r="F488" i="22"/>
  <c r="G503" i="21"/>
  <c r="A504" i="21"/>
  <c r="H350" i="21" l="1"/>
  <c r="C351" i="21" s="1"/>
  <c r="D351" i="21" s="1"/>
  <c r="A505" i="21"/>
  <c r="G504" i="21"/>
  <c r="A490" i="22"/>
  <c r="F489" i="22"/>
  <c r="F351" i="21" l="1"/>
  <c r="E351" i="21"/>
  <c r="A491" i="22"/>
  <c r="F490" i="22"/>
  <c r="A506" i="21"/>
  <c r="G505" i="21"/>
  <c r="H351" i="21" l="1"/>
  <c r="C352" i="21" s="1"/>
  <c r="D352" i="21" s="1"/>
  <c r="E352" i="21" s="1"/>
  <c r="I351" i="21"/>
  <c r="G506" i="21"/>
  <c r="A507" i="21"/>
  <c r="A492" i="22"/>
  <c r="F491" i="22"/>
  <c r="H352" i="21" l="1"/>
  <c r="C353" i="21" s="1"/>
  <c r="D353" i="21" s="1"/>
  <c r="E353" i="21" s="1"/>
  <c r="I352" i="21"/>
  <c r="F352" i="21"/>
  <c r="A493" i="22"/>
  <c r="G507" i="21"/>
  <c r="A508" i="21"/>
  <c r="H353" i="21" l="1"/>
  <c r="C354" i="21" s="1"/>
  <c r="D354" i="21" s="1"/>
  <c r="E354" i="21" s="1"/>
  <c r="I353" i="21"/>
  <c r="F353" i="21"/>
  <c r="A494" i="22"/>
  <c r="G508" i="21"/>
  <c r="A509" i="21"/>
  <c r="H354" i="21" l="1"/>
  <c r="C355" i="21" s="1"/>
  <c r="D355" i="21" s="1"/>
  <c r="E355" i="21" s="1"/>
  <c r="I354" i="21"/>
  <c r="F354" i="21"/>
  <c r="G509" i="21"/>
  <c r="A510" i="21"/>
  <c r="A495" i="22"/>
  <c r="H355" i="21" l="1"/>
  <c r="C356" i="21" s="1"/>
  <c r="D356" i="21" s="1"/>
  <c r="E356" i="21" s="1"/>
  <c r="I355" i="21"/>
  <c r="F355" i="21"/>
  <c r="A496" i="22"/>
  <c r="A511" i="21"/>
  <c r="G510" i="21"/>
  <c r="H356" i="21" l="1"/>
  <c r="C357" i="21" s="1"/>
  <c r="D357" i="21" s="1"/>
  <c r="E357" i="21" s="1"/>
  <c r="I356" i="21"/>
  <c r="F356" i="21"/>
  <c r="A497" i="22"/>
  <c r="A512" i="21"/>
  <c r="G511" i="21"/>
  <c r="H357" i="21" l="1"/>
  <c r="C358" i="21" s="1"/>
  <c r="D358" i="21" s="1"/>
  <c r="E358" i="21" s="1"/>
  <c r="I357" i="21"/>
  <c r="F357" i="21"/>
  <c r="A513" i="21"/>
  <c r="G512" i="21"/>
  <c r="A498" i="22"/>
  <c r="H358" i="21" l="1"/>
  <c r="C359" i="21" s="1"/>
  <c r="D359" i="21" s="1"/>
  <c r="E359" i="21" s="1"/>
  <c r="I358" i="21"/>
  <c r="F358" i="21"/>
  <c r="A499" i="22"/>
  <c r="A514" i="21"/>
  <c r="G513" i="21"/>
  <c r="I359" i="21" l="1"/>
  <c r="F359" i="21"/>
  <c r="H359" i="21"/>
  <c r="C360" i="21" s="1"/>
  <c r="D360" i="21" s="1"/>
  <c r="G514" i="21"/>
  <c r="A515" i="21"/>
  <c r="A500" i="22"/>
  <c r="F360" i="21" l="1"/>
  <c r="E360" i="21"/>
  <c r="I360" i="21" s="1"/>
  <c r="A501" i="22"/>
  <c r="P55" i="21"/>
  <c r="P56" i="21" s="1"/>
  <c r="P57" i="21" s="1"/>
  <c r="G515" i="21"/>
  <c r="A516" i="21"/>
  <c r="H360" i="21" l="1"/>
  <c r="C361" i="21" s="1"/>
  <c r="D361" i="21" s="1"/>
  <c r="A517" i="21"/>
  <c r="G516" i="21"/>
  <c r="A502" i="22"/>
  <c r="F361" i="21" l="1"/>
  <c r="E361" i="21"/>
  <c r="I361" i="21" s="1"/>
  <c r="A503" i="22"/>
  <c r="A518" i="21"/>
  <c r="G517" i="21"/>
  <c r="H361" i="21" l="1"/>
  <c r="C362" i="21" s="1"/>
  <c r="D362" i="21" s="1"/>
  <c r="E362" i="21" s="1"/>
  <c r="A504" i="22"/>
  <c r="A519" i="21"/>
  <c r="G518" i="21"/>
  <c r="H362" i="21" l="1"/>
  <c r="C363" i="21" s="1"/>
  <c r="D363" i="21" s="1"/>
  <c r="I362" i="21"/>
  <c r="F362" i="21"/>
  <c r="A505" i="22"/>
  <c r="A520" i="21"/>
  <c r="G519" i="21"/>
  <c r="F363" i="21" l="1"/>
  <c r="E363" i="21"/>
  <c r="I363" i="21" s="1"/>
  <c r="A521" i="21"/>
  <c r="G520" i="21"/>
  <c r="A506" i="22"/>
  <c r="H363" i="21" l="1"/>
  <c r="C364" i="21" s="1"/>
  <c r="D364" i="21" s="1"/>
  <c r="A507" i="22"/>
  <c r="A522" i="21"/>
  <c r="G521" i="21"/>
  <c r="F364" i="21" l="1"/>
  <c r="E364" i="21"/>
  <c r="A523" i="21"/>
  <c r="G522" i="21"/>
  <c r="A508" i="22"/>
  <c r="H364" i="21" l="1"/>
  <c r="C365" i="21" s="1"/>
  <c r="D365" i="21" s="1"/>
  <c r="I364" i="21"/>
  <c r="A509" i="22"/>
  <c r="G523" i="21"/>
  <c r="A524" i="21"/>
  <c r="F365" i="21" l="1"/>
  <c r="E365" i="21"/>
  <c r="G524" i="21"/>
  <c r="A525" i="21"/>
  <c r="A510" i="22"/>
  <c r="H365" i="21" l="1"/>
  <c r="C366" i="21" s="1"/>
  <c r="D366" i="21" s="1"/>
  <c r="E366" i="21" s="1"/>
  <c r="I365" i="21"/>
  <c r="A511" i="22"/>
  <c r="A526" i="21"/>
  <c r="G525" i="21"/>
  <c r="H366" i="21" l="1"/>
  <c r="C367" i="21" s="1"/>
  <c r="D367" i="21" s="1"/>
  <c r="E367" i="21" s="1"/>
  <c r="I366" i="21"/>
  <c r="F366" i="21"/>
  <c r="A527" i="21"/>
  <c r="G526" i="21"/>
  <c r="A512" i="22"/>
  <c r="H367" i="21" l="1"/>
  <c r="C368" i="21" s="1"/>
  <c r="D368" i="21" s="1"/>
  <c r="I367" i="21"/>
  <c r="F367" i="21"/>
  <c r="A513" i="22"/>
  <c r="G527" i="21"/>
  <c r="A528" i="21"/>
  <c r="F368" i="21" l="1"/>
  <c r="E368" i="21"/>
  <c r="A529" i="21"/>
  <c r="G528" i="21"/>
  <c r="A514" i="22"/>
  <c r="H368" i="21" l="1"/>
  <c r="C369" i="21" s="1"/>
  <c r="D369" i="21" s="1"/>
  <c r="E369" i="21" s="1"/>
  <c r="I368" i="21"/>
  <c r="A515" i="22"/>
  <c r="A530" i="21"/>
  <c r="G529" i="21"/>
  <c r="I369" i="21" l="1"/>
  <c r="F369" i="21"/>
  <c r="H369" i="21"/>
  <c r="C370" i="21" s="1"/>
  <c r="D370" i="21" s="1"/>
  <c r="E370" i="21" s="1"/>
  <c r="G530" i="21"/>
  <c r="A531" i="21"/>
  <c r="A516" i="22"/>
  <c r="H370" i="21" l="1"/>
  <c r="C371" i="21" s="1"/>
  <c r="D371" i="21" s="1"/>
  <c r="E371" i="21" s="1"/>
  <c r="I370" i="21"/>
  <c r="F370" i="21"/>
  <c r="A517" i="22"/>
  <c r="G531" i="21"/>
  <c r="A532" i="21"/>
  <c r="H371" i="21" l="1"/>
  <c r="C372" i="21" s="1"/>
  <c r="D372" i="21" s="1"/>
  <c r="I371" i="21"/>
  <c r="F371" i="21"/>
  <c r="A533" i="21"/>
  <c r="G532" i="21"/>
  <c r="A518" i="22"/>
  <c r="F372" i="21" l="1"/>
  <c r="E372" i="21"/>
  <c r="G533" i="21"/>
  <c r="A534" i="21"/>
  <c r="A519" i="22"/>
  <c r="H372" i="21" l="1"/>
  <c r="C373" i="21" s="1"/>
  <c r="D373" i="21" s="1"/>
  <c r="I372" i="21"/>
  <c r="A520" i="22"/>
  <c r="A535" i="21"/>
  <c r="G534" i="21"/>
  <c r="F373" i="21" l="1"/>
  <c r="E373" i="21"/>
  <c r="I373" i="21" s="1"/>
  <c r="A521" i="22"/>
  <c r="G535" i="21"/>
  <c r="A536" i="21"/>
  <c r="H373" i="21" l="1"/>
  <c r="C374" i="21" s="1"/>
  <c r="D374" i="21" s="1"/>
  <c r="E374" i="21" s="1"/>
  <c r="A522" i="22"/>
  <c r="A537" i="21"/>
  <c r="G536" i="21"/>
  <c r="H374" i="21" l="1"/>
  <c r="C375" i="21" s="1"/>
  <c r="D375" i="21" s="1"/>
  <c r="I374" i="21"/>
  <c r="F374" i="21"/>
  <c r="G537" i="21"/>
  <c r="A538" i="21"/>
  <c r="A523" i="22"/>
  <c r="F375" i="21" l="1"/>
  <c r="E375" i="21"/>
  <c r="A539" i="21"/>
  <c r="G538" i="21"/>
  <c r="A524" i="22"/>
  <c r="H375" i="21" l="1"/>
  <c r="C376" i="21" s="1"/>
  <c r="D376" i="21" s="1"/>
  <c r="I375" i="21"/>
  <c r="G539" i="21"/>
  <c r="A540" i="21"/>
  <c r="A525" i="22"/>
  <c r="F376" i="21" l="1"/>
  <c r="E376" i="21"/>
  <c r="A526" i="22"/>
  <c r="A541" i="21"/>
  <c r="G540" i="21"/>
  <c r="H376" i="21" l="1"/>
  <c r="C377" i="21" s="1"/>
  <c r="D377" i="21" s="1"/>
  <c r="E377" i="21" s="1"/>
  <c r="I376" i="21"/>
  <c r="G541" i="21"/>
  <c r="A542" i="21"/>
  <c r="A527" i="22"/>
  <c r="H377" i="21" l="1"/>
  <c r="C378" i="21" s="1"/>
  <c r="D378" i="21" s="1"/>
  <c r="I377" i="21"/>
  <c r="F377" i="21"/>
  <c r="G542" i="21"/>
  <c r="A543" i="21"/>
  <c r="A528" i="22"/>
  <c r="F378" i="21" l="1"/>
  <c r="E378" i="21"/>
  <c r="A529" i="22"/>
  <c r="G543" i="21"/>
  <c r="A544" i="21"/>
  <c r="H378" i="21" l="1"/>
  <c r="C379" i="21" s="1"/>
  <c r="D379" i="21" s="1"/>
  <c r="E379" i="21" s="1"/>
  <c r="I378" i="21"/>
  <c r="G544" i="21"/>
  <c r="A545" i="21"/>
  <c r="A530" i="22"/>
  <c r="H379" i="21" l="1"/>
  <c r="C380" i="21" s="1"/>
  <c r="D380" i="21" s="1"/>
  <c r="E380" i="21" s="1"/>
  <c r="I379" i="21"/>
  <c r="F379" i="21"/>
  <c r="A531" i="22"/>
  <c r="G545" i="21"/>
  <c r="A546" i="21"/>
  <c r="H380" i="21" l="1"/>
  <c r="C381" i="21" s="1"/>
  <c r="D381" i="21" s="1"/>
  <c r="E381" i="21" s="1"/>
  <c r="I380" i="21"/>
  <c r="F380" i="21"/>
  <c r="G546" i="21"/>
  <c r="A547" i="21"/>
  <c r="A532" i="22"/>
  <c r="H381" i="21" l="1"/>
  <c r="C382" i="21" s="1"/>
  <c r="D382" i="21" s="1"/>
  <c r="I381" i="21"/>
  <c r="F381" i="21"/>
  <c r="A533" i="22"/>
  <c r="G547" i="21"/>
  <c r="A548" i="21"/>
  <c r="F382" i="21" l="1"/>
  <c r="E382" i="21"/>
  <c r="A534" i="22"/>
  <c r="G548" i="21"/>
  <c r="A549" i="21"/>
  <c r="H382" i="21" l="1"/>
  <c r="C383" i="21" s="1"/>
  <c r="D383" i="21" s="1"/>
  <c r="E383" i="21" s="1"/>
  <c r="I382" i="21"/>
  <c r="G549" i="21"/>
  <c r="A550" i="21"/>
  <c r="A535" i="22"/>
  <c r="H383" i="21" l="1"/>
  <c r="C384" i="21" s="1"/>
  <c r="D384" i="21" s="1"/>
  <c r="E384" i="21" s="1"/>
  <c r="I383" i="21"/>
  <c r="F383" i="21"/>
  <c r="A536" i="22"/>
  <c r="G550" i="21"/>
  <c r="A551" i="21"/>
  <c r="H384" i="21" l="1"/>
  <c r="C385" i="21" s="1"/>
  <c r="D385" i="21" s="1"/>
  <c r="I384" i="21"/>
  <c r="F384" i="21"/>
  <c r="G551" i="21"/>
  <c r="A552" i="21"/>
  <c r="A537" i="22"/>
  <c r="F385" i="21" l="1"/>
  <c r="E385" i="21"/>
  <c r="G552" i="21"/>
  <c r="A553" i="21"/>
  <c r="A538" i="22"/>
  <c r="H385" i="21" l="1"/>
  <c r="C386" i="21" s="1"/>
  <c r="D386" i="21" s="1"/>
  <c r="E386" i="21" s="1"/>
  <c r="I385" i="21"/>
  <c r="A539" i="22"/>
  <c r="G553" i="21"/>
  <c r="A554" i="21"/>
  <c r="H386" i="21" l="1"/>
  <c r="C387" i="21" s="1"/>
  <c r="D387" i="21" s="1"/>
  <c r="I386" i="21"/>
  <c r="F386" i="21"/>
  <c r="A540" i="22"/>
  <c r="G554" i="21"/>
  <c r="A555" i="21"/>
  <c r="F387" i="21" l="1"/>
  <c r="E387" i="21"/>
  <c r="G555" i="21"/>
  <c r="A556" i="21"/>
  <c r="A541" i="22"/>
  <c r="H387" i="21" l="1"/>
  <c r="C388" i="21" s="1"/>
  <c r="D388" i="21" s="1"/>
  <c r="I387" i="21"/>
  <c r="A542" i="22"/>
  <c r="G556" i="21"/>
  <c r="A557" i="21"/>
  <c r="F388" i="21" l="1"/>
  <c r="E388" i="21"/>
  <c r="A558" i="21"/>
  <c r="G557" i="21"/>
  <c r="A543" i="22"/>
  <c r="H388" i="21" l="1"/>
  <c r="C389" i="21" s="1"/>
  <c r="D389" i="21" s="1"/>
  <c r="I388" i="21"/>
  <c r="A559" i="21"/>
  <c r="G558" i="21"/>
  <c r="A544" i="22"/>
  <c r="F389" i="21" l="1"/>
  <c r="E389" i="21"/>
  <c r="A545" i="22"/>
  <c r="G559" i="21"/>
  <c r="A560" i="21"/>
  <c r="H389" i="21" l="1"/>
  <c r="C390" i="21" s="1"/>
  <c r="D390" i="21" s="1"/>
  <c r="I389" i="21"/>
  <c r="G560" i="21"/>
  <c r="A561" i="21"/>
  <c r="A546" i="22"/>
  <c r="F390" i="21" l="1"/>
  <c r="E390" i="21"/>
  <c r="A547" i="22"/>
  <c r="G561" i="21"/>
  <c r="A562" i="21"/>
  <c r="H390" i="21" l="1"/>
  <c r="C391" i="21" s="1"/>
  <c r="D391" i="21" s="1"/>
  <c r="E391" i="21" s="1"/>
  <c r="I390" i="21"/>
  <c r="G562" i="21"/>
  <c r="A563" i="21"/>
  <c r="A548" i="22"/>
  <c r="H391" i="21" l="1"/>
  <c r="C392" i="21" s="1"/>
  <c r="D392" i="21" s="1"/>
  <c r="I391" i="21"/>
  <c r="F391" i="21"/>
  <c r="A564" i="21"/>
  <c r="G563" i="21"/>
  <c r="A549" i="22"/>
  <c r="F392" i="21" l="1"/>
  <c r="E392" i="21"/>
  <c r="A550" i="22"/>
  <c r="A565" i="21"/>
  <c r="G564" i="21"/>
  <c r="H392" i="21" l="1"/>
  <c r="C393" i="21" s="1"/>
  <c r="D393" i="21" s="1"/>
  <c r="E393" i="21" s="1"/>
  <c r="I392" i="21"/>
  <c r="A566" i="21"/>
  <c r="G565" i="21"/>
  <c r="A551" i="22"/>
  <c r="T19" i="19" l="1"/>
  <c r="T18" i="19"/>
  <c r="T16" i="19"/>
  <c r="T15" i="19"/>
  <c r="T17" i="19"/>
  <c r="I393" i="21"/>
  <c r="F393" i="21"/>
  <c r="H393" i="21"/>
  <c r="C394" i="21" s="1"/>
  <c r="D394" i="21" s="1"/>
  <c r="E394" i="21" s="1"/>
  <c r="A552" i="22"/>
  <c r="G566" i="21"/>
  <c r="A567" i="21"/>
  <c r="H394" i="21" l="1"/>
  <c r="C395" i="21" s="1"/>
  <c r="D395" i="21" s="1"/>
  <c r="E395" i="21" s="1"/>
  <c r="I394" i="21"/>
  <c r="F394" i="21"/>
  <c r="G567" i="21"/>
  <c r="A568" i="21"/>
  <c r="A553" i="22"/>
  <c r="I395" i="21" l="1"/>
  <c r="F395" i="21"/>
  <c r="H395" i="21"/>
  <c r="C396" i="21" s="1"/>
  <c r="D396" i="21" s="1"/>
  <c r="E396" i="21" s="1"/>
  <c r="A554" i="22"/>
  <c r="A569" i="21"/>
  <c r="G568" i="21"/>
  <c r="I396" i="21" l="1"/>
  <c r="F396" i="21"/>
  <c r="H396" i="21"/>
  <c r="C397" i="21" s="1"/>
  <c r="D397" i="21" s="1"/>
  <c r="E397" i="21" s="1"/>
  <c r="G569" i="21"/>
  <c r="A570" i="21"/>
  <c r="A555" i="22"/>
  <c r="I397" i="21" l="1"/>
  <c r="F397" i="21"/>
  <c r="H397" i="21"/>
  <c r="C398" i="21" s="1"/>
  <c r="D398" i="21" s="1"/>
  <c r="E398" i="21" s="1"/>
  <c r="G570" i="21"/>
  <c r="A571" i="21"/>
  <c r="A556" i="22"/>
  <c r="H398" i="21" l="1"/>
  <c r="C399" i="21" s="1"/>
  <c r="D399" i="21" s="1"/>
  <c r="E399" i="21" s="1"/>
  <c r="I398" i="21"/>
  <c r="F398" i="21"/>
  <c r="G571" i="21"/>
  <c r="A572" i="21"/>
  <c r="A557" i="22"/>
  <c r="I399" i="21" l="1"/>
  <c r="F399" i="21"/>
  <c r="H399" i="21"/>
  <c r="C400" i="21" s="1"/>
  <c r="D400" i="21" s="1"/>
  <c r="E400" i="21" s="1"/>
  <c r="A558" i="22"/>
  <c r="A573" i="21"/>
  <c r="G572" i="21"/>
  <c r="H400" i="21" l="1"/>
  <c r="C401" i="21" s="1"/>
  <c r="D401" i="21" s="1"/>
  <c r="E401" i="21" s="1"/>
  <c r="I400" i="21"/>
  <c r="F400" i="21"/>
  <c r="A574" i="21"/>
  <c r="G573" i="21"/>
  <c r="A559" i="22"/>
  <c r="H401" i="21" l="1"/>
  <c r="C402" i="21" s="1"/>
  <c r="D402" i="21" s="1"/>
  <c r="E402" i="21" s="1"/>
  <c r="I401" i="21"/>
  <c r="F401" i="21"/>
  <c r="A560" i="22"/>
  <c r="A575" i="21"/>
  <c r="G574" i="21"/>
  <c r="H402" i="21" l="1"/>
  <c r="C403" i="21" s="1"/>
  <c r="D403" i="21" s="1"/>
  <c r="E403" i="21" s="1"/>
  <c r="I402" i="21"/>
  <c r="F402" i="21"/>
  <c r="A576" i="21"/>
  <c r="G575" i="21"/>
  <c r="A561" i="22"/>
  <c r="I403" i="21" l="1"/>
  <c r="F403" i="21"/>
  <c r="H403" i="21"/>
  <c r="C404" i="21" s="1"/>
  <c r="D404" i="21" s="1"/>
  <c r="E404" i="21" s="1"/>
  <c r="A562" i="22"/>
  <c r="G576" i="21"/>
  <c r="A577" i="21"/>
  <c r="H404" i="21" l="1"/>
  <c r="C405" i="21" s="1"/>
  <c r="D405" i="21" s="1"/>
  <c r="E405" i="21" s="1"/>
  <c r="I404" i="21"/>
  <c r="F404" i="21"/>
  <c r="G577" i="21"/>
  <c r="A578" i="21"/>
  <c r="A563" i="22"/>
  <c r="I405" i="21" l="1"/>
  <c r="F405" i="21"/>
  <c r="H405" i="21"/>
  <c r="C406" i="21" s="1"/>
  <c r="D406" i="21" s="1"/>
  <c r="E406" i="21" s="1"/>
  <c r="A564" i="22"/>
  <c r="A579" i="21"/>
  <c r="G578" i="21"/>
  <c r="I406" i="21" l="1"/>
  <c r="F406" i="21"/>
  <c r="H406" i="21"/>
  <c r="C407" i="21" s="1"/>
  <c r="D407" i="21" s="1"/>
  <c r="E407" i="21" s="1"/>
  <c r="A565" i="22"/>
  <c r="G579" i="21"/>
  <c r="A580" i="21"/>
  <c r="I407" i="21" l="1"/>
  <c r="F407" i="21"/>
  <c r="H407" i="21"/>
  <c r="C408" i="21" s="1"/>
  <c r="D408" i="21" s="1"/>
  <c r="E408" i="21" s="1"/>
  <c r="G580" i="21"/>
  <c r="A581" i="21"/>
  <c r="A566" i="22"/>
  <c r="I408" i="21" l="1"/>
  <c r="F408" i="21"/>
  <c r="H408" i="21"/>
  <c r="C409" i="21" s="1"/>
  <c r="D409" i="21" s="1"/>
  <c r="E409" i="21" s="1"/>
  <c r="G581" i="21"/>
  <c r="A582" i="21"/>
  <c r="A567" i="22"/>
  <c r="I409" i="21" l="1"/>
  <c r="F409" i="21"/>
  <c r="H409" i="21"/>
  <c r="C410" i="21" s="1"/>
  <c r="D410" i="21" s="1"/>
  <c r="E410" i="21" s="1"/>
  <c r="A583" i="21"/>
  <c r="G582" i="21"/>
  <c r="A568" i="22"/>
  <c r="I410" i="21" l="1"/>
  <c r="F410" i="21"/>
  <c r="H410" i="21"/>
  <c r="C411" i="21" s="1"/>
  <c r="D411" i="21" s="1"/>
  <c r="E411" i="21" s="1"/>
  <c r="A569" i="22"/>
  <c r="A584" i="21"/>
  <c r="G583" i="21"/>
  <c r="H411" i="21" l="1"/>
  <c r="C412" i="21" s="1"/>
  <c r="D412" i="21" s="1"/>
  <c r="E412" i="21" s="1"/>
  <c r="I411" i="21"/>
  <c r="F411" i="21"/>
  <c r="A585" i="21"/>
  <c r="G584" i="21"/>
  <c r="A570" i="22"/>
  <c r="H412" i="21" l="1"/>
  <c r="C413" i="21" s="1"/>
  <c r="D413" i="21" s="1"/>
  <c r="E413" i="21" s="1"/>
  <c r="I412" i="21"/>
  <c r="F412" i="21"/>
  <c r="A571" i="22"/>
  <c r="G585" i="21"/>
  <c r="A586" i="21"/>
  <c r="H413" i="21" l="1"/>
  <c r="C414" i="21" s="1"/>
  <c r="D414" i="21" s="1"/>
  <c r="E414" i="21" s="1"/>
  <c r="I413" i="21"/>
  <c r="F413" i="21"/>
  <c r="A572" i="22"/>
  <c r="A587" i="21"/>
  <c r="G586" i="21"/>
  <c r="I414" i="21" l="1"/>
  <c r="F414" i="21"/>
  <c r="H414" i="21"/>
  <c r="C415" i="21" s="1"/>
  <c r="D415" i="21" s="1"/>
  <c r="E415" i="21" s="1"/>
  <c r="G587" i="21"/>
  <c r="A588" i="21"/>
  <c r="A573" i="22"/>
  <c r="H415" i="21" l="1"/>
  <c r="C416" i="21" s="1"/>
  <c r="D416" i="21" s="1"/>
  <c r="E416" i="21" s="1"/>
  <c r="I415" i="21"/>
  <c r="F415" i="21"/>
  <c r="A574" i="22"/>
  <c r="A589" i="21"/>
  <c r="G588" i="21"/>
  <c r="I416" i="21" l="1"/>
  <c r="F416" i="21"/>
  <c r="H416" i="21"/>
  <c r="C417" i="21" s="1"/>
  <c r="D417" i="21" s="1"/>
  <c r="E417" i="21" s="1"/>
  <c r="A575" i="22"/>
  <c r="A590" i="21"/>
  <c r="G589" i="21"/>
  <c r="H417" i="21" l="1"/>
  <c r="C418" i="21" s="1"/>
  <c r="D418" i="21" s="1"/>
  <c r="E418" i="21" s="1"/>
  <c r="I417" i="21"/>
  <c r="F417" i="21"/>
  <c r="G590" i="21"/>
  <c r="A591" i="21"/>
  <c r="A576" i="22"/>
  <c r="I418" i="21" l="1"/>
  <c r="F418" i="21"/>
  <c r="H418" i="21"/>
  <c r="C419" i="21" s="1"/>
  <c r="D419" i="21" s="1"/>
  <c r="E419" i="21" s="1"/>
  <c r="A577" i="22"/>
  <c r="A592" i="21"/>
  <c r="G591" i="21"/>
  <c r="H419" i="21" l="1"/>
  <c r="C420" i="21" s="1"/>
  <c r="D420" i="21" s="1"/>
  <c r="E420" i="21" s="1"/>
  <c r="I419" i="21"/>
  <c r="F419" i="21"/>
  <c r="G592" i="21"/>
  <c r="A593" i="21"/>
  <c r="A578" i="22"/>
  <c r="H420" i="21" l="1"/>
  <c r="C421" i="21" s="1"/>
  <c r="D421" i="21" s="1"/>
  <c r="E421" i="21" s="1"/>
  <c r="I420" i="21"/>
  <c r="F420" i="21"/>
  <c r="G593" i="21"/>
  <c r="A594" i="21"/>
  <c r="A579" i="22"/>
  <c r="I421" i="21" l="1"/>
  <c r="F421" i="21"/>
  <c r="H421" i="21"/>
  <c r="C422" i="21" s="1"/>
  <c r="D422" i="21" s="1"/>
  <c r="E422" i="21" s="1"/>
  <c r="A580" i="22"/>
  <c r="A595" i="21"/>
  <c r="G594" i="21"/>
  <c r="H422" i="21" l="1"/>
  <c r="C423" i="21" s="1"/>
  <c r="D423" i="21" s="1"/>
  <c r="E423" i="21" s="1"/>
  <c r="I422" i="21"/>
  <c r="F422" i="21"/>
  <c r="G595" i="21"/>
  <c r="A596" i="21"/>
  <c r="A581" i="22"/>
  <c r="I423" i="21" l="1"/>
  <c r="F423" i="21"/>
  <c r="H423" i="21"/>
  <c r="C424" i="21" s="1"/>
  <c r="D424" i="21" s="1"/>
  <c r="E424" i="21" s="1"/>
  <c r="A597" i="21"/>
  <c r="G596" i="21"/>
  <c r="A582" i="22"/>
  <c r="I424" i="21" l="1"/>
  <c r="F424" i="21"/>
  <c r="H424" i="21"/>
  <c r="C425" i="21" s="1"/>
  <c r="D425" i="21" s="1"/>
  <c r="E425" i="21" s="1"/>
  <c r="A583" i="22"/>
  <c r="G597" i="21"/>
  <c r="A598" i="21"/>
  <c r="H425" i="21" l="1"/>
  <c r="C426" i="21" s="1"/>
  <c r="D426" i="21" s="1"/>
  <c r="E426" i="21" s="1"/>
  <c r="I425" i="21"/>
  <c r="F425" i="21"/>
  <c r="G598" i="21"/>
  <c r="A599" i="21"/>
  <c r="A584" i="22"/>
  <c r="I426" i="21" l="1"/>
  <c r="F426" i="21"/>
  <c r="H426" i="21"/>
  <c r="C427" i="21" s="1"/>
  <c r="D427" i="21" s="1"/>
  <c r="E427" i="21" s="1"/>
  <c r="G599" i="21"/>
  <c r="A600" i="21"/>
  <c r="A585" i="22"/>
  <c r="H427" i="21" l="1"/>
  <c r="C428" i="21" s="1"/>
  <c r="D428" i="21" s="1"/>
  <c r="E428" i="21" s="1"/>
  <c r="I427" i="21"/>
  <c r="F427" i="21"/>
  <c r="A586" i="22"/>
  <c r="A601" i="21"/>
  <c r="G600" i="21"/>
  <c r="I428" i="21" l="1"/>
  <c r="F428" i="21"/>
  <c r="H428" i="21"/>
  <c r="C429" i="21" s="1"/>
  <c r="D429" i="21" s="1"/>
  <c r="E429" i="21" s="1"/>
  <c r="G601" i="21"/>
  <c r="A602" i="21"/>
  <c r="A587" i="22"/>
  <c r="I429" i="21" l="1"/>
  <c r="F429" i="21"/>
  <c r="H429" i="21"/>
  <c r="C430" i="21" s="1"/>
  <c r="D430" i="21" s="1"/>
  <c r="E430" i="21" s="1"/>
  <c r="G602" i="21"/>
  <c r="A603" i="21"/>
  <c r="A588" i="22"/>
  <c r="I430" i="21" l="1"/>
  <c r="F430" i="21"/>
  <c r="H430" i="21"/>
  <c r="C431" i="21" s="1"/>
  <c r="D431" i="21" s="1"/>
  <c r="E431" i="21" s="1"/>
  <c r="A589" i="22"/>
  <c r="G603" i="21"/>
  <c r="A604" i="21"/>
  <c r="H431" i="21" l="1"/>
  <c r="C432" i="21" s="1"/>
  <c r="D432" i="21" s="1"/>
  <c r="E432" i="21" s="1"/>
  <c r="I431" i="21"/>
  <c r="F431" i="21"/>
  <c r="G604" i="21"/>
  <c r="A605" i="21"/>
  <c r="A590" i="22"/>
  <c r="I432" i="21" l="1"/>
  <c r="F432" i="21"/>
  <c r="H432" i="21"/>
  <c r="C433" i="21" s="1"/>
  <c r="D433" i="21" s="1"/>
  <c r="E433" i="21" s="1"/>
  <c r="A591" i="22"/>
  <c r="G605" i="21"/>
  <c r="A606" i="21"/>
  <c r="I433" i="21" l="1"/>
  <c r="F433" i="21"/>
  <c r="H433" i="21"/>
  <c r="C434" i="21" s="1"/>
  <c r="D434" i="21" s="1"/>
  <c r="E434" i="21" s="1"/>
  <c r="A592" i="22"/>
  <c r="G606" i="21"/>
  <c r="A607" i="21"/>
  <c r="H434" i="21" l="1"/>
  <c r="C435" i="21" s="1"/>
  <c r="D435" i="21" s="1"/>
  <c r="E435" i="21" s="1"/>
  <c r="I434" i="21"/>
  <c r="F434" i="21"/>
  <c r="G607" i="21"/>
  <c r="A608" i="21"/>
  <c r="A593" i="22"/>
  <c r="I435" i="21" l="1"/>
  <c r="F435" i="21"/>
  <c r="H435" i="21"/>
  <c r="C436" i="21" s="1"/>
  <c r="D436" i="21" s="1"/>
  <c r="E436" i="21" s="1"/>
  <c r="A594" i="22"/>
  <c r="G608" i="21"/>
  <c r="A609" i="21"/>
  <c r="H436" i="21" l="1"/>
  <c r="C437" i="21" s="1"/>
  <c r="D437" i="21" s="1"/>
  <c r="E437" i="21" s="1"/>
  <c r="I436" i="21"/>
  <c r="F436" i="21"/>
  <c r="G609" i="21"/>
  <c r="A610" i="21"/>
  <c r="A595" i="22"/>
  <c r="I437" i="21" l="1"/>
  <c r="F437" i="21"/>
  <c r="H437" i="21"/>
  <c r="C438" i="21" s="1"/>
  <c r="D438" i="21" s="1"/>
  <c r="E438" i="21" s="1"/>
  <c r="A596" i="22"/>
  <c r="G610" i="21"/>
  <c r="A611" i="21"/>
  <c r="I438" i="21" l="1"/>
  <c r="F438" i="21"/>
  <c r="H438" i="21"/>
  <c r="C439" i="21" s="1"/>
  <c r="D439" i="21" s="1"/>
  <c r="E439" i="21" s="1"/>
  <c r="A597" i="22"/>
  <c r="A612" i="21"/>
  <c r="G611" i="21"/>
  <c r="I439" i="21" l="1"/>
  <c r="F439" i="21"/>
  <c r="H439" i="21"/>
  <c r="C440" i="21" s="1"/>
  <c r="D440" i="21" s="1"/>
  <c r="E440" i="21" s="1"/>
  <c r="A598" i="22"/>
  <c r="A613" i="21"/>
  <c r="G612" i="21"/>
  <c r="I440" i="21" l="1"/>
  <c r="F440" i="21"/>
  <c r="H440" i="21"/>
  <c r="C441" i="21" s="1"/>
  <c r="D441" i="21" s="1"/>
  <c r="E441" i="21" s="1"/>
  <c r="A614" i="21"/>
  <c r="G613" i="21"/>
  <c r="A599" i="22"/>
  <c r="H441" i="21" l="1"/>
  <c r="C442" i="21" s="1"/>
  <c r="D442" i="21" s="1"/>
  <c r="E442" i="21" s="1"/>
  <c r="I441" i="21"/>
  <c r="F441" i="21"/>
  <c r="A600" i="22"/>
  <c r="G614" i="21"/>
  <c r="A615" i="21"/>
  <c r="I442" i="21" l="1"/>
  <c r="F442" i="21"/>
  <c r="H442" i="21"/>
  <c r="C443" i="21" s="1"/>
  <c r="D443" i="21" s="1"/>
  <c r="E443" i="21" s="1"/>
  <c r="G615" i="21"/>
  <c r="A616" i="21"/>
  <c r="A601" i="22"/>
  <c r="H443" i="21" l="1"/>
  <c r="C444" i="21" s="1"/>
  <c r="D444" i="21" s="1"/>
  <c r="E444" i="21" s="1"/>
  <c r="I443" i="21"/>
  <c r="F443" i="21"/>
  <c r="A602" i="22"/>
  <c r="G616" i="21"/>
  <c r="A617" i="21"/>
  <c r="I444" i="21" l="1"/>
  <c r="F444" i="21"/>
  <c r="H444" i="21"/>
  <c r="C445" i="21" s="1"/>
  <c r="D445" i="21" s="1"/>
  <c r="E445" i="21" s="1"/>
  <c r="A618" i="21"/>
  <c r="G617" i="21"/>
  <c r="A603" i="22"/>
  <c r="I445" i="21" l="1"/>
  <c r="F445" i="21"/>
  <c r="H445" i="21"/>
  <c r="C446" i="21" s="1"/>
  <c r="D446" i="21" s="1"/>
  <c r="E446" i="21" s="1"/>
  <c r="G618" i="21"/>
  <c r="A619" i="21"/>
  <c r="A604" i="22"/>
  <c r="I446" i="21" l="1"/>
  <c r="F446" i="21"/>
  <c r="H446" i="21"/>
  <c r="C447" i="21" s="1"/>
  <c r="D447" i="21" s="1"/>
  <c r="E447" i="21" s="1"/>
  <c r="A605" i="22"/>
  <c r="G619" i="21"/>
  <c r="A620" i="21"/>
  <c r="I447" i="21" l="1"/>
  <c r="F447" i="21"/>
  <c r="H447" i="21"/>
  <c r="C448" i="21" s="1"/>
  <c r="D448" i="21" s="1"/>
  <c r="E448" i="21" s="1"/>
  <c r="A621" i="21"/>
  <c r="G620" i="21"/>
  <c r="A606" i="22"/>
  <c r="H448" i="21" l="1"/>
  <c r="C449" i="21" s="1"/>
  <c r="D449" i="21" s="1"/>
  <c r="E449" i="21" s="1"/>
  <c r="I448" i="21"/>
  <c r="F448" i="21"/>
  <c r="A607" i="22"/>
  <c r="A622" i="21"/>
  <c r="G621" i="21"/>
  <c r="I449" i="21" l="1"/>
  <c r="F449" i="21"/>
  <c r="H449" i="21"/>
  <c r="C450" i="21" s="1"/>
  <c r="D450" i="21" s="1"/>
  <c r="E450" i="21" s="1"/>
  <c r="A623" i="21"/>
  <c r="G622" i="21"/>
  <c r="A608" i="22"/>
  <c r="I450" i="21" l="1"/>
  <c r="F450" i="21"/>
  <c r="H450" i="21"/>
  <c r="C451" i="21" s="1"/>
  <c r="D451" i="21" s="1"/>
  <c r="E451" i="21" s="1"/>
  <c r="A609" i="22"/>
  <c r="G623" i="21"/>
  <c r="A624" i="21"/>
  <c r="I451" i="21" l="1"/>
  <c r="F451" i="21"/>
  <c r="H451" i="21"/>
  <c r="C452" i="21" s="1"/>
  <c r="D452" i="21" s="1"/>
  <c r="E452" i="21" s="1"/>
  <c r="A625" i="21"/>
  <c r="G624" i="21"/>
  <c r="A610" i="22"/>
  <c r="I452" i="21" l="1"/>
  <c r="F452" i="21"/>
  <c r="H452" i="21"/>
  <c r="C453" i="21" s="1"/>
  <c r="D453" i="21" s="1"/>
  <c r="E453" i="21" s="1"/>
  <c r="A611" i="22"/>
  <c r="A626" i="21"/>
  <c r="G625" i="21"/>
  <c r="U18" i="19" l="1"/>
  <c r="U19" i="19"/>
  <c r="U17" i="19"/>
  <c r="U16" i="19"/>
  <c r="U15" i="19"/>
  <c r="I453" i="21"/>
  <c r="F453" i="21"/>
  <c r="H453" i="21"/>
  <c r="C454" i="21" s="1"/>
  <c r="D454" i="21" s="1"/>
  <c r="E454" i="21" s="1"/>
  <c r="A612" i="22"/>
  <c r="A627" i="21"/>
  <c r="G626" i="21"/>
  <c r="I454" i="21" l="1"/>
  <c r="F454" i="21"/>
  <c r="H454" i="21"/>
  <c r="C455" i="21" s="1"/>
  <c r="D455" i="21" s="1"/>
  <c r="E455" i="21" s="1"/>
  <c r="G627" i="21"/>
  <c r="A628" i="21"/>
  <c r="A613" i="22"/>
  <c r="H455" i="21" l="1"/>
  <c r="C456" i="21" s="1"/>
  <c r="D456" i="21" s="1"/>
  <c r="E456" i="21" s="1"/>
  <c r="I455" i="21"/>
  <c r="F455" i="21"/>
  <c r="A614" i="22"/>
  <c r="A629" i="21"/>
  <c r="G628" i="21"/>
  <c r="H456" i="21" l="1"/>
  <c r="C457" i="21" s="1"/>
  <c r="D457" i="21" s="1"/>
  <c r="E457" i="21" s="1"/>
  <c r="I456" i="21"/>
  <c r="F456" i="21"/>
  <c r="A615" i="22"/>
  <c r="G629" i="21"/>
  <c r="A630" i="21"/>
  <c r="I457" i="21" l="1"/>
  <c r="F457" i="21"/>
  <c r="H457" i="21"/>
  <c r="C458" i="21" s="1"/>
  <c r="D458" i="21" s="1"/>
  <c r="E458" i="21" s="1"/>
  <c r="A631" i="21"/>
  <c r="G630" i="21"/>
  <c r="A616" i="22"/>
  <c r="H458" i="21" l="1"/>
  <c r="C459" i="21" s="1"/>
  <c r="D459" i="21" s="1"/>
  <c r="E459" i="21" s="1"/>
  <c r="I458" i="21"/>
  <c r="F458" i="21"/>
  <c r="A617" i="22"/>
  <c r="A632" i="21"/>
  <c r="G631" i="21"/>
  <c r="H459" i="21" l="1"/>
  <c r="C460" i="21" s="1"/>
  <c r="D460" i="21" s="1"/>
  <c r="E460" i="21" s="1"/>
  <c r="I459" i="21"/>
  <c r="F459" i="21"/>
  <c r="A618" i="22"/>
  <c r="G632" i="21"/>
  <c r="A633" i="21"/>
  <c r="H460" i="21" l="1"/>
  <c r="C461" i="21" s="1"/>
  <c r="D461" i="21" s="1"/>
  <c r="E461" i="21" s="1"/>
  <c r="I460" i="21"/>
  <c r="F460" i="21"/>
  <c r="A634" i="21"/>
  <c r="G633" i="21"/>
  <c r="A619" i="22"/>
  <c r="I461" i="21" l="1"/>
  <c r="F461" i="21"/>
  <c r="H461" i="21"/>
  <c r="C462" i="21" s="1"/>
  <c r="D462" i="21" s="1"/>
  <c r="E462" i="21" s="1"/>
  <c r="L25" i="21"/>
  <c r="C66" i="20" s="1"/>
  <c r="L24" i="21"/>
  <c r="C65" i="20" s="1"/>
  <c r="A620" i="22"/>
  <c r="A635" i="21"/>
  <c r="G634" i="21"/>
  <c r="H462" i="21" l="1"/>
  <c r="C463" i="21" s="1"/>
  <c r="D463" i="21" s="1"/>
  <c r="E463" i="21" s="1"/>
  <c r="I462" i="21"/>
  <c r="F462" i="21"/>
  <c r="G635" i="21"/>
  <c r="A636" i="21"/>
  <c r="A621" i="22"/>
  <c r="H463" i="21" l="1"/>
  <c r="C464" i="21" s="1"/>
  <c r="D464" i="21" s="1"/>
  <c r="E464" i="21" s="1"/>
  <c r="I463" i="21"/>
  <c r="F463" i="21"/>
  <c r="A637" i="21"/>
  <c r="G636" i="21"/>
  <c r="A622" i="22"/>
  <c r="H464" i="21" l="1"/>
  <c r="C465" i="21" s="1"/>
  <c r="D465" i="21" s="1"/>
  <c r="E465" i="21" s="1"/>
  <c r="I464" i="21"/>
  <c r="F464" i="21"/>
  <c r="A623" i="22"/>
  <c r="G637" i="21"/>
  <c r="A638" i="21"/>
  <c r="H465" i="21" l="1"/>
  <c r="C466" i="21" s="1"/>
  <c r="D466" i="21" s="1"/>
  <c r="E466" i="21" s="1"/>
  <c r="I465" i="21"/>
  <c r="F465" i="21"/>
  <c r="A639" i="21"/>
  <c r="G638" i="21"/>
  <c r="A624" i="22"/>
  <c r="H466" i="21" l="1"/>
  <c r="C467" i="21" s="1"/>
  <c r="D467" i="21" s="1"/>
  <c r="E467" i="21" s="1"/>
  <c r="I466" i="21"/>
  <c r="F466" i="21"/>
  <c r="A640" i="21"/>
  <c r="G639" i="21"/>
  <c r="A625" i="22"/>
  <c r="H467" i="21" l="1"/>
  <c r="C468" i="21" s="1"/>
  <c r="D468" i="21" s="1"/>
  <c r="E468" i="21" s="1"/>
  <c r="I467" i="21"/>
  <c r="F467" i="21"/>
  <c r="A626" i="22"/>
  <c r="G640" i="21"/>
  <c r="A641" i="21"/>
  <c r="I468" i="21" l="1"/>
  <c r="F468" i="21"/>
  <c r="H468" i="21"/>
  <c r="C469" i="21" s="1"/>
  <c r="D469" i="21" s="1"/>
  <c r="E469" i="21" s="1"/>
  <c r="A627" i="22"/>
  <c r="G641" i="21"/>
  <c r="A642" i="21"/>
  <c r="I469" i="21" l="1"/>
  <c r="F469" i="21"/>
  <c r="H469" i="21"/>
  <c r="C470" i="21" s="1"/>
  <c r="D470" i="21" s="1"/>
  <c r="E470" i="21" s="1"/>
  <c r="A643" i="21"/>
  <c r="G642" i="21"/>
  <c r="A628" i="22"/>
  <c r="I470" i="21" l="1"/>
  <c r="F470" i="21"/>
  <c r="H470" i="21"/>
  <c r="C471" i="21" s="1"/>
  <c r="D471" i="21" s="1"/>
  <c r="E471" i="21" s="1"/>
  <c r="A629" i="22"/>
  <c r="A644" i="21"/>
  <c r="G643" i="21"/>
  <c r="I471" i="21" l="1"/>
  <c r="F471" i="21"/>
  <c r="H471" i="21"/>
  <c r="C472" i="21" s="1"/>
  <c r="D472" i="21" s="1"/>
  <c r="E472" i="21" s="1"/>
  <c r="A645" i="21"/>
  <c r="G644" i="21"/>
  <c r="A630" i="22"/>
  <c r="I472" i="21" l="1"/>
  <c r="F472" i="21"/>
  <c r="H472" i="21"/>
  <c r="C473" i="21" s="1"/>
  <c r="D473" i="21" s="1"/>
  <c r="E473" i="21" s="1"/>
  <c r="A646" i="21"/>
  <c r="G645" i="21"/>
  <c r="A631" i="22"/>
  <c r="I473" i="21" l="1"/>
  <c r="F473" i="21"/>
  <c r="H473" i="21"/>
  <c r="C474" i="21" s="1"/>
  <c r="D474" i="21" s="1"/>
  <c r="E474" i="21" s="1"/>
  <c r="A647" i="21"/>
  <c r="G646" i="21"/>
  <c r="A632" i="22"/>
  <c r="H474" i="21" l="1"/>
  <c r="C475" i="21" s="1"/>
  <c r="D475" i="21" s="1"/>
  <c r="E475" i="21" s="1"/>
  <c r="I474" i="21"/>
  <c r="F474" i="21"/>
  <c r="A633" i="22"/>
  <c r="G647" i="21"/>
  <c r="A648" i="21"/>
  <c r="I475" i="21" l="1"/>
  <c r="F475" i="21"/>
  <c r="H475" i="21"/>
  <c r="C476" i="21" s="1"/>
  <c r="D476" i="21" s="1"/>
  <c r="E476" i="21" s="1"/>
  <c r="G648" i="21"/>
  <c r="A649" i="21"/>
  <c r="A634" i="22"/>
  <c r="H476" i="21" l="1"/>
  <c r="C477" i="21" s="1"/>
  <c r="D477" i="21" s="1"/>
  <c r="E477" i="21" s="1"/>
  <c r="I476" i="21"/>
  <c r="F476" i="21"/>
  <c r="A635" i="22"/>
  <c r="A650" i="21"/>
  <c r="G649" i="21"/>
  <c r="H477" i="21" l="1"/>
  <c r="C478" i="21" s="1"/>
  <c r="D478" i="21" s="1"/>
  <c r="E478" i="21" s="1"/>
  <c r="I477" i="21"/>
  <c r="F477" i="21"/>
  <c r="A651" i="21"/>
  <c r="G650" i="21"/>
  <c r="A636" i="22"/>
  <c r="H478" i="21" l="1"/>
  <c r="C479" i="21" s="1"/>
  <c r="D479" i="21" s="1"/>
  <c r="E479" i="21" s="1"/>
  <c r="I478" i="21"/>
  <c r="F478" i="21"/>
  <c r="A637" i="22"/>
  <c r="A652" i="21"/>
  <c r="G651" i="21"/>
  <c r="H479" i="21" l="1"/>
  <c r="C480" i="21" s="1"/>
  <c r="D480" i="21" s="1"/>
  <c r="E480" i="21" s="1"/>
  <c r="I479" i="21"/>
  <c r="F479" i="21"/>
  <c r="A653" i="21"/>
  <c r="G652" i="21"/>
  <c r="A638" i="22"/>
  <c r="I480" i="21" l="1"/>
  <c r="F480" i="21"/>
  <c r="H480" i="21"/>
  <c r="C481" i="21" s="1"/>
  <c r="D481" i="21" s="1"/>
  <c r="E481" i="21" s="1"/>
  <c r="A639" i="22"/>
  <c r="A654" i="21"/>
  <c r="G653" i="21"/>
  <c r="I481" i="21" l="1"/>
  <c r="F481" i="21"/>
  <c r="H481" i="21"/>
  <c r="C482" i="21" s="1"/>
  <c r="D482" i="21" s="1"/>
  <c r="E482" i="21" s="1"/>
  <c r="A640" i="22"/>
  <c r="G654" i="21"/>
  <c r="A655" i="21"/>
  <c r="H482" i="21" l="1"/>
  <c r="C483" i="21" s="1"/>
  <c r="D483" i="21" s="1"/>
  <c r="E483" i="21" s="1"/>
  <c r="I482" i="21"/>
  <c r="F482" i="21"/>
  <c r="A656" i="21"/>
  <c r="G655" i="21"/>
  <c r="A641" i="22"/>
  <c r="I483" i="21" l="1"/>
  <c r="F483" i="21"/>
  <c r="H483" i="21"/>
  <c r="C484" i="21" s="1"/>
  <c r="D484" i="21" s="1"/>
  <c r="E484" i="21" s="1"/>
  <c r="A642" i="22"/>
  <c r="A657" i="21"/>
  <c r="G656" i="21"/>
  <c r="H484" i="21" l="1"/>
  <c r="C485" i="21" s="1"/>
  <c r="D485" i="21" s="1"/>
  <c r="E485" i="21" s="1"/>
  <c r="I484" i="21"/>
  <c r="F484" i="21"/>
  <c r="A658" i="21"/>
  <c r="G657" i="21"/>
  <c r="A643" i="22"/>
  <c r="I485" i="21" l="1"/>
  <c r="F485" i="21"/>
  <c r="H485" i="21"/>
  <c r="C486" i="21" s="1"/>
  <c r="D486" i="21" s="1"/>
  <c r="E486" i="21" s="1"/>
  <c r="A644" i="22"/>
  <c r="G658" i="21"/>
  <c r="A659" i="21"/>
  <c r="I486" i="21" l="1"/>
  <c r="F486" i="21"/>
  <c r="E487" i="21"/>
  <c r="H486" i="21"/>
  <c r="C487" i="21" s="1"/>
  <c r="D487" i="21" s="1"/>
  <c r="A660" i="21"/>
  <c r="G659" i="21"/>
  <c r="A645" i="22"/>
  <c r="H487" i="21" l="1"/>
  <c r="C488" i="21" s="1"/>
  <c r="D488" i="21" s="1"/>
  <c r="E488" i="21" s="1"/>
  <c r="I487" i="21"/>
  <c r="F487" i="21"/>
  <c r="G660" i="21"/>
  <c r="A661" i="21"/>
  <c r="A646" i="22"/>
  <c r="I488" i="21" l="1"/>
  <c r="F488" i="21"/>
  <c r="H488" i="21"/>
  <c r="C489" i="21" s="1"/>
  <c r="D489" i="21" s="1"/>
  <c r="E489" i="21"/>
  <c r="A647" i="22"/>
  <c r="A662" i="21"/>
  <c r="G661" i="21"/>
  <c r="H489" i="21" l="1"/>
  <c r="C490" i="21" s="1"/>
  <c r="D490" i="21" s="1"/>
  <c r="E490" i="21" s="1"/>
  <c r="I489" i="21"/>
  <c r="F489" i="21"/>
  <c r="G662" i="21"/>
  <c r="A663" i="21"/>
  <c r="A648" i="22"/>
  <c r="I490" i="21" l="1"/>
  <c r="F490" i="21"/>
  <c r="H490" i="21"/>
  <c r="C491" i="21" s="1"/>
  <c r="D491" i="21" s="1"/>
  <c r="E491" i="21" s="1"/>
  <c r="A649" i="22"/>
  <c r="A664" i="21"/>
  <c r="G663" i="21"/>
  <c r="I491" i="21" l="1"/>
  <c r="F491" i="21"/>
  <c r="H491" i="21"/>
  <c r="C492" i="21" s="1"/>
  <c r="D492" i="21" s="1"/>
  <c r="E492" i="21"/>
  <c r="A665" i="21"/>
  <c r="G664" i="21"/>
  <c r="A650" i="22"/>
  <c r="H492" i="21" l="1"/>
  <c r="C493" i="21" s="1"/>
  <c r="D493" i="21" s="1"/>
  <c r="E493" i="21" s="1"/>
  <c r="I492" i="21"/>
  <c r="F492" i="21"/>
  <c r="A651" i="22"/>
  <c r="G665" i="21"/>
  <c r="A666" i="21"/>
  <c r="H493" i="21" l="1"/>
  <c r="C494" i="21" s="1"/>
  <c r="D494" i="21" s="1"/>
  <c r="E494" i="21"/>
  <c r="I493" i="21"/>
  <c r="F493" i="21"/>
  <c r="A667" i="21"/>
  <c r="G666" i="21"/>
  <c r="A652" i="22"/>
  <c r="H494" i="21" l="1"/>
  <c r="C495" i="21" s="1"/>
  <c r="D495" i="21" s="1"/>
  <c r="E495" i="21"/>
  <c r="I494" i="21"/>
  <c r="F494" i="21"/>
  <c r="A653" i="22"/>
  <c r="A668" i="21"/>
  <c r="G667" i="21"/>
  <c r="H495" i="21" l="1"/>
  <c r="C496" i="21" s="1"/>
  <c r="D496" i="21" s="1"/>
  <c r="E496" i="21" s="1"/>
  <c r="I495" i="21"/>
  <c r="F495" i="21"/>
  <c r="G668" i="21"/>
  <c r="A669" i="21"/>
  <c r="A654" i="22"/>
  <c r="I496" i="21" l="1"/>
  <c r="F496" i="21"/>
  <c r="H496" i="21"/>
  <c r="C497" i="21" s="1"/>
  <c r="D497" i="21" s="1"/>
  <c r="E497" i="21"/>
  <c r="A670" i="21"/>
  <c r="G669" i="21"/>
  <c r="A655" i="22"/>
  <c r="H497" i="21" l="1"/>
  <c r="C498" i="21" s="1"/>
  <c r="D498" i="21" s="1"/>
  <c r="E498" i="21" s="1"/>
  <c r="I497" i="21"/>
  <c r="F497" i="21"/>
  <c r="A656" i="22"/>
  <c r="G670" i="21"/>
  <c r="A671" i="21"/>
  <c r="I498" i="21" l="1"/>
  <c r="F498" i="21"/>
  <c r="H498" i="21"/>
  <c r="C499" i="21" s="1"/>
  <c r="D499" i="21" s="1"/>
  <c r="E499" i="21" s="1"/>
  <c r="G671" i="21"/>
  <c r="A672" i="21"/>
  <c r="A657" i="22"/>
  <c r="I499" i="21" l="1"/>
  <c r="F499" i="21"/>
  <c r="H499" i="21"/>
  <c r="C500" i="21" s="1"/>
  <c r="D500" i="21" s="1"/>
  <c r="E500" i="21" s="1"/>
  <c r="G672" i="21"/>
  <c r="A673" i="21"/>
  <c r="A658" i="22"/>
  <c r="H500" i="21" l="1"/>
  <c r="C501" i="21" s="1"/>
  <c r="D501" i="21" s="1"/>
  <c r="E501" i="21" s="1"/>
  <c r="I500" i="21"/>
  <c r="F500" i="21"/>
  <c r="A659" i="22"/>
  <c r="A674" i="21"/>
  <c r="G673" i="21"/>
  <c r="I501" i="21" l="1"/>
  <c r="F501" i="21"/>
  <c r="H501" i="21"/>
  <c r="C502" i="21" s="1"/>
  <c r="D502" i="21" s="1"/>
  <c r="E502" i="21"/>
  <c r="A660" i="22"/>
  <c r="G674" i="21"/>
  <c r="A675" i="21"/>
  <c r="I502" i="21" l="1"/>
  <c r="F502" i="21"/>
  <c r="H502" i="21"/>
  <c r="C503" i="21" s="1"/>
  <c r="D503" i="21" s="1"/>
  <c r="E503" i="21" s="1"/>
  <c r="G675" i="21"/>
  <c r="A676" i="21"/>
  <c r="A661" i="22"/>
  <c r="I503" i="21" l="1"/>
  <c r="F503" i="21"/>
  <c r="H503" i="21"/>
  <c r="C504" i="21" s="1"/>
  <c r="D504" i="21" s="1"/>
  <c r="E504" i="21"/>
  <c r="A677" i="21"/>
  <c r="G676" i="21"/>
  <c r="A662" i="22"/>
  <c r="H504" i="21" l="1"/>
  <c r="C505" i="21" s="1"/>
  <c r="D505" i="21" s="1"/>
  <c r="E505" i="21"/>
  <c r="I504" i="21"/>
  <c r="F504" i="21"/>
  <c r="A663" i="22"/>
  <c r="A678" i="21"/>
  <c r="G677" i="21"/>
  <c r="H505" i="21" l="1"/>
  <c r="C506" i="21" s="1"/>
  <c r="D506" i="21" s="1"/>
  <c r="E506" i="21" s="1"/>
  <c r="I505" i="21"/>
  <c r="F505" i="21"/>
  <c r="G678" i="21"/>
  <c r="A679" i="21"/>
  <c r="A664" i="22"/>
  <c r="I506" i="21" l="1"/>
  <c r="F506" i="21"/>
  <c r="H506" i="21"/>
  <c r="C507" i="21" s="1"/>
  <c r="D507" i="21" s="1"/>
  <c r="E507" i="21"/>
  <c r="A665" i="22"/>
  <c r="A680" i="21"/>
  <c r="G679" i="21"/>
  <c r="H507" i="21" l="1"/>
  <c r="C508" i="21" s="1"/>
  <c r="D508" i="21" s="1"/>
  <c r="E508" i="21" s="1"/>
  <c r="I507" i="21"/>
  <c r="F507" i="21"/>
  <c r="A666" i="22"/>
  <c r="A681" i="21"/>
  <c r="G680" i="21"/>
  <c r="I508" i="21" l="1"/>
  <c r="F508" i="21"/>
  <c r="H508" i="21"/>
  <c r="C509" i="21" s="1"/>
  <c r="D509" i="21" s="1"/>
  <c r="E509" i="21"/>
  <c r="A667" i="22"/>
  <c r="G681" i="21"/>
  <c r="A682" i="21"/>
  <c r="H509" i="21" l="1"/>
  <c r="C510" i="21" s="1"/>
  <c r="D510" i="21" s="1"/>
  <c r="E510" i="21" s="1"/>
  <c r="I509" i="21"/>
  <c r="F509" i="21"/>
  <c r="A683" i="21"/>
  <c r="G682" i="21"/>
  <c r="A668" i="22"/>
  <c r="I510" i="21" l="1"/>
  <c r="F510" i="21"/>
  <c r="H510" i="21"/>
  <c r="C511" i="21" s="1"/>
  <c r="D511" i="21" s="1"/>
  <c r="E511" i="21" s="1"/>
  <c r="A669" i="22"/>
  <c r="G683" i="21"/>
  <c r="A684" i="21"/>
  <c r="I511" i="21" l="1"/>
  <c r="F511" i="21"/>
  <c r="H511" i="21"/>
  <c r="C512" i="21" s="1"/>
  <c r="D512" i="21" s="1"/>
  <c r="E512" i="21"/>
  <c r="A685" i="21"/>
  <c r="G684" i="21"/>
  <c r="A670" i="22"/>
  <c r="H512" i="21" l="1"/>
  <c r="C513" i="21" s="1"/>
  <c r="D513" i="21" s="1"/>
  <c r="E513" i="21" s="1"/>
  <c r="I512" i="21"/>
  <c r="F512" i="21"/>
  <c r="A671" i="22"/>
  <c r="A686" i="21"/>
  <c r="G685" i="21"/>
  <c r="V18" i="19" l="1"/>
  <c r="V19" i="19"/>
  <c r="V16" i="19"/>
  <c r="V15" i="19"/>
  <c r="V17" i="19"/>
  <c r="I513" i="21"/>
  <c r="F513" i="21"/>
  <c r="H513" i="21"/>
  <c r="C514" i="21" s="1"/>
  <c r="D514" i="21" s="1"/>
  <c r="E514" i="21"/>
  <c r="G686" i="21"/>
  <c r="A687" i="21"/>
  <c r="A672" i="22"/>
  <c r="H514" i="21" l="1"/>
  <c r="C515" i="21" s="1"/>
  <c r="D515" i="21" s="1"/>
  <c r="E515" i="21"/>
  <c r="I514" i="21"/>
  <c r="F514" i="21"/>
  <c r="A673" i="22"/>
  <c r="G687" i="21"/>
  <c r="A688" i="21"/>
  <c r="H515" i="21" l="1"/>
  <c r="C516" i="21" s="1"/>
  <c r="D516" i="21" s="1"/>
  <c r="E516" i="21"/>
  <c r="I515" i="21"/>
  <c r="F515" i="21"/>
  <c r="A674" i="22"/>
  <c r="G688" i="21"/>
  <c r="A689" i="21"/>
  <c r="H516" i="21" l="1"/>
  <c r="C517" i="21" s="1"/>
  <c r="D517" i="21" s="1"/>
  <c r="E517" i="21" s="1"/>
  <c r="I516" i="21"/>
  <c r="F516" i="21"/>
  <c r="A675" i="22"/>
  <c r="G689" i="21"/>
  <c r="A690" i="21"/>
  <c r="I517" i="21" l="1"/>
  <c r="F517" i="21"/>
  <c r="H517" i="21"/>
  <c r="C518" i="21" s="1"/>
  <c r="D518" i="21" s="1"/>
  <c r="E518" i="21" s="1"/>
  <c r="A691" i="21"/>
  <c r="G690" i="21"/>
  <c r="A676" i="22"/>
  <c r="I518" i="21" l="1"/>
  <c r="F518" i="21"/>
  <c r="H518" i="21"/>
  <c r="C519" i="21" s="1"/>
  <c r="D519" i="21" s="1"/>
  <c r="E519" i="21" s="1"/>
  <c r="A677" i="22"/>
  <c r="A692" i="21"/>
  <c r="G691" i="21"/>
  <c r="I519" i="21" l="1"/>
  <c r="F519" i="21"/>
  <c r="H519" i="21"/>
  <c r="C520" i="21" s="1"/>
  <c r="D520" i="21" s="1"/>
  <c r="E520" i="21" s="1"/>
  <c r="G692" i="21"/>
  <c r="A693" i="21"/>
  <c r="A678" i="22"/>
  <c r="H520" i="21" l="1"/>
  <c r="C521" i="21" s="1"/>
  <c r="D521" i="21" s="1"/>
  <c r="E521" i="21" s="1"/>
  <c r="I520" i="21"/>
  <c r="F520" i="21"/>
  <c r="A679" i="22"/>
  <c r="A694" i="21"/>
  <c r="G693" i="21"/>
  <c r="H521" i="21" l="1"/>
  <c r="C522" i="21" s="1"/>
  <c r="D522" i="21" s="1"/>
  <c r="E522" i="21" s="1"/>
  <c r="I521" i="21"/>
  <c r="F521" i="21"/>
  <c r="A695" i="21"/>
  <c r="G694" i="21"/>
  <c r="A680" i="22"/>
  <c r="I522" i="21" l="1"/>
  <c r="F522" i="21"/>
  <c r="H522" i="21"/>
  <c r="C523" i="21" s="1"/>
  <c r="D523" i="21" s="1"/>
  <c r="E523" i="21" s="1"/>
  <c r="A681" i="22"/>
  <c r="G695" i="21"/>
  <c r="A696" i="21"/>
  <c r="H523" i="21" l="1"/>
  <c r="C524" i="21" s="1"/>
  <c r="D524" i="21" s="1"/>
  <c r="E524" i="21"/>
  <c r="I523" i="21"/>
  <c r="F523" i="21"/>
  <c r="A682" i="22"/>
  <c r="A697" i="21"/>
  <c r="G696" i="21"/>
  <c r="H524" i="21" l="1"/>
  <c r="C525" i="21" s="1"/>
  <c r="D525" i="21" s="1"/>
  <c r="E525" i="21" s="1"/>
  <c r="I524" i="21"/>
  <c r="F524" i="21"/>
  <c r="G697" i="21"/>
  <c r="A698" i="21"/>
  <c r="A683" i="22"/>
  <c r="I525" i="21" l="1"/>
  <c r="F525" i="21"/>
  <c r="H525" i="21"/>
  <c r="C526" i="21" s="1"/>
  <c r="D526" i="21" s="1"/>
  <c r="E526" i="21" s="1"/>
  <c r="A684" i="22"/>
  <c r="A699" i="21"/>
  <c r="G698" i="21"/>
  <c r="I526" i="21" l="1"/>
  <c r="F526" i="21"/>
  <c r="H526" i="21"/>
  <c r="C527" i="21" s="1"/>
  <c r="D527" i="21" s="1"/>
  <c r="E527" i="21" s="1"/>
  <c r="A700" i="21"/>
  <c r="G699" i="21"/>
  <c r="A685" i="22"/>
  <c r="H527" i="21" l="1"/>
  <c r="C528" i="21" s="1"/>
  <c r="D528" i="21" s="1"/>
  <c r="E528" i="21" s="1"/>
  <c r="I527" i="21"/>
  <c r="F527" i="21"/>
  <c r="A686" i="22"/>
  <c r="G700" i="21"/>
  <c r="A701" i="21"/>
  <c r="I528" i="21" l="1"/>
  <c r="F528" i="21"/>
  <c r="H528" i="21"/>
  <c r="C529" i="21" s="1"/>
  <c r="D529" i="21" s="1"/>
  <c r="E529" i="21"/>
  <c r="A687" i="22"/>
  <c r="G701" i="21"/>
  <c r="A702" i="21"/>
  <c r="I529" i="21" l="1"/>
  <c r="F529" i="21"/>
  <c r="E530" i="21"/>
  <c r="H529" i="21"/>
  <c r="C530" i="21" s="1"/>
  <c r="D530" i="21" s="1"/>
  <c r="A688" i="22"/>
  <c r="G702" i="21"/>
  <c r="A703" i="21"/>
  <c r="I530" i="21" l="1"/>
  <c r="F530" i="21"/>
  <c r="H530" i="21"/>
  <c r="C531" i="21" s="1"/>
  <c r="D531" i="21" s="1"/>
  <c r="E531" i="21" s="1"/>
  <c r="A704" i="21"/>
  <c r="G703" i="21"/>
  <c r="A689" i="22"/>
  <c r="I531" i="21" l="1"/>
  <c r="F531" i="21"/>
  <c r="H531" i="21"/>
  <c r="C532" i="21" s="1"/>
  <c r="D532" i="21" s="1"/>
  <c r="E532" i="21" s="1"/>
  <c r="A690" i="22"/>
  <c r="A705" i="21"/>
  <c r="G704" i="21"/>
  <c r="I532" i="21" l="1"/>
  <c r="F532" i="21"/>
  <c r="H532" i="21"/>
  <c r="C533" i="21" s="1"/>
  <c r="D533" i="21" s="1"/>
  <c r="E533" i="21" s="1"/>
  <c r="A706" i="21"/>
  <c r="G705" i="21"/>
  <c r="A691" i="22"/>
  <c r="H533" i="21" l="1"/>
  <c r="C534" i="21" s="1"/>
  <c r="D534" i="21" s="1"/>
  <c r="E534" i="21"/>
  <c r="I533" i="21"/>
  <c r="F533" i="21"/>
  <c r="A707" i="21"/>
  <c r="G706" i="21"/>
  <c r="A692" i="22"/>
  <c r="H534" i="21" l="1"/>
  <c r="C535" i="21" s="1"/>
  <c r="D535" i="21" s="1"/>
  <c r="E535" i="21"/>
  <c r="I534" i="21"/>
  <c r="F534" i="21"/>
  <c r="A693" i="22"/>
  <c r="A708" i="21"/>
  <c r="G707" i="21"/>
  <c r="H535" i="21" l="1"/>
  <c r="C536" i="21" s="1"/>
  <c r="I535" i="21"/>
  <c r="F535" i="21"/>
  <c r="A694" i="22"/>
  <c r="A709" i="21"/>
  <c r="G708" i="21"/>
  <c r="D536" i="21" l="1"/>
  <c r="A710" i="21"/>
  <c r="G709" i="21"/>
  <c r="A695" i="22"/>
  <c r="F536" i="21" l="1"/>
  <c r="E536" i="21"/>
  <c r="I536" i="21" s="1"/>
  <c r="A696" i="22"/>
  <c r="G710" i="21"/>
  <c r="A711" i="21"/>
  <c r="H536" i="21" l="1"/>
  <c r="C537" i="21" s="1"/>
  <c r="D537" i="21" s="1"/>
  <c r="F537" i="21" s="1"/>
  <c r="E537" i="21"/>
  <c r="A712" i="21"/>
  <c r="G711" i="21"/>
  <c r="A697" i="22"/>
  <c r="I537" i="21" l="1"/>
  <c r="H537" i="21"/>
  <c r="C538" i="21" s="1"/>
  <c r="D538" i="21" s="1"/>
  <c r="F538" i="21" s="1"/>
  <c r="E538" i="21"/>
  <c r="A698" i="22"/>
  <c r="A713" i="21"/>
  <c r="G712" i="21"/>
  <c r="I538" i="21" l="1"/>
  <c r="H538" i="21"/>
  <c r="C539" i="21" s="1"/>
  <c r="A714" i="21"/>
  <c r="G713" i="21"/>
  <c r="A699" i="22"/>
  <c r="D539" i="21" l="1"/>
  <c r="A715" i="21"/>
  <c r="G714" i="21"/>
  <c r="A700" i="22"/>
  <c r="F539" i="21" l="1"/>
  <c r="E539" i="21"/>
  <c r="A701" i="22"/>
  <c r="A716" i="21"/>
  <c r="G715" i="21"/>
  <c r="H539" i="21" l="1"/>
  <c r="C540" i="21" s="1"/>
  <c r="I539" i="21"/>
  <c r="A702" i="22"/>
  <c r="G716" i="21"/>
  <c r="A717" i="21"/>
  <c r="D540" i="21" l="1"/>
  <c r="A718" i="21"/>
  <c r="G717" i="21"/>
  <c r="A703" i="22"/>
  <c r="F540" i="21" l="1"/>
  <c r="E540" i="21"/>
  <c r="A704" i="22"/>
  <c r="A719" i="21"/>
  <c r="G718" i="21"/>
  <c r="H540" i="21" l="1"/>
  <c r="C541" i="21" s="1"/>
  <c r="I540" i="21"/>
  <c r="A705" i="22"/>
  <c r="A720" i="21"/>
  <c r="G719" i="21"/>
  <c r="D541" i="21" l="1"/>
  <c r="A721" i="21"/>
  <c r="G720" i="21"/>
  <c r="A706" i="22"/>
  <c r="F541" i="21" l="1"/>
  <c r="E541" i="21"/>
  <c r="A707" i="22"/>
  <c r="A722" i="21"/>
  <c r="G721" i="21"/>
  <c r="H541" i="21" l="1"/>
  <c r="C542" i="21" s="1"/>
  <c r="I541" i="21"/>
  <c r="A708" i="22"/>
  <c r="A723" i="21"/>
  <c r="G722" i="21"/>
  <c r="D542" i="21" l="1"/>
  <c r="A724" i="21"/>
  <c r="G723" i="21"/>
  <c r="A709" i="22"/>
  <c r="F542" i="21" l="1"/>
  <c r="E542" i="21"/>
  <c r="A710" i="22"/>
  <c r="G724" i="21"/>
  <c r="A725" i="21"/>
  <c r="H542" i="21" l="1"/>
  <c r="C543" i="21" s="1"/>
  <c r="I542" i="21"/>
  <c r="G725" i="21"/>
  <c r="A726" i="21"/>
  <c r="A711" i="22"/>
  <c r="D543" i="21" l="1"/>
  <c r="A712" i="22"/>
  <c r="A727" i="21"/>
  <c r="G726" i="21"/>
  <c r="F543" i="21" l="1"/>
  <c r="E543" i="21"/>
  <c r="G727" i="21"/>
  <c r="A728" i="21"/>
  <c r="A713" i="22"/>
  <c r="H543" i="21" l="1"/>
  <c r="C544" i="21" s="1"/>
  <c r="I543" i="21"/>
  <c r="G728" i="21"/>
  <c r="A729" i="21"/>
  <c r="A714" i="22"/>
  <c r="D544" i="21" l="1"/>
  <c r="A730" i="21"/>
  <c r="G729" i="21"/>
  <c r="A715" i="22"/>
  <c r="F544" i="21" l="1"/>
  <c r="E544" i="21"/>
  <c r="A716" i="22"/>
  <c r="A731" i="21"/>
  <c r="G730" i="21"/>
  <c r="H544" i="21" l="1"/>
  <c r="C545" i="21" s="1"/>
  <c r="I544" i="21"/>
  <c r="A732" i="21"/>
  <c r="G731" i="21"/>
  <c r="A717" i="22"/>
  <c r="D545" i="21" l="1"/>
  <c r="G732" i="21"/>
  <c r="A733" i="21"/>
  <c r="A718" i="22"/>
  <c r="F545" i="21" l="1"/>
  <c r="E545" i="21"/>
  <c r="A719" i="22"/>
  <c r="A734" i="21"/>
  <c r="G733" i="21"/>
  <c r="H545" i="21" l="1"/>
  <c r="C546" i="21" s="1"/>
  <c r="I545" i="21"/>
  <c r="A720" i="22"/>
  <c r="A735" i="21"/>
  <c r="G734" i="21"/>
  <c r="D546" i="21" l="1"/>
  <c r="A736" i="21"/>
  <c r="G735" i="21"/>
  <c r="A721" i="22"/>
  <c r="F546" i="21" l="1"/>
  <c r="E546" i="21"/>
  <c r="A722" i="22"/>
  <c r="G736" i="21"/>
  <c r="A737" i="21"/>
  <c r="H546" i="21" l="1"/>
  <c r="C547" i="21" s="1"/>
  <c r="I546" i="21"/>
  <c r="A723" i="22"/>
  <c r="A738" i="21"/>
  <c r="G737" i="21"/>
  <c r="D547" i="21" l="1"/>
  <c r="G738" i="21"/>
  <c r="A739" i="21"/>
  <c r="A724" i="22"/>
  <c r="F547" i="21" l="1"/>
  <c r="E547" i="21"/>
  <c r="A740" i="21"/>
  <c r="G739" i="21"/>
  <c r="A725" i="22"/>
  <c r="H547" i="21" l="1"/>
  <c r="C548" i="21" s="1"/>
  <c r="I547" i="21"/>
  <c r="G740" i="21"/>
  <c r="A741" i="21"/>
  <c r="A726" i="22"/>
  <c r="D548" i="21" l="1"/>
  <c r="A727" i="22"/>
  <c r="A742" i="21"/>
  <c r="G741" i="21"/>
  <c r="F548" i="21" l="1"/>
  <c r="E548" i="21"/>
  <c r="A743" i="21"/>
  <c r="G742" i="21"/>
  <c r="A728" i="22"/>
  <c r="H548" i="21" l="1"/>
  <c r="C549" i="21" s="1"/>
  <c r="I548" i="21"/>
  <c r="A729" i="22"/>
  <c r="G743" i="21"/>
  <c r="A744" i="21"/>
  <c r="D549" i="21" l="1"/>
  <c r="G744" i="21"/>
  <c r="A745" i="21"/>
  <c r="A730" i="22"/>
  <c r="F549" i="21" l="1"/>
  <c r="E549" i="21"/>
  <c r="A731" i="22"/>
  <c r="A746" i="21"/>
  <c r="G745" i="21"/>
  <c r="H549" i="21" l="1"/>
  <c r="C550" i="21" s="1"/>
  <c r="I549" i="21"/>
  <c r="A732" i="22"/>
  <c r="A747" i="21"/>
  <c r="G746" i="21"/>
  <c r="D550" i="21" l="1"/>
  <c r="A733" i="22"/>
  <c r="A748" i="21"/>
  <c r="G747" i="21"/>
  <c r="F550" i="21" l="1"/>
  <c r="E550" i="21"/>
  <c r="A734" i="22"/>
  <c r="A749" i="21"/>
  <c r="G748" i="21"/>
  <c r="H550" i="21" l="1"/>
  <c r="C551" i="21" s="1"/>
  <c r="I550" i="21"/>
  <c r="A735" i="22"/>
  <c r="G749" i="21"/>
  <c r="A750" i="21"/>
  <c r="D551" i="21" l="1"/>
  <c r="A751" i="21"/>
  <c r="G750" i="21"/>
  <c r="A736" i="22"/>
  <c r="F551" i="21" l="1"/>
  <c r="E551" i="21"/>
  <c r="A737" i="22"/>
  <c r="A752" i="21"/>
  <c r="G751" i="21"/>
  <c r="H551" i="21" l="1"/>
  <c r="C552" i="21" s="1"/>
  <c r="I551" i="21"/>
  <c r="A753" i="21"/>
  <c r="G752" i="21"/>
  <c r="A738" i="22"/>
  <c r="D552" i="21" l="1"/>
  <c r="A739" i="22"/>
  <c r="A754" i="21"/>
  <c r="G753" i="21"/>
  <c r="F552" i="21" l="1"/>
  <c r="E552" i="21"/>
  <c r="A755" i="21"/>
  <c r="G754" i="21"/>
  <c r="A740" i="22"/>
  <c r="H552" i="21" l="1"/>
  <c r="C553" i="21" s="1"/>
  <c r="I552" i="21"/>
  <c r="A741" i="22"/>
  <c r="G755" i="21"/>
  <c r="A756" i="21"/>
  <c r="D553" i="21" l="1"/>
  <c r="A757" i="21"/>
  <c r="G756" i="21"/>
  <c r="A742" i="22"/>
  <c r="F553" i="21" l="1"/>
  <c r="E553" i="21"/>
  <c r="A743" i="22"/>
  <c r="G757" i="21"/>
  <c r="A758" i="21"/>
  <c r="H553" i="21" l="1"/>
  <c r="C554" i="21" s="1"/>
  <c r="I553" i="21"/>
  <c r="A744" i="22"/>
  <c r="G758" i="21"/>
  <c r="A759" i="21"/>
  <c r="D554" i="21" l="1"/>
  <c r="A745" i="22"/>
  <c r="G759" i="21"/>
  <c r="A760" i="21"/>
  <c r="F554" i="21" l="1"/>
  <c r="E554" i="21"/>
  <c r="A761" i="21"/>
  <c r="G760" i="21"/>
  <c r="A746" i="22"/>
  <c r="H554" i="21" l="1"/>
  <c r="C555" i="21" s="1"/>
  <c r="I554" i="21"/>
  <c r="A747" i="22"/>
  <c r="A762" i="21"/>
  <c r="G761" i="21"/>
  <c r="D555" i="21" l="1"/>
  <c r="A763" i="21"/>
  <c r="G762" i="21"/>
  <c r="A748" i="22"/>
  <c r="F555" i="21" l="1"/>
  <c r="E555" i="21"/>
  <c r="A749" i="22"/>
  <c r="A764" i="21"/>
  <c r="G763" i="21"/>
  <c r="H555" i="21" l="1"/>
  <c r="C556" i="21" s="1"/>
  <c r="I555" i="21"/>
  <c r="G764" i="21"/>
  <c r="A765" i="21"/>
  <c r="A750" i="22"/>
  <c r="D556" i="21" l="1"/>
  <c r="A751" i="22"/>
  <c r="A766" i="21"/>
  <c r="G765" i="21"/>
  <c r="F556" i="21" l="1"/>
  <c r="E556" i="21"/>
  <c r="G766" i="21"/>
  <c r="A767" i="21"/>
  <c r="A752" i="22"/>
  <c r="H556" i="21" l="1"/>
  <c r="C557" i="21" s="1"/>
  <c r="I556" i="21"/>
  <c r="A753" i="22"/>
  <c r="G767" i="21"/>
  <c r="A768" i="21"/>
  <c r="D557" i="21" l="1"/>
  <c r="A769" i="21"/>
  <c r="G768" i="21"/>
  <c r="A754" i="22"/>
  <c r="F557" i="21" l="1"/>
  <c r="E557" i="21"/>
  <c r="A755" i="22"/>
  <c r="G769" i="21"/>
  <c r="A770" i="21"/>
  <c r="H557" i="21" l="1"/>
  <c r="C558" i="21" s="1"/>
  <c r="I557" i="21"/>
  <c r="A756" i="22"/>
  <c r="A771" i="21"/>
  <c r="G770" i="21"/>
  <c r="D558" i="21" l="1"/>
  <c r="A772" i="21"/>
  <c r="G771" i="21"/>
  <c r="A757" i="22"/>
  <c r="F558" i="21" l="1"/>
  <c r="E558" i="21"/>
  <c r="A758" i="22"/>
  <c r="A773" i="21"/>
  <c r="G772" i="21"/>
  <c r="H558" i="21" l="1"/>
  <c r="C559" i="21" s="1"/>
  <c r="I558" i="21"/>
  <c r="A774" i="21"/>
  <c r="G773" i="21"/>
  <c r="A759" i="22"/>
  <c r="D559" i="21" l="1"/>
  <c r="A775" i="21"/>
  <c r="G774" i="21"/>
  <c r="A760" i="22"/>
  <c r="F559" i="21" l="1"/>
  <c r="E559" i="21"/>
  <c r="A761" i="22"/>
  <c r="G775" i="21"/>
  <c r="A776" i="21"/>
  <c r="H559" i="21" l="1"/>
  <c r="C560" i="21" s="1"/>
  <c r="I559" i="21"/>
  <c r="A762" i="22"/>
  <c r="A777" i="21"/>
  <c r="G776" i="21"/>
  <c r="D560" i="21" l="1"/>
  <c r="A778" i="21"/>
  <c r="G777" i="21"/>
  <c r="A763" i="22"/>
  <c r="F560" i="21" l="1"/>
  <c r="E560" i="21"/>
  <c r="A764" i="22"/>
  <c r="G778" i="21"/>
  <c r="A779" i="21"/>
  <c r="H560" i="21" l="1"/>
  <c r="C561" i="21" s="1"/>
  <c r="I560" i="21"/>
  <c r="A765" i="22"/>
  <c r="G779" i="21"/>
  <c r="A780" i="21"/>
  <c r="D561" i="21" l="1"/>
  <c r="A766" i="22"/>
  <c r="A781" i="21"/>
  <c r="G780" i="21"/>
  <c r="F561" i="21" l="1"/>
  <c r="E561" i="21"/>
  <c r="A782" i="21"/>
  <c r="G781" i="21"/>
  <c r="A767" i="22"/>
  <c r="H561" i="21" l="1"/>
  <c r="C562" i="21" s="1"/>
  <c r="I561" i="21"/>
  <c r="A783" i="21"/>
  <c r="G782" i="21"/>
  <c r="A768" i="22"/>
  <c r="D562" i="21" l="1"/>
  <c r="A769" i="22"/>
  <c r="G783" i="21"/>
  <c r="A784" i="21"/>
  <c r="F562" i="21" l="1"/>
  <c r="E562" i="21"/>
  <c r="A770" i="22"/>
  <c r="A785" i="21"/>
  <c r="G784" i="21"/>
  <c r="H562" i="21" l="1"/>
  <c r="C563" i="21" s="1"/>
  <c r="I562" i="21"/>
  <c r="A786" i="21"/>
  <c r="G785" i="21"/>
  <c r="A771" i="22"/>
  <c r="D563" i="21" l="1"/>
  <c r="A772" i="22"/>
  <c r="A787" i="21"/>
  <c r="G786" i="21"/>
  <c r="F563" i="21" l="1"/>
  <c r="E563" i="21"/>
  <c r="A788" i="21"/>
  <c r="G787" i="21"/>
  <c r="A773" i="22"/>
  <c r="H563" i="21" l="1"/>
  <c r="C564" i="21" s="1"/>
  <c r="I563" i="21"/>
  <c r="G788" i="21"/>
  <c r="A789" i="21"/>
  <c r="A774" i="22"/>
  <c r="D564" i="21" l="1"/>
  <c r="A775" i="22"/>
  <c r="G789" i="21"/>
  <c r="A790" i="21"/>
  <c r="F564" i="21" l="1"/>
  <c r="E564" i="21"/>
  <c r="A791" i="21"/>
  <c r="G790" i="21"/>
  <c r="A776" i="22"/>
  <c r="H564" i="21" l="1"/>
  <c r="C565" i="21" s="1"/>
  <c r="I564" i="21"/>
  <c r="A777" i="22"/>
  <c r="G791" i="21"/>
  <c r="A792" i="21"/>
  <c r="D565" i="21" l="1"/>
  <c r="G792" i="21"/>
  <c r="A793" i="21"/>
  <c r="A778" i="22"/>
  <c r="F565" i="21" l="1"/>
  <c r="E565" i="21"/>
  <c r="A794" i="21"/>
  <c r="G793" i="21"/>
  <c r="A779" i="22"/>
  <c r="H565" i="21" l="1"/>
  <c r="C566" i="21" s="1"/>
  <c r="I565" i="21"/>
  <c r="G794" i="21"/>
  <c r="A795" i="21"/>
  <c r="A780" i="22"/>
  <c r="D566" i="21" l="1"/>
  <c r="A781" i="22"/>
  <c r="G795" i="21"/>
  <c r="A796" i="21"/>
  <c r="F566" i="21" l="1"/>
  <c r="E566" i="21"/>
  <c r="A797" i="21"/>
  <c r="G796" i="21"/>
  <c r="A782" i="22"/>
  <c r="H566" i="21" l="1"/>
  <c r="C567" i="21" s="1"/>
  <c r="I566" i="21"/>
  <c r="A783" i="22"/>
  <c r="A798" i="21"/>
  <c r="G797" i="21"/>
  <c r="D567" i="21" l="1"/>
  <c r="A799" i="21"/>
  <c r="G798" i="21"/>
  <c r="A784" i="22"/>
  <c r="F567" i="21" l="1"/>
  <c r="E567" i="21"/>
  <c r="A800" i="21"/>
  <c r="G799" i="21"/>
  <c r="A785" i="22"/>
  <c r="H567" i="21" l="1"/>
  <c r="C568" i="21" s="1"/>
  <c r="I567" i="21"/>
  <c r="A786" i="22"/>
  <c r="A801" i="21"/>
  <c r="G800" i="21"/>
  <c r="D568" i="21" l="1"/>
  <c r="G801" i="21"/>
  <c r="A802" i="21"/>
  <c r="A787" i="22"/>
  <c r="F568" i="21" l="1"/>
  <c r="E568" i="21"/>
  <c r="A803" i="21"/>
  <c r="G802" i="21"/>
  <c r="A788" i="22"/>
  <c r="H568" i="21" l="1"/>
  <c r="C569" i="21" s="1"/>
  <c r="I568" i="21"/>
  <c r="A789" i="22"/>
  <c r="A804" i="21"/>
  <c r="G803" i="21"/>
  <c r="D569" i="21" l="1"/>
  <c r="A790" i="22"/>
  <c r="G804" i="21"/>
  <c r="A805" i="21"/>
  <c r="F569" i="21" l="1"/>
  <c r="E569" i="21"/>
  <c r="G805" i="21"/>
  <c r="A806" i="21"/>
  <c r="A791" i="22"/>
  <c r="H569" i="21" l="1"/>
  <c r="C570" i="21" s="1"/>
  <c r="I569" i="21"/>
  <c r="G806" i="21"/>
  <c r="A807" i="21"/>
  <c r="A792" i="22"/>
  <c r="D570" i="21" l="1"/>
  <c r="A793" i="22"/>
  <c r="A808" i="21"/>
  <c r="G807" i="21"/>
  <c r="F570" i="21" l="1"/>
  <c r="E570" i="21"/>
  <c r="A809" i="21"/>
  <c r="G808" i="21"/>
  <c r="A794" i="22"/>
  <c r="H570" i="21" l="1"/>
  <c r="C571" i="21" s="1"/>
  <c r="I570" i="21"/>
  <c r="A810" i="21"/>
  <c r="G809" i="21"/>
  <c r="A795" i="22"/>
  <c r="D571" i="21" l="1"/>
  <c r="A796" i="22"/>
  <c r="G810" i="21"/>
  <c r="A811" i="21"/>
  <c r="F571" i="21" l="1"/>
  <c r="E571" i="21"/>
  <c r="G811" i="21"/>
  <c r="A812" i="21"/>
  <c r="A797" i="22"/>
  <c r="H571" i="21" l="1"/>
  <c r="C572" i="21" s="1"/>
  <c r="I571" i="21"/>
  <c r="A813" i="21"/>
  <c r="G812" i="21"/>
  <c r="A798" i="22"/>
  <c r="D572" i="21" l="1"/>
  <c r="A799" i="22"/>
  <c r="A814" i="21"/>
  <c r="G813" i="21"/>
  <c r="F572" i="21" l="1"/>
  <c r="E572" i="21"/>
  <c r="G814" i="21"/>
  <c r="A815" i="21"/>
  <c r="A800" i="22"/>
  <c r="H572" i="21" l="1"/>
  <c r="C573" i="21" s="1"/>
  <c r="I572" i="21"/>
  <c r="G815" i="21"/>
  <c r="A816" i="21"/>
  <c r="A801" i="22"/>
  <c r="D573" i="21" l="1"/>
  <c r="G816" i="21"/>
  <c r="A817" i="21"/>
  <c r="A802" i="22"/>
  <c r="F573" i="21" l="1"/>
  <c r="E573" i="21"/>
  <c r="A803" i="22"/>
  <c r="A818" i="21"/>
  <c r="G817" i="21"/>
  <c r="H573" i="21" l="1"/>
  <c r="C574" i="21" s="1"/>
  <c r="I573" i="21"/>
  <c r="A819" i="21"/>
  <c r="G818" i="21"/>
  <c r="A804" i="22"/>
  <c r="D574" i="21" l="1"/>
  <c r="A805" i="22"/>
  <c r="A820" i="21"/>
  <c r="G819" i="21"/>
  <c r="F574" i="21" l="1"/>
  <c r="E574" i="21"/>
  <c r="A821" i="21"/>
  <c r="G820" i="21"/>
  <c r="A806" i="22"/>
  <c r="H574" i="21" l="1"/>
  <c r="C575" i="21" s="1"/>
  <c r="I574" i="21"/>
  <c r="A807" i="22"/>
  <c r="G821" i="21"/>
  <c r="A822" i="21"/>
  <c r="D575" i="21" l="1"/>
  <c r="A823" i="21"/>
  <c r="G822" i="21"/>
  <c r="A808" i="22"/>
  <c r="F575" i="21" l="1"/>
  <c r="E575" i="21"/>
  <c r="A809" i="22"/>
  <c r="A824" i="21"/>
  <c r="G823" i="21"/>
  <c r="H575" i="21" l="1"/>
  <c r="C576" i="21" s="1"/>
  <c r="I575" i="21"/>
  <c r="A810" i="22"/>
  <c r="A825" i="21"/>
  <c r="G824" i="21"/>
  <c r="D576" i="21" l="1"/>
  <c r="A811" i="22"/>
  <c r="A826" i="21"/>
  <c r="G825" i="21"/>
  <c r="F576" i="21" l="1"/>
  <c r="E576" i="21"/>
  <c r="A827" i="21"/>
  <c r="G826" i="21"/>
  <c r="A812" i="22"/>
  <c r="H576" i="21" l="1"/>
  <c r="C577" i="21" s="1"/>
  <c r="I576" i="21"/>
  <c r="A813" i="22"/>
  <c r="G827" i="21"/>
  <c r="A828" i="21"/>
  <c r="D577" i="21" l="1"/>
  <c r="G828" i="21"/>
  <c r="A829" i="21"/>
  <c r="A814" i="22"/>
  <c r="F577" i="21" l="1"/>
  <c r="E577" i="21"/>
  <c r="A815" i="22"/>
  <c r="A830" i="21"/>
  <c r="G829" i="21"/>
  <c r="H577" i="21" l="1"/>
  <c r="C578" i="21" s="1"/>
  <c r="I577" i="21"/>
  <c r="G830" i="21"/>
  <c r="A831" i="21"/>
  <c r="A816" i="22"/>
  <c r="D578" i="21" l="1"/>
  <c r="A817" i="22"/>
  <c r="G831" i="21"/>
  <c r="A832" i="21"/>
  <c r="F578" i="21" l="1"/>
  <c r="E578" i="21"/>
  <c r="G832" i="21"/>
  <c r="A833" i="21"/>
  <c r="A818" i="22"/>
  <c r="H578" i="21" l="1"/>
  <c r="C579" i="21" s="1"/>
  <c r="I578" i="21"/>
  <c r="A834" i="21"/>
  <c r="G833" i="21"/>
  <c r="A819" i="22"/>
  <c r="D579" i="21" l="1"/>
  <c r="A820" i="22"/>
  <c r="A835" i="21"/>
  <c r="G834" i="21"/>
  <c r="F579" i="21" l="1"/>
  <c r="E579" i="21"/>
  <c r="A836" i="21"/>
  <c r="G835" i="21"/>
  <c r="A821" i="22"/>
  <c r="H579" i="21" l="1"/>
  <c r="C580" i="21" s="1"/>
  <c r="I579" i="21"/>
  <c r="A822" i="22"/>
  <c r="A837" i="21"/>
  <c r="G836" i="21"/>
  <c r="D580" i="21" l="1"/>
  <c r="G837" i="21"/>
  <c r="A838" i="21"/>
  <c r="A823" i="22"/>
  <c r="F580" i="21" l="1"/>
  <c r="E580" i="21"/>
  <c r="A824" i="22"/>
  <c r="G838" i="21"/>
  <c r="A839" i="21"/>
  <c r="H580" i="21" l="1"/>
  <c r="C581" i="21" s="1"/>
  <c r="I580" i="21"/>
  <c r="G839" i="21"/>
  <c r="A840" i="21"/>
  <c r="A825" i="22"/>
  <c r="D581" i="21" l="1"/>
  <c r="A826" i="22"/>
  <c r="G840" i="21"/>
  <c r="A841" i="21"/>
  <c r="F581" i="21" l="1"/>
  <c r="E581" i="21"/>
  <c r="G841" i="21"/>
  <c r="A842" i="21"/>
  <c r="A827" i="22"/>
  <c r="H581" i="21" l="1"/>
  <c r="C582" i="21" s="1"/>
  <c r="I581" i="21"/>
  <c r="A843" i="21"/>
  <c r="G842" i="21"/>
  <c r="A828" i="22"/>
  <c r="D582" i="21" l="1"/>
  <c r="A829" i="22"/>
  <c r="A844" i="21"/>
  <c r="G843" i="21"/>
  <c r="F582" i="21" l="1"/>
  <c r="E582" i="21"/>
  <c r="G844" i="21"/>
  <c r="A845" i="21"/>
  <c r="A830" i="22"/>
  <c r="H582" i="21" l="1"/>
  <c r="C583" i="21" s="1"/>
  <c r="I582" i="21"/>
  <c r="A831" i="22"/>
  <c r="G845" i="21"/>
  <c r="A846" i="21"/>
  <c r="D583" i="21" l="1"/>
  <c r="A847" i="21"/>
  <c r="G846" i="21"/>
  <c r="A832" i="22"/>
  <c r="F583" i="21" l="1"/>
  <c r="E583" i="21"/>
  <c r="G847" i="21"/>
  <c r="A848" i="21"/>
  <c r="A833" i="22"/>
  <c r="H583" i="21" l="1"/>
  <c r="C584" i="21" s="1"/>
  <c r="I583" i="21"/>
  <c r="A834" i="22"/>
  <c r="G848" i="21"/>
  <c r="A849" i="21"/>
  <c r="D584" i="21" l="1"/>
  <c r="A850" i="21"/>
  <c r="G849" i="21"/>
  <c r="A835" i="22"/>
  <c r="F584" i="21" l="1"/>
  <c r="E584" i="21"/>
  <c r="A836" i="22"/>
  <c r="A851" i="21"/>
  <c r="G850" i="21"/>
  <c r="H584" i="21" l="1"/>
  <c r="C585" i="21" s="1"/>
  <c r="I584" i="21"/>
  <c r="G851" i="21"/>
  <c r="A852" i="21"/>
  <c r="A837" i="22"/>
  <c r="D585" i="21" l="1"/>
  <c r="A838" i="22"/>
  <c r="G852" i="21"/>
  <c r="A853" i="21"/>
  <c r="F585" i="21" l="1"/>
  <c r="E585" i="21"/>
  <c r="A839" i="22"/>
  <c r="A854" i="21"/>
  <c r="G853" i="21"/>
  <c r="H585" i="21" l="1"/>
  <c r="C586" i="21" s="1"/>
  <c r="I585" i="21"/>
  <c r="A855" i="21"/>
  <c r="G854" i="21"/>
  <c r="A840" i="22"/>
  <c r="D586" i="21" l="1"/>
  <c r="A841" i="22"/>
  <c r="G855" i="21"/>
  <c r="A856" i="21"/>
  <c r="F586" i="21" l="1"/>
  <c r="E586" i="21"/>
  <c r="G856" i="21"/>
  <c r="A857" i="21"/>
  <c r="A842" i="22"/>
  <c r="H586" i="21" l="1"/>
  <c r="C587" i="21" s="1"/>
  <c r="I586" i="21"/>
  <c r="A858" i="21"/>
  <c r="G857" i="21"/>
  <c r="A843" i="22"/>
  <c r="D587" i="21" l="1"/>
  <c r="A844" i="22"/>
  <c r="A859" i="21"/>
  <c r="G858" i="21"/>
  <c r="F587" i="21" l="1"/>
  <c r="E587" i="21"/>
  <c r="A845" i="22"/>
  <c r="A860" i="21"/>
  <c r="G859" i="21"/>
  <c r="H587" i="21" l="1"/>
  <c r="C588" i="21" s="1"/>
  <c r="I587" i="21"/>
  <c r="G860" i="21"/>
  <c r="A861" i="21"/>
  <c r="A846" i="22"/>
  <c r="D588" i="21" l="1"/>
  <c r="A847" i="22"/>
  <c r="G861" i="21"/>
  <c r="A862" i="21"/>
  <c r="F588" i="21" l="1"/>
  <c r="E588" i="21"/>
  <c r="G862" i="21"/>
  <c r="A863" i="21"/>
  <c r="A848" i="22"/>
  <c r="H588" i="21" l="1"/>
  <c r="C589" i="21" s="1"/>
  <c r="I588" i="21"/>
  <c r="A864" i="21"/>
  <c r="G863" i="21"/>
  <c r="A849" i="22"/>
  <c r="D589" i="21" l="1"/>
  <c r="A865" i="21"/>
  <c r="G864" i="21"/>
  <c r="A850" i="22"/>
  <c r="F589" i="21" l="1"/>
  <c r="E589" i="21"/>
  <c r="A851" i="22"/>
  <c r="A866" i="21"/>
  <c r="G865" i="21"/>
  <c r="H589" i="21" l="1"/>
  <c r="C590" i="21" s="1"/>
  <c r="I589" i="21"/>
  <c r="G866" i="21"/>
  <c r="A867" i="21"/>
  <c r="A852" i="22"/>
  <c r="D590" i="21" l="1"/>
  <c r="G867" i="21"/>
  <c r="A868" i="21"/>
  <c r="A853" i="22"/>
  <c r="F590" i="21" l="1"/>
  <c r="E590" i="21"/>
  <c r="A854" i="22"/>
  <c r="G868" i="21"/>
  <c r="A869" i="21"/>
  <c r="H590" i="21" l="1"/>
  <c r="C591" i="21" s="1"/>
  <c r="I590" i="21"/>
  <c r="A855" i="22"/>
  <c r="G869" i="21"/>
  <c r="A870" i="21"/>
  <c r="D591" i="21" l="1"/>
  <c r="G870" i="21"/>
  <c r="A871" i="21"/>
  <c r="A856" i="22"/>
  <c r="F591" i="21" l="1"/>
  <c r="E591" i="21"/>
  <c r="A857" i="22"/>
  <c r="G871" i="21"/>
  <c r="A872" i="21"/>
  <c r="H591" i="21" l="1"/>
  <c r="C592" i="21" s="1"/>
  <c r="I591" i="21"/>
  <c r="A858" i="22"/>
  <c r="G872" i="21"/>
  <c r="A873" i="21"/>
  <c r="D592" i="21" l="1"/>
  <c r="A874" i="21"/>
  <c r="G873" i="21"/>
  <c r="A859" i="22"/>
  <c r="F592" i="21" l="1"/>
  <c r="E592" i="21"/>
  <c r="A860" i="22"/>
  <c r="G874" i="21"/>
  <c r="A875" i="21"/>
  <c r="H592" i="21" l="1"/>
  <c r="C593" i="21" s="1"/>
  <c r="I592" i="21"/>
  <c r="A861" i="22"/>
  <c r="A876" i="21"/>
  <c r="G875" i="21"/>
  <c r="D593" i="21" l="1"/>
  <c r="G876" i="21"/>
  <c r="A877" i="21"/>
  <c r="A862" i="22"/>
  <c r="F593" i="21" l="1"/>
  <c r="E593" i="21"/>
  <c r="A863" i="22"/>
  <c r="A878" i="21"/>
  <c r="G877" i="21"/>
  <c r="H593" i="21" l="1"/>
  <c r="C594" i="21" s="1"/>
  <c r="I593" i="21"/>
  <c r="A879" i="21"/>
  <c r="G878" i="21"/>
  <c r="A864" i="22"/>
  <c r="D594" i="21" l="1"/>
  <c r="A865" i="22"/>
  <c r="G879" i="21"/>
  <c r="A880" i="21"/>
  <c r="F594" i="21" l="1"/>
  <c r="E594" i="21"/>
  <c r="G880" i="21"/>
  <c r="A881" i="21"/>
  <c r="A866" i="22"/>
  <c r="H594" i="21" l="1"/>
  <c r="C595" i="21" s="1"/>
  <c r="I594" i="21"/>
  <c r="A882" i="21"/>
  <c r="G881" i="21"/>
  <c r="A867" i="22"/>
  <c r="D595" i="21" l="1"/>
  <c r="A868" i="22"/>
  <c r="G882" i="21"/>
  <c r="A883" i="21"/>
  <c r="F595" i="21" l="1"/>
  <c r="E595" i="21"/>
  <c r="G883" i="21"/>
  <c r="A884" i="21"/>
  <c r="A869" i="22"/>
  <c r="H595" i="21" l="1"/>
  <c r="C596" i="21" s="1"/>
  <c r="I595" i="21"/>
  <c r="A870" i="22"/>
  <c r="G884" i="21"/>
  <c r="A885" i="21"/>
  <c r="D596" i="21" l="1"/>
  <c r="A886" i="21"/>
  <c r="G885" i="21"/>
  <c r="A871" i="22"/>
  <c r="F596" i="21" l="1"/>
  <c r="E596" i="21"/>
  <c r="A872" i="22"/>
  <c r="A887" i="21"/>
  <c r="G886" i="21"/>
  <c r="H596" i="21" l="1"/>
  <c r="C597" i="21" s="1"/>
  <c r="I596" i="21"/>
  <c r="A888" i="21"/>
  <c r="G887" i="21"/>
  <c r="A873" i="22"/>
  <c r="D597" i="21" l="1"/>
  <c r="A874" i="22"/>
  <c r="A889" i="21"/>
  <c r="G888" i="21"/>
  <c r="F597" i="21" l="1"/>
  <c r="E597" i="21"/>
  <c r="A875" i="22"/>
  <c r="G889" i="21"/>
  <c r="A890" i="21"/>
  <c r="H597" i="21" l="1"/>
  <c r="C598" i="21" s="1"/>
  <c r="I597" i="21"/>
  <c r="A891" i="21"/>
  <c r="G890" i="21"/>
  <c r="A876" i="22"/>
  <c r="D598" i="21" l="1"/>
  <c r="A877" i="22"/>
  <c r="G891" i="21"/>
  <c r="A892" i="21"/>
  <c r="F598" i="21" l="1"/>
  <c r="E598" i="21"/>
  <c r="A878" i="22"/>
  <c r="G892" i="21"/>
  <c r="A893" i="21"/>
  <c r="H598" i="21" l="1"/>
  <c r="C599" i="21" s="1"/>
  <c r="I598" i="21"/>
  <c r="A879" i="22"/>
  <c r="A894" i="21"/>
  <c r="G893" i="21"/>
  <c r="D599" i="21" l="1"/>
  <c r="G894" i="21"/>
  <c r="A895" i="21"/>
  <c r="A880" i="22"/>
  <c r="F599" i="21" l="1"/>
  <c r="E599" i="21"/>
  <c r="A881" i="22"/>
  <c r="G895" i="21"/>
  <c r="A896" i="21"/>
  <c r="H599" i="21" l="1"/>
  <c r="C600" i="21" s="1"/>
  <c r="I599" i="21"/>
  <c r="A897" i="21"/>
  <c r="G896" i="21"/>
  <c r="A882" i="22"/>
  <c r="D600" i="21" l="1"/>
  <c r="A883" i="22"/>
  <c r="A898" i="21"/>
  <c r="G897" i="21"/>
  <c r="F600" i="21" l="1"/>
  <c r="E600" i="21"/>
  <c r="G898" i="21"/>
  <c r="A899" i="21"/>
  <c r="A884" i="22"/>
  <c r="H600" i="21" l="1"/>
  <c r="C601" i="21" s="1"/>
  <c r="I600" i="21"/>
  <c r="A900" i="21"/>
  <c r="G899" i="21"/>
  <c r="A885" i="22"/>
  <c r="D601" i="21" l="1"/>
  <c r="A886" i="22"/>
  <c r="G900" i="21"/>
  <c r="A901" i="21"/>
  <c r="F601" i="21" l="1"/>
  <c r="E601" i="21"/>
  <c r="G901" i="21"/>
  <c r="A902" i="21"/>
  <c r="A887" i="22"/>
  <c r="H601" i="21" l="1"/>
  <c r="C602" i="21" s="1"/>
  <c r="I601" i="21"/>
  <c r="A888" i="22"/>
  <c r="G902" i="21"/>
  <c r="A903" i="21"/>
  <c r="D602" i="21" l="1"/>
  <c r="A904" i="21"/>
  <c r="G903" i="21"/>
  <c r="A889" i="22"/>
  <c r="F602" i="21" l="1"/>
  <c r="E602" i="21"/>
  <c r="A890" i="22"/>
  <c r="A905" i="21"/>
  <c r="G904" i="21"/>
  <c r="H602" i="21" l="1"/>
  <c r="C603" i="21" s="1"/>
  <c r="I602" i="21"/>
  <c r="A891" i="22"/>
  <c r="G905" i="21"/>
  <c r="A906" i="21"/>
  <c r="D603" i="21" l="1"/>
  <c r="A892" i="22"/>
  <c r="G906" i="21"/>
  <c r="A907" i="21"/>
  <c r="F603" i="21" l="1"/>
  <c r="E603" i="21"/>
  <c r="A908" i="21"/>
  <c r="G907" i="21"/>
  <c r="A893" i="22"/>
  <c r="H603" i="21" l="1"/>
  <c r="C604" i="21" s="1"/>
  <c r="I603" i="21"/>
  <c r="A894" i="22"/>
  <c r="A909" i="21"/>
  <c r="G908" i="21"/>
  <c r="D604" i="21" l="1"/>
  <c r="G909" i="21"/>
  <c r="A910" i="21"/>
  <c r="A895" i="22"/>
  <c r="F604" i="21" l="1"/>
  <c r="E604" i="21"/>
  <c r="A896" i="22"/>
  <c r="G910" i="21"/>
  <c r="A911" i="21"/>
  <c r="H604" i="21" l="1"/>
  <c r="C605" i="21" s="1"/>
  <c r="I604" i="21"/>
  <c r="G911" i="21"/>
  <c r="A912" i="21"/>
  <c r="A897" i="22"/>
  <c r="D605" i="21" l="1"/>
  <c r="A913" i="21"/>
  <c r="G912" i="21"/>
  <c r="A898" i="22"/>
  <c r="F605" i="21" l="1"/>
  <c r="E605" i="21"/>
  <c r="A914" i="21"/>
  <c r="G913" i="21"/>
  <c r="A899" i="22"/>
  <c r="H605" i="21" l="1"/>
  <c r="C606" i="21" s="1"/>
  <c r="I605" i="21"/>
  <c r="A900" i="22"/>
  <c r="G914" i="21"/>
  <c r="A915" i="21"/>
  <c r="D606" i="21" l="1"/>
  <c r="A916" i="21"/>
  <c r="G915" i="21"/>
  <c r="A901" i="22"/>
  <c r="F606" i="21" l="1"/>
  <c r="E606" i="21"/>
  <c r="A902" i="22"/>
  <c r="A917" i="21"/>
  <c r="G916" i="21"/>
  <c r="H606" i="21" l="1"/>
  <c r="C607" i="21" s="1"/>
  <c r="I606" i="21"/>
  <c r="A903" i="22"/>
  <c r="G917" i="21"/>
  <c r="A918" i="21"/>
  <c r="D607" i="21" l="1"/>
  <c r="G918" i="21"/>
  <c r="A919" i="21"/>
  <c r="A904" i="22"/>
  <c r="F607" i="21" l="1"/>
  <c r="E607" i="21"/>
  <c r="A920" i="21"/>
  <c r="G919" i="21"/>
  <c r="A905" i="22"/>
  <c r="H607" i="21" l="1"/>
  <c r="C608" i="21" s="1"/>
  <c r="I607" i="21"/>
  <c r="A906" i="22"/>
  <c r="A921" i="21"/>
  <c r="G920" i="21"/>
  <c r="D608" i="21" l="1"/>
  <c r="A922" i="21"/>
  <c r="G921" i="21"/>
  <c r="A907" i="22"/>
  <c r="F608" i="21" l="1"/>
  <c r="E608" i="21"/>
  <c r="A908" i="22"/>
  <c r="G922" i="21"/>
  <c r="A923" i="21"/>
  <c r="H608" i="21" l="1"/>
  <c r="C609" i="21" s="1"/>
  <c r="I608" i="21"/>
  <c r="A924" i="21"/>
  <c r="G923" i="21"/>
  <c r="A909" i="22"/>
  <c r="D609" i="21" l="1"/>
  <c r="A910" i="22"/>
  <c r="G924" i="21"/>
  <c r="A925" i="21"/>
  <c r="F609" i="21" l="1"/>
  <c r="E609" i="21"/>
  <c r="G925" i="21"/>
  <c r="A926" i="21"/>
  <c r="A911" i="22"/>
  <c r="H609" i="21" l="1"/>
  <c r="C610" i="21" s="1"/>
  <c r="I609" i="21"/>
  <c r="G926" i="21"/>
  <c r="A927" i="21"/>
  <c r="A912" i="22"/>
  <c r="D610" i="21" l="1"/>
  <c r="A928" i="21"/>
  <c r="G927" i="21"/>
  <c r="A913" i="22"/>
  <c r="F610" i="21" l="1"/>
  <c r="E610" i="21"/>
  <c r="A914" i="22"/>
  <c r="A929" i="21"/>
  <c r="G928" i="21"/>
  <c r="H610" i="21" l="1"/>
  <c r="C611" i="21" s="1"/>
  <c r="I610" i="21"/>
  <c r="A930" i="21"/>
  <c r="G929" i="21"/>
  <c r="A915" i="22"/>
  <c r="D611" i="21" l="1"/>
  <c r="A916" i="22"/>
  <c r="G930" i="21"/>
  <c r="A931" i="21"/>
  <c r="F611" i="21" l="1"/>
  <c r="E611" i="21"/>
  <c r="A932" i="21"/>
  <c r="G931" i="21"/>
  <c r="A917" i="22"/>
  <c r="H611" i="21" l="1"/>
  <c r="C612" i="21" s="1"/>
  <c r="I611" i="21"/>
  <c r="A918" i="22"/>
  <c r="G932" i="21"/>
  <c r="A933" i="21"/>
  <c r="D612" i="21" l="1"/>
  <c r="A934" i="21"/>
  <c r="G933" i="21"/>
  <c r="A919" i="22"/>
  <c r="F612" i="21" l="1"/>
  <c r="E612" i="21"/>
  <c r="A920" i="22"/>
  <c r="G934" i="21"/>
  <c r="A935" i="21"/>
  <c r="H612" i="21" l="1"/>
  <c r="C613" i="21" s="1"/>
  <c r="I612" i="21"/>
  <c r="A921" i="22"/>
  <c r="A936" i="21"/>
  <c r="G935" i="21"/>
  <c r="D613" i="21" l="1"/>
  <c r="A937" i="21"/>
  <c r="G936" i="21"/>
  <c r="A922" i="22"/>
  <c r="F613" i="21" l="1"/>
  <c r="E613" i="21"/>
  <c r="A923" i="22"/>
  <c r="G937" i="21"/>
  <c r="A938" i="21"/>
  <c r="H613" i="21" l="1"/>
  <c r="C614" i="21" s="1"/>
  <c r="I613" i="21"/>
  <c r="A924" i="22"/>
  <c r="G938" i="21"/>
  <c r="A939" i="21"/>
  <c r="D614" i="21" l="1"/>
  <c r="A940" i="21"/>
  <c r="G939" i="21"/>
  <c r="A925" i="22"/>
  <c r="F614" i="21" l="1"/>
  <c r="E614" i="21"/>
  <c r="A926" i="22"/>
  <c r="G940" i="21"/>
  <c r="A941" i="21"/>
  <c r="H614" i="21" l="1"/>
  <c r="C615" i="21" s="1"/>
  <c r="I614" i="21"/>
  <c r="G941" i="21"/>
  <c r="A942" i="21"/>
  <c r="A927" i="22"/>
  <c r="D615" i="21" l="1"/>
  <c r="G942" i="21"/>
  <c r="A943" i="21"/>
  <c r="A928" i="22"/>
  <c r="F615" i="21" l="1"/>
  <c r="E615" i="21"/>
  <c r="A944" i="21"/>
  <c r="G943" i="21"/>
  <c r="A929" i="22"/>
  <c r="H615" i="21" l="1"/>
  <c r="C616" i="21" s="1"/>
  <c r="I615" i="21"/>
  <c r="A930" i="22"/>
  <c r="G944" i="21"/>
  <c r="A945" i="21"/>
  <c r="D616" i="21" l="1"/>
  <c r="A931" i="22"/>
  <c r="A946" i="21"/>
  <c r="G945" i="21"/>
  <c r="F616" i="21" l="1"/>
  <c r="E616" i="21"/>
  <c r="G946" i="21"/>
  <c r="A947" i="21"/>
  <c r="A932" i="22"/>
  <c r="H616" i="21" l="1"/>
  <c r="C617" i="21" s="1"/>
  <c r="I616" i="21"/>
  <c r="A933" i="22"/>
  <c r="A948" i="21"/>
  <c r="G947" i="21"/>
  <c r="D617" i="21" l="1"/>
  <c r="G948" i="21"/>
  <c r="A949" i="21"/>
  <c r="A934" i="22"/>
  <c r="F617" i="21" l="1"/>
  <c r="E617" i="21"/>
  <c r="A935" i="22"/>
  <c r="G949" i="21"/>
  <c r="A950" i="21"/>
  <c r="H617" i="21" l="1"/>
  <c r="C618" i="21" s="1"/>
  <c r="I617" i="21"/>
  <c r="G950" i="21"/>
  <c r="A951" i="21"/>
  <c r="A936" i="22"/>
  <c r="D618" i="21" l="1"/>
  <c r="A937" i="22"/>
  <c r="A952" i="21"/>
  <c r="G951" i="21"/>
  <c r="F618" i="21" l="1"/>
  <c r="E618" i="21"/>
  <c r="A938" i="22"/>
  <c r="A953" i="21"/>
  <c r="G952" i="21"/>
  <c r="H618" i="21" l="1"/>
  <c r="C619" i="21" s="1"/>
  <c r="I618" i="21"/>
  <c r="A954" i="21"/>
  <c r="G953" i="21"/>
  <c r="A939" i="22"/>
  <c r="D619" i="21" l="1"/>
  <c r="A940" i="22"/>
  <c r="G954" i="21"/>
  <c r="A955" i="21"/>
  <c r="F619" i="21" l="1"/>
  <c r="E619" i="21"/>
  <c r="A956" i="21"/>
  <c r="G955" i="21"/>
  <c r="A941" i="22"/>
  <c r="H619" i="21" l="1"/>
  <c r="C620" i="21" s="1"/>
  <c r="I619" i="21"/>
  <c r="A942" i="22"/>
  <c r="G956" i="21"/>
  <c r="A957" i="21"/>
  <c r="D620" i="21" l="1"/>
  <c r="G957" i="21"/>
  <c r="A958" i="21"/>
  <c r="A943" i="22"/>
  <c r="F620" i="21" l="1"/>
  <c r="E620" i="21"/>
  <c r="A944" i="22"/>
  <c r="G958" i="21"/>
  <c r="A959" i="21"/>
  <c r="H620" i="21" l="1"/>
  <c r="C621" i="21" s="1"/>
  <c r="I620" i="21"/>
  <c r="A945" i="22"/>
  <c r="A960" i="21"/>
  <c r="G959" i="21"/>
  <c r="D621" i="21" l="1"/>
  <c r="G960" i="21"/>
  <c r="A961" i="21"/>
  <c r="A946" i="22"/>
  <c r="F621" i="21" l="1"/>
  <c r="E621" i="21"/>
  <c r="A947" i="22"/>
  <c r="A962" i="21"/>
  <c r="G961" i="21"/>
  <c r="H621" i="21" l="1"/>
  <c r="C622" i="21" s="1"/>
  <c r="I621" i="21"/>
  <c r="G962" i="21"/>
  <c r="A963" i="21"/>
  <c r="A948" i="22"/>
  <c r="D622" i="21" l="1"/>
  <c r="A949" i="22"/>
  <c r="A964" i="21"/>
  <c r="G963" i="21"/>
  <c r="F622" i="21" l="1"/>
  <c r="E622" i="21"/>
  <c r="G964" i="21"/>
  <c r="A965" i="21"/>
  <c r="A950" i="22"/>
  <c r="H622" i="21" l="1"/>
  <c r="C623" i="21" s="1"/>
  <c r="I622" i="21"/>
  <c r="A951" i="22"/>
  <c r="A966" i="21"/>
  <c r="G965" i="21"/>
  <c r="D623" i="21" l="1"/>
  <c r="A967" i="21"/>
  <c r="G966" i="21"/>
  <c r="A952" i="22"/>
  <c r="F623" i="21" l="1"/>
  <c r="E623" i="21"/>
  <c r="I623" i="21" s="1"/>
  <c r="A953" i="22"/>
  <c r="A968" i="21"/>
  <c r="G967" i="21"/>
  <c r="H623" i="21" l="1"/>
  <c r="C624" i="21" s="1"/>
  <c r="G968" i="21"/>
  <c r="A969" i="21"/>
  <c r="A954" i="22"/>
  <c r="D624" i="21" l="1"/>
  <c r="A955" i="22"/>
  <c r="G969" i="21"/>
  <c r="A970" i="21"/>
  <c r="F624" i="21" l="1"/>
  <c r="E624" i="21"/>
  <c r="I624" i="21" s="1"/>
  <c r="A971" i="21"/>
  <c r="G970" i="21"/>
  <c r="A956" i="22"/>
  <c r="H624" i="21" l="1"/>
  <c r="C625" i="21" s="1"/>
  <c r="A972" i="21"/>
  <c r="G971" i="21"/>
  <c r="A957" i="22"/>
  <c r="D625" i="21" l="1"/>
  <c r="A958" i="22"/>
  <c r="G972" i="21"/>
  <c r="A973" i="21"/>
  <c r="F625" i="21" l="1"/>
  <c r="E625" i="21"/>
  <c r="G973" i="21"/>
  <c r="A974" i="21"/>
  <c r="A959" i="22"/>
  <c r="H625" i="21" l="1"/>
  <c r="C626" i="21" s="1"/>
  <c r="I625" i="21"/>
  <c r="A975" i="21"/>
  <c r="G974" i="21"/>
  <c r="A960" i="22"/>
  <c r="D626" i="21" l="1"/>
  <c r="A961" i="22"/>
  <c r="A976" i="21"/>
  <c r="G975" i="21"/>
  <c r="F626" i="21" l="1"/>
  <c r="E626" i="21"/>
  <c r="G976" i="21"/>
  <c r="A977" i="21"/>
  <c r="A962" i="22"/>
  <c r="H626" i="21" l="1"/>
  <c r="C627" i="21" s="1"/>
  <c r="I626" i="21"/>
  <c r="A963" i="22"/>
  <c r="A978" i="21"/>
  <c r="G977" i="21"/>
  <c r="D627" i="21" l="1"/>
  <c r="G978" i="21"/>
  <c r="A979" i="21"/>
  <c r="A964" i="22"/>
  <c r="F627" i="21" l="1"/>
  <c r="E627" i="21"/>
  <c r="A965" i="22"/>
  <c r="A980" i="21"/>
  <c r="G979" i="21"/>
  <c r="H627" i="21" l="1"/>
  <c r="C628" i="21" s="1"/>
  <c r="I627" i="21"/>
  <c r="G980" i="21"/>
  <c r="A981" i="21"/>
  <c r="A966" i="22"/>
  <c r="D628" i="21" l="1"/>
  <c r="A982" i="21"/>
  <c r="G981" i="21"/>
  <c r="A967" i="22"/>
  <c r="F628" i="21" l="1"/>
  <c r="E628" i="21"/>
  <c r="A968" i="22"/>
  <c r="A983" i="21"/>
  <c r="G982" i="21"/>
  <c r="H628" i="21" l="1"/>
  <c r="C629" i="21" s="1"/>
  <c r="I628" i="21"/>
  <c r="A984" i="21"/>
  <c r="G983" i="21"/>
  <c r="A969" i="22"/>
  <c r="D629" i="21" l="1"/>
  <c r="A970" i="22"/>
  <c r="G984" i="21"/>
  <c r="A985" i="21"/>
  <c r="F629" i="21" l="1"/>
  <c r="E629" i="21"/>
  <c r="A971" i="22"/>
  <c r="A986" i="21"/>
  <c r="G985" i="21"/>
  <c r="H629" i="21" l="1"/>
  <c r="C630" i="21" s="1"/>
  <c r="I629" i="21"/>
  <c r="A972" i="22"/>
  <c r="A987" i="21"/>
  <c r="G986" i="21"/>
  <c r="D630" i="21" l="1"/>
  <c r="G987" i="21"/>
  <c r="A988" i="21"/>
  <c r="A973" i="22"/>
  <c r="F630" i="21" l="1"/>
  <c r="E630" i="21"/>
  <c r="A974" i="22"/>
  <c r="G988" i="21"/>
  <c r="A989" i="21"/>
  <c r="H630" i="21" l="1"/>
  <c r="C631" i="21" s="1"/>
  <c r="I630" i="21"/>
  <c r="A975" i="22"/>
  <c r="A990" i="21"/>
  <c r="G989" i="21"/>
  <c r="D631" i="21" l="1"/>
  <c r="A976" i="22"/>
  <c r="A991" i="21"/>
  <c r="G990" i="21"/>
  <c r="F631" i="21" l="1"/>
  <c r="E631" i="21"/>
  <c r="G991" i="21"/>
  <c r="A992" i="21"/>
  <c r="A977" i="22"/>
  <c r="H631" i="21" l="1"/>
  <c r="C632" i="21" s="1"/>
  <c r="I631" i="21"/>
  <c r="A978" i="22"/>
  <c r="A993" i="21"/>
  <c r="G992" i="21"/>
  <c r="D632" i="21" l="1"/>
  <c r="A994" i="21"/>
  <c r="G993" i="21"/>
  <c r="A979" i="22"/>
  <c r="F632" i="21" l="1"/>
  <c r="E632" i="21"/>
  <c r="A980" i="22"/>
  <c r="G994" i="21"/>
  <c r="A995" i="21"/>
  <c r="H632" i="21" l="1"/>
  <c r="C633" i="21" s="1"/>
  <c r="I632" i="21"/>
  <c r="G995" i="21"/>
  <c r="A996" i="21"/>
  <c r="A981" i="22"/>
  <c r="D633" i="21" l="1"/>
  <c r="A982" i="22"/>
  <c r="A997" i="21"/>
  <c r="G996" i="21"/>
  <c r="F633" i="21" l="1"/>
  <c r="E633" i="21"/>
  <c r="A998" i="21"/>
  <c r="G997" i="21"/>
  <c r="A983" i="22"/>
  <c r="H633" i="21" l="1"/>
  <c r="C634" i="21" s="1"/>
  <c r="I633" i="21"/>
  <c r="G998" i="21"/>
  <c r="A999" i="21"/>
  <c r="A984" i="22"/>
  <c r="D634" i="21" l="1"/>
  <c r="A985" i="22"/>
  <c r="G999" i="21"/>
  <c r="A1000" i="21"/>
  <c r="F634" i="21" l="1"/>
  <c r="E634" i="21"/>
  <c r="A986" i="22"/>
  <c r="G1000" i="21"/>
  <c r="A1001" i="21"/>
  <c r="H634" i="21" l="1"/>
  <c r="C635" i="21" s="1"/>
  <c r="I634" i="21"/>
  <c r="G1001" i="21"/>
  <c r="A1002" i="21"/>
  <c r="A987" i="22"/>
  <c r="D635" i="21" l="1"/>
  <c r="A988" i="22"/>
  <c r="A1003" i="21"/>
  <c r="G1002" i="21"/>
  <c r="F635" i="21" l="1"/>
  <c r="E635" i="21"/>
  <c r="A1004" i="21"/>
  <c r="G1003" i="21"/>
  <c r="A989" i="22"/>
  <c r="H635" i="21" l="1"/>
  <c r="C636" i="21" s="1"/>
  <c r="I635" i="21"/>
  <c r="G1004" i="21"/>
  <c r="A1005" i="21"/>
  <c r="A990" i="22"/>
  <c r="D636" i="21" l="1"/>
  <c r="A991" i="22"/>
  <c r="A1006" i="21"/>
  <c r="G1005" i="21"/>
  <c r="F636" i="21" l="1"/>
  <c r="E636" i="21"/>
  <c r="A1007" i="21"/>
  <c r="G1006" i="21"/>
  <c r="A992" i="22"/>
  <c r="H636" i="21" l="1"/>
  <c r="C637" i="21" s="1"/>
  <c r="I636" i="21"/>
  <c r="A993" i="22"/>
  <c r="G1007" i="21"/>
  <c r="A1008" i="21"/>
  <c r="D637" i="21" l="1"/>
  <c r="G1008" i="21"/>
  <c r="A1009" i="21"/>
  <c r="A994" i="22"/>
  <c r="F637" i="21" l="1"/>
  <c r="E637" i="21"/>
  <c r="A995" i="22"/>
  <c r="G1009" i="21"/>
  <c r="A1010" i="21"/>
  <c r="H637" i="21" l="1"/>
  <c r="C638" i="21" s="1"/>
  <c r="I637" i="21"/>
  <c r="A996" i="22"/>
  <c r="A1011" i="21"/>
  <c r="G1010" i="21"/>
  <c r="D638" i="21" l="1"/>
  <c r="G1011" i="21"/>
  <c r="A1012" i="21"/>
  <c r="A997" i="22"/>
  <c r="F638" i="21" l="1"/>
  <c r="E638" i="21"/>
  <c r="A998" i="22"/>
  <c r="G1012" i="21"/>
  <c r="A1013" i="21"/>
  <c r="H638" i="21" l="1"/>
  <c r="C639" i="21" s="1"/>
  <c r="I638" i="21"/>
  <c r="G1013" i="21"/>
  <c r="A1014" i="21"/>
  <c r="A999" i="22"/>
  <c r="D639" i="21" l="1"/>
  <c r="A1000" i="22"/>
  <c r="A1015" i="21"/>
  <c r="G1014" i="21"/>
  <c r="F639" i="21" l="1"/>
  <c r="E639" i="21"/>
  <c r="A1016" i="21"/>
  <c r="G1015" i="21"/>
  <c r="A1001" i="22"/>
  <c r="H639" i="21" l="1"/>
  <c r="C640" i="21" s="1"/>
  <c r="I639" i="21"/>
  <c r="G1016" i="21"/>
  <c r="A1017" i="21"/>
  <c r="A1002" i="22"/>
  <c r="D640" i="21" l="1"/>
  <c r="G1017" i="21"/>
  <c r="A1018" i="21"/>
  <c r="A1003" i="22"/>
  <c r="F640" i="21" l="1"/>
  <c r="E640" i="21"/>
  <c r="A1004" i="22"/>
  <c r="A1019" i="21"/>
  <c r="G1018" i="21"/>
  <c r="H640" i="21" l="1"/>
  <c r="C641" i="21" s="1"/>
  <c r="I640" i="21"/>
  <c r="A1020" i="21"/>
  <c r="G1019" i="21"/>
  <c r="A1005" i="22"/>
  <c r="D641" i="21" l="1"/>
  <c r="A1006" i="22"/>
  <c r="G1020" i="21"/>
  <c r="A1021" i="21"/>
  <c r="F641" i="21" l="1"/>
  <c r="E641" i="21"/>
  <c r="A1022" i="21"/>
  <c r="G1021" i="21"/>
  <c r="A1007" i="22"/>
  <c r="H641" i="21" l="1"/>
  <c r="C642" i="21" s="1"/>
  <c r="I641" i="21"/>
  <c r="A1023" i="21"/>
  <c r="G1022" i="21"/>
  <c r="A1008" i="22"/>
  <c r="D642" i="21" l="1"/>
  <c r="A1024" i="21"/>
  <c r="G1023" i="21"/>
  <c r="A1009" i="22"/>
  <c r="F642" i="21" l="1"/>
  <c r="E642" i="21"/>
  <c r="A1010" i="22"/>
  <c r="A1025" i="21"/>
  <c r="G1024" i="21"/>
  <c r="H642" i="21" l="1"/>
  <c r="C643" i="21" s="1"/>
  <c r="I642" i="21"/>
  <c r="G1025" i="21"/>
  <c r="A1026" i="21"/>
  <c r="A1011" i="22"/>
  <c r="D643" i="21" l="1"/>
  <c r="A1012" i="22"/>
  <c r="A1027" i="21"/>
  <c r="G1026" i="21"/>
  <c r="F643" i="21" l="1"/>
  <c r="E643" i="21"/>
  <c r="A1013" i="22"/>
  <c r="A1028" i="21"/>
  <c r="G1027" i="21"/>
  <c r="H643" i="21" l="1"/>
  <c r="C644" i="21" s="1"/>
  <c r="I643" i="21"/>
  <c r="G1028" i="21"/>
  <c r="A1029" i="21"/>
  <c r="A1014" i="22"/>
  <c r="D644" i="21" l="1"/>
  <c r="A1015" i="22"/>
  <c r="G1029" i="21"/>
  <c r="A1030" i="21"/>
  <c r="F644" i="21" l="1"/>
  <c r="E644" i="21"/>
  <c r="A1031" i="21"/>
  <c r="G1030" i="21"/>
  <c r="A1016" i="22"/>
  <c r="H644" i="21" l="1"/>
  <c r="C645" i="21" s="1"/>
  <c r="I644" i="21"/>
  <c r="G1031" i="21"/>
  <c r="A1032" i="21"/>
  <c r="A1017" i="22"/>
  <c r="D645" i="21" l="1"/>
  <c r="G1032" i="21"/>
  <c r="A1033" i="21"/>
  <c r="A1018" i="22"/>
  <c r="F645" i="21" l="1"/>
  <c r="E645" i="21"/>
  <c r="A1019" i="22"/>
  <c r="A1034" i="21"/>
  <c r="G1033" i="21"/>
  <c r="H645" i="21" l="1"/>
  <c r="C646" i="21" s="1"/>
  <c r="I645" i="21"/>
  <c r="A1035" i="21"/>
  <c r="G1034" i="21"/>
  <c r="A1020" i="22"/>
  <c r="D646" i="21" l="1"/>
  <c r="A1021" i="22"/>
  <c r="G1035" i="21"/>
  <c r="A1036" i="21"/>
  <c r="F646" i="21" l="1"/>
  <c r="E646" i="21"/>
  <c r="A1022" i="22"/>
  <c r="G1036" i="21"/>
  <c r="A1037" i="21"/>
  <c r="H646" i="21" l="1"/>
  <c r="C647" i="21" s="1"/>
  <c r="I646" i="21"/>
  <c r="G1037" i="21"/>
  <c r="A1038" i="21"/>
  <c r="A1023" i="22"/>
  <c r="D647" i="21" l="1"/>
  <c r="A1024" i="22"/>
  <c r="G1038" i="21"/>
  <c r="A1039" i="21"/>
  <c r="G1039" i="21" l="1"/>
  <c r="A1040" i="21"/>
  <c r="F647" i="21"/>
  <c r="E647" i="21"/>
  <c r="A1025" i="22"/>
  <c r="G1040" i="21" l="1"/>
  <c r="A1041" i="21"/>
  <c r="H647" i="21"/>
  <c r="C648" i="21" s="1"/>
  <c r="I647" i="21"/>
  <c r="A1026" i="22"/>
  <c r="G1041" i="21" l="1"/>
  <c r="A1042" i="21"/>
  <c r="D648" i="21"/>
  <c r="A1027" i="22"/>
  <c r="G1042" i="21" l="1"/>
  <c r="A1043" i="21"/>
  <c r="F648" i="21"/>
  <c r="E648" i="21"/>
  <c r="A1028" i="22"/>
  <c r="G1043" i="21" l="1"/>
  <c r="A1044" i="21"/>
  <c r="H648" i="21"/>
  <c r="C649" i="21" s="1"/>
  <c r="I648" i="21"/>
  <c r="G62" i="20"/>
  <c r="A1029" i="22"/>
  <c r="G1044" i="21" l="1"/>
  <c r="A1045" i="21"/>
  <c r="D649" i="21"/>
  <c r="A1030" i="22"/>
  <c r="A1046" i="21" l="1"/>
  <c r="G1045" i="21"/>
  <c r="F649" i="21"/>
  <c r="E649" i="21"/>
  <c r="A1031" i="22"/>
  <c r="A1047" i="21" l="1"/>
  <c r="G1046" i="21"/>
  <c r="H649" i="21"/>
  <c r="C650" i="21" s="1"/>
  <c r="I649" i="21"/>
  <c r="A1032" i="22"/>
  <c r="G1047" i="21" l="1"/>
  <c r="A1048" i="21"/>
  <c r="D650" i="21"/>
  <c r="A1033" i="22"/>
  <c r="G1048" i="21" l="1"/>
  <c r="A1049" i="21"/>
  <c r="F650" i="21"/>
  <c r="E650" i="21"/>
  <c r="A1034" i="22"/>
  <c r="A1050" i="21" l="1"/>
  <c r="G1049" i="21"/>
  <c r="H650" i="21"/>
  <c r="C651" i="21" s="1"/>
  <c r="I650" i="21"/>
  <c r="A1035" i="22"/>
  <c r="G1050" i="21" l="1"/>
  <c r="A1051" i="21"/>
  <c r="D651" i="21"/>
  <c r="A1036" i="22"/>
  <c r="A1052" i="21" l="1"/>
  <c r="G1051" i="21"/>
  <c r="F651" i="21"/>
  <c r="E651" i="21"/>
  <c r="A1037" i="22"/>
  <c r="A1053" i="21" l="1"/>
  <c r="G1052" i="21"/>
  <c r="H651" i="21"/>
  <c r="C652" i="21" s="1"/>
  <c r="I651" i="21"/>
  <c r="A1038" i="22"/>
  <c r="G1053" i="21" l="1"/>
  <c r="A1054" i="21"/>
  <c r="D652" i="21"/>
  <c r="A1039" i="22"/>
  <c r="G1054" i="21" l="1"/>
  <c r="A1055" i="21"/>
  <c r="F652" i="21"/>
  <c r="E652" i="21"/>
  <c r="A1040" i="22"/>
  <c r="A1056" i="21" l="1"/>
  <c r="G1055" i="21"/>
  <c r="H652" i="21"/>
  <c r="C653" i="21" s="1"/>
  <c r="I652" i="21"/>
  <c r="A1041" i="22"/>
  <c r="G1056" i="21" l="1"/>
  <c r="A1057" i="21"/>
  <c r="D653" i="21"/>
  <c r="A1042" i="22"/>
  <c r="G1057" i="21" l="1"/>
  <c r="A1058" i="21"/>
  <c r="F653" i="21"/>
  <c r="E653" i="21"/>
  <c r="A1043" i="22"/>
  <c r="A1059" i="21" l="1"/>
  <c r="G1058" i="21"/>
  <c r="H653" i="21"/>
  <c r="C654" i="21" s="1"/>
  <c r="I653" i="21"/>
  <c r="A1044" i="22"/>
  <c r="G1059" i="21" l="1"/>
  <c r="A1060" i="21"/>
  <c r="D654" i="21"/>
  <c r="A1045" i="22"/>
  <c r="A1061" i="21" l="1"/>
  <c r="G1060" i="21"/>
  <c r="F654" i="21"/>
  <c r="E654" i="21"/>
  <c r="A1046" i="22"/>
  <c r="G1061" i="21" l="1"/>
  <c r="A1062" i="21"/>
  <c r="H654" i="21"/>
  <c r="C655" i="21" s="1"/>
  <c r="I654" i="21"/>
  <c r="A1047" i="22"/>
  <c r="G1062" i="21" l="1"/>
  <c r="A1063" i="21"/>
  <c r="D655" i="21"/>
  <c r="A1048" i="22"/>
  <c r="G1063" i="21" l="1"/>
  <c r="A1064" i="21"/>
  <c r="F655" i="21"/>
  <c r="E655" i="21"/>
  <c r="A1049" i="22"/>
  <c r="G1064" i="21" l="1"/>
  <c r="A1065" i="21"/>
  <c r="H655" i="21"/>
  <c r="C656" i="21" s="1"/>
  <c r="I655" i="21"/>
  <c r="A1050" i="22"/>
  <c r="G1065" i="21" l="1"/>
  <c r="A1066" i="21"/>
  <c r="D656" i="21"/>
  <c r="A1051" i="22"/>
  <c r="G1066" i="21" l="1"/>
  <c r="A1067" i="21"/>
  <c r="F656" i="21"/>
  <c r="E656" i="21"/>
  <c r="A1052" i="22"/>
  <c r="G1067" i="21" l="1"/>
  <c r="A1068" i="21"/>
  <c r="H656" i="21"/>
  <c r="C657" i="21" s="1"/>
  <c r="I656" i="21"/>
  <c r="A1053" i="22"/>
  <c r="G1068" i="21" l="1"/>
  <c r="A1069" i="21"/>
  <c r="D657" i="21"/>
  <c r="A1054" i="22"/>
  <c r="A1070" i="21" l="1"/>
  <c r="G1069" i="21"/>
  <c r="F657" i="21"/>
  <c r="E657" i="21"/>
  <c r="A1055" i="22"/>
  <c r="G1070" i="21" l="1"/>
  <c r="A1071" i="21"/>
  <c r="H657" i="21"/>
  <c r="C658" i="21" s="1"/>
  <c r="I657" i="21"/>
  <c r="A1056" i="22"/>
  <c r="G1071" i="21" l="1"/>
  <c r="A1072" i="21"/>
  <c r="D658" i="21"/>
  <c r="A1057" i="22"/>
  <c r="G1072" i="21" l="1"/>
  <c r="A1073" i="21"/>
  <c r="F658" i="21"/>
  <c r="E658" i="21"/>
  <c r="A1058" i="22"/>
  <c r="A1074" i="21" l="1"/>
  <c r="G1073" i="21"/>
  <c r="H658" i="21"/>
  <c r="C659" i="21" s="1"/>
  <c r="I658" i="21"/>
  <c r="A1059" i="22"/>
  <c r="G1074" i="21" l="1"/>
  <c r="A1075" i="21"/>
  <c r="D659" i="21"/>
  <c r="A1060" i="22"/>
  <c r="A1076" i="21" l="1"/>
  <c r="G1075" i="21"/>
  <c r="F659" i="21"/>
  <c r="E659" i="21"/>
  <c r="A1061" i="22"/>
  <c r="G1076" i="21" l="1"/>
  <c r="A1077" i="21"/>
  <c r="H659" i="21"/>
  <c r="C660" i="21" s="1"/>
  <c r="I659" i="21"/>
  <c r="A1062" i="22"/>
  <c r="G1077" i="21" l="1"/>
  <c r="A1078" i="21"/>
  <c r="D660" i="21"/>
  <c r="A1063" i="22"/>
  <c r="G1078" i="21" l="1"/>
  <c r="A1079" i="21"/>
  <c r="F660" i="21"/>
  <c r="E660" i="21"/>
  <c r="A1064" i="22"/>
  <c r="A1080" i="21" l="1"/>
  <c r="G1079" i="21"/>
  <c r="H660" i="21"/>
  <c r="C661" i="21" s="1"/>
  <c r="I660" i="21"/>
  <c r="A1065" i="22"/>
  <c r="G1080" i="21" l="1"/>
  <c r="A1081" i="21"/>
  <c r="D661" i="21"/>
  <c r="A1066" i="22"/>
  <c r="G1081" i="21" l="1"/>
  <c r="A1082" i="21"/>
  <c r="F661" i="21"/>
  <c r="E661" i="21"/>
  <c r="A1067" i="22"/>
  <c r="A1083" i="21" l="1"/>
  <c r="G1082" i="21"/>
  <c r="H661" i="21"/>
  <c r="C662" i="21" s="1"/>
  <c r="I661" i="21"/>
  <c r="A1068" i="22"/>
  <c r="G1083" i="21" l="1"/>
  <c r="A1084" i="21"/>
  <c r="D662" i="21"/>
  <c r="A1069" i="22"/>
  <c r="A1085" i="21" l="1"/>
  <c r="G1084" i="21"/>
  <c r="F662" i="21"/>
  <c r="E662" i="21"/>
  <c r="A1070" i="22"/>
  <c r="G1085" i="21" l="1"/>
  <c r="A1086" i="21"/>
  <c r="H662" i="21"/>
  <c r="C663" i="21" s="1"/>
  <c r="I662" i="21"/>
  <c r="A1071" i="22"/>
  <c r="G1086" i="21" l="1"/>
  <c r="A1087" i="21"/>
  <c r="D663" i="21"/>
  <c r="A1072" i="22"/>
  <c r="A1088" i="21" l="1"/>
  <c r="G1087" i="21"/>
  <c r="F663" i="21"/>
  <c r="E663" i="21"/>
  <c r="A1073" i="22"/>
  <c r="A1089" i="21" l="1"/>
  <c r="G1088" i="21"/>
  <c r="H663" i="21"/>
  <c r="C664" i="21" s="1"/>
  <c r="I663" i="21"/>
  <c r="A1074" i="22"/>
  <c r="G1089" i="21" l="1"/>
  <c r="A1090" i="21"/>
  <c r="D664" i="21"/>
  <c r="A1075" i="22"/>
  <c r="G1090" i="21" l="1"/>
  <c r="A1091" i="21"/>
  <c r="F664" i="21"/>
  <c r="E664" i="21"/>
  <c r="A1076" i="22"/>
  <c r="G1091" i="21" l="1"/>
  <c r="A1092" i="21"/>
  <c r="H664" i="21"/>
  <c r="C665" i="21" s="1"/>
  <c r="I664" i="21"/>
  <c r="A1077" i="22"/>
  <c r="G1092" i="21" l="1"/>
  <c r="A1093" i="21"/>
  <c r="D665" i="21"/>
  <c r="A1078" i="22"/>
  <c r="G1093" i="21" l="1"/>
  <c r="A1094" i="21"/>
  <c r="F665" i="21"/>
  <c r="E665" i="21"/>
  <c r="A1079" i="22"/>
  <c r="A1095" i="21" l="1"/>
  <c r="G1094" i="21"/>
  <c r="H665" i="21"/>
  <c r="C666" i="21" s="1"/>
  <c r="I665" i="21"/>
  <c r="A1080" i="22"/>
  <c r="G1095" i="21" l="1"/>
  <c r="A1096" i="21"/>
  <c r="D666" i="21"/>
  <c r="A1081" i="22"/>
  <c r="A1097" i="21" l="1"/>
  <c r="G1096" i="21"/>
  <c r="F666" i="21"/>
  <c r="E666" i="21"/>
  <c r="A1082" i="22"/>
  <c r="G1097" i="21" l="1"/>
  <c r="A1098" i="21"/>
  <c r="H666" i="21"/>
  <c r="C667" i="21" s="1"/>
  <c r="I666" i="21"/>
  <c r="A1083" i="22"/>
  <c r="G1098" i="21" l="1"/>
  <c r="A1099" i="21"/>
  <c r="D667" i="21"/>
  <c r="A1084" i="22"/>
  <c r="G1099" i="21" l="1"/>
  <c r="A1100" i="21"/>
  <c r="F667" i="21"/>
  <c r="E667" i="21"/>
  <c r="A1085" i="22"/>
  <c r="G1100" i="21" l="1"/>
  <c r="A1101" i="21"/>
  <c r="H667" i="21"/>
  <c r="C668" i="21" s="1"/>
  <c r="I667" i="21"/>
  <c r="A1086" i="22"/>
  <c r="G1101" i="21" l="1"/>
  <c r="A1102" i="21"/>
  <c r="D668" i="21"/>
  <c r="A1087" i="22"/>
  <c r="A1103" i="21" l="1"/>
  <c r="G1102" i="21"/>
  <c r="F668" i="21"/>
  <c r="E668" i="21"/>
  <c r="A1088" i="22"/>
  <c r="G1103" i="21" l="1"/>
  <c r="A1104" i="21"/>
  <c r="H668" i="21"/>
  <c r="C669" i="21" s="1"/>
  <c r="I668" i="21"/>
  <c r="A1089" i="22"/>
  <c r="G1104" i="21" l="1"/>
  <c r="A1105" i="21"/>
  <c r="D669" i="21"/>
  <c r="A1090" i="22"/>
  <c r="G1105" i="21" l="1"/>
  <c r="A1106" i="21"/>
  <c r="F669" i="21"/>
  <c r="E669" i="21"/>
  <c r="A1091" i="22"/>
  <c r="G1106" i="21" l="1"/>
  <c r="A1107" i="21"/>
  <c r="H669" i="21"/>
  <c r="C670" i="21" s="1"/>
  <c r="I669" i="21"/>
  <c r="A1092" i="22"/>
  <c r="G1107" i="21" l="1"/>
  <c r="A1108" i="21"/>
  <c r="D670" i="21"/>
  <c r="A1093" i="22"/>
  <c r="A1109" i="21" l="1"/>
  <c r="G1108" i="21"/>
  <c r="F670" i="21"/>
  <c r="E670" i="21"/>
  <c r="A1094" i="22"/>
  <c r="G1109" i="21" l="1"/>
  <c r="A1110" i="21"/>
  <c r="H670" i="21"/>
  <c r="C671" i="21" s="1"/>
  <c r="I670" i="21"/>
  <c r="A1095" i="22"/>
  <c r="G1110" i="21" l="1"/>
  <c r="A1111" i="21"/>
  <c r="D671" i="21"/>
  <c r="A1096" i="22"/>
  <c r="G1111" i="21" l="1"/>
  <c r="A1112" i="21"/>
  <c r="F671" i="21"/>
  <c r="E671" i="21"/>
  <c r="A1097" i="22"/>
  <c r="G1112" i="21" l="1"/>
  <c r="A1113" i="21"/>
  <c r="H671" i="21"/>
  <c r="C672" i="21" s="1"/>
  <c r="I671" i="21"/>
  <c r="A1098" i="22"/>
  <c r="G1113" i="21" l="1"/>
  <c r="A1114" i="21"/>
  <c r="D672" i="21"/>
  <c r="A1099" i="22"/>
  <c r="G1114" i="21" l="1"/>
  <c r="A1115" i="21"/>
  <c r="F672" i="21"/>
  <c r="E672" i="21"/>
  <c r="A1100" i="22"/>
  <c r="G1115" i="21" l="1"/>
  <c r="A1116" i="21"/>
  <c r="H672" i="21"/>
  <c r="C673" i="21" s="1"/>
  <c r="I672" i="21"/>
  <c r="A1101" i="22"/>
  <c r="G1116" i="21" l="1"/>
  <c r="A1117" i="21"/>
  <c r="D673" i="21"/>
  <c r="A1102" i="22"/>
  <c r="G1117" i="21" l="1"/>
  <c r="A1118" i="21"/>
  <c r="F673" i="21"/>
  <c r="E673" i="21"/>
  <c r="A1103" i="22"/>
  <c r="G1118" i="21" l="1"/>
  <c r="A1119" i="21"/>
  <c r="H673" i="21"/>
  <c r="C674" i="21" s="1"/>
  <c r="I673" i="21"/>
  <c r="A1104" i="22"/>
  <c r="G1119" i="21" l="1"/>
  <c r="A1120" i="21"/>
  <c r="D674" i="21"/>
  <c r="A1105" i="22"/>
  <c r="G1120" i="21" l="1"/>
  <c r="A1121" i="21"/>
  <c r="F674" i="21"/>
  <c r="E674" i="21"/>
  <c r="A1106" i="22"/>
  <c r="A1122" i="21" l="1"/>
  <c r="G1121" i="21"/>
  <c r="H674" i="21"/>
  <c r="C675" i="21" s="1"/>
  <c r="I674" i="21"/>
  <c r="A1107" i="22"/>
  <c r="A1123" i="21" l="1"/>
  <c r="G1122" i="21"/>
  <c r="D675" i="21"/>
  <c r="A1108" i="22"/>
  <c r="G1123" i="21" l="1"/>
  <c r="A1124" i="21"/>
  <c r="F675" i="21"/>
  <c r="E675" i="21"/>
  <c r="A1109" i="22"/>
  <c r="A1125" i="21" l="1"/>
  <c r="G1124" i="21"/>
  <c r="H675" i="21"/>
  <c r="C676" i="21" s="1"/>
  <c r="I675" i="21"/>
  <c r="A1110" i="22"/>
  <c r="G1125" i="21" l="1"/>
  <c r="A1126" i="21"/>
  <c r="D676" i="21"/>
  <c r="A1111" i="22"/>
  <c r="G1126" i="21" l="1"/>
  <c r="A1127" i="21"/>
  <c r="F676" i="21"/>
  <c r="E676" i="21"/>
  <c r="A1112" i="22"/>
  <c r="G1127" i="21" l="1"/>
  <c r="A1128" i="21"/>
  <c r="H676" i="21"/>
  <c r="C677" i="21" s="1"/>
  <c r="I676" i="21"/>
  <c r="A1113" i="22"/>
  <c r="G1128" i="21" l="1"/>
  <c r="A1129" i="21"/>
  <c r="D677" i="21"/>
  <c r="A1114" i="22"/>
  <c r="G1129" i="21" l="1"/>
  <c r="A1130" i="21"/>
  <c r="F677" i="21"/>
  <c r="E677" i="21"/>
  <c r="A1115" i="22"/>
  <c r="G1130" i="21" l="1"/>
  <c r="A1131" i="21"/>
  <c r="H677" i="21"/>
  <c r="C678" i="21" s="1"/>
  <c r="I677" i="21"/>
  <c r="A1116" i="22"/>
  <c r="A1132" i="21" l="1"/>
  <c r="G1131" i="21"/>
  <c r="D678" i="21"/>
  <c r="A1117" i="22"/>
  <c r="G1132" i="21" l="1"/>
  <c r="A1133" i="21"/>
  <c r="F678" i="21"/>
  <c r="E678" i="21"/>
  <c r="A1118" i="22"/>
  <c r="A1134" i="21" l="1"/>
  <c r="G1133" i="21"/>
  <c r="H678" i="21"/>
  <c r="C679" i="21" s="1"/>
  <c r="I678" i="21"/>
  <c r="A1119" i="22"/>
  <c r="A1135" i="21" l="1"/>
  <c r="G1134" i="21"/>
  <c r="D679" i="21"/>
  <c r="A1120" i="22"/>
  <c r="G1135" i="21" l="1"/>
  <c r="A1136" i="21"/>
  <c r="F679" i="21"/>
  <c r="E679" i="21"/>
  <c r="A1121" i="22"/>
  <c r="A1137" i="21" l="1"/>
  <c r="G1136" i="21"/>
  <c r="H679" i="21"/>
  <c r="C680" i="21" s="1"/>
  <c r="I679" i="21"/>
  <c r="A1122" i="22"/>
  <c r="G1137" i="21" l="1"/>
  <c r="A1138" i="21"/>
  <c r="D680" i="21"/>
  <c r="A1123" i="22"/>
  <c r="A1139" i="21" l="1"/>
  <c r="G1138" i="21"/>
  <c r="F680" i="21"/>
  <c r="E680" i="21"/>
  <c r="A1124" i="22"/>
  <c r="G1139" i="21" l="1"/>
  <c r="A1140" i="21"/>
  <c r="H680" i="21"/>
  <c r="C681" i="21" s="1"/>
  <c r="I680" i="21"/>
  <c r="A1125" i="22"/>
  <c r="A1141" i="21" l="1"/>
  <c r="G1140" i="21"/>
  <c r="D681" i="21"/>
  <c r="A1126" i="22"/>
  <c r="A1142" i="21" l="1"/>
  <c r="G1141" i="21"/>
  <c r="F681" i="21"/>
  <c r="E681" i="21"/>
  <c r="A1127" i="22"/>
  <c r="A1143" i="21" l="1"/>
  <c r="G1142" i="21"/>
  <c r="H681" i="21"/>
  <c r="C682" i="21" s="1"/>
  <c r="I681" i="21"/>
  <c r="A1128" i="22"/>
  <c r="A1144" i="21" l="1"/>
  <c r="G1143" i="21"/>
  <c r="D682" i="21"/>
  <c r="A1129" i="22"/>
  <c r="G1144" i="21" l="1"/>
  <c r="A1145" i="21"/>
  <c r="F682" i="21"/>
  <c r="E682" i="21"/>
  <c r="A1130" i="22"/>
  <c r="G1145" i="21" l="1"/>
  <c r="A1146" i="21"/>
  <c r="H682" i="21"/>
  <c r="C683" i="21" s="1"/>
  <c r="I682" i="21"/>
  <c r="A1131" i="22"/>
  <c r="G1146" i="21" l="1"/>
  <c r="A1147" i="21"/>
  <c r="D683" i="21"/>
  <c r="A1132" i="22"/>
  <c r="G1147" i="21" l="1"/>
  <c r="A1148" i="21"/>
  <c r="F683" i="21"/>
  <c r="E683" i="21"/>
  <c r="A1133" i="22"/>
  <c r="A1149" i="21" l="1"/>
  <c r="G1148" i="21"/>
  <c r="H683" i="21"/>
  <c r="C684" i="21" s="1"/>
  <c r="I683" i="21"/>
  <c r="A1134" i="22"/>
  <c r="A1150" i="21" l="1"/>
  <c r="G1149" i="21"/>
  <c r="D684" i="21"/>
  <c r="A1135" i="22"/>
  <c r="A1151" i="21" l="1"/>
  <c r="G1150" i="21"/>
  <c r="F684" i="21"/>
  <c r="E684" i="21"/>
  <c r="A1136" i="22"/>
  <c r="A1152" i="21" l="1"/>
  <c r="G1151" i="21"/>
  <c r="H684" i="21"/>
  <c r="C685" i="21" s="1"/>
  <c r="I684" i="21"/>
  <c r="A1137" i="22"/>
  <c r="G1152" i="21" l="1"/>
  <c r="A1153" i="21"/>
  <c r="D685" i="21"/>
  <c r="A1138" i="22"/>
  <c r="A1154" i="21" l="1"/>
  <c r="G1153" i="21"/>
  <c r="F685" i="21"/>
  <c r="E685" i="21"/>
  <c r="A1139" i="22"/>
  <c r="A1155" i="21" l="1"/>
  <c r="G1154" i="21"/>
  <c r="H685" i="21"/>
  <c r="C686" i="21" s="1"/>
  <c r="I685" i="21"/>
  <c r="A1140" i="22"/>
  <c r="G1155" i="21" l="1"/>
  <c r="A1156" i="21"/>
  <c r="D686" i="21"/>
  <c r="A1141" i="22"/>
  <c r="G1156" i="21" l="1"/>
  <c r="A1157" i="21"/>
  <c r="F686" i="21"/>
  <c r="E686" i="21"/>
  <c r="A1142" i="22"/>
  <c r="G1157" i="21" l="1"/>
  <c r="A1158" i="21"/>
  <c r="H686" i="21"/>
  <c r="C687" i="21" s="1"/>
  <c r="I686" i="21"/>
  <c r="A1143" i="22"/>
  <c r="A1159" i="21" l="1"/>
  <c r="G1158" i="21"/>
  <c r="D687" i="21"/>
  <c r="A1144" i="22"/>
  <c r="A1160" i="21" l="1"/>
  <c r="G1159" i="21"/>
  <c r="F687" i="21"/>
  <c r="E687" i="21"/>
  <c r="A1145" i="22"/>
  <c r="G1160" i="21" l="1"/>
  <c r="A1161" i="21"/>
  <c r="H687" i="21"/>
  <c r="C688" i="21" s="1"/>
  <c r="I687" i="21"/>
  <c r="A1146" i="22"/>
  <c r="G1161" i="21" l="1"/>
  <c r="A1162" i="21"/>
  <c r="D688" i="21"/>
  <c r="A1147" i="22"/>
  <c r="G1162" i="21" l="1"/>
  <c r="A1163" i="21"/>
  <c r="F688" i="21"/>
  <c r="E688" i="21"/>
  <c r="A1148" i="22"/>
  <c r="G1163" i="21" l="1"/>
  <c r="A1164" i="21"/>
  <c r="H688" i="21"/>
  <c r="C689" i="21" s="1"/>
  <c r="I688" i="21"/>
  <c r="A1149" i="22"/>
  <c r="A1165" i="21" l="1"/>
  <c r="G1164" i="21"/>
  <c r="D689" i="21"/>
  <c r="A1150" i="22"/>
  <c r="G1165" i="21" l="1"/>
  <c r="A1166" i="21"/>
  <c r="F689" i="21"/>
  <c r="E689" i="21"/>
  <c r="A1151" i="22"/>
  <c r="G1166" i="21" l="1"/>
  <c r="A1167" i="21"/>
  <c r="H689" i="21"/>
  <c r="C690" i="21" s="1"/>
  <c r="I689" i="21"/>
  <c r="A1152" i="22"/>
  <c r="A1168" i="21" l="1"/>
  <c r="G1167" i="21"/>
  <c r="D690" i="21"/>
  <c r="A1153" i="22"/>
  <c r="A1169" i="21" l="1"/>
  <c r="G1168" i="21"/>
  <c r="F690" i="21"/>
  <c r="E690" i="21"/>
  <c r="A1154" i="22"/>
  <c r="G1169" i="21" l="1"/>
  <c r="A1170" i="21"/>
  <c r="H690" i="21"/>
  <c r="C691" i="21" s="1"/>
  <c r="I690" i="21"/>
  <c r="A1155" i="22"/>
  <c r="A1171" i="21" l="1"/>
  <c r="G1170" i="21"/>
  <c r="D691" i="21"/>
  <c r="A1156" i="22"/>
  <c r="A1172" i="21" l="1"/>
  <c r="G1171" i="21"/>
  <c r="F691" i="21"/>
  <c r="E691" i="21"/>
  <c r="A1157" i="22"/>
  <c r="G1172" i="21" l="1"/>
  <c r="A1173" i="21"/>
  <c r="H691" i="21"/>
  <c r="C692" i="21" s="1"/>
  <c r="I691" i="21"/>
  <c r="A1158" i="22"/>
  <c r="A1174" i="21" l="1"/>
  <c r="G1173" i="21"/>
  <c r="D692" i="21"/>
  <c r="A1159" i="22"/>
  <c r="G1174" i="21" l="1"/>
  <c r="A1175" i="21"/>
  <c r="F692" i="21"/>
  <c r="E692" i="21"/>
  <c r="A1160" i="22"/>
  <c r="G1175" i="21" l="1"/>
  <c r="A1176" i="21"/>
  <c r="H692" i="21"/>
  <c r="C693" i="21" s="1"/>
  <c r="I692" i="21"/>
  <c r="A1161" i="22"/>
  <c r="G1176" i="21" l="1"/>
  <c r="A1177" i="21"/>
  <c r="D693" i="21"/>
  <c r="A1162" i="22"/>
  <c r="A1178" i="21" l="1"/>
  <c r="G1177" i="21"/>
  <c r="F693" i="21"/>
  <c r="E693" i="21"/>
  <c r="A1163" i="22"/>
  <c r="G1178" i="21" l="1"/>
  <c r="A1179" i="21"/>
  <c r="H693" i="21"/>
  <c r="C694" i="21" s="1"/>
  <c r="I693" i="21"/>
  <c r="A1164" i="22"/>
  <c r="A1180" i="21" l="1"/>
  <c r="G1179" i="21"/>
  <c r="D694" i="21"/>
  <c r="A1165" i="22"/>
  <c r="A1181" i="21" l="1"/>
  <c r="G1180" i="21"/>
  <c r="F694" i="21"/>
  <c r="E694" i="21"/>
  <c r="A1166" i="22"/>
  <c r="G1181" i="21" l="1"/>
  <c r="A1182" i="21"/>
  <c r="H694" i="21"/>
  <c r="C695" i="21" s="1"/>
  <c r="I694" i="21"/>
  <c r="A1167" i="22"/>
  <c r="G1182" i="21" l="1"/>
  <c r="A1183" i="21"/>
  <c r="D695" i="21"/>
  <c r="A1168" i="22"/>
  <c r="G1183" i="21" l="1"/>
  <c r="A1184" i="21"/>
  <c r="F695" i="21"/>
  <c r="E695" i="21"/>
  <c r="A1169" i="22"/>
  <c r="G1184" i="21" l="1"/>
  <c r="A1185" i="21"/>
  <c r="H695" i="21"/>
  <c r="C696" i="21" s="1"/>
  <c r="I695" i="21"/>
  <c r="A1170" i="22"/>
  <c r="A1186" i="21" l="1"/>
  <c r="G1185" i="21"/>
  <c r="D696" i="21"/>
  <c r="A1171" i="22"/>
  <c r="A1187" i="21" l="1"/>
  <c r="G1186" i="21"/>
  <c r="F696" i="21"/>
  <c r="E696" i="21"/>
  <c r="A1172" i="22"/>
  <c r="G1187" i="21" l="1"/>
  <c r="A1188" i="21"/>
  <c r="H696" i="21"/>
  <c r="C697" i="21" s="1"/>
  <c r="I696" i="21"/>
  <c r="A1173" i="22"/>
  <c r="A1189" i="21" l="1"/>
  <c r="G1188" i="21"/>
  <c r="D697" i="21"/>
  <c r="A1174" i="22"/>
  <c r="G1189" i="21" l="1"/>
  <c r="A1190" i="21"/>
  <c r="F697" i="21"/>
  <c r="E697" i="21"/>
  <c r="A1175" i="22"/>
  <c r="G1190" i="21" l="1"/>
  <c r="A1191" i="21"/>
  <c r="H697" i="21"/>
  <c r="C698" i="21" s="1"/>
  <c r="I697" i="21"/>
  <c r="A1176" i="22"/>
  <c r="G1191" i="21" l="1"/>
  <c r="A1192" i="21"/>
  <c r="D698" i="21"/>
  <c r="A1177" i="22"/>
  <c r="A1193" i="21" l="1"/>
  <c r="G1192" i="21"/>
  <c r="F698" i="21"/>
  <c r="E698" i="21"/>
  <c r="A1178" i="22"/>
  <c r="G1193" i="21" l="1"/>
  <c r="A1194" i="21"/>
  <c r="H698" i="21"/>
  <c r="C699" i="21" s="1"/>
  <c r="I698" i="21"/>
  <c r="A1179" i="22"/>
  <c r="A1195" i="21" l="1"/>
  <c r="G1194" i="21"/>
  <c r="D699" i="21"/>
  <c r="A1180" i="22"/>
  <c r="A1196" i="21" l="1"/>
  <c r="G1195" i="21"/>
  <c r="F699" i="21"/>
  <c r="E699" i="21"/>
  <c r="A1181" i="22"/>
  <c r="G1196" i="21" l="1"/>
  <c r="A1197" i="21"/>
  <c r="H699" i="21"/>
  <c r="C700" i="21" s="1"/>
  <c r="I699" i="21"/>
  <c r="A1182" i="22"/>
  <c r="A1198" i="21" l="1"/>
  <c r="G1197" i="21"/>
  <c r="D700" i="21"/>
  <c r="A1183" i="22"/>
  <c r="G1198" i="21" l="1"/>
  <c r="A1199" i="21"/>
  <c r="F700" i="21"/>
  <c r="E700" i="21"/>
  <c r="A1184" i="22"/>
  <c r="G1199" i="21" l="1"/>
  <c r="A1200" i="21"/>
  <c r="H700" i="21"/>
  <c r="C701" i="21" s="1"/>
  <c r="I700" i="21"/>
  <c r="A1185" i="22"/>
  <c r="G1200" i="21" l="1"/>
  <c r="A1201" i="21"/>
  <c r="D701" i="21"/>
  <c r="A1186" i="22"/>
  <c r="A1202" i="21" l="1"/>
  <c r="G1201" i="21"/>
  <c r="F701" i="21"/>
  <c r="E701" i="21"/>
  <c r="A1187" i="22"/>
  <c r="G1202" i="21" l="1"/>
  <c r="A1203" i="21"/>
  <c r="H701" i="21"/>
  <c r="C702" i="21" s="1"/>
  <c r="I701" i="21"/>
  <c r="A1188" i="22"/>
  <c r="G1203" i="21" l="1"/>
  <c r="A1204" i="21"/>
  <c r="D702" i="21"/>
  <c r="A1189" i="22"/>
  <c r="A1205" i="21" l="1"/>
  <c r="G1204" i="21"/>
  <c r="F702" i="21"/>
  <c r="E702" i="21"/>
  <c r="A1190" i="22"/>
  <c r="G1205" i="21" l="1"/>
  <c r="A1206" i="21"/>
  <c r="H702" i="21"/>
  <c r="C703" i="21" s="1"/>
  <c r="I702" i="21"/>
  <c r="A1191" i="22"/>
  <c r="A1207" i="21" l="1"/>
  <c r="G1206" i="21"/>
  <c r="D703" i="21"/>
  <c r="A1192" i="22"/>
  <c r="A1208" i="21" l="1"/>
  <c r="G1207" i="21"/>
  <c r="F703" i="21"/>
  <c r="E703" i="21"/>
  <c r="A1193" i="22"/>
  <c r="G1208" i="21" l="1"/>
  <c r="A1209" i="21"/>
  <c r="H703" i="21"/>
  <c r="C704" i="21" s="1"/>
  <c r="I703" i="21"/>
  <c r="A1194" i="22"/>
  <c r="A1210" i="21" l="1"/>
  <c r="G1209" i="21"/>
  <c r="D704" i="21"/>
  <c r="A1195" i="22"/>
  <c r="G1210" i="21" l="1"/>
  <c r="A1211" i="21"/>
  <c r="F704" i="21"/>
  <c r="E704" i="21"/>
  <c r="A1196" i="22"/>
  <c r="G1211" i="21" l="1"/>
  <c r="A1212" i="21"/>
  <c r="H704" i="21"/>
  <c r="C705" i="21" s="1"/>
  <c r="I704" i="21"/>
  <c r="A1197" i="22"/>
  <c r="G1212" i="21" l="1"/>
  <c r="A1213" i="21"/>
  <c r="D705" i="21"/>
  <c r="A1198" i="22"/>
  <c r="G1213" i="21" l="1"/>
  <c r="A1214" i="21"/>
  <c r="F705" i="21"/>
  <c r="E705" i="21"/>
  <c r="A1199" i="22"/>
  <c r="G1214" i="21" l="1"/>
  <c r="A1215" i="21"/>
  <c r="H705" i="21"/>
  <c r="C706" i="21" s="1"/>
  <c r="I705" i="21"/>
  <c r="A1200" i="22"/>
  <c r="A1216" i="21" l="1"/>
  <c r="G1215" i="21"/>
  <c r="D706" i="21"/>
  <c r="A1201" i="22"/>
  <c r="G1216" i="21" l="1"/>
  <c r="A1217" i="21"/>
  <c r="F706" i="21"/>
  <c r="E706" i="21"/>
  <c r="A1202" i="22"/>
  <c r="G1217" i="21" l="1"/>
  <c r="A1218" i="21"/>
  <c r="H706" i="21"/>
  <c r="C707" i="21" s="1"/>
  <c r="I706" i="21"/>
  <c r="A1203" i="22"/>
  <c r="A1219" i="21" l="1"/>
  <c r="G1218" i="21"/>
  <c r="D707" i="21"/>
  <c r="A1204" i="22"/>
  <c r="A1220" i="21" l="1"/>
  <c r="G1219" i="21"/>
  <c r="F707" i="21"/>
  <c r="E707" i="21"/>
  <c r="A1205" i="22"/>
  <c r="G1220" i="21" l="1"/>
  <c r="A1221" i="21"/>
  <c r="H707" i="21"/>
  <c r="C708" i="21" s="1"/>
  <c r="I707" i="21"/>
  <c r="A1206" i="22"/>
  <c r="G1221" i="21" l="1"/>
  <c r="A1222" i="21"/>
  <c r="D708" i="21"/>
  <c r="A1207" i="22"/>
  <c r="G1222" i="21" l="1"/>
  <c r="A1223" i="21"/>
  <c r="F708" i="21"/>
  <c r="E708" i="21"/>
  <c r="A1208" i="22"/>
  <c r="G1223" i="21" l="1"/>
  <c r="A1224" i="21"/>
  <c r="H708" i="21"/>
  <c r="C709" i="21" s="1"/>
  <c r="I708" i="21"/>
  <c r="A1209" i="22"/>
  <c r="A1225" i="21" l="1"/>
  <c r="G1224" i="21"/>
  <c r="D709" i="21"/>
  <c r="A1210" i="22"/>
  <c r="A1226" i="21" l="1"/>
  <c r="G1225" i="21"/>
  <c r="F709" i="21"/>
  <c r="E709" i="21"/>
  <c r="A1211" i="22"/>
  <c r="G1226" i="21" l="1"/>
  <c r="A1227" i="21"/>
  <c r="H709" i="21"/>
  <c r="C710" i="21" s="1"/>
  <c r="I709" i="21"/>
  <c r="A1212" i="22"/>
  <c r="A1228" i="21" l="1"/>
  <c r="G1227" i="21"/>
  <c r="D710" i="21"/>
  <c r="A1213" i="22"/>
  <c r="G1228" i="21" l="1"/>
  <c r="A1229" i="21"/>
  <c r="F710" i="21"/>
  <c r="E710" i="21"/>
  <c r="A1214" i="22"/>
  <c r="G1229" i="21" l="1"/>
  <c r="A1230" i="21"/>
  <c r="H710" i="21"/>
  <c r="C711" i="21" s="1"/>
  <c r="I710" i="21"/>
  <c r="A1215" i="22"/>
  <c r="G1230" i="21" l="1"/>
  <c r="A1231" i="21"/>
  <c r="D711" i="21"/>
  <c r="A1216" i="22"/>
  <c r="G1231" i="21" l="1"/>
  <c r="A1232" i="21"/>
  <c r="F711" i="21"/>
  <c r="E711" i="21"/>
  <c r="A1217" i="22"/>
  <c r="G1232" i="21" l="1"/>
  <c r="A1233" i="21"/>
  <c r="H711" i="21"/>
  <c r="C712" i="21" s="1"/>
  <c r="I711" i="21"/>
  <c r="A1218" i="22"/>
  <c r="A1234" i="21" l="1"/>
  <c r="G1233" i="21"/>
  <c r="D712" i="21"/>
  <c r="A1219" i="22"/>
  <c r="G1234" i="21" l="1"/>
  <c r="A1235" i="21"/>
  <c r="F712" i="21"/>
  <c r="E712" i="21"/>
  <c r="A1220" i="22"/>
  <c r="G1235" i="21" l="1"/>
  <c r="A1236" i="21"/>
  <c r="H712" i="21"/>
  <c r="C713" i="21" s="1"/>
  <c r="I712" i="21"/>
  <c r="A1221" i="22"/>
  <c r="G1236" i="21" l="1"/>
  <c r="A1237" i="21"/>
  <c r="D713" i="21"/>
  <c r="A1222" i="22"/>
  <c r="G1237" i="21" l="1"/>
  <c r="A1238" i="21"/>
  <c r="F713" i="21"/>
  <c r="E713" i="21"/>
  <c r="A1223" i="22"/>
  <c r="G1238" i="21" l="1"/>
  <c r="A1239" i="21"/>
  <c r="H713" i="21"/>
  <c r="C714" i="21" s="1"/>
  <c r="I713" i="21"/>
  <c r="A1224" i="22"/>
  <c r="A1240" i="21" l="1"/>
  <c r="G1239" i="21"/>
  <c r="D714" i="21"/>
  <c r="A1225" i="22"/>
  <c r="G1240" i="21" l="1"/>
  <c r="A1241" i="21"/>
  <c r="F714" i="21"/>
  <c r="E714" i="21"/>
  <c r="A1226" i="22"/>
  <c r="G1241" i="21" l="1"/>
  <c r="A1242" i="21"/>
  <c r="H714" i="21"/>
  <c r="C715" i="21" s="1"/>
  <c r="I714" i="21"/>
  <c r="A1227" i="22"/>
  <c r="A1243" i="21" l="1"/>
  <c r="G1242" i="21"/>
  <c r="D715" i="21"/>
  <c r="A1228" i="22"/>
  <c r="A1244" i="21" l="1"/>
  <c r="G1243" i="21"/>
  <c r="F715" i="21"/>
  <c r="E715" i="21"/>
  <c r="A1229" i="22"/>
  <c r="G1244" i="21" l="1"/>
  <c r="A1245" i="21"/>
  <c r="H715" i="21"/>
  <c r="C716" i="21" s="1"/>
  <c r="I715" i="21"/>
  <c r="A1230" i="22"/>
  <c r="A1246" i="21" l="1"/>
  <c r="G1245" i="21"/>
  <c r="D716" i="21"/>
  <c r="A1231" i="22"/>
  <c r="A1247" i="21" l="1"/>
  <c r="G1246" i="21"/>
  <c r="F716" i="21"/>
  <c r="E716" i="21"/>
  <c r="A1232" i="22"/>
  <c r="G1247" i="21" l="1"/>
  <c r="A1248" i="21"/>
  <c r="H716" i="21"/>
  <c r="C717" i="21" s="1"/>
  <c r="I716" i="21"/>
  <c r="A1233" i="22"/>
  <c r="G1248" i="21" l="1"/>
  <c r="A1249" i="21"/>
  <c r="D717" i="21"/>
  <c r="A1234" i="22"/>
  <c r="G1249" i="21" l="1"/>
  <c r="A1250" i="21"/>
  <c r="F717" i="21"/>
  <c r="E717" i="21"/>
  <c r="A1235" i="22"/>
  <c r="G1250" i="21" l="1"/>
  <c r="A1251" i="21"/>
  <c r="H717" i="21"/>
  <c r="C718" i="21" s="1"/>
  <c r="I717" i="21"/>
  <c r="A1236" i="22"/>
  <c r="G1251" i="21" l="1"/>
  <c r="A1252" i="21"/>
  <c r="D718" i="21"/>
  <c r="A1237" i="22"/>
  <c r="A1253" i="21" l="1"/>
  <c r="G1252" i="21"/>
  <c r="F718" i="21"/>
  <c r="E718" i="21"/>
  <c r="A1238" i="22"/>
  <c r="G1253" i="21" l="1"/>
  <c r="A1254" i="21"/>
  <c r="H718" i="21"/>
  <c r="C719" i="21" s="1"/>
  <c r="I718" i="21"/>
  <c r="A1239" i="22"/>
  <c r="G1254" i="21" l="1"/>
  <c r="A1255" i="21"/>
  <c r="D719" i="21"/>
  <c r="A1240" i="22"/>
  <c r="G1255" i="21" l="1"/>
  <c r="A1256" i="21"/>
  <c r="F719" i="21"/>
  <c r="E719" i="21"/>
  <c r="A1241" i="22"/>
  <c r="G1256" i="21" l="1"/>
  <c r="A1257" i="21"/>
  <c r="H719" i="21"/>
  <c r="C720" i="21" s="1"/>
  <c r="I719" i="21"/>
  <c r="A1242" i="22"/>
  <c r="A1258" i="21" l="1"/>
  <c r="G1257" i="21"/>
  <c r="D720" i="21"/>
  <c r="A1243" i="22"/>
  <c r="G1258" i="21" l="1"/>
  <c r="A1259" i="21"/>
  <c r="F720" i="21"/>
  <c r="E720" i="21"/>
  <c r="A1244" i="22"/>
  <c r="G1259" i="21" l="1"/>
  <c r="A1260" i="21"/>
  <c r="H720" i="21"/>
  <c r="C721" i="21" s="1"/>
  <c r="I720" i="21"/>
  <c r="A1245" i="22"/>
  <c r="A1261" i="21" l="1"/>
  <c r="G1260" i="21"/>
  <c r="D721" i="21"/>
  <c r="A1246" i="22"/>
  <c r="A1262" i="21" l="1"/>
  <c r="G1261" i="21"/>
  <c r="F721" i="21"/>
  <c r="E721" i="21"/>
  <c r="A1247" i="22"/>
  <c r="G1262" i="21" l="1"/>
  <c r="A1263" i="21"/>
  <c r="H721" i="21"/>
  <c r="C722" i="21" s="1"/>
  <c r="I721" i="21"/>
  <c r="A1248" i="22"/>
  <c r="G1263" i="21" l="1"/>
  <c r="A1264" i="21"/>
  <c r="D722" i="21"/>
  <c r="A1249" i="22"/>
  <c r="A1265" i="21" l="1"/>
  <c r="G1264" i="21"/>
  <c r="F722" i="21"/>
  <c r="E722" i="21"/>
  <c r="A1250" i="22"/>
  <c r="G1265" i="21" l="1"/>
  <c r="A1266" i="21"/>
  <c r="H722" i="21"/>
  <c r="C723" i="21" s="1"/>
  <c r="I722" i="21"/>
  <c r="A1251" i="22"/>
  <c r="G1266" i="21" l="1"/>
  <c r="A1267" i="21"/>
  <c r="D723" i="21"/>
  <c r="A1252" i="22"/>
  <c r="G1267" i="21" l="1"/>
  <c r="A1268" i="21"/>
  <c r="F723" i="21"/>
  <c r="E723" i="21"/>
  <c r="A1253" i="22"/>
  <c r="G1268" i="21" l="1"/>
  <c r="A1269" i="21"/>
  <c r="H723" i="21"/>
  <c r="C724" i="21" s="1"/>
  <c r="I723" i="21"/>
  <c r="A1254" i="22"/>
  <c r="G1269" i="21" l="1"/>
  <c r="A1270" i="21"/>
  <c r="D724" i="21"/>
  <c r="A1255" i="22"/>
  <c r="G1270" i="21" l="1"/>
  <c r="A1271" i="21"/>
  <c r="F724" i="21"/>
  <c r="E724" i="21"/>
  <c r="A1256" i="22"/>
  <c r="G1271" i="21" l="1"/>
  <c r="A1272" i="21"/>
  <c r="H724" i="21"/>
  <c r="C725" i="21" s="1"/>
  <c r="I724" i="21"/>
  <c r="A1257" i="22"/>
  <c r="G1272" i="21" l="1"/>
  <c r="A1273" i="21"/>
  <c r="D725" i="21"/>
  <c r="A1258" i="22"/>
  <c r="G1273" i="21" l="1"/>
  <c r="A1274" i="21"/>
  <c r="F725" i="21"/>
  <c r="E725" i="21"/>
  <c r="A1259" i="22"/>
  <c r="G1274" i="21" l="1"/>
  <c r="A1275" i="21"/>
  <c r="H725" i="21"/>
  <c r="C726" i="21" s="1"/>
  <c r="I725" i="21"/>
  <c r="A1260" i="22"/>
  <c r="A1276" i="21" l="1"/>
  <c r="G1275" i="21"/>
  <c r="D726" i="21"/>
  <c r="A1261" i="22"/>
  <c r="A1277" i="21" l="1"/>
  <c r="G1276" i="21"/>
  <c r="F726" i="21"/>
  <c r="E726" i="21"/>
  <c r="A1262" i="22"/>
  <c r="G1277" i="21" l="1"/>
  <c r="A1278" i="21"/>
  <c r="H726" i="21"/>
  <c r="C727" i="21" s="1"/>
  <c r="I726" i="21"/>
  <c r="A1263" i="22"/>
  <c r="A1279" i="21" l="1"/>
  <c r="G1278" i="21"/>
  <c r="D727" i="21"/>
  <c r="A1264" i="22"/>
  <c r="G1279" i="21" l="1"/>
  <c r="A1280" i="21"/>
  <c r="F727" i="21"/>
  <c r="E727" i="21"/>
  <c r="A1265" i="22"/>
  <c r="G1280" i="21" l="1"/>
  <c r="A1281" i="21"/>
  <c r="H727" i="21"/>
  <c r="C728" i="21" s="1"/>
  <c r="I727" i="21"/>
  <c r="A1266" i="22"/>
  <c r="G1281" i="21" l="1"/>
  <c r="A1282" i="21"/>
  <c r="D728" i="21"/>
  <c r="A1267" i="22"/>
  <c r="A1283" i="21" l="1"/>
  <c r="G1282" i="21"/>
  <c r="F728" i="21"/>
  <c r="E728" i="21"/>
  <c r="A1268" i="22"/>
  <c r="G1283" i="21" l="1"/>
  <c r="A1284" i="21"/>
  <c r="H728" i="21"/>
  <c r="C729" i="21" s="1"/>
  <c r="I728" i="21"/>
  <c r="A1269" i="22"/>
  <c r="A1285" i="21" l="1"/>
  <c r="G1284" i="21"/>
  <c r="D729" i="21"/>
  <c r="A1270" i="22"/>
  <c r="G1285" i="21" l="1"/>
  <c r="A1286" i="21"/>
  <c r="F729" i="21"/>
  <c r="E729" i="21"/>
  <c r="A1271" i="22"/>
  <c r="G1286" i="21" l="1"/>
  <c r="A1287" i="21"/>
  <c r="H729" i="21"/>
  <c r="C730" i="21" s="1"/>
  <c r="I729" i="21"/>
  <c r="A1272" i="22"/>
  <c r="G1287" i="21" l="1"/>
  <c r="A1288" i="21"/>
  <c r="D730" i="21"/>
  <c r="A1273" i="22"/>
  <c r="A1289" i="21" l="1"/>
  <c r="G1288" i="21"/>
  <c r="F730" i="21"/>
  <c r="E730" i="21"/>
  <c r="A1274" i="22"/>
  <c r="G1289" i="21" l="1"/>
  <c r="A1290" i="21"/>
  <c r="H730" i="21"/>
  <c r="C731" i="21" s="1"/>
  <c r="I730" i="21"/>
  <c r="A1275" i="22"/>
  <c r="G1290" i="21" l="1"/>
  <c r="A1291" i="21"/>
  <c r="D731" i="21"/>
  <c r="A1276" i="22"/>
  <c r="G1291" i="21" l="1"/>
  <c r="A1292" i="21"/>
  <c r="F731" i="21"/>
  <c r="E731" i="21"/>
  <c r="A1277" i="22"/>
  <c r="G1292" i="21" l="1"/>
  <c r="A1293" i="21"/>
  <c r="H731" i="21"/>
  <c r="C732" i="21" s="1"/>
  <c r="I731" i="21"/>
  <c r="A1278" i="22"/>
  <c r="G1293" i="21" l="1"/>
  <c r="A1294" i="21"/>
  <c r="D732" i="21"/>
  <c r="A1279" i="22"/>
  <c r="A1295" i="21" l="1"/>
  <c r="G1294" i="21"/>
  <c r="F732" i="21"/>
  <c r="E732" i="21"/>
  <c r="A1280" i="22"/>
  <c r="G1295" i="21" l="1"/>
  <c r="A1296" i="21"/>
  <c r="H732" i="21"/>
  <c r="C733" i="21" s="1"/>
  <c r="I732" i="21"/>
  <c r="A1281" i="22"/>
  <c r="A1297" i="21" l="1"/>
  <c r="G1296" i="21"/>
  <c r="D733" i="21"/>
  <c r="A1282" i="22"/>
  <c r="A1298" i="21" l="1"/>
  <c r="G1297" i="21"/>
  <c r="F733" i="21"/>
  <c r="E733" i="21"/>
  <c r="A1283" i="22"/>
  <c r="G1298" i="21" l="1"/>
  <c r="A1299" i="21"/>
  <c r="H733" i="21"/>
  <c r="C734" i="21" s="1"/>
  <c r="I733" i="21"/>
  <c r="A1284" i="22"/>
  <c r="A1300" i="21" l="1"/>
  <c r="G1299" i="21"/>
  <c r="D734" i="21"/>
  <c r="A1285" i="22"/>
  <c r="G1300" i="21" l="1"/>
  <c r="A1301" i="21"/>
  <c r="F734" i="21"/>
  <c r="E734" i="21"/>
  <c r="A1286" i="22"/>
  <c r="G1301" i="21" l="1"/>
  <c r="A1302" i="21"/>
  <c r="H734" i="21"/>
  <c r="C735" i="21" s="1"/>
  <c r="I734" i="21"/>
  <c r="A1287" i="22"/>
  <c r="A1303" i="21" l="1"/>
  <c r="G1302" i="21"/>
  <c r="D735" i="21"/>
  <c r="A1288" i="22"/>
  <c r="G1303" i="21" l="1"/>
  <c r="A1304" i="21"/>
  <c r="F735" i="21"/>
  <c r="E735" i="21"/>
  <c r="A1289" i="22"/>
  <c r="G1304" i="21" l="1"/>
  <c r="A1305" i="21"/>
  <c r="H735" i="21"/>
  <c r="C736" i="21" s="1"/>
  <c r="I735" i="21"/>
  <c r="A1290" i="22"/>
  <c r="A1306" i="21" l="1"/>
  <c r="G1305" i="21"/>
  <c r="D736" i="21"/>
  <c r="A1291" i="22"/>
  <c r="G1306" i="21" l="1"/>
  <c r="A1307" i="21"/>
  <c r="F736" i="21"/>
  <c r="E736" i="21"/>
  <c r="A1292" i="22"/>
  <c r="G1307" i="21" l="1"/>
  <c r="A1308" i="21"/>
  <c r="H736" i="21"/>
  <c r="C737" i="21" s="1"/>
  <c r="I736" i="21"/>
  <c r="A1293" i="22"/>
  <c r="G1308" i="21" l="1"/>
  <c r="A1309" i="21"/>
  <c r="D737" i="21"/>
  <c r="A1294" i="22"/>
  <c r="A1310" i="21" l="1"/>
  <c r="G1309" i="21"/>
  <c r="F737" i="21"/>
  <c r="E737" i="21"/>
  <c r="A1295" i="22"/>
  <c r="G1310" i="21" l="1"/>
  <c r="A1311" i="21"/>
  <c r="H737" i="21"/>
  <c r="C738" i="21" s="1"/>
  <c r="I737" i="21"/>
  <c r="A1296" i="22"/>
  <c r="A1312" i="21" l="1"/>
  <c r="G1311" i="21"/>
  <c r="D738" i="21"/>
  <c r="A1297" i="22"/>
  <c r="G1312" i="21" l="1"/>
  <c r="A1313" i="21"/>
  <c r="F738" i="21"/>
  <c r="E738" i="21"/>
  <c r="A1298" i="22"/>
  <c r="G1313" i="21" l="1"/>
  <c r="A1314" i="21"/>
  <c r="H738" i="21"/>
  <c r="C739" i="21" s="1"/>
  <c r="I738" i="21"/>
  <c r="A1299" i="22"/>
  <c r="A1315" i="21" l="1"/>
  <c r="G1314" i="21"/>
  <c r="D739" i="21"/>
  <c r="A1300" i="22"/>
  <c r="A1316" i="21" l="1"/>
  <c r="G1315" i="21"/>
  <c r="F739" i="21"/>
  <c r="E739" i="21"/>
  <c r="A1301" i="22"/>
  <c r="G1316" i="21" l="1"/>
  <c r="A1317" i="21"/>
  <c r="H739" i="21"/>
  <c r="C740" i="21" s="1"/>
  <c r="I739" i="21"/>
  <c r="A1302" i="22"/>
  <c r="A1318" i="21" l="1"/>
  <c r="G1317" i="21"/>
  <c r="D740" i="21"/>
  <c r="A1303" i="22"/>
  <c r="A1319" i="21" l="1"/>
  <c r="G1318" i="21"/>
  <c r="F740" i="21"/>
  <c r="E740" i="21"/>
  <c r="A1304" i="22"/>
  <c r="G1319" i="21" l="1"/>
  <c r="A1320" i="21"/>
  <c r="H740" i="21"/>
  <c r="C741" i="21" s="1"/>
  <c r="I740" i="21"/>
  <c r="A1305" i="22"/>
  <c r="G1320" i="21" l="1"/>
  <c r="A1321" i="21"/>
  <c r="D741" i="21"/>
  <c r="A1306" i="22"/>
  <c r="A1322" i="21" l="1"/>
  <c r="G1321" i="21"/>
  <c r="F741" i="21"/>
  <c r="E741" i="21"/>
  <c r="A1307" i="22"/>
  <c r="G1322" i="21" l="1"/>
  <c r="A1323" i="21"/>
  <c r="H741" i="21"/>
  <c r="C742" i="21" s="1"/>
  <c r="I741" i="21"/>
  <c r="A1308" i="22"/>
  <c r="G1323" i="21" l="1"/>
  <c r="A1324" i="21"/>
  <c r="D742" i="21"/>
  <c r="A1309" i="22"/>
  <c r="G1324" i="21" l="1"/>
  <c r="A1325" i="21"/>
  <c r="F742" i="21"/>
  <c r="E742" i="21"/>
  <c r="A1310" i="22"/>
  <c r="G1325" i="21" l="1"/>
  <c r="A1326" i="21"/>
  <c r="H742" i="21"/>
  <c r="C743" i="21" s="1"/>
  <c r="I742" i="21"/>
  <c r="A1311" i="22"/>
  <c r="G1326" i="21" l="1"/>
  <c r="A1327" i="21"/>
  <c r="D743" i="21"/>
  <c r="A1312" i="22"/>
  <c r="G1327" i="21" l="1"/>
  <c r="A1328" i="21"/>
  <c r="F743" i="21"/>
  <c r="E743" i="21"/>
  <c r="A1313" i="22"/>
  <c r="G1328" i="21" l="1"/>
  <c r="A1329" i="21"/>
  <c r="H743" i="21"/>
  <c r="C744" i="21" s="1"/>
  <c r="I743" i="21"/>
  <c r="A1314" i="22"/>
  <c r="A1330" i="21" l="1"/>
  <c r="G1329" i="21"/>
  <c r="D744" i="21"/>
  <c r="A1315" i="22"/>
  <c r="G1330" i="21" l="1"/>
  <c r="A1331" i="21"/>
  <c r="F744" i="21"/>
  <c r="E744" i="21"/>
  <c r="A1316" i="22"/>
  <c r="G1331" i="21" l="1"/>
  <c r="A1332" i="21"/>
  <c r="H744" i="21"/>
  <c r="C745" i="21" s="1"/>
  <c r="I744" i="21"/>
  <c r="A1317" i="22"/>
  <c r="G1332" i="21" l="1"/>
  <c r="A1333" i="21"/>
  <c r="D745" i="21"/>
  <c r="A1318" i="22"/>
  <c r="G1333" i="21" l="1"/>
  <c r="A1334" i="21"/>
  <c r="F745" i="21"/>
  <c r="E745" i="21"/>
  <c r="A1319" i="22"/>
  <c r="G1334" i="21" l="1"/>
  <c r="A1335" i="21"/>
  <c r="H745" i="21"/>
  <c r="C746" i="21" s="1"/>
  <c r="I745" i="21"/>
  <c r="A1320" i="22"/>
  <c r="G1335" i="21" l="1"/>
  <c r="A1336" i="21"/>
  <c r="D746" i="21"/>
  <c r="A1321" i="22"/>
  <c r="A1337" i="21" l="1"/>
  <c r="G1336" i="21"/>
  <c r="F746" i="21"/>
  <c r="E746" i="21"/>
  <c r="A1322" i="22"/>
  <c r="G1337" i="21" l="1"/>
  <c r="A1338" i="21"/>
  <c r="H746" i="21"/>
  <c r="C747" i="21" s="1"/>
  <c r="I746" i="21"/>
  <c r="A1323" i="22"/>
  <c r="G1338" i="21" l="1"/>
  <c r="A1339" i="21"/>
  <c r="D747" i="21"/>
  <c r="A1324" i="22"/>
  <c r="A1340" i="21" l="1"/>
  <c r="G1339" i="21"/>
  <c r="F747" i="21"/>
  <c r="E747" i="21"/>
  <c r="A1325" i="22"/>
  <c r="A1341" i="21" l="1"/>
  <c r="G1340" i="21"/>
  <c r="H747" i="21"/>
  <c r="C748" i="21" s="1"/>
  <c r="I747" i="21"/>
  <c r="A1326" i="22"/>
  <c r="G1341" i="21" l="1"/>
  <c r="A1342" i="21"/>
  <c r="D748" i="21"/>
  <c r="A1327" i="22"/>
  <c r="A1343" i="21" l="1"/>
  <c r="G1342" i="21"/>
  <c r="F748" i="21"/>
  <c r="E748" i="21"/>
  <c r="A1328" i="22"/>
  <c r="A1344" i="21" l="1"/>
  <c r="G1343" i="21"/>
  <c r="H748" i="21"/>
  <c r="C749" i="21" s="1"/>
  <c r="I748" i="21"/>
  <c r="A1329" i="22"/>
  <c r="A1345" i="21" l="1"/>
  <c r="G1344" i="21"/>
  <c r="D749" i="21"/>
  <c r="A1330" i="22"/>
  <c r="A1346" i="21" l="1"/>
  <c r="G1345" i="21"/>
  <c r="F749" i="21"/>
  <c r="E749" i="21"/>
  <c r="A1331" i="22"/>
  <c r="G1346" i="21" l="1"/>
  <c r="A1347" i="21"/>
  <c r="H749" i="21"/>
  <c r="C750" i="21" s="1"/>
  <c r="I749" i="21"/>
  <c r="A1332" i="22"/>
  <c r="G1347" i="21" l="1"/>
  <c r="A1348" i="21"/>
  <c r="D750" i="21"/>
  <c r="A1333" i="22"/>
  <c r="A1349" i="21" l="1"/>
  <c r="G1348" i="21"/>
  <c r="F750" i="21"/>
  <c r="E750" i="21"/>
  <c r="A1334" i="22"/>
  <c r="A1350" i="21" l="1"/>
  <c r="G1349" i="21"/>
  <c r="H750" i="21"/>
  <c r="C751" i="21" s="1"/>
  <c r="I750" i="21"/>
  <c r="A1335" i="22"/>
  <c r="A1351" i="21" l="1"/>
  <c r="G1350" i="21"/>
  <c r="D751" i="21"/>
  <c r="A1336" i="22"/>
  <c r="A1352" i="21" l="1"/>
  <c r="G1351" i="21"/>
  <c r="F751" i="21"/>
  <c r="E751" i="21"/>
  <c r="A1337" i="22"/>
  <c r="G1352" i="21" l="1"/>
  <c r="A1353" i="21"/>
  <c r="H751" i="21"/>
  <c r="C752" i="21" s="1"/>
  <c r="I751" i="21"/>
  <c r="A1338" i="22"/>
  <c r="G1353" i="21" l="1"/>
  <c r="A1354" i="21"/>
  <c r="D752" i="21"/>
  <c r="A1339" i="22"/>
  <c r="A1355" i="21" l="1"/>
  <c r="G1354" i="21"/>
  <c r="F752" i="21"/>
  <c r="E752" i="21"/>
  <c r="A1340" i="22"/>
  <c r="G1355" i="21" l="1"/>
  <c r="A1356" i="21"/>
  <c r="H752" i="21"/>
  <c r="C753" i="21" s="1"/>
  <c r="I752" i="21"/>
  <c r="A1341" i="22"/>
  <c r="A1357" i="21" l="1"/>
  <c r="G1356" i="21"/>
  <c r="D753" i="21"/>
  <c r="A1342" i="22"/>
  <c r="A1358" i="21" l="1"/>
  <c r="G1357" i="21"/>
  <c r="F753" i="21"/>
  <c r="E753" i="21"/>
  <c r="A1343" i="22"/>
  <c r="G1358" i="21" l="1"/>
  <c r="A1359" i="21"/>
  <c r="H753" i="21"/>
  <c r="C754" i="21" s="1"/>
  <c r="I753" i="21"/>
  <c r="A1344" i="22"/>
  <c r="G1359" i="21" l="1"/>
  <c r="A1360" i="21"/>
  <c r="D754" i="21"/>
  <c r="A1345" i="22"/>
  <c r="A1361" i="21" l="1"/>
  <c r="G1360" i="21"/>
  <c r="F754" i="21"/>
  <c r="E754" i="21"/>
  <c r="A1346" i="22"/>
  <c r="G1361" i="21" l="1"/>
  <c r="A1362" i="21"/>
  <c r="H754" i="21"/>
  <c r="C755" i="21" s="1"/>
  <c r="I754" i="21"/>
  <c r="A1347" i="22"/>
  <c r="A1363" i="21" l="1"/>
  <c r="G1362" i="21"/>
  <c r="D755" i="21"/>
  <c r="A1348" i="22"/>
  <c r="A1364" i="21" l="1"/>
  <c r="G1363" i="21"/>
  <c r="F755" i="21"/>
  <c r="E755" i="21"/>
  <c r="A1349" i="22"/>
  <c r="G1364" i="21" l="1"/>
  <c r="A1365" i="21"/>
  <c r="H755" i="21"/>
  <c r="C756" i="21" s="1"/>
  <c r="I755" i="21"/>
  <c r="A1350" i="22"/>
  <c r="G1365" i="21" l="1"/>
  <c r="A1366" i="21"/>
  <c r="D756" i="21"/>
  <c r="A1351" i="22"/>
  <c r="A1367" i="21" l="1"/>
  <c r="G1366" i="21"/>
  <c r="F756" i="21"/>
  <c r="E756" i="21"/>
  <c r="A1352" i="22"/>
  <c r="G1367" i="21" l="1"/>
  <c r="A1368" i="21"/>
  <c r="H756" i="21"/>
  <c r="C757" i="21" s="1"/>
  <c r="I756" i="21"/>
  <c r="A1353" i="22"/>
  <c r="A1369" i="21" l="1"/>
  <c r="G1368" i="21"/>
  <c r="D757" i="21"/>
  <c r="A1354" i="22"/>
  <c r="A1370" i="21" l="1"/>
  <c r="G1369" i="21"/>
  <c r="F757" i="21"/>
  <c r="E757" i="21"/>
  <c r="A1355" i="22"/>
  <c r="G1370" i="21" l="1"/>
  <c r="A1371" i="21"/>
  <c r="H757" i="21"/>
  <c r="C758" i="21" s="1"/>
  <c r="I757" i="21"/>
  <c r="A1356" i="22"/>
  <c r="A1372" i="21" l="1"/>
  <c r="G1371" i="21"/>
  <c r="D758" i="21"/>
  <c r="A1357" i="22"/>
  <c r="A1373" i="21" l="1"/>
  <c r="G1372" i="21"/>
  <c r="F758" i="21"/>
  <c r="E758" i="21"/>
  <c r="A1358" i="22"/>
  <c r="A1374" i="21" l="1"/>
  <c r="G1373" i="21"/>
  <c r="H758" i="21"/>
  <c r="C759" i="21" s="1"/>
  <c r="I758" i="21"/>
  <c r="A1359" i="22"/>
  <c r="A1375" i="21" l="1"/>
  <c r="G1374" i="21"/>
  <c r="D759" i="21"/>
  <c r="A1360" i="22"/>
  <c r="A1376" i="21" l="1"/>
  <c r="G1375" i="21"/>
  <c r="F759" i="21"/>
  <c r="E759" i="21"/>
  <c r="A1361" i="22"/>
  <c r="A1377" i="21" l="1"/>
  <c r="G1376" i="21"/>
  <c r="H759" i="21"/>
  <c r="C760" i="21" s="1"/>
  <c r="I759" i="21"/>
  <c r="A1362" i="22"/>
  <c r="G1377" i="21" l="1"/>
  <c r="A1378" i="21"/>
  <c r="D760" i="21"/>
  <c r="A1363" i="22"/>
  <c r="A1379" i="21" l="1"/>
  <c r="G1378" i="21"/>
  <c r="F760" i="21"/>
  <c r="E760" i="21"/>
  <c r="A1364" i="22"/>
  <c r="A1380" i="21" l="1"/>
  <c r="G1379" i="21"/>
  <c r="H760" i="21"/>
  <c r="C761" i="21" s="1"/>
  <c r="I760" i="21"/>
  <c r="A1365" i="22"/>
  <c r="G1380" i="21" l="1"/>
  <c r="A1381" i="21"/>
  <c r="D761" i="21"/>
  <c r="A1366" i="22"/>
  <c r="A1382" i="21" l="1"/>
  <c r="G1381" i="21"/>
  <c r="F761" i="21"/>
  <c r="E761" i="21"/>
  <c r="A1367" i="22"/>
  <c r="A1383" i="21" l="1"/>
  <c r="G1382" i="21"/>
  <c r="H761" i="21"/>
  <c r="C762" i="21" s="1"/>
  <c r="I761" i="21"/>
  <c r="A1368" i="22"/>
  <c r="A1384" i="21" l="1"/>
  <c r="G1383" i="21"/>
  <c r="D762" i="21"/>
  <c r="A1369" i="22"/>
  <c r="A1385" i="21" l="1"/>
  <c r="G1384" i="21"/>
  <c r="F762" i="21"/>
  <c r="E762" i="21"/>
  <c r="A1370" i="22"/>
  <c r="G1385" i="21" l="1"/>
  <c r="A1386" i="21"/>
  <c r="H762" i="21"/>
  <c r="C763" i="21" s="1"/>
  <c r="I762" i="21"/>
  <c r="A1371" i="22"/>
  <c r="A1387" i="21" l="1"/>
  <c r="G1386" i="21"/>
  <c r="D763" i="21"/>
  <c r="A1372" i="22"/>
  <c r="A1388" i="21" l="1"/>
  <c r="G1387" i="21"/>
  <c r="F763" i="21"/>
  <c r="E763" i="21"/>
  <c r="A1373" i="22"/>
  <c r="A1389" i="21" l="1"/>
  <c r="G1388" i="21"/>
  <c r="H763" i="21"/>
  <c r="C764" i="21" s="1"/>
  <c r="I763" i="21"/>
  <c r="A1374" i="22"/>
  <c r="G1389" i="21" l="1"/>
  <c r="A1390" i="21"/>
  <c r="D764" i="21"/>
  <c r="A1375" i="22"/>
  <c r="A1391" i="21" l="1"/>
  <c r="G1390" i="21"/>
  <c r="F764" i="21"/>
  <c r="E764" i="21"/>
  <c r="A1376" i="22"/>
  <c r="G1391" i="21" l="1"/>
  <c r="A1392" i="21"/>
  <c r="H764" i="21"/>
  <c r="C765" i="21" s="1"/>
  <c r="I764" i="21"/>
  <c r="A1377" i="22"/>
  <c r="A1393" i="21" l="1"/>
  <c r="G1392" i="21"/>
  <c r="D765" i="21"/>
  <c r="A1378" i="22"/>
  <c r="A1394" i="21" l="1"/>
  <c r="G1393" i="21"/>
  <c r="F765" i="21"/>
  <c r="E765" i="21"/>
  <c r="A1379" i="22"/>
  <c r="A1395" i="21" l="1"/>
  <c r="G1394" i="21"/>
  <c r="H765" i="21"/>
  <c r="C766" i="21" s="1"/>
  <c r="I765" i="21"/>
  <c r="A1380" i="22"/>
  <c r="G1395" i="21" l="1"/>
  <c r="A1396" i="21"/>
  <c r="D766" i="21"/>
  <c r="A1381" i="22"/>
  <c r="A1397" i="21" l="1"/>
  <c r="G1396" i="21"/>
  <c r="F766" i="21"/>
  <c r="E766" i="21"/>
  <c r="A1382" i="22"/>
  <c r="G1397" i="21" l="1"/>
  <c r="A1398" i="21"/>
  <c r="H766" i="21"/>
  <c r="C767" i="21" s="1"/>
  <c r="I766" i="21"/>
  <c r="A1383" i="22"/>
  <c r="A1399" i="21" l="1"/>
  <c r="G1398" i="21"/>
  <c r="D767" i="21"/>
  <c r="A1384" i="22"/>
  <c r="A1400" i="21" l="1"/>
  <c r="G1399" i="21"/>
  <c r="F767" i="21"/>
  <c r="E767" i="21"/>
  <c r="A1385" i="22"/>
  <c r="G1400" i="21" l="1"/>
  <c r="A1401" i="21"/>
  <c r="H767" i="21"/>
  <c r="C768" i="21" s="1"/>
  <c r="I767" i="21"/>
  <c r="A1386" i="22"/>
  <c r="G1401" i="21" l="1"/>
  <c r="A1402" i="21"/>
  <c r="D768" i="21"/>
  <c r="A1387" i="22"/>
  <c r="A1403" i="21" l="1"/>
  <c r="G1402" i="21"/>
  <c r="F768" i="21"/>
  <c r="E768" i="21"/>
  <c r="A1388" i="22"/>
  <c r="G1403" i="21" l="1"/>
  <c r="A1404" i="21"/>
  <c r="H768" i="21"/>
  <c r="C769" i="21" s="1"/>
  <c r="I768" i="21"/>
  <c r="A1389" i="22"/>
  <c r="A1405" i="21" l="1"/>
  <c r="G1404" i="21"/>
  <c r="D769" i="21"/>
  <c r="A1390" i="22"/>
  <c r="G1405" i="21" l="1"/>
  <c r="A1406" i="21"/>
  <c r="F769" i="21"/>
  <c r="E769" i="21"/>
  <c r="A1391" i="22"/>
  <c r="G1406" i="21" l="1"/>
  <c r="A1407" i="21"/>
  <c r="H769" i="21"/>
  <c r="C770" i="21" s="1"/>
  <c r="I769" i="21"/>
  <c r="A1392" i="22"/>
  <c r="A1408" i="21" l="1"/>
  <c r="G1407" i="21"/>
  <c r="D770" i="21"/>
  <c r="A1393" i="22"/>
  <c r="G1408" i="21" l="1"/>
  <c r="A1409" i="21"/>
  <c r="F770" i="21"/>
  <c r="E770" i="21"/>
  <c r="A1394" i="22"/>
  <c r="G1409" i="21" l="1"/>
  <c r="A1410" i="21"/>
  <c r="H770" i="21"/>
  <c r="C771" i="21" s="1"/>
  <c r="I770" i="21"/>
  <c r="A1395" i="22"/>
  <c r="A1411" i="21" l="1"/>
  <c r="G1410" i="21"/>
  <c r="D771" i="21"/>
  <c r="A1396" i="22"/>
  <c r="A1412" i="21" l="1"/>
  <c r="G1411" i="21"/>
  <c r="F771" i="21"/>
  <c r="E771" i="21"/>
  <c r="A1397" i="22"/>
  <c r="A1413" i="21" l="1"/>
  <c r="G1412" i="21"/>
  <c r="H771" i="21"/>
  <c r="C772" i="21" s="1"/>
  <c r="I771" i="21"/>
  <c r="A1398" i="22"/>
  <c r="A1414" i="21" l="1"/>
  <c r="G1413" i="21"/>
  <c r="D772" i="21"/>
  <c r="A1399" i="22"/>
  <c r="G1414" i="21" l="1"/>
  <c r="A1415" i="21"/>
  <c r="F772" i="21"/>
  <c r="E772" i="21"/>
  <c r="A1400" i="22"/>
  <c r="G1415" i="21" l="1"/>
  <c r="A1416" i="21"/>
  <c r="H772" i="21"/>
  <c r="C773" i="21" s="1"/>
  <c r="I772" i="21"/>
  <c r="A1401" i="22"/>
  <c r="A1417" i="21" l="1"/>
  <c r="G1416" i="21"/>
  <c r="D773" i="21"/>
  <c r="A1402" i="22"/>
  <c r="G1417" i="21" l="1"/>
  <c r="A1418" i="21"/>
  <c r="F773" i="21"/>
  <c r="E773" i="21"/>
  <c r="A1403" i="22"/>
  <c r="G1418" i="21" l="1"/>
  <c r="A1419" i="21"/>
  <c r="H773" i="21"/>
  <c r="C774" i="21" s="1"/>
  <c r="I773" i="21"/>
  <c r="A1404" i="22"/>
  <c r="A1420" i="21" l="1"/>
  <c r="G1419" i="21"/>
  <c r="D774" i="21"/>
  <c r="A1405" i="22"/>
  <c r="G1420" i="21" l="1"/>
  <c r="A1421" i="21"/>
  <c r="F774" i="21"/>
  <c r="E774" i="21"/>
  <c r="A1406" i="22"/>
  <c r="A1422" i="21" l="1"/>
  <c r="G1421" i="21"/>
  <c r="H774" i="21"/>
  <c r="C775" i="21" s="1"/>
  <c r="I774" i="21"/>
  <c r="A1407" i="22"/>
  <c r="A1423" i="21" l="1"/>
  <c r="G1422" i="21"/>
  <c r="D775" i="21"/>
  <c r="A1408" i="22"/>
  <c r="G1423" i="21" l="1"/>
  <c r="A1424" i="21"/>
  <c r="F775" i="21"/>
  <c r="E775" i="21"/>
  <c r="A1409" i="22"/>
  <c r="A1425" i="21" l="1"/>
  <c r="G1424" i="21"/>
  <c r="H775" i="21"/>
  <c r="C776" i="21" s="1"/>
  <c r="I775" i="21"/>
  <c r="A1410" i="22"/>
  <c r="A1426" i="21" l="1"/>
  <c r="G1425" i="21"/>
  <c r="D776" i="21"/>
  <c r="A1411" i="22"/>
  <c r="G1426" i="21" l="1"/>
  <c r="A1427" i="21"/>
  <c r="F776" i="21"/>
  <c r="E776" i="21"/>
  <c r="A1412" i="22"/>
  <c r="G1427" i="21" l="1"/>
  <c r="A1428" i="21"/>
  <c r="H776" i="21"/>
  <c r="C777" i="21" s="1"/>
  <c r="I776" i="21"/>
  <c r="A1413" i="22"/>
  <c r="A1429" i="21" l="1"/>
  <c r="G1428" i="21"/>
  <c r="D777" i="21"/>
  <c r="A1414" i="22"/>
  <c r="G1429" i="21" l="1"/>
  <c r="A1430" i="21"/>
  <c r="F777" i="21"/>
  <c r="E777" i="21"/>
  <c r="A1415" i="22"/>
  <c r="G1430" i="21" l="1"/>
  <c r="A1431" i="21"/>
  <c r="H777" i="21"/>
  <c r="C778" i="21" s="1"/>
  <c r="I777" i="21"/>
  <c r="A1416" i="22"/>
  <c r="A1432" i="21" l="1"/>
  <c r="G1431" i="21"/>
  <c r="D778" i="21"/>
  <c r="A1417" i="22"/>
  <c r="G1432" i="21" l="1"/>
  <c r="A1433" i="21"/>
  <c r="F778" i="21"/>
  <c r="E778" i="21"/>
  <c r="A1418" i="22"/>
  <c r="A1434" i="21" l="1"/>
  <c r="G1433" i="21"/>
  <c r="H778" i="21"/>
  <c r="C779" i="21" s="1"/>
  <c r="I778" i="21"/>
  <c r="A1419" i="22"/>
  <c r="A1435" i="21" l="1"/>
  <c r="G1434" i="21"/>
  <c r="D779" i="21"/>
  <c r="A1420" i="22"/>
  <c r="A1436" i="21" l="1"/>
  <c r="G1435" i="21"/>
  <c r="F779" i="21"/>
  <c r="E779" i="21"/>
  <c r="A1421" i="22"/>
  <c r="G1436" i="21" l="1"/>
  <c r="A1437" i="21"/>
  <c r="H779" i="21"/>
  <c r="C780" i="21" s="1"/>
  <c r="I779" i="21"/>
  <c r="A1422" i="22"/>
  <c r="A1438" i="21" l="1"/>
  <c r="G1437" i="21"/>
  <c r="D780" i="21"/>
  <c r="A1423" i="22"/>
  <c r="A1439" i="21" l="1"/>
  <c r="G1438" i="21"/>
  <c r="F780" i="21"/>
  <c r="E780" i="21"/>
  <c r="A1424" i="22"/>
  <c r="G1439" i="21" l="1"/>
  <c r="A1440" i="21"/>
  <c r="H780" i="21"/>
  <c r="C781" i="21" s="1"/>
  <c r="I780" i="21"/>
  <c r="A1425" i="22"/>
  <c r="A1441" i="21" l="1"/>
  <c r="G1440" i="21"/>
  <c r="D781" i="21"/>
  <c r="A1426" i="22"/>
  <c r="G1441" i="21" l="1"/>
  <c r="A1442" i="21"/>
  <c r="F781" i="21"/>
  <c r="E781" i="21"/>
  <c r="A1427" i="22"/>
  <c r="G1442" i="21" l="1"/>
  <c r="A1443" i="21"/>
  <c r="H781" i="21"/>
  <c r="C782" i="21" s="1"/>
  <c r="I781" i="21"/>
  <c r="A1428" i="22"/>
  <c r="A1444" i="21" l="1"/>
  <c r="G1443" i="21"/>
  <c r="D782" i="21"/>
  <c r="A1429" i="22"/>
  <c r="G1444" i="21" l="1"/>
  <c r="A1445" i="21"/>
  <c r="F782" i="21"/>
  <c r="E782" i="21"/>
  <c r="A1430" i="22"/>
  <c r="G1445" i="21" l="1"/>
  <c r="A1446" i="21"/>
  <c r="H782" i="21"/>
  <c r="C783" i="21" s="1"/>
  <c r="I782" i="21"/>
  <c r="A1431" i="22"/>
  <c r="A1447" i="21" l="1"/>
  <c r="G1446" i="21"/>
  <c r="D783" i="21"/>
  <c r="A1432" i="22"/>
  <c r="G1447" i="21" l="1"/>
  <c r="A1448" i="21"/>
  <c r="F783" i="21"/>
  <c r="E783" i="21"/>
  <c r="A1433" i="22"/>
  <c r="G1448" i="21" l="1"/>
  <c r="A1449" i="21"/>
  <c r="H783" i="21"/>
  <c r="C784" i="21" s="1"/>
  <c r="I783" i="21"/>
  <c r="A1434" i="22"/>
  <c r="A1450" i="21" l="1"/>
  <c r="G1449" i="21"/>
  <c r="D784" i="21"/>
  <c r="A1435" i="22"/>
  <c r="G1450" i="21" l="1"/>
  <c r="A1451" i="21"/>
  <c r="F784" i="21"/>
  <c r="E784" i="21"/>
  <c r="A1436" i="22"/>
  <c r="G1451" i="21" l="1"/>
  <c r="A1452" i="21"/>
  <c r="H784" i="21"/>
  <c r="C785" i="21" s="1"/>
  <c r="I784" i="21"/>
  <c r="A1437" i="22"/>
  <c r="A1453" i="21" l="1"/>
  <c r="G1452" i="21"/>
  <c r="D785" i="21"/>
  <c r="A1438" i="22"/>
  <c r="A1454" i="21" l="1"/>
  <c r="G1453" i="21"/>
  <c r="F785" i="21"/>
  <c r="E785" i="21"/>
  <c r="A1439" i="22"/>
  <c r="G1454" i="21" l="1"/>
  <c r="A1455" i="21"/>
  <c r="H785" i="21"/>
  <c r="C786" i="21" s="1"/>
  <c r="I785" i="21"/>
  <c r="A1440" i="22"/>
  <c r="A1456" i="21" l="1"/>
  <c r="G1455" i="21"/>
  <c r="D786" i="21"/>
  <c r="A1441" i="22"/>
  <c r="A1457" i="21" l="1"/>
  <c r="G1456" i="21"/>
  <c r="F786" i="21"/>
  <c r="E786" i="21"/>
  <c r="A1442" i="22"/>
  <c r="A1458" i="21" l="1"/>
  <c r="G1457" i="21"/>
  <c r="H786" i="21"/>
  <c r="C787" i="21" s="1"/>
  <c r="I786" i="21"/>
  <c r="A1443" i="22"/>
  <c r="A1459" i="21" l="1"/>
  <c r="G1458" i="21"/>
  <c r="D787" i="21"/>
  <c r="A1444" i="22"/>
  <c r="G1459" i="21" l="1"/>
  <c r="A1460" i="21"/>
  <c r="F787" i="21"/>
  <c r="E787" i="21"/>
  <c r="A1445" i="22"/>
  <c r="A1461" i="21" l="1"/>
  <c r="G1460" i="21"/>
  <c r="H787" i="21"/>
  <c r="C788" i="21" s="1"/>
  <c r="I787" i="21"/>
  <c r="A1446" i="22"/>
  <c r="A1462" i="21" l="1"/>
  <c r="G1461" i="21"/>
  <c r="D788" i="21"/>
  <c r="A1447" i="22"/>
  <c r="G1462" i="21" l="1"/>
  <c r="A1463" i="21"/>
  <c r="F788" i="21"/>
  <c r="E788" i="21"/>
  <c r="A1448" i="22"/>
  <c r="A1464" i="21" l="1"/>
  <c r="G1463" i="21"/>
  <c r="I788" i="21"/>
  <c r="H788" i="21"/>
  <c r="C789" i="21" s="1"/>
  <c r="A1449" i="22"/>
  <c r="A1465" i="21" l="1"/>
  <c r="G1464" i="21"/>
  <c r="D789" i="21"/>
  <c r="A1450" i="22"/>
  <c r="G1465" i="21" l="1"/>
  <c r="A1466" i="21"/>
  <c r="F789" i="21"/>
  <c r="E789" i="21"/>
  <c r="A1451" i="22"/>
  <c r="G1466" i="21" l="1"/>
  <c r="A1467" i="21"/>
  <c r="H789" i="21"/>
  <c r="C790" i="21" s="1"/>
  <c r="I789" i="21"/>
  <c r="A1452" i="22"/>
  <c r="A1468" i="21" l="1"/>
  <c r="G1467" i="21"/>
  <c r="D790" i="21"/>
  <c r="A1453" i="22"/>
  <c r="G1468" i="21" l="1"/>
  <c r="A1469" i="21"/>
  <c r="F790" i="21"/>
  <c r="E790" i="21"/>
  <c r="A1454" i="22"/>
  <c r="G1469" i="21" l="1"/>
  <c r="A1470" i="21"/>
  <c r="H790" i="21"/>
  <c r="C791" i="21" s="1"/>
  <c r="I790" i="21"/>
  <c r="A1455" i="22"/>
  <c r="A1471" i="21" l="1"/>
  <c r="G1470" i="21"/>
  <c r="D791" i="21"/>
  <c r="A1456" i="22"/>
  <c r="A1472" i="21" l="1"/>
  <c r="G1471" i="21"/>
  <c r="F791" i="21"/>
  <c r="E791" i="21"/>
  <c r="A1457" i="22"/>
  <c r="G1472" i="21" l="1"/>
  <c r="A1473" i="21"/>
  <c r="H791" i="21"/>
  <c r="C792" i="21" s="1"/>
  <c r="I791" i="21"/>
  <c r="A1458" i="22"/>
  <c r="A1474" i="21" l="1"/>
  <c r="G1473" i="21"/>
  <c r="D792" i="21"/>
  <c r="A1459" i="22"/>
  <c r="G1474" i="21" l="1"/>
  <c r="A1475" i="21"/>
  <c r="F792" i="21"/>
  <c r="E792" i="21"/>
  <c r="A1460" i="22"/>
  <c r="A1476" i="21" l="1"/>
  <c r="G1475" i="21"/>
  <c r="H792" i="21"/>
  <c r="C793" i="21" s="1"/>
  <c r="I792" i="21"/>
  <c r="A1461" i="22"/>
  <c r="A1477" i="21" l="1"/>
  <c r="G1476" i="21"/>
  <c r="D793" i="21"/>
  <c r="A1462" i="22"/>
  <c r="G1477" i="21" l="1"/>
  <c r="A1478" i="21"/>
  <c r="F793" i="21"/>
  <c r="E793" i="21"/>
  <c r="A1463" i="22"/>
  <c r="G1478" i="21" l="1"/>
  <c r="A1479" i="21"/>
  <c r="H793" i="21"/>
  <c r="C794" i="21" s="1"/>
  <c r="I793" i="21"/>
  <c r="A1464" i="22"/>
  <c r="A1480" i="21" l="1"/>
  <c r="G1479" i="21"/>
  <c r="D794" i="21"/>
  <c r="A1465" i="22"/>
  <c r="A1481" i="21" l="1"/>
  <c r="G1480" i="21"/>
  <c r="F794" i="21"/>
  <c r="E794" i="21"/>
  <c r="A1466" i="22"/>
  <c r="G1481" i="21" l="1"/>
  <c r="A1482" i="21"/>
  <c r="H794" i="21"/>
  <c r="C795" i="21" s="1"/>
  <c r="I794" i="21"/>
  <c r="A1467" i="22"/>
  <c r="A1483" i="21" l="1"/>
  <c r="G1482" i="21"/>
  <c r="D795" i="21"/>
  <c r="A1468" i="22"/>
  <c r="G1483" i="21" l="1"/>
  <c r="A1484" i="21"/>
  <c r="F795" i="21"/>
  <c r="E795" i="21"/>
  <c r="A1469" i="22"/>
  <c r="A1485" i="21" l="1"/>
  <c r="G1484" i="21"/>
  <c r="H795" i="21"/>
  <c r="C796" i="21" s="1"/>
  <c r="I795" i="21"/>
  <c r="A1470" i="22"/>
  <c r="A1486" i="21" l="1"/>
  <c r="G1485" i="21"/>
  <c r="D796" i="21"/>
  <c r="A1471" i="22"/>
  <c r="G1486" i="21" l="1"/>
  <c r="A1487" i="21"/>
  <c r="F796" i="21"/>
  <c r="E796" i="21"/>
  <c r="A1472" i="22"/>
  <c r="G1487" i="21" l="1"/>
  <c r="A1488" i="21"/>
  <c r="H796" i="21"/>
  <c r="C797" i="21" s="1"/>
  <c r="I796" i="21"/>
  <c r="A1473" i="22"/>
  <c r="A1489" i="21" l="1"/>
  <c r="G1488" i="21"/>
  <c r="D797" i="21"/>
  <c r="A1474" i="22"/>
  <c r="A1490" i="21" l="1"/>
  <c r="G1489" i="21"/>
  <c r="F797" i="21"/>
  <c r="E797" i="21"/>
  <c r="A1475" i="22"/>
  <c r="G1490" i="21" l="1"/>
  <c r="A1491" i="21"/>
  <c r="H797" i="21"/>
  <c r="C798" i="21" s="1"/>
  <c r="I797" i="21"/>
  <c r="A1476" i="22"/>
  <c r="A1492" i="21" l="1"/>
  <c r="G1491" i="21"/>
  <c r="D798" i="21"/>
  <c r="A1477" i="22"/>
  <c r="G1492" i="21" l="1"/>
  <c r="A1493" i="21"/>
  <c r="F798" i="21"/>
  <c r="E798" i="21"/>
  <c r="A1478" i="22"/>
  <c r="G1493" i="21" l="1"/>
  <c r="A1494" i="21"/>
  <c r="H798" i="21"/>
  <c r="C799" i="21" s="1"/>
  <c r="I798" i="21"/>
  <c r="A1479" i="22"/>
  <c r="A1495" i="21" l="1"/>
  <c r="G1494" i="21"/>
  <c r="D799" i="21"/>
  <c r="A1480" i="22"/>
  <c r="G1495" i="21" l="1"/>
  <c r="A1496" i="21"/>
  <c r="F799" i="21"/>
  <c r="E799" i="21"/>
  <c r="A1481" i="22"/>
  <c r="A1497" i="21" l="1"/>
  <c r="G1496" i="21"/>
  <c r="H799" i="21"/>
  <c r="C800" i="21" s="1"/>
  <c r="I799" i="21"/>
  <c r="A1482" i="22"/>
  <c r="A1498" i="21" l="1"/>
  <c r="G1497" i="21"/>
  <c r="D800" i="21"/>
  <c r="A1483" i="22"/>
  <c r="G1498" i="21" l="1"/>
  <c r="A1499" i="21"/>
  <c r="F800" i="21"/>
  <c r="E800" i="21"/>
  <c r="A1484" i="22"/>
  <c r="A1500" i="21" l="1"/>
  <c r="G1499" i="21"/>
  <c r="H800" i="21"/>
  <c r="C801" i="21" s="1"/>
  <c r="I800" i="21"/>
  <c r="A1485" i="22"/>
  <c r="A1501" i="21" l="1"/>
  <c r="G1500" i="21"/>
  <c r="D801" i="21"/>
  <c r="A1486" i="22"/>
  <c r="G1501" i="21" l="1"/>
  <c r="A1502" i="21"/>
  <c r="F801" i="21"/>
  <c r="E801" i="21"/>
  <c r="A1487" i="22"/>
  <c r="A1503" i="21" l="1"/>
  <c r="G1502" i="21"/>
  <c r="H801" i="21"/>
  <c r="C802" i="21" s="1"/>
  <c r="I801" i="21"/>
  <c r="A1488" i="22"/>
  <c r="A1504" i="21" l="1"/>
  <c r="G1503" i="21"/>
  <c r="D802" i="21"/>
  <c r="A1489" i="22"/>
  <c r="G1504" i="21" l="1"/>
  <c r="A1505" i="21"/>
  <c r="F802" i="21"/>
  <c r="E802" i="21"/>
  <c r="A1490" i="22"/>
  <c r="G1505" i="21" l="1"/>
  <c r="A1506" i="21"/>
  <c r="H802" i="21"/>
  <c r="C803" i="21" s="1"/>
  <c r="I802" i="21"/>
  <c r="A1491" i="22"/>
  <c r="A1507" i="21" l="1"/>
  <c r="G1506" i="21"/>
  <c r="D803" i="21"/>
  <c r="A1492" i="22"/>
  <c r="A1508" i="21" l="1"/>
  <c r="G1507" i="21"/>
  <c r="F803" i="21"/>
  <c r="E803" i="21"/>
  <c r="A1493" i="22"/>
  <c r="G1508" i="21" l="1"/>
  <c r="A1509" i="21"/>
  <c r="H803" i="21"/>
  <c r="C804" i="21" s="1"/>
  <c r="I803" i="21"/>
  <c r="A1494" i="22"/>
  <c r="A1510" i="21" l="1"/>
  <c r="G1509" i="21"/>
  <c r="D804" i="21"/>
  <c r="A1495" i="22"/>
  <c r="A1511" i="21" l="1"/>
  <c r="G1510" i="21"/>
  <c r="F804" i="21"/>
  <c r="E804" i="21"/>
  <c r="A1496" i="22"/>
  <c r="A1512" i="21" l="1"/>
  <c r="G1511" i="21"/>
  <c r="H804" i="21"/>
  <c r="C805" i="21" s="1"/>
  <c r="I804" i="21"/>
  <c r="G54" i="20" s="1"/>
  <c r="A1497" i="22"/>
  <c r="A1513" i="21" l="1"/>
  <c r="G1512" i="21"/>
  <c r="D805" i="21"/>
  <c r="A1498" i="22"/>
  <c r="G1513" i="21" l="1"/>
  <c r="A1514" i="21"/>
  <c r="F805" i="21"/>
  <c r="E805" i="21"/>
  <c r="A1499" i="22"/>
  <c r="A1515" i="21" l="1"/>
  <c r="G1514" i="21"/>
  <c r="H805" i="21"/>
  <c r="C806" i="21" s="1"/>
  <c r="I805" i="21"/>
  <c r="A1500" i="22"/>
  <c r="A1516" i="21" l="1"/>
  <c r="G1515" i="21"/>
  <c r="D806" i="21"/>
  <c r="A1501" i="22"/>
  <c r="A1517" i="21" l="1"/>
  <c r="G1516" i="21"/>
  <c r="F806" i="21"/>
  <c r="E806" i="21"/>
  <c r="A1502" i="22"/>
  <c r="A1518" i="21" l="1"/>
  <c r="G1517" i="21"/>
  <c r="H806" i="21"/>
  <c r="C807" i="21" s="1"/>
  <c r="I806" i="21"/>
  <c r="A1503" i="22"/>
  <c r="A1519" i="21" l="1"/>
  <c r="G1518" i="21"/>
  <c r="D807" i="21"/>
  <c r="A1504" i="22"/>
  <c r="G1519" i="21" l="1"/>
  <c r="A1520" i="21"/>
  <c r="F807" i="21"/>
  <c r="E807" i="21"/>
  <c r="A1505" i="22"/>
  <c r="G1520" i="21" l="1"/>
  <c r="A1521" i="21"/>
  <c r="H807" i="21"/>
  <c r="C808" i="21" s="1"/>
  <c r="I807" i="21"/>
  <c r="A1506" i="22"/>
  <c r="A1522" i="21" l="1"/>
  <c r="G1521" i="21"/>
  <c r="D808" i="21"/>
  <c r="A1507" i="22"/>
  <c r="A1523" i="21" l="1"/>
  <c r="G1522" i="21"/>
  <c r="F808" i="21"/>
  <c r="E808" i="21"/>
  <c r="A1508" i="22"/>
  <c r="G1523" i="21" l="1"/>
  <c r="A1524" i="21"/>
  <c r="H808" i="21"/>
  <c r="C809" i="21" s="1"/>
  <c r="I808" i="21"/>
  <c r="A1509" i="22"/>
  <c r="A1525" i="21" l="1"/>
  <c r="G1524" i="21"/>
  <c r="D809" i="21"/>
  <c r="A1510" i="22"/>
  <c r="G1525" i="21" l="1"/>
  <c r="A1526" i="21"/>
  <c r="F809" i="21"/>
  <c r="E809" i="21"/>
  <c r="A1511" i="22"/>
  <c r="A1527" i="21" l="1"/>
  <c r="G1526" i="21"/>
  <c r="H809" i="21"/>
  <c r="C810" i="21" s="1"/>
  <c r="I809" i="21"/>
  <c r="A1512" i="22"/>
  <c r="A1528" i="21" l="1"/>
  <c r="G1527" i="21"/>
  <c r="D810" i="21"/>
  <c r="A1513" i="22"/>
  <c r="A1529" i="21" l="1"/>
  <c r="G1528" i="21"/>
  <c r="F810" i="21"/>
  <c r="E810" i="21"/>
  <c r="A1514" i="22"/>
  <c r="A1530" i="21" l="1"/>
  <c r="G1529" i="21"/>
  <c r="H810" i="21"/>
  <c r="C811" i="21" s="1"/>
  <c r="I810" i="21"/>
  <c r="A1515" i="22"/>
  <c r="A1531" i="21" l="1"/>
  <c r="G1530" i="21"/>
  <c r="D811" i="21"/>
  <c r="A1516" i="22"/>
  <c r="G1531" i="21" l="1"/>
  <c r="A1532" i="21"/>
  <c r="F811" i="21"/>
  <c r="E811" i="21"/>
  <c r="A1517" i="22"/>
  <c r="A1533" i="21" l="1"/>
  <c r="G1532" i="21"/>
  <c r="H811" i="21"/>
  <c r="C812" i="21" s="1"/>
  <c r="I811" i="21"/>
  <c r="A1518" i="22"/>
  <c r="A1534" i="21" l="1"/>
  <c r="G1533" i="21"/>
  <c r="D812" i="21"/>
  <c r="A1519" i="22"/>
  <c r="G1534" i="21" l="1"/>
  <c r="A1535" i="21"/>
  <c r="F812" i="21"/>
  <c r="E812" i="21"/>
  <c r="A1520" i="22"/>
  <c r="G1535" i="21" l="1"/>
  <c r="A1536" i="21"/>
  <c r="H812" i="21"/>
  <c r="C813" i="21" s="1"/>
  <c r="I812" i="21"/>
  <c r="A1521" i="22"/>
  <c r="A1537" i="21" l="1"/>
  <c r="G1536" i="21"/>
  <c r="D813" i="21"/>
  <c r="A1522" i="22"/>
  <c r="A1538" i="21" l="1"/>
  <c r="G1537" i="21"/>
  <c r="F813" i="21"/>
  <c r="E813" i="21"/>
  <c r="A1523" i="22"/>
  <c r="A1539" i="21" l="1"/>
  <c r="G1538" i="21"/>
  <c r="H813" i="21"/>
  <c r="C814" i="21" s="1"/>
  <c r="I813" i="21"/>
  <c r="A1524" i="22"/>
  <c r="A1540" i="21" l="1"/>
  <c r="G1539" i="21"/>
  <c r="D814" i="21"/>
  <c r="A1525" i="22"/>
  <c r="G1540" i="21" l="1"/>
  <c r="A1541" i="21"/>
  <c r="F814" i="21"/>
  <c r="E814" i="21"/>
  <c r="A1526" i="22"/>
  <c r="A1542" i="21" l="1"/>
  <c r="G1541" i="21"/>
  <c r="H814" i="21"/>
  <c r="C815" i="21" s="1"/>
  <c r="I814" i="21"/>
  <c r="A1527" i="22"/>
  <c r="A1543" i="21" l="1"/>
  <c r="G1542" i="21"/>
  <c r="D815" i="21"/>
  <c r="A1528" i="22"/>
  <c r="A1544" i="21" l="1"/>
  <c r="G1543" i="21"/>
  <c r="F815" i="21"/>
  <c r="E815" i="21"/>
  <c r="A1529" i="22"/>
  <c r="A1545" i="21" l="1"/>
  <c r="G1544" i="21"/>
  <c r="H815" i="21"/>
  <c r="C816" i="21" s="1"/>
  <c r="I815" i="21"/>
  <c r="A1530" i="22"/>
  <c r="A1546" i="21" l="1"/>
  <c r="G1545" i="21"/>
  <c r="D816" i="21"/>
  <c r="A1531" i="22"/>
  <c r="A1547" i="21" l="1"/>
  <c r="G1546" i="21"/>
  <c r="F816" i="21"/>
  <c r="E816" i="21"/>
  <c r="A1532" i="22"/>
  <c r="G1547" i="21" l="1"/>
  <c r="A1548" i="21"/>
  <c r="H816" i="21"/>
  <c r="C817" i="21" s="1"/>
  <c r="I816" i="21"/>
  <c r="A1533" i="22"/>
  <c r="A1549" i="21" l="1"/>
  <c r="G1548" i="21"/>
  <c r="D817" i="21"/>
  <c r="A1534" i="22"/>
  <c r="G1549" i="21" l="1"/>
  <c r="A1550" i="21"/>
  <c r="F817" i="21"/>
  <c r="E817" i="21"/>
  <c r="A1535" i="22"/>
  <c r="G1550" i="21" l="1"/>
  <c r="A1551" i="21"/>
  <c r="H817" i="21"/>
  <c r="C818" i="21" s="1"/>
  <c r="I817" i="21"/>
  <c r="A1536" i="22"/>
  <c r="A1552" i="21" l="1"/>
  <c r="G1551" i="21"/>
  <c r="D818" i="21"/>
  <c r="A1537" i="22"/>
  <c r="G1552" i="21" l="1"/>
  <c r="A1553" i="21"/>
  <c r="F818" i="21"/>
  <c r="E818" i="21"/>
  <c r="A1538" i="22"/>
  <c r="G1553" i="21" l="1"/>
  <c r="A1554" i="21"/>
  <c r="H818" i="21"/>
  <c r="C819" i="21" s="1"/>
  <c r="I818" i="21"/>
  <c r="A1539" i="22"/>
  <c r="A1555" i="21" l="1"/>
  <c r="G1554" i="21"/>
  <c r="D819" i="21"/>
  <c r="A1540" i="22"/>
  <c r="A1556" i="21" l="1"/>
  <c r="G1555" i="21"/>
  <c r="F819" i="21"/>
  <c r="E819" i="21"/>
  <c r="A1541" i="22"/>
  <c r="G1556" i="21" l="1"/>
  <c r="A1557" i="21"/>
  <c r="H819" i="21"/>
  <c r="C820" i="21" s="1"/>
  <c r="I819" i="21"/>
  <c r="A1542" i="22"/>
  <c r="A1558" i="21" l="1"/>
  <c r="G1557" i="21"/>
  <c r="D820" i="21"/>
  <c r="A1543" i="22"/>
  <c r="G1558" i="21" l="1"/>
  <c r="A1559" i="21"/>
  <c r="F820" i="21"/>
  <c r="E820" i="21"/>
  <c r="A1544" i="22"/>
  <c r="G1559" i="21" l="1"/>
  <c r="A1560" i="21"/>
  <c r="H820" i="21"/>
  <c r="C821" i="21" s="1"/>
  <c r="I820" i="21"/>
  <c r="A1545" i="22"/>
  <c r="A1561" i="21" l="1"/>
  <c r="G1560" i="21"/>
  <c r="D821" i="21"/>
  <c r="A1546" i="22"/>
  <c r="A1562" i="21" l="1"/>
  <c r="G1561" i="21"/>
  <c r="F821" i="21"/>
  <c r="E821" i="21"/>
  <c r="A1547" i="22"/>
  <c r="G1562" i="21" l="1"/>
  <c r="A1563" i="21"/>
  <c r="H821" i="21"/>
  <c r="C822" i="21" s="1"/>
  <c r="I821" i="21"/>
  <c r="A1548" i="22"/>
  <c r="A1564" i="21" l="1"/>
  <c r="G1563" i="21"/>
  <c r="D822" i="21"/>
  <c r="A1549" i="22"/>
  <c r="G1564" i="21" l="1"/>
  <c r="A1565" i="21"/>
  <c r="F822" i="21"/>
  <c r="E822" i="21"/>
  <c r="A1550" i="22"/>
  <c r="A1566" i="21" l="1"/>
  <c r="G1565" i="21"/>
  <c r="H822" i="21"/>
  <c r="C823" i="21" s="1"/>
  <c r="I822" i="21"/>
  <c r="A1551" i="22"/>
  <c r="A1567" i="21" l="1"/>
  <c r="G1566" i="21"/>
  <c r="D823" i="21"/>
  <c r="A1552" i="22"/>
  <c r="G1567" i="21" l="1"/>
  <c r="A1568" i="21"/>
  <c r="F823" i="21"/>
  <c r="E823" i="21"/>
  <c r="A1553" i="22"/>
  <c r="A1569" i="21" l="1"/>
  <c r="G1568" i="21"/>
  <c r="H823" i="21"/>
  <c r="C824" i="21" s="1"/>
  <c r="I823" i="21"/>
  <c r="A1554" i="22"/>
  <c r="A1570" i="21" l="1"/>
  <c r="G1569" i="21"/>
  <c r="D824" i="21"/>
  <c r="A1555" i="22"/>
  <c r="G1570" i="21" l="1"/>
  <c r="A1571" i="21"/>
  <c r="F824" i="21"/>
  <c r="E824" i="21"/>
  <c r="A1556" i="22"/>
  <c r="A1572" i="21" l="1"/>
  <c r="G1571" i="21"/>
  <c r="H824" i="21"/>
  <c r="C825" i="21" s="1"/>
  <c r="I824" i="21"/>
  <c r="A1557" i="22"/>
  <c r="A1573" i="21" l="1"/>
  <c r="G1572" i="21"/>
  <c r="D825" i="21"/>
  <c r="A1558" i="22"/>
  <c r="G1573" i="21" l="1"/>
  <c r="A1574" i="21"/>
  <c r="F825" i="21"/>
  <c r="E825" i="21"/>
  <c r="A1559" i="22"/>
  <c r="A1575" i="21" l="1"/>
  <c r="G1574" i="21"/>
  <c r="I825" i="21"/>
  <c r="H825" i="21"/>
  <c r="C826" i="21" s="1"/>
  <c r="A1560" i="22"/>
  <c r="A1576" i="21" l="1"/>
  <c r="G1575" i="21"/>
  <c r="D826" i="21"/>
  <c r="A1561" i="22"/>
  <c r="G1576" i="21" l="1"/>
  <c r="A1577" i="21"/>
  <c r="F826" i="21"/>
  <c r="E826" i="21"/>
  <c r="A1562" i="22"/>
  <c r="G1577" i="21" l="1"/>
  <c r="A1578" i="21"/>
  <c r="H826" i="21"/>
  <c r="C827" i="21" s="1"/>
  <c r="I826" i="21"/>
  <c r="A1563" i="22"/>
  <c r="A1579" i="21" l="1"/>
  <c r="G1578" i="21"/>
  <c r="D827" i="21"/>
  <c r="A1564" i="22"/>
  <c r="A1580" i="21" l="1"/>
  <c r="G1579" i="21"/>
  <c r="F827" i="21"/>
  <c r="E827" i="21"/>
  <c r="A1565" i="22"/>
  <c r="G1580" i="21" l="1"/>
  <c r="A1581" i="21"/>
  <c r="H827" i="21"/>
  <c r="C828" i="21" s="1"/>
  <c r="I827" i="21"/>
  <c r="A1566" i="22"/>
  <c r="A1582" i="21" l="1"/>
  <c r="G1581" i="21"/>
  <c r="D828" i="21"/>
  <c r="A1567" i="22"/>
  <c r="G1582" i="21" l="1"/>
  <c r="A1583" i="21"/>
  <c r="F828" i="21"/>
  <c r="E828" i="21"/>
  <c r="A1568" i="22"/>
  <c r="A1584" i="21" l="1"/>
  <c r="G1583" i="21"/>
  <c r="H828" i="21"/>
  <c r="C829" i="21" s="1"/>
  <c r="I828" i="21"/>
  <c r="A1569" i="22"/>
  <c r="A1585" i="21" l="1"/>
  <c r="G1584" i="21"/>
  <c r="D829" i="21"/>
  <c r="A1570" i="22"/>
  <c r="G1585" i="21" l="1"/>
  <c r="A1586" i="21"/>
  <c r="F829" i="21"/>
  <c r="E829" i="21"/>
  <c r="A1571" i="22"/>
  <c r="A1587" i="21" l="1"/>
  <c r="G1586" i="21"/>
  <c r="H829" i="21"/>
  <c r="C830" i="21" s="1"/>
  <c r="I829" i="21"/>
  <c r="A1572" i="22"/>
  <c r="A1588" i="21" l="1"/>
  <c r="G1587" i="21"/>
  <c r="D830" i="21"/>
  <c r="A1573" i="22"/>
  <c r="A1589" i="21" l="1"/>
  <c r="G1588" i="21"/>
  <c r="F830" i="21"/>
  <c r="E830" i="21"/>
  <c r="A1574" i="22"/>
  <c r="G1589" i="21" l="1"/>
  <c r="A1590" i="21"/>
  <c r="H830" i="21"/>
  <c r="C831" i="21" s="1"/>
  <c r="I830" i="21"/>
  <c r="A1575" i="22"/>
  <c r="A1591" i="21" l="1"/>
  <c r="G1590" i="21"/>
  <c r="D831" i="21"/>
  <c r="A1576" i="22"/>
  <c r="G1591" i="21" l="1"/>
  <c r="A1592" i="21"/>
  <c r="F831" i="21"/>
  <c r="E831" i="21"/>
  <c r="A1577" i="22"/>
  <c r="A1593" i="21" l="1"/>
  <c r="G1592" i="21"/>
  <c r="H831" i="21"/>
  <c r="C832" i="21" s="1"/>
  <c r="I831" i="21"/>
  <c r="A1578" i="22"/>
  <c r="A1594" i="21" l="1"/>
  <c r="G1593" i="21"/>
  <c r="D832" i="21"/>
  <c r="A1579" i="22"/>
  <c r="G1594" i="21" l="1"/>
  <c r="A1595" i="21"/>
  <c r="F832" i="21"/>
  <c r="E832" i="21"/>
  <c r="A1580" i="22"/>
  <c r="G1595" i="21" l="1"/>
  <c r="A1596" i="21"/>
  <c r="H832" i="21"/>
  <c r="C833" i="21" s="1"/>
  <c r="I832" i="21"/>
  <c r="A1581" i="22"/>
  <c r="A1597" i="21" l="1"/>
  <c r="G1596" i="21"/>
  <c r="D833" i="21"/>
  <c r="A1582" i="22"/>
  <c r="A1598" i="21" l="1"/>
  <c r="G1597" i="21"/>
  <c r="F833" i="21"/>
  <c r="E833" i="21"/>
  <c r="A1583" i="22"/>
  <c r="A1599" i="21" l="1"/>
  <c r="G1598" i="21"/>
  <c r="H833" i="21"/>
  <c r="C834" i="21" s="1"/>
  <c r="I833" i="21"/>
  <c r="A1584" i="22"/>
  <c r="A1600" i="21" l="1"/>
  <c r="G1599" i="21"/>
  <c r="D834" i="21"/>
  <c r="A1585" i="22"/>
  <c r="G1600" i="21" l="1"/>
  <c r="A1601" i="21"/>
  <c r="F834" i="21"/>
  <c r="E834" i="21"/>
  <c r="A1586" i="22"/>
  <c r="A1602" i="21" l="1"/>
  <c r="G1601" i="21"/>
  <c r="H834" i="21"/>
  <c r="C835" i="21" s="1"/>
  <c r="I834" i="21"/>
  <c r="A1587" i="22"/>
  <c r="A1603" i="21" l="1"/>
  <c r="G1602" i="21"/>
  <c r="D835" i="21"/>
  <c r="A1588" i="22"/>
  <c r="A1604" i="21" l="1"/>
  <c r="G1603" i="21"/>
  <c r="F835" i="21"/>
  <c r="E835" i="21"/>
  <c r="A1589" i="22"/>
  <c r="A1605" i="21" l="1"/>
  <c r="G1604" i="21"/>
  <c r="H835" i="21"/>
  <c r="C836" i="21" s="1"/>
  <c r="I835" i="21"/>
  <c r="A1590" i="22"/>
  <c r="A1606" i="21" l="1"/>
  <c r="G1605" i="21"/>
  <c r="D836" i="21"/>
  <c r="A1591" i="22"/>
  <c r="G1606" i="21" l="1"/>
  <c r="A1607" i="21"/>
  <c r="F836" i="21"/>
  <c r="E836" i="21"/>
  <c r="A1592" i="22"/>
  <c r="A1608" i="21" l="1"/>
  <c r="G1607" i="21"/>
  <c r="H836" i="21"/>
  <c r="C837" i="21" s="1"/>
  <c r="I836" i="21"/>
  <c r="A1593" i="22"/>
  <c r="A1609" i="21" l="1"/>
  <c r="G1608" i="21"/>
  <c r="D837" i="21"/>
  <c r="A1594" i="22"/>
  <c r="G1609" i="21" l="1"/>
  <c r="A1610" i="21"/>
  <c r="F837" i="21"/>
  <c r="E837" i="21"/>
  <c r="A1595" i="22"/>
  <c r="A1611" i="21" l="1"/>
  <c r="G1610" i="21"/>
  <c r="H837" i="21"/>
  <c r="C838" i="21" s="1"/>
  <c r="I837" i="21"/>
  <c r="A1596" i="22"/>
  <c r="A1612" i="21" l="1"/>
  <c r="G1611" i="21"/>
  <c r="D838" i="21"/>
  <c r="A1597" i="22"/>
  <c r="G1612" i="21" l="1"/>
  <c r="A1613" i="21"/>
  <c r="F838" i="21"/>
  <c r="E838" i="21"/>
  <c r="A1598" i="22"/>
  <c r="G1613" i="21" l="1"/>
  <c r="A1614" i="21"/>
  <c r="H838" i="21"/>
  <c r="C839" i="21" s="1"/>
  <c r="I838" i="21"/>
  <c r="A1599" i="22"/>
  <c r="A1615" i="21" l="1"/>
  <c r="G1614" i="21"/>
  <c r="D839" i="21"/>
  <c r="A1600" i="22"/>
  <c r="A1616" i="21" l="1"/>
  <c r="G1615" i="21"/>
  <c r="F839" i="21"/>
  <c r="E839" i="21"/>
  <c r="A1601" i="22"/>
  <c r="G1616" i="21" l="1"/>
  <c r="A1617" i="21"/>
  <c r="H839" i="21"/>
  <c r="C840" i="21" s="1"/>
  <c r="I839" i="21"/>
  <c r="A1602" i="22"/>
  <c r="A1618" i="21" l="1"/>
  <c r="G1617" i="21"/>
  <c r="D840" i="21"/>
  <c r="A1603" i="22"/>
  <c r="G1618" i="21" l="1"/>
  <c r="A1619" i="21"/>
  <c r="F840" i="21"/>
  <c r="E840" i="21"/>
  <c r="A1604" i="22"/>
  <c r="G1619" i="21" l="1"/>
  <c r="A1620" i="21"/>
  <c r="H840" i="21"/>
  <c r="C841" i="21" s="1"/>
  <c r="I840" i="21"/>
  <c r="A1605" i="22"/>
  <c r="A1621" i="21" l="1"/>
  <c r="G1620" i="21"/>
  <c r="D841" i="21"/>
  <c r="A1606" i="22"/>
  <c r="A1622" i="21" l="1"/>
  <c r="G1621" i="21"/>
  <c r="F841" i="21"/>
  <c r="E841" i="21"/>
  <c r="A1607" i="22"/>
  <c r="G1622" i="21" l="1"/>
  <c r="A1623" i="21"/>
  <c r="H841" i="21"/>
  <c r="C842" i="21" s="1"/>
  <c r="I841" i="21"/>
  <c r="A1608" i="22"/>
  <c r="A1624" i="21" l="1"/>
  <c r="G1623" i="21"/>
  <c r="D842" i="21"/>
  <c r="A1609" i="22"/>
  <c r="G1624" i="21" l="1"/>
  <c r="A1625" i="21"/>
  <c r="F842" i="21"/>
  <c r="E842" i="21"/>
  <c r="A1610" i="22"/>
  <c r="A1626" i="21" l="1"/>
  <c r="G1625" i="21"/>
  <c r="H842" i="21"/>
  <c r="C843" i="21" s="1"/>
  <c r="I842" i="21"/>
  <c r="A1611" i="22"/>
  <c r="G1626" i="21" l="1"/>
  <c r="A1627" i="21"/>
  <c r="D843" i="21"/>
  <c r="A1612" i="22"/>
  <c r="A1628" i="21" l="1"/>
  <c r="G1627" i="21"/>
  <c r="F843" i="21"/>
  <c r="E843" i="21"/>
  <c r="A1613" i="22"/>
  <c r="A1629" i="21" l="1"/>
  <c r="G1628" i="21"/>
  <c r="H843" i="21"/>
  <c r="C844" i="21" s="1"/>
  <c r="I843" i="21"/>
  <c r="A1614" i="22"/>
  <c r="A1630" i="21" l="1"/>
  <c r="G1629" i="21"/>
  <c r="D844" i="21"/>
  <c r="A1615" i="22"/>
  <c r="A1631" i="21" l="1"/>
  <c r="G1630" i="21"/>
  <c r="F844" i="21"/>
  <c r="E844" i="21"/>
  <c r="A1616" i="22"/>
  <c r="A1632" i="21" l="1"/>
  <c r="G1631" i="21"/>
  <c r="H844" i="21"/>
  <c r="C845" i="21" s="1"/>
  <c r="I844" i="21"/>
  <c r="A1617" i="22"/>
  <c r="G1632" i="21" l="1"/>
  <c r="A1633" i="21"/>
  <c r="D845" i="21"/>
  <c r="A1618" i="22"/>
  <c r="G1633" i="21" l="1"/>
  <c r="A1634" i="21"/>
  <c r="F845" i="21"/>
  <c r="E845" i="21"/>
  <c r="A1619" i="22"/>
  <c r="G1634" i="21" l="1"/>
  <c r="A1635" i="21"/>
  <c r="H845" i="21"/>
  <c r="C846" i="21" s="1"/>
  <c r="I845" i="21"/>
  <c r="A1620" i="22"/>
  <c r="A1636" i="21" l="1"/>
  <c r="G1635" i="21"/>
  <c r="D846" i="21"/>
  <c r="A1621" i="22"/>
  <c r="G1636" i="21" l="1"/>
  <c r="A1637" i="21"/>
  <c r="F846" i="21"/>
  <c r="E846" i="21"/>
  <c r="A1622" i="22"/>
  <c r="G1637" i="21" l="1"/>
  <c r="A1638" i="21"/>
  <c r="H846" i="21"/>
  <c r="C847" i="21" s="1"/>
  <c r="I846" i="21"/>
  <c r="A1623" i="22"/>
  <c r="A1639" i="21" l="1"/>
  <c r="G1638" i="21"/>
  <c r="D847" i="21"/>
  <c r="A1624" i="22"/>
  <c r="G1639" i="21" l="1"/>
  <c r="A1640" i="21"/>
  <c r="F847" i="21"/>
  <c r="E847" i="21"/>
  <c r="A1625" i="22"/>
  <c r="G1640" i="21" l="1"/>
  <c r="A1641" i="21"/>
  <c r="H847" i="21"/>
  <c r="C848" i="21" s="1"/>
  <c r="I847" i="21"/>
  <c r="A1626" i="22"/>
  <c r="G1641" i="21" l="1"/>
  <c r="A1642" i="21"/>
  <c r="D848" i="21"/>
  <c r="A1627" i="22"/>
  <c r="G1642" i="21" l="1"/>
  <c r="A1643" i="21"/>
  <c r="F848" i="21"/>
  <c r="E848" i="21"/>
  <c r="A1628" i="22"/>
  <c r="G1643" i="21" l="1"/>
  <c r="A1644" i="21"/>
  <c r="H848" i="21"/>
  <c r="C849" i="21" s="1"/>
  <c r="I848" i="21"/>
  <c r="A1629" i="22"/>
  <c r="A1645" i="21" l="1"/>
  <c r="G1644" i="21"/>
  <c r="D849" i="21"/>
  <c r="A1630" i="22"/>
  <c r="A1646" i="21" l="1"/>
  <c r="G1645" i="21"/>
  <c r="F849" i="21"/>
  <c r="E849" i="21"/>
  <c r="A1631" i="22"/>
  <c r="A1647" i="21" l="1"/>
  <c r="G1646" i="21"/>
  <c r="H849" i="21"/>
  <c r="C850" i="21" s="1"/>
  <c r="I849" i="21"/>
  <c r="A1632" i="22"/>
  <c r="G1647" i="21" l="1"/>
  <c r="A1648" i="21"/>
  <c r="D850" i="21"/>
  <c r="A1633" i="22"/>
  <c r="A1649" i="21" l="1"/>
  <c r="G1648" i="21"/>
  <c r="F850" i="21"/>
  <c r="E850" i="21"/>
  <c r="A1634" i="22"/>
  <c r="A1650" i="21" l="1"/>
  <c r="G1649" i="21"/>
  <c r="H850" i="21"/>
  <c r="C851" i="21" s="1"/>
  <c r="I850" i="21"/>
  <c r="A1635" i="22"/>
  <c r="G1650" i="21" l="1"/>
  <c r="A1651" i="21"/>
  <c r="D851" i="21"/>
  <c r="A1636" i="22"/>
  <c r="G1651" i="21" l="1"/>
  <c r="A1652" i="21"/>
  <c r="F851" i="21"/>
  <c r="E851" i="21"/>
  <c r="A1637" i="22"/>
  <c r="G1652" i="21" l="1"/>
  <c r="A1653" i="21"/>
  <c r="H851" i="21"/>
  <c r="C852" i="21" s="1"/>
  <c r="I851" i="21"/>
  <c r="A1638" i="22"/>
  <c r="G1653" i="21" l="1"/>
  <c r="A1654" i="21"/>
  <c r="D852" i="21"/>
  <c r="A1639" i="22"/>
  <c r="G1654" i="21" l="1"/>
  <c r="A1655" i="21"/>
  <c r="F852" i="21"/>
  <c r="E852" i="21"/>
  <c r="A1640" i="22"/>
  <c r="A1656" i="21" l="1"/>
  <c r="G1655" i="21"/>
  <c r="H852" i="21"/>
  <c r="C853" i="21" s="1"/>
  <c r="I852" i="21"/>
  <c r="A1641" i="22"/>
  <c r="A1657" i="21" l="1"/>
  <c r="G1656" i="21"/>
  <c r="D853" i="21"/>
  <c r="A1642" i="22"/>
  <c r="A1658" i="21" l="1"/>
  <c r="G1657" i="21"/>
  <c r="F853" i="21"/>
  <c r="E853" i="21"/>
  <c r="A1643" i="22"/>
  <c r="G1658" i="21" l="1"/>
  <c r="A1659" i="21"/>
  <c r="H853" i="21"/>
  <c r="C854" i="21" s="1"/>
  <c r="I853" i="21"/>
  <c r="A1644" i="22"/>
  <c r="G1659" i="21" l="1"/>
  <c r="A1660" i="21"/>
  <c r="D854" i="21"/>
  <c r="A1645" i="22"/>
  <c r="G1660" i="21" l="1"/>
  <c r="A1661" i="21"/>
  <c r="F854" i="21"/>
  <c r="E854" i="21"/>
  <c r="A1646" i="22"/>
  <c r="G1661" i="21" l="1"/>
  <c r="A1662" i="21"/>
  <c r="H854" i="21"/>
  <c r="C855" i="21" s="1"/>
  <c r="I854" i="21"/>
  <c r="A1647" i="22"/>
  <c r="G1662" i="21" l="1"/>
  <c r="A1663" i="21"/>
  <c r="D855" i="21"/>
  <c r="A1648" i="22"/>
  <c r="A1664" i="21" l="1"/>
  <c r="G1663" i="21"/>
  <c r="F855" i="21"/>
  <c r="E855" i="21"/>
  <c r="A1649" i="22"/>
  <c r="A1665" i="21" l="1"/>
  <c r="G1664" i="21"/>
  <c r="H855" i="21"/>
  <c r="C856" i="21" s="1"/>
  <c r="I855" i="21"/>
  <c r="A1650" i="22"/>
  <c r="G1665" i="21" l="1"/>
  <c r="A1666" i="21"/>
  <c r="D856" i="21"/>
  <c r="A1651" i="22"/>
  <c r="G1666" i="21" l="1"/>
  <c r="A1667" i="21"/>
  <c r="F856" i="21"/>
  <c r="E856" i="21"/>
  <c r="A1652" i="22"/>
  <c r="A1668" i="21" l="1"/>
  <c r="G1667" i="21"/>
  <c r="H856" i="21"/>
  <c r="C857" i="21" s="1"/>
  <c r="I856" i="21"/>
  <c r="A1653" i="22"/>
  <c r="G1668" i="21" l="1"/>
  <c r="A1669" i="21"/>
  <c r="D857" i="21"/>
  <c r="A1654" i="22"/>
  <c r="G1669" i="21" l="1"/>
  <c r="A1670" i="21"/>
  <c r="F857" i="21"/>
  <c r="E857" i="21"/>
  <c r="A1655" i="22"/>
  <c r="G1670" i="21" l="1"/>
  <c r="A1671" i="21"/>
  <c r="H857" i="21"/>
  <c r="C858" i="21" s="1"/>
  <c r="I857" i="21"/>
  <c r="A1656" i="22"/>
  <c r="A1672" i="21" l="1"/>
  <c r="G1671" i="21"/>
  <c r="D858" i="21"/>
  <c r="A1657" i="22"/>
  <c r="A1673" i="21" l="1"/>
  <c r="G1672" i="21"/>
  <c r="F858" i="21"/>
  <c r="E858" i="21"/>
  <c r="A1658" i="22"/>
  <c r="G1673" i="21" l="1"/>
  <c r="A1674" i="21"/>
  <c r="H858" i="21"/>
  <c r="C859" i="21" s="1"/>
  <c r="I858" i="21"/>
  <c r="A1659" i="22"/>
  <c r="G1674" i="21" l="1"/>
  <c r="A1675" i="21"/>
  <c r="D859" i="21"/>
  <c r="A1660" i="22"/>
  <c r="G1675" i="21" l="1"/>
  <c r="A1676" i="21"/>
  <c r="F859" i="21"/>
  <c r="E859" i="21"/>
  <c r="A1661" i="22"/>
  <c r="A1677" i="21" l="1"/>
  <c r="G1676" i="21"/>
  <c r="H859" i="21"/>
  <c r="C860" i="21" s="1"/>
  <c r="I859" i="21"/>
  <c r="A1662" i="22"/>
  <c r="A1678" i="21" l="1"/>
  <c r="G1677" i="21"/>
  <c r="D860" i="21"/>
  <c r="A1663" i="22"/>
  <c r="A1679" i="21" l="1"/>
  <c r="G1678" i="21"/>
  <c r="F860" i="21"/>
  <c r="E860" i="21"/>
  <c r="A1664" i="22"/>
  <c r="G1679" i="21" l="1"/>
  <c r="A1680" i="21"/>
  <c r="H860" i="21"/>
  <c r="C861" i="21" s="1"/>
  <c r="I860" i="21"/>
  <c r="A1665" i="22"/>
  <c r="G1680" i="21" l="1"/>
  <c r="A1681" i="21"/>
  <c r="D861" i="21"/>
  <c r="A1666" i="22"/>
  <c r="G1681" i="21" l="1"/>
  <c r="A1682" i="21"/>
  <c r="F861" i="21"/>
  <c r="E861" i="21"/>
  <c r="A1667" i="22"/>
  <c r="A1683" i="21" l="1"/>
  <c r="G1682" i="21"/>
  <c r="H861" i="21"/>
  <c r="C862" i="21" s="1"/>
  <c r="I861" i="21"/>
  <c r="A1668" i="22"/>
  <c r="G1683" i="21" l="1"/>
  <c r="A1684" i="21"/>
  <c r="D862" i="21"/>
  <c r="A1669" i="22"/>
  <c r="G1684" i="21" l="1"/>
  <c r="A1685" i="21"/>
  <c r="F862" i="21"/>
  <c r="E862" i="21"/>
  <c r="A1670" i="22"/>
  <c r="A1686" i="21" l="1"/>
  <c r="G1685" i="21"/>
  <c r="H862" i="21"/>
  <c r="C863" i="21" s="1"/>
  <c r="I862" i="21"/>
  <c r="A1671" i="22"/>
  <c r="G1686" i="21" l="1"/>
  <c r="A1687" i="21"/>
  <c r="D863" i="21"/>
  <c r="A1672" i="22"/>
  <c r="G1687" i="21" l="1"/>
  <c r="A1688" i="21"/>
  <c r="F863" i="21"/>
  <c r="E863" i="21"/>
  <c r="A1673" i="22"/>
  <c r="A1689" i="21" l="1"/>
  <c r="G1688" i="21"/>
  <c r="H863" i="21"/>
  <c r="C864" i="21" s="1"/>
  <c r="I863" i="21"/>
  <c r="A1674" i="22"/>
  <c r="G1689" i="21" l="1"/>
  <c r="A1690" i="21"/>
  <c r="D864" i="21"/>
  <c r="A1675" i="22"/>
  <c r="A1691" i="21" l="1"/>
  <c r="G1690" i="21"/>
  <c r="F864" i="21"/>
  <c r="E864" i="21"/>
  <c r="A1676" i="22"/>
  <c r="G1691" i="21" l="1"/>
  <c r="A1692" i="21"/>
  <c r="H864" i="21"/>
  <c r="C865" i="21" s="1"/>
  <c r="I864" i="21"/>
  <c r="A1677" i="22"/>
  <c r="G1692" i="21" l="1"/>
  <c r="A1693" i="21"/>
  <c r="D865" i="21"/>
  <c r="A1678" i="22"/>
  <c r="G1693" i="21" l="1"/>
  <c r="A1694" i="21"/>
  <c r="F865" i="21"/>
  <c r="E865" i="21"/>
  <c r="A1679" i="22"/>
  <c r="G1694" i="21" l="1"/>
  <c r="A1695" i="21"/>
  <c r="H865" i="21"/>
  <c r="C866" i="21" s="1"/>
  <c r="I865" i="21"/>
  <c r="A1680" i="22"/>
  <c r="A1696" i="21" l="1"/>
  <c r="G1695" i="21"/>
  <c r="D866" i="21"/>
  <c r="A1681" i="22"/>
  <c r="G1696" i="21" l="1"/>
  <c r="A1697" i="21"/>
  <c r="F866" i="21"/>
  <c r="E866" i="21"/>
  <c r="A1682" i="22"/>
  <c r="G1697" i="21" l="1"/>
  <c r="A1698" i="21"/>
  <c r="H866" i="21"/>
  <c r="C867" i="21" s="1"/>
  <c r="I866" i="21"/>
  <c r="A1683" i="22"/>
  <c r="G1698" i="21" l="1"/>
  <c r="A1699" i="21"/>
  <c r="D867" i="21"/>
  <c r="A1684" i="22"/>
  <c r="G1699" i="21" l="1"/>
  <c r="A1700" i="21"/>
  <c r="F867" i="21"/>
  <c r="E867" i="21"/>
  <c r="A1685" i="22"/>
  <c r="A1701" i="21" l="1"/>
  <c r="G1700" i="21"/>
  <c r="H867" i="21"/>
  <c r="C868" i="21" s="1"/>
  <c r="I867" i="21"/>
  <c r="A1686" i="22"/>
  <c r="G1701" i="21" l="1"/>
  <c r="A1702" i="21"/>
  <c r="D868" i="21"/>
  <c r="A1687" i="22"/>
  <c r="G1702" i="21" l="1"/>
  <c r="A1703" i="21"/>
  <c r="F868" i="21"/>
  <c r="E868" i="21"/>
  <c r="A1688" i="22"/>
  <c r="A1704" i="21" l="1"/>
  <c r="G1703" i="21"/>
  <c r="H868" i="21"/>
  <c r="C869" i="21" s="1"/>
  <c r="I868" i="21"/>
  <c r="A1689" i="22"/>
  <c r="G1704" i="21" l="1"/>
  <c r="A1705" i="21"/>
  <c r="D869" i="21"/>
  <c r="A1690" i="22"/>
  <c r="G1705" i="21" l="1"/>
  <c r="A1706" i="21"/>
  <c r="F869" i="21"/>
  <c r="E869" i="21"/>
  <c r="A1691" i="22"/>
  <c r="G1706" i="21" l="1"/>
  <c r="A1707" i="21"/>
  <c r="H869" i="21"/>
  <c r="C870" i="21" s="1"/>
  <c r="I869" i="21"/>
  <c r="A1692" i="22"/>
  <c r="A1708" i="21" l="1"/>
  <c r="G1707" i="21"/>
  <c r="D870" i="21"/>
  <c r="A1693" i="22"/>
  <c r="A1709" i="21" l="1"/>
  <c r="G1708" i="21"/>
  <c r="F870" i="21"/>
  <c r="E870" i="21"/>
  <c r="A1694" i="22"/>
  <c r="A1710" i="21" l="1"/>
  <c r="G1709" i="21"/>
  <c r="H870" i="21"/>
  <c r="C871" i="21" s="1"/>
  <c r="I870" i="21"/>
  <c r="A1695" i="22"/>
  <c r="G1710" i="21" l="1"/>
  <c r="A1711" i="21"/>
  <c r="D871" i="21"/>
  <c r="A1696" i="22"/>
  <c r="A1712" i="21" l="1"/>
  <c r="G1711" i="21"/>
  <c r="F871" i="21"/>
  <c r="E871" i="21"/>
  <c r="A1697" i="22"/>
  <c r="G1712" i="21" l="1"/>
  <c r="A1713" i="21"/>
  <c r="H871" i="21"/>
  <c r="C872" i="21" s="1"/>
  <c r="I871" i="21"/>
  <c r="A1698" i="22"/>
  <c r="A1714" i="21" l="1"/>
  <c r="G1713" i="21"/>
  <c r="D872" i="21"/>
  <c r="A1699" i="22"/>
  <c r="G1714" i="21" l="1"/>
  <c r="A1715" i="21"/>
  <c r="F872" i="21"/>
  <c r="E872" i="21"/>
  <c r="A1700" i="22"/>
  <c r="G1715" i="21" l="1"/>
  <c r="A1716" i="21"/>
  <c r="H872" i="21"/>
  <c r="C873" i="21" s="1"/>
  <c r="I872" i="21"/>
  <c r="A1701" i="22"/>
  <c r="G1716" i="21" l="1"/>
  <c r="A1717" i="21"/>
  <c r="D873" i="21"/>
  <c r="A1702" i="22"/>
  <c r="A1718" i="21" l="1"/>
  <c r="G1717" i="21"/>
  <c r="F873" i="21"/>
  <c r="E873" i="21"/>
  <c r="A1703" i="22"/>
  <c r="A1719" i="21" l="1"/>
  <c r="G1718" i="21"/>
  <c r="H873" i="21"/>
  <c r="C874" i="21" s="1"/>
  <c r="I873" i="21"/>
  <c r="A1704" i="22"/>
  <c r="G1719" i="21" l="1"/>
  <c r="A1720" i="21"/>
  <c r="D874" i="21"/>
  <c r="A1705" i="22"/>
  <c r="G1720" i="21" l="1"/>
  <c r="A1721" i="21"/>
  <c r="F874" i="21"/>
  <c r="E874" i="21"/>
  <c r="A1706" i="22"/>
  <c r="A1722" i="21" l="1"/>
  <c r="G1721" i="21"/>
  <c r="H874" i="21"/>
  <c r="C875" i="21" s="1"/>
  <c r="I874" i="21"/>
  <c r="A1707" i="22"/>
  <c r="A1723" i="21" l="1"/>
  <c r="G1722" i="21"/>
  <c r="D875" i="21"/>
  <c r="A1708" i="22"/>
  <c r="G1723" i="21" l="1"/>
  <c r="A1724" i="21"/>
  <c r="F875" i="21"/>
  <c r="E875" i="21"/>
  <c r="A1709" i="22"/>
  <c r="A1725" i="21" l="1"/>
  <c r="G1724" i="21"/>
  <c r="H875" i="21"/>
  <c r="C876" i="21" s="1"/>
  <c r="I875" i="21"/>
  <c r="A1710" i="22"/>
  <c r="A1726" i="21" l="1"/>
  <c r="G1725" i="21"/>
  <c r="D876" i="21"/>
  <c r="A1711" i="22"/>
  <c r="A1727" i="21" l="1"/>
  <c r="G1726" i="21"/>
  <c r="F876" i="21"/>
  <c r="E876" i="21"/>
  <c r="A1712" i="22"/>
  <c r="G1727" i="21" l="1"/>
  <c r="A1728" i="21"/>
  <c r="H876" i="21"/>
  <c r="C877" i="21" s="1"/>
  <c r="I876" i="21"/>
  <c r="A1713" i="22"/>
  <c r="G1728" i="21" l="1"/>
  <c r="A1729" i="21"/>
  <c r="D877" i="21"/>
  <c r="A1714" i="22"/>
  <c r="A1730" i="21" l="1"/>
  <c r="G1729" i="21"/>
  <c r="F877" i="21"/>
  <c r="E877" i="21"/>
  <c r="A1715" i="22"/>
  <c r="A1731" i="21" l="1"/>
  <c r="G1730" i="21"/>
  <c r="H877" i="21"/>
  <c r="C878" i="21" s="1"/>
  <c r="I877" i="21"/>
  <c r="A1716" i="22"/>
  <c r="A1732" i="21" l="1"/>
  <c r="G1731" i="21"/>
  <c r="D878" i="21"/>
  <c r="A1717" i="22"/>
  <c r="A1733" i="21" l="1"/>
  <c r="G1732" i="21"/>
  <c r="F878" i="21"/>
  <c r="E878" i="21"/>
  <c r="A1718" i="22"/>
  <c r="G1733" i="21" l="1"/>
  <c r="A1734" i="21"/>
  <c r="H878" i="21"/>
  <c r="C879" i="21" s="1"/>
  <c r="I878" i="21"/>
  <c r="A1719" i="22"/>
  <c r="G1734" i="21" l="1"/>
  <c r="A1735" i="21"/>
  <c r="D879" i="21"/>
  <c r="A1720" i="22"/>
  <c r="G1735" i="21" l="1"/>
  <c r="A1736" i="21"/>
  <c r="F879" i="21"/>
  <c r="E879" i="21"/>
  <c r="A1721" i="22"/>
  <c r="A1737" i="21" l="1"/>
  <c r="G1736" i="21"/>
  <c r="H879" i="21"/>
  <c r="C880" i="21" s="1"/>
  <c r="I879" i="21"/>
  <c r="A1722" i="22"/>
  <c r="G1737" i="21" l="1"/>
  <c r="A1738" i="21"/>
  <c r="D880" i="21"/>
  <c r="A1723" i="22"/>
  <c r="G1738" i="21" l="1"/>
  <c r="A1739" i="21"/>
  <c r="F880" i="21"/>
  <c r="E880" i="21"/>
  <c r="A1724" i="22"/>
  <c r="A1740" i="21" l="1"/>
  <c r="G1739" i="21"/>
  <c r="H880" i="21"/>
  <c r="C881" i="21" s="1"/>
  <c r="I880" i="21"/>
  <c r="A1725" i="22"/>
  <c r="A1741" i="21" l="1"/>
  <c r="G1740" i="21"/>
  <c r="D881" i="21"/>
  <c r="A1726" i="22"/>
  <c r="G1741" i="21" l="1"/>
  <c r="A1742" i="21"/>
  <c r="F881" i="21"/>
  <c r="E881" i="21"/>
  <c r="A1727" i="22"/>
  <c r="A1743" i="21" l="1"/>
  <c r="G1742" i="21"/>
  <c r="H881" i="21"/>
  <c r="C882" i="21" s="1"/>
  <c r="I881" i="21"/>
  <c r="A1728" i="22"/>
  <c r="A1744" i="21" l="1"/>
  <c r="G1743" i="21"/>
  <c r="D882" i="21"/>
  <c r="A1729" i="22"/>
  <c r="A1745" i="21" l="1"/>
  <c r="G1744" i="21"/>
  <c r="F882" i="21"/>
  <c r="E882" i="21"/>
  <c r="A1730" i="22"/>
  <c r="A1746" i="21" l="1"/>
  <c r="G1745" i="21"/>
  <c r="H882" i="21"/>
  <c r="C883" i="21" s="1"/>
  <c r="I882" i="21"/>
  <c r="A1731" i="22"/>
  <c r="G1746" i="21" l="1"/>
  <c r="A1747" i="21"/>
  <c r="D883" i="21"/>
  <c r="A1732" i="22"/>
  <c r="A1748" i="21" l="1"/>
  <c r="G1747" i="21"/>
  <c r="F883" i="21"/>
  <c r="E883" i="21"/>
  <c r="A1733" i="22"/>
  <c r="A1749" i="21" l="1"/>
  <c r="G1748" i="21"/>
  <c r="H883" i="21"/>
  <c r="C884" i="21" s="1"/>
  <c r="I883" i="21"/>
  <c r="A1734" i="22"/>
  <c r="A1750" i="21" l="1"/>
  <c r="G1749" i="21"/>
  <c r="D884" i="21"/>
  <c r="A1735" i="22"/>
  <c r="A1751" i="21" l="1"/>
  <c r="G1750" i="21"/>
  <c r="F884" i="21"/>
  <c r="E884" i="21"/>
  <c r="A1736" i="22"/>
  <c r="G1751" i="21" l="1"/>
  <c r="A1752" i="21"/>
  <c r="H884" i="21"/>
  <c r="C885" i="21" s="1"/>
  <c r="I884" i="21"/>
  <c r="A1737" i="22"/>
  <c r="G1752" i="21" l="1"/>
  <c r="A1753" i="21"/>
  <c r="D885" i="21"/>
  <c r="A1738" i="22"/>
  <c r="A1754" i="21" l="1"/>
  <c r="G1753" i="21"/>
  <c r="F885" i="21"/>
  <c r="E885" i="21"/>
  <c r="A1739" i="22"/>
  <c r="A1755" i="21" l="1"/>
  <c r="G1754" i="21"/>
  <c r="H885" i="21"/>
  <c r="C886" i="21" s="1"/>
  <c r="I885" i="21"/>
  <c r="A1740" i="22"/>
  <c r="G1755" i="21" l="1"/>
  <c r="A1756" i="21"/>
  <c r="D886" i="21"/>
  <c r="A1741" i="22"/>
  <c r="G1756" i="21" l="1"/>
  <c r="A1757" i="21"/>
  <c r="F886" i="21"/>
  <c r="E886" i="21"/>
  <c r="A1742" i="22"/>
  <c r="A1758" i="21" l="1"/>
  <c r="G1757" i="21"/>
  <c r="H886" i="21"/>
  <c r="C887" i="21" s="1"/>
  <c r="I886" i="21"/>
  <c r="A1743" i="22"/>
  <c r="G1758" i="21" l="1"/>
  <c r="A1759" i="21"/>
  <c r="D887" i="21"/>
  <c r="A1744" i="22"/>
  <c r="G1759" i="21" l="1"/>
  <c r="A1760" i="21"/>
  <c r="F887" i="21"/>
  <c r="E887" i="21"/>
  <c r="A1745" i="22"/>
  <c r="G1760" i="21" l="1"/>
  <c r="A1761" i="21"/>
  <c r="H887" i="21"/>
  <c r="C888" i="21" s="1"/>
  <c r="I887" i="21"/>
  <c r="A1746" i="22"/>
  <c r="A1762" i="21" l="1"/>
  <c r="G1761" i="21"/>
  <c r="D888" i="21"/>
  <c r="A1747" i="22"/>
  <c r="A1763" i="21" l="1"/>
  <c r="G1762" i="21"/>
  <c r="F888" i="21"/>
  <c r="E888" i="21"/>
  <c r="A1748" i="22"/>
  <c r="G1763" i="21" l="1"/>
  <c r="A1764" i="21"/>
  <c r="H888" i="21"/>
  <c r="C889" i="21" s="1"/>
  <c r="I888" i="21"/>
  <c r="A1749" i="22"/>
  <c r="G1764" i="21" l="1"/>
  <c r="A1765" i="21"/>
  <c r="D889" i="21"/>
  <c r="A1750" i="22"/>
  <c r="A1766" i="21" l="1"/>
  <c r="G1765" i="21"/>
  <c r="F889" i="21"/>
  <c r="E889" i="21"/>
  <c r="A1751" i="22"/>
  <c r="A1767" i="21" l="1"/>
  <c r="G1766" i="21"/>
  <c r="H889" i="21"/>
  <c r="C890" i="21" s="1"/>
  <c r="I889" i="21"/>
  <c r="A1752" i="22"/>
  <c r="A1768" i="21" l="1"/>
  <c r="G1767" i="21"/>
  <c r="D890" i="21"/>
  <c r="A1753" i="22"/>
  <c r="G1768" i="21" l="1"/>
  <c r="A1769" i="21"/>
  <c r="F890" i="21"/>
  <c r="E890" i="21"/>
  <c r="A1754" i="22"/>
  <c r="G1769" i="21" l="1"/>
  <c r="A1770" i="21"/>
  <c r="H890" i="21"/>
  <c r="C891" i="21" s="1"/>
  <c r="I890" i="21"/>
  <c r="A1755" i="22"/>
  <c r="G1770" i="21" l="1"/>
  <c r="A1771" i="21"/>
  <c r="D891" i="21"/>
  <c r="A1756" i="22"/>
  <c r="A1772" i="21" l="1"/>
  <c r="G1771" i="21"/>
  <c r="F891" i="21"/>
  <c r="E891" i="21"/>
  <c r="A1757" i="22"/>
  <c r="G1772" i="21" l="1"/>
  <c r="A1773" i="21"/>
  <c r="H891" i="21"/>
  <c r="C892" i="21" s="1"/>
  <c r="I891" i="21"/>
  <c r="A1758" i="22"/>
  <c r="G1773" i="21" l="1"/>
  <c r="A1774" i="21"/>
  <c r="D892" i="21"/>
  <c r="A1759" i="22"/>
  <c r="G1774" i="21" l="1"/>
  <c r="A1775" i="21"/>
  <c r="F892" i="21"/>
  <c r="E892" i="21"/>
  <c r="A1760" i="22"/>
  <c r="A1776" i="21" l="1"/>
  <c r="G1775" i="21"/>
  <c r="H892" i="21"/>
  <c r="C893" i="21" s="1"/>
  <c r="I892" i="21"/>
  <c r="A1761" i="22"/>
  <c r="G1776" i="21" l="1"/>
  <c r="A1777" i="21"/>
  <c r="D893" i="21"/>
  <c r="A1762" i="22"/>
  <c r="G1777" i="21" l="1"/>
  <c r="A1778" i="21"/>
  <c r="F893" i="21"/>
  <c r="E893" i="21"/>
  <c r="A1763" i="22"/>
  <c r="A1779" i="21" l="1"/>
  <c r="G1778" i="21"/>
  <c r="H893" i="21"/>
  <c r="C894" i="21" s="1"/>
  <c r="I893" i="21"/>
  <c r="A1764" i="22"/>
  <c r="G1779" i="21" l="1"/>
  <c r="A1780" i="21"/>
  <c r="D894" i="21"/>
  <c r="A1765" i="22"/>
  <c r="A1781" i="21" l="1"/>
  <c r="G1780" i="21"/>
  <c r="F894" i="21"/>
  <c r="E894" i="21"/>
  <c r="A1766" i="22"/>
  <c r="G1781" i="21" l="1"/>
  <c r="A1782" i="21"/>
  <c r="H894" i="21"/>
  <c r="C895" i="21" s="1"/>
  <c r="I894" i="21"/>
  <c r="A1767" i="22"/>
  <c r="G1782" i="21" l="1"/>
  <c r="A1783" i="21"/>
  <c r="D895" i="21"/>
  <c r="A1768" i="22"/>
  <c r="G1783" i="21" l="1"/>
  <c r="A1784" i="21"/>
  <c r="F895" i="21"/>
  <c r="E895" i="21"/>
  <c r="A1769" i="22"/>
  <c r="A1785" i="21" l="1"/>
  <c r="G1784" i="21"/>
  <c r="H895" i="21"/>
  <c r="C896" i="21" s="1"/>
  <c r="I895" i="21"/>
  <c r="A1770" i="22"/>
  <c r="A1786" i="21" l="1"/>
  <c r="G1785" i="21"/>
  <c r="D896" i="21"/>
  <c r="A1771" i="22"/>
  <c r="A1787" i="21" l="1"/>
  <c r="G1786" i="21"/>
  <c r="F896" i="21"/>
  <c r="E896" i="21"/>
  <c r="A1772" i="22"/>
  <c r="A1788" i="21" l="1"/>
  <c r="G1787" i="21"/>
  <c r="H896" i="21"/>
  <c r="C897" i="21" s="1"/>
  <c r="I896" i="21"/>
  <c r="A1773" i="22"/>
  <c r="G1788" i="21" l="1"/>
  <c r="A1789" i="21"/>
  <c r="D897" i="21"/>
  <c r="A1774" i="22"/>
  <c r="A1790" i="21" l="1"/>
  <c r="G1789" i="21"/>
  <c r="F897" i="21"/>
  <c r="E897" i="21"/>
  <c r="A1775" i="22"/>
  <c r="G1790" i="21" l="1"/>
  <c r="A1791" i="21"/>
  <c r="H897" i="21"/>
  <c r="C898" i="21" s="1"/>
  <c r="I897" i="21"/>
  <c r="A1776" i="22"/>
  <c r="A1792" i="21" l="1"/>
  <c r="G1791" i="21"/>
  <c r="D898" i="21"/>
  <c r="A1777" i="22"/>
  <c r="G1792" i="21" l="1"/>
  <c r="A1793" i="21"/>
  <c r="F898" i="21"/>
  <c r="E898" i="21"/>
  <c r="A1778" i="22"/>
  <c r="A1794" i="21" l="1"/>
  <c r="G1793" i="21"/>
  <c r="H898" i="21"/>
  <c r="C899" i="21" s="1"/>
  <c r="I898" i="21"/>
  <c r="A1779" i="22"/>
  <c r="A1795" i="21" l="1"/>
  <c r="G1794" i="21"/>
  <c r="D899" i="21"/>
  <c r="A1780" i="22"/>
  <c r="G1795" i="21" l="1"/>
  <c r="A1796" i="21"/>
  <c r="F899" i="21"/>
  <c r="E899" i="21"/>
  <c r="A1781" i="22"/>
  <c r="A1797" i="21" l="1"/>
  <c r="G1796" i="21"/>
  <c r="H899" i="21"/>
  <c r="C900" i="21" s="1"/>
  <c r="I899" i="21"/>
  <c r="A1782" i="22"/>
  <c r="G1797" i="21" l="1"/>
  <c r="A1798" i="21"/>
  <c r="D900" i="21"/>
  <c r="A1783" i="22"/>
  <c r="A1799" i="21" l="1"/>
  <c r="G1798" i="21"/>
  <c r="F900" i="21"/>
  <c r="E900" i="21"/>
  <c r="A1784" i="22"/>
  <c r="G1799" i="21" l="1"/>
  <c r="A1800" i="21"/>
  <c r="H900" i="21"/>
  <c r="C901" i="21" s="1"/>
  <c r="I900" i="21"/>
  <c r="A1785" i="22"/>
  <c r="A1786" i="22" l="1"/>
  <c r="A1801" i="21"/>
  <c r="G1800" i="21"/>
  <c r="D901" i="21"/>
  <c r="A1787" i="22" l="1"/>
  <c r="G1801" i="21"/>
  <c r="A1802" i="21"/>
  <c r="F901" i="21"/>
  <c r="E901" i="21"/>
  <c r="A1788" i="22" l="1"/>
  <c r="G1802" i="21"/>
  <c r="A1803" i="21"/>
  <c r="H901" i="21"/>
  <c r="C902" i="21" s="1"/>
  <c r="I901" i="21"/>
  <c r="A1789" i="22" l="1"/>
  <c r="G1803" i="21"/>
  <c r="A1804" i="21"/>
  <c r="D902" i="21"/>
  <c r="A1790" i="22" l="1"/>
  <c r="G1804" i="21"/>
  <c r="A1805" i="21"/>
  <c r="F902" i="21"/>
  <c r="E902" i="21"/>
  <c r="A1791" i="22" l="1"/>
  <c r="A1806" i="21"/>
  <c r="G1805" i="21"/>
  <c r="H902" i="21"/>
  <c r="C903" i="21" s="1"/>
  <c r="I902" i="21"/>
  <c r="A1792" i="22" l="1"/>
  <c r="G1806" i="21"/>
  <c r="A1807" i="21"/>
  <c r="D903" i="21"/>
  <c r="A1793" i="22" l="1"/>
  <c r="A1808" i="21"/>
  <c r="G1807" i="21"/>
  <c r="F903" i="21"/>
  <c r="E903" i="21"/>
  <c r="A1794" i="22" l="1"/>
  <c r="G1808" i="21"/>
  <c r="A1809" i="21"/>
  <c r="H903" i="21"/>
  <c r="C904" i="21" s="1"/>
  <c r="I903" i="21"/>
  <c r="A1795" i="22" l="1"/>
  <c r="G1809" i="21"/>
  <c r="A1810" i="21"/>
  <c r="D904" i="21"/>
  <c r="A1796" i="22" l="1"/>
  <c r="G1810" i="21"/>
  <c r="A1811" i="21"/>
  <c r="F904" i="21"/>
  <c r="E904" i="21"/>
  <c r="A1797" i="22" l="1"/>
  <c r="A1812" i="21"/>
  <c r="G1811" i="21"/>
  <c r="H904" i="21"/>
  <c r="C905" i="21" s="1"/>
  <c r="I904" i="21"/>
  <c r="A1798" i="22" l="1"/>
  <c r="G1812" i="21"/>
  <c r="A1813" i="21"/>
  <c r="D905" i="21"/>
  <c r="A1799" i="22" l="1"/>
  <c r="G1813" i="21"/>
  <c r="A1814" i="21"/>
  <c r="F905" i="21"/>
  <c r="E905" i="21"/>
  <c r="A1800" i="22" l="1"/>
  <c r="A1815" i="21"/>
  <c r="G1814" i="21"/>
  <c r="H905" i="21"/>
  <c r="C906" i="21" s="1"/>
  <c r="I905" i="21"/>
  <c r="A1801" i="22" l="1"/>
  <c r="G1815" i="21"/>
  <c r="A1816" i="21"/>
  <c r="D906" i="21"/>
  <c r="A1802" i="22" l="1"/>
  <c r="G1816" i="21"/>
  <c r="A1817" i="21"/>
  <c r="F906" i="21"/>
  <c r="E906" i="21"/>
  <c r="A1803" i="22" l="1"/>
  <c r="G1817" i="21"/>
  <c r="A1818" i="21"/>
  <c r="H906" i="21"/>
  <c r="C907" i="21" s="1"/>
  <c r="I906" i="21"/>
  <c r="A1804" i="22" l="1"/>
  <c r="G1818" i="21"/>
  <c r="A1819" i="21"/>
  <c r="D907" i="21"/>
  <c r="A1805" i="22" l="1"/>
  <c r="A1820" i="21"/>
  <c r="G1819" i="21"/>
  <c r="F907" i="21"/>
  <c r="E907" i="21"/>
  <c r="A1806" i="22" l="1"/>
  <c r="G1820" i="21"/>
  <c r="A1821" i="21"/>
  <c r="H907" i="21"/>
  <c r="C908" i="21" s="1"/>
  <c r="I907" i="21"/>
  <c r="A1807" i="22" l="1"/>
  <c r="A1822" i="21"/>
  <c r="G1821" i="21"/>
  <c r="D908" i="21"/>
  <c r="A1808" i="22" l="1"/>
  <c r="G1822" i="21"/>
  <c r="A1823" i="21"/>
  <c r="F908" i="21"/>
  <c r="E908" i="21"/>
  <c r="A1809" i="22" l="1"/>
  <c r="G1823" i="21"/>
  <c r="A1824" i="21"/>
  <c r="H908" i="21"/>
  <c r="C909" i="21" s="1"/>
  <c r="I908" i="21"/>
  <c r="A1810" i="22" l="1"/>
  <c r="A1825" i="21"/>
  <c r="G1824" i="21"/>
  <c r="D909" i="21"/>
  <c r="A1811" i="22" l="1"/>
  <c r="G1825" i="21"/>
  <c r="A1826" i="21"/>
  <c r="F909" i="21"/>
  <c r="E909" i="21"/>
  <c r="A1812" i="22" l="1"/>
  <c r="G1826" i="21"/>
  <c r="A1827" i="21"/>
  <c r="H909" i="21"/>
  <c r="C910" i="21" s="1"/>
  <c r="I909" i="21"/>
  <c r="A1813" i="22" l="1"/>
  <c r="A1828" i="21"/>
  <c r="G1827" i="21"/>
  <c r="D910" i="21"/>
  <c r="A1814" i="22" l="1"/>
  <c r="A1829" i="21"/>
  <c r="G1828" i="21"/>
  <c r="F910" i="21"/>
  <c r="E910" i="21"/>
  <c r="A1815" i="22" l="1"/>
  <c r="A1830" i="21"/>
  <c r="G1829" i="21"/>
  <c r="H910" i="21"/>
  <c r="C911" i="21" s="1"/>
  <c r="I910" i="21"/>
  <c r="A1816" i="22" l="1"/>
  <c r="G1830" i="21"/>
  <c r="A1831" i="21"/>
  <c r="D911" i="21"/>
  <c r="A1817" i="22" l="1"/>
  <c r="G1831" i="21"/>
  <c r="A1832" i="21"/>
  <c r="F911" i="21"/>
  <c r="E911" i="21"/>
  <c r="A1818" i="22" l="1"/>
  <c r="G1832" i="21"/>
  <c r="A1833" i="21"/>
  <c r="H911" i="21"/>
  <c r="C912" i="21" s="1"/>
  <c r="I911" i="21"/>
  <c r="A1819" i="22" l="1"/>
  <c r="G1833" i="21"/>
  <c r="A1834" i="21"/>
  <c r="D912" i="21"/>
  <c r="A1820" i="22" l="1"/>
  <c r="A1835" i="21"/>
  <c r="G1834" i="21"/>
  <c r="F912" i="21"/>
  <c r="E912" i="21"/>
  <c r="A1821" i="22" l="1"/>
  <c r="A1836" i="21"/>
  <c r="G1835" i="21"/>
  <c r="H912" i="21"/>
  <c r="C913" i="21" s="1"/>
  <c r="I912" i="21"/>
  <c r="A1822" i="22" l="1"/>
  <c r="A1837" i="21"/>
  <c r="G1836" i="21"/>
  <c r="D913" i="21"/>
  <c r="A1823" i="22" l="1"/>
  <c r="G1837" i="21"/>
  <c r="A1838" i="21"/>
  <c r="F913" i="21"/>
  <c r="E913" i="21"/>
  <c r="A1824" i="22" l="1"/>
  <c r="A1839" i="21"/>
  <c r="G1838" i="21"/>
  <c r="H913" i="21"/>
  <c r="C914" i="21" s="1"/>
  <c r="I913" i="21"/>
  <c r="A1825" i="22" l="1"/>
  <c r="G1839" i="21"/>
  <c r="A1840" i="21"/>
  <c r="D914" i="21"/>
  <c r="A1826" i="22" l="1"/>
  <c r="A1841" i="21"/>
  <c r="G1840" i="21"/>
  <c r="F914" i="21"/>
  <c r="E914" i="21"/>
  <c r="A1827" i="22" l="1"/>
  <c r="G1841" i="21"/>
  <c r="A1842" i="21"/>
  <c r="H914" i="21"/>
  <c r="C915" i="21" s="1"/>
  <c r="I914" i="21"/>
  <c r="A1828" i="22" l="1"/>
  <c r="A1843" i="21"/>
  <c r="G1842" i="21"/>
  <c r="D915" i="21"/>
  <c r="A1829" i="22" l="1"/>
  <c r="G1843" i="21"/>
  <c r="A1844" i="21"/>
  <c r="F915" i="21"/>
  <c r="E915" i="21"/>
  <c r="A1830" i="22" l="1"/>
  <c r="G1844" i="21"/>
  <c r="A1845" i="21"/>
  <c r="H915" i="21"/>
  <c r="C916" i="21" s="1"/>
  <c r="I915" i="21"/>
  <c r="A1831" i="22" l="1"/>
  <c r="G1845" i="21"/>
  <c r="A1846" i="21"/>
  <c r="D916" i="21"/>
  <c r="A1832" i="22" l="1"/>
  <c r="G1846" i="21"/>
  <c r="A1847" i="21"/>
  <c r="F916" i="21"/>
  <c r="E916" i="21"/>
  <c r="A1833" i="22" l="1"/>
  <c r="A1848" i="21"/>
  <c r="G1847" i="21"/>
  <c r="H916" i="21"/>
  <c r="C917" i="21" s="1"/>
  <c r="I916" i="21"/>
  <c r="A1834" i="22" l="1"/>
  <c r="G1848" i="21"/>
  <c r="A1849" i="21"/>
  <c r="D917" i="21"/>
  <c r="A1835" i="22" l="1"/>
  <c r="G1849" i="21"/>
  <c r="A1850" i="21"/>
  <c r="F917" i="21"/>
  <c r="E917" i="21"/>
  <c r="A1836" i="22" l="1"/>
  <c r="G1850" i="21"/>
  <c r="A1851" i="21"/>
  <c r="H917" i="21"/>
  <c r="C918" i="21" s="1"/>
  <c r="I917" i="21"/>
  <c r="A1837" i="22" l="1"/>
  <c r="A1852" i="21"/>
  <c r="G1851" i="21"/>
  <c r="D918" i="21"/>
  <c r="A1838" i="22" l="1"/>
  <c r="G1852" i="21"/>
  <c r="A1853" i="21"/>
  <c r="F918" i="21"/>
  <c r="E918" i="21"/>
  <c r="A1839" i="22" l="1"/>
  <c r="G1853" i="21"/>
  <c r="A1854" i="21"/>
  <c r="H918" i="21"/>
  <c r="C919" i="21" s="1"/>
  <c r="I918" i="21"/>
  <c r="A1840" i="22" l="1"/>
  <c r="G1854" i="21"/>
  <c r="A1855" i="21"/>
  <c r="D919" i="21"/>
  <c r="A1841" i="22" l="1"/>
  <c r="G1855" i="21"/>
  <c r="A1856" i="21"/>
  <c r="F919" i="21"/>
  <c r="E919" i="21"/>
  <c r="A1842" i="22" l="1"/>
  <c r="A1857" i="21"/>
  <c r="G1856" i="21"/>
  <c r="H919" i="21"/>
  <c r="C920" i="21" s="1"/>
  <c r="I919" i="21"/>
  <c r="A1843" i="22" l="1"/>
  <c r="G1857" i="21"/>
  <c r="A1858" i="21"/>
  <c r="D920" i="21"/>
  <c r="A1844" i="22" l="1"/>
  <c r="G1858" i="21"/>
  <c r="A1859" i="21"/>
  <c r="F920" i="21"/>
  <c r="E920" i="21"/>
  <c r="A1845" i="22" l="1"/>
  <c r="A1860" i="21"/>
  <c r="G1859" i="21"/>
  <c r="H920" i="21"/>
  <c r="C921" i="21" s="1"/>
  <c r="I920" i="21"/>
  <c r="A1846" i="22" l="1"/>
  <c r="A1861" i="21"/>
  <c r="G1860" i="21"/>
  <c r="D921" i="21"/>
  <c r="A1847" i="22" l="1"/>
  <c r="G1861" i="21"/>
  <c r="A1862" i="21"/>
  <c r="F921" i="21"/>
  <c r="E921" i="21"/>
  <c r="A1848" i="22" l="1"/>
  <c r="G1862" i="21"/>
  <c r="A1863" i="21"/>
  <c r="H921" i="21"/>
  <c r="C922" i="21" s="1"/>
  <c r="I921" i="21"/>
  <c r="A1849" i="22" l="1"/>
  <c r="A1864" i="21"/>
  <c r="G1863" i="21"/>
  <c r="D922" i="21"/>
  <c r="A1850" i="22" l="1"/>
  <c r="G1864" i="21"/>
  <c r="A1865" i="21"/>
  <c r="F922" i="21"/>
  <c r="E922" i="21"/>
  <c r="A1851" i="22" l="1"/>
  <c r="A1866" i="21"/>
  <c r="G1865" i="21"/>
  <c r="H922" i="21"/>
  <c r="C923" i="21" s="1"/>
  <c r="I922" i="21"/>
  <c r="A1852" i="22" l="1"/>
  <c r="G1866" i="21"/>
  <c r="A1867" i="21"/>
  <c r="D923" i="21"/>
  <c r="A1853" i="22" l="1"/>
  <c r="A1868" i="21"/>
  <c r="G1867" i="21"/>
  <c r="F923" i="21"/>
  <c r="E923" i="21"/>
  <c r="A1854" i="22" l="1"/>
  <c r="A1869" i="21"/>
  <c r="G1868" i="21"/>
  <c r="H923" i="21"/>
  <c r="C924" i="21" s="1"/>
  <c r="I923" i="21"/>
  <c r="A1855" i="22" l="1"/>
  <c r="G1869" i="21"/>
  <c r="A1870" i="21"/>
  <c r="D924" i="21"/>
  <c r="A1856" i="22" l="1"/>
  <c r="G1870" i="21"/>
  <c r="A1871" i="21"/>
  <c r="F924" i="21"/>
  <c r="E924" i="21"/>
  <c r="A1857" i="22" l="1"/>
  <c r="A1872" i="21"/>
  <c r="G1871" i="21"/>
  <c r="H924" i="21"/>
  <c r="C925" i="21" s="1"/>
  <c r="I924" i="21"/>
  <c r="A1858" i="22" l="1"/>
  <c r="A1873" i="21"/>
  <c r="G1872" i="21"/>
  <c r="D925" i="21"/>
  <c r="A1859" i="22" l="1"/>
  <c r="G1873" i="21"/>
  <c r="A1874" i="21"/>
  <c r="F925" i="21"/>
  <c r="E925" i="21"/>
  <c r="A1860" i="22" l="1"/>
  <c r="A1875" i="21"/>
  <c r="G1874" i="21"/>
  <c r="H925" i="21"/>
  <c r="C926" i="21" s="1"/>
  <c r="I925" i="21"/>
  <c r="A1861" i="22" l="1"/>
  <c r="G1875" i="21"/>
  <c r="A1876" i="21"/>
  <c r="D926" i="21"/>
  <c r="A1862" i="22" l="1"/>
  <c r="A1877" i="21"/>
  <c r="G1876" i="21"/>
  <c r="F926" i="21"/>
  <c r="E926" i="21"/>
  <c r="A1863" i="22" l="1"/>
  <c r="A1878" i="21"/>
  <c r="G1877" i="21"/>
  <c r="H926" i="21"/>
  <c r="C927" i="21" s="1"/>
  <c r="I926" i="21"/>
  <c r="A1864" i="22" l="1"/>
  <c r="A1879" i="21"/>
  <c r="G1878" i="21"/>
  <c r="D927" i="21"/>
  <c r="A1865" i="22" l="1"/>
  <c r="A1880" i="21"/>
  <c r="G1879" i="21"/>
  <c r="F927" i="21"/>
  <c r="E927" i="21"/>
  <c r="A1866" i="22" l="1"/>
  <c r="A1881" i="21"/>
  <c r="G1880" i="21"/>
  <c r="H927" i="21"/>
  <c r="C928" i="21" s="1"/>
  <c r="I927" i="21"/>
  <c r="A1867" i="22" l="1"/>
  <c r="G1881" i="21"/>
  <c r="A1882" i="21"/>
  <c r="D928" i="21"/>
  <c r="A1868" i="22" l="1"/>
  <c r="A1883" i="21"/>
  <c r="G1882" i="21"/>
  <c r="F928" i="21"/>
  <c r="E928" i="21"/>
  <c r="A1869" i="22" l="1"/>
  <c r="A1884" i="21"/>
  <c r="G1883" i="21"/>
  <c r="H928" i="21"/>
  <c r="C929" i="21" s="1"/>
  <c r="I928" i="21"/>
  <c r="A1870" i="22" l="1"/>
  <c r="G1884" i="21"/>
  <c r="A1885" i="21"/>
  <c r="D929" i="21"/>
  <c r="A1871" i="22" l="1"/>
  <c r="A1886" i="21"/>
  <c r="G1885" i="21"/>
  <c r="F929" i="21"/>
  <c r="E929" i="21"/>
  <c r="A1872" i="22" l="1"/>
  <c r="A1887" i="21"/>
  <c r="G1886" i="21"/>
  <c r="H929" i="21"/>
  <c r="C930" i="21" s="1"/>
  <c r="I929" i="21"/>
  <c r="A1873" i="22" l="1"/>
  <c r="A1888" i="21"/>
  <c r="G1887" i="21"/>
  <c r="D930" i="21"/>
  <c r="A1874" i="22" l="1"/>
  <c r="G1888" i="21"/>
  <c r="A1889" i="21"/>
  <c r="F930" i="21"/>
  <c r="E930" i="21"/>
  <c r="A1875" i="22" l="1"/>
  <c r="A1890" i="21"/>
  <c r="G1889" i="21"/>
  <c r="H930" i="21"/>
  <c r="C931" i="21" s="1"/>
  <c r="I930" i="21"/>
  <c r="A1876" i="22" l="1"/>
  <c r="A1891" i="21"/>
  <c r="G1890" i="21"/>
  <c r="D931" i="21"/>
  <c r="A1877" i="22" l="1"/>
  <c r="G1891" i="21"/>
  <c r="A1892" i="21"/>
  <c r="F931" i="21"/>
  <c r="E931" i="21"/>
  <c r="A1878" i="22" l="1"/>
  <c r="A1893" i="21"/>
  <c r="G1892" i="21"/>
  <c r="H931" i="21"/>
  <c r="C932" i="21" s="1"/>
  <c r="I931" i="21"/>
  <c r="A1879" i="22" l="1"/>
  <c r="A1894" i="21"/>
  <c r="G1893" i="21"/>
  <c r="D932" i="21"/>
  <c r="A1880" i="22" l="1"/>
  <c r="G1894" i="21"/>
  <c r="A1895" i="21"/>
  <c r="F932" i="21"/>
  <c r="E932" i="21"/>
  <c r="A1881" i="22" l="1"/>
  <c r="A1896" i="21"/>
  <c r="G1895" i="21"/>
  <c r="H932" i="21"/>
  <c r="C933" i="21" s="1"/>
  <c r="D933" i="21" s="1"/>
  <c r="I932" i="21"/>
  <c r="A1882" i="22" l="1"/>
  <c r="A1897" i="21"/>
  <c r="G1896" i="21"/>
  <c r="F933" i="21"/>
  <c r="E933" i="21"/>
  <c r="A1883" i="22" l="1"/>
  <c r="G1897" i="21"/>
  <c r="A1898" i="21"/>
  <c r="H933" i="21"/>
  <c r="C934" i="21" s="1"/>
  <c r="I933" i="21"/>
  <c r="A1884" i="22" l="1"/>
  <c r="A1899" i="21"/>
  <c r="G1898" i="21"/>
  <c r="D934" i="21"/>
  <c r="A1885" i="22" l="1"/>
  <c r="G1899" i="21"/>
  <c r="A1900" i="21"/>
  <c r="F934" i="21"/>
  <c r="E934" i="21"/>
  <c r="A1886" i="22" l="1"/>
  <c r="A1901" i="21"/>
  <c r="G1900" i="21"/>
  <c r="H934" i="21"/>
  <c r="C935" i="21" s="1"/>
  <c r="I934" i="21"/>
  <c r="A1887" i="22" l="1"/>
  <c r="A1902" i="21"/>
  <c r="G1901" i="21"/>
  <c r="D935" i="21"/>
  <c r="A1888" i="22" l="1"/>
  <c r="G1902" i="21"/>
  <c r="A1903" i="21"/>
  <c r="F935" i="21"/>
  <c r="E935" i="21"/>
  <c r="A1889" i="22" l="1"/>
  <c r="G1903" i="21"/>
  <c r="A1904" i="21"/>
  <c r="H935" i="21"/>
  <c r="C936" i="21" s="1"/>
  <c r="I935" i="21"/>
  <c r="A1890" i="22" l="1"/>
  <c r="A1905" i="21"/>
  <c r="G1904" i="21"/>
  <c r="D936" i="21"/>
  <c r="A1891" i="22" l="1"/>
  <c r="A1906" i="21"/>
  <c r="G1905" i="21"/>
  <c r="F936" i="21"/>
  <c r="E936" i="21"/>
  <c r="A1892" i="22" l="1"/>
  <c r="G1906" i="21"/>
  <c r="A1907" i="21"/>
  <c r="H936" i="21"/>
  <c r="C937" i="21" s="1"/>
  <c r="I936" i="21"/>
  <c r="A1893" i="22" l="1"/>
  <c r="A1908" i="21"/>
  <c r="G1907" i="21"/>
  <c r="D937" i="21"/>
  <c r="A1894" i="22" l="1"/>
  <c r="A1909" i="21"/>
  <c r="G1908" i="21"/>
  <c r="F937" i="21"/>
  <c r="E937" i="21"/>
  <c r="A1895" i="22" l="1"/>
  <c r="G1909" i="21"/>
  <c r="A1910" i="21"/>
  <c r="H937" i="21"/>
  <c r="C938" i="21" s="1"/>
  <c r="I937" i="21"/>
  <c r="A1896" i="22" l="1"/>
  <c r="A1911" i="21"/>
  <c r="G1910" i="21"/>
  <c r="D938" i="21"/>
  <c r="A1897" i="22" l="1"/>
  <c r="G1911" i="21"/>
  <c r="A1912" i="21"/>
  <c r="F938" i="21"/>
  <c r="E938" i="21"/>
  <c r="A1898" i="22" l="1"/>
  <c r="G1912" i="21"/>
  <c r="A1913" i="21"/>
  <c r="H938" i="21"/>
  <c r="C939" i="21" s="1"/>
  <c r="I938" i="21"/>
  <c r="A1899" i="22" l="1"/>
  <c r="A1914" i="21"/>
  <c r="G1913" i="21"/>
  <c r="D939" i="21"/>
  <c r="A1900" i="22" l="1"/>
  <c r="G1914" i="21"/>
  <c r="A1915" i="21"/>
  <c r="F939" i="21"/>
  <c r="E939" i="21"/>
  <c r="A1901" i="22" l="1"/>
  <c r="A1916" i="21"/>
  <c r="G1915" i="21"/>
  <c r="H939" i="21"/>
  <c r="C940" i="21" s="1"/>
  <c r="I939" i="21"/>
  <c r="A1902" i="22" l="1"/>
  <c r="A1917" i="21"/>
  <c r="G1916" i="21"/>
  <c r="D940" i="21"/>
  <c r="A1903" i="22" l="1"/>
  <c r="G1917" i="21"/>
  <c r="A1918" i="21"/>
  <c r="F940" i="21"/>
  <c r="E940" i="21"/>
  <c r="A1904" i="22" l="1"/>
  <c r="A1919" i="21"/>
  <c r="G1918" i="21"/>
  <c r="H940" i="21"/>
  <c r="C941" i="21" s="1"/>
  <c r="I940" i="21"/>
  <c r="A1905" i="22" l="1"/>
  <c r="A1920" i="21"/>
  <c r="G1919" i="21"/>
  <c r="D941" i="21"/>
  <c r="A1906" i="22" l="1"/>
  <c r="G1920" i="21"/>
  <c r="A1921" i="21"/>
  <c r="F941" i="21"/>
  <c r="E941" i="21"/>
  <c r="A1907" i="22" l="1"/>
  <c r="G1921" i="21"/>
  <c r="A1922" i="21"/>
  <c r="H941" i="21"/>
  <c r="C942" i="21" s="1"/>
  <c r="I941" i="21"/>
  <c r="A1908" i="22" l="1"/>
  <c r="A1923" i="21"/>
  <c r="G1922" i="21"/>
  <c r="D942" i="21"/>
  <c r="A1909" i="22" l="1"/>
  <c r="G1923" i="21"/>
  <c r="A1924" i="21"/>
  <c r="F942" i="21"/>
  <c r="E942" i="21"/>
  <c r="A1910" i="22" l="1"/>
  <c r="G1924" i="21"/>
  <c r="A1925" i="21"/>
  <c r="H942" i="21"/>
  <c r="C943" i="21" s="1"/>
  <c r="I942" i="21"/>
  <c r="A1911" i="22" l="1"/>
  <c r="A1926" i="21"/>
  <c r="G1925" i="21"/>
  <c r="D943" i="21"/>
  <c r="A1912" i="22" l="1"/>
  <c r="G1926" i="21"/>
  <c r="A1927" i="21"/>
  <c r="F943" i="21"/>
  <c r="E943" i="21"/>
  <c r="A1913" i="22" l="1"/>
  <c r="A1928" i="21"/>
  <c r="G1927" i="21"/>
  <c r="H943" i="21"/>
  <c r="C944" i="21" s="1"/>
  <c r="I943" i="21"/>
  <c r="A1914" i="22" l="1"/>
  <c r="A1929" i="21"/>
  <c r="G1928" i="21"/>
  <c r="D944" i="21"/>
  <c r="A1915" i="22" l="1"/>
  <c r="A1930" i="21"/>
  <c r="G1929" i="21"/>
  <c r="F944" i="21"/>
  <c r="E944" i="21"/>
  <c r="A1916" i="22" l="1"/>
  <c r="G1930" i="21"/>
  <c r="A1931" i="21"/>
  <c r="H944" i="21"/>
  <c r="C945" i="21" s="1"/>
  <c r="I944" i="21"/>
  <c r="A1917" i="22" l="1"/>
  <c r="A1932" i="21"/>
  <c r="G1931" i="21"/>
  <c r="D945" i="21"/>
  <c r="A1918" i="22" l="1"/>
  <c r="A1933" i="21"/>
  <c r="G1932" i="21"/>
  <c r="F945" i="21"/>
  <c r="E945" i="21"/>
  <c r="A1919" i="22" l="1"/>
  <c r="G1933" i="21"/>
  <c r="A1934" i="21"/>
  <c r="H945" i="21"/>
  <c r="C946" i="21" s="1"/>
  <c r="I945" i="21"/>
  <c r="A1920" i="22" l="1"/>
  <c r="A1935" i="21"/>
  <c r="G1934" i="21"/>
  <c r="D946" i="21"/>
  <c r="A1921" i="22" l="1"/>
  <c r="A1936" i="21"/>
  <c r="G1935" i="21"/>
  <c r="F946" i="21"/>
  <c r="E946" i="21"/>
  <c r="A1922" i="22" l="1"/>
  <c r="G1936" i="21"/>
  <c r="A1937" i="21"/>
  <c r="H946" i="21"/>
  <c r="C947" i="21" s="1"/>
  <c r="I946" i="21"/>
  <c r="A1923" i="22" l="1"/>
  <c r="A1938" i="21"/>
  <c r="G1937" i="21"/>
  <c r="D947" i="21"/>
  <c r="A1924" i="22" l="1"/>
  <c r="G1938" i="21"/>
  <c r="A1939" i="21"/>
  <c r="F947" i="21"/>
  <c r="E947" i="21"/>
  <c r="A1925" i="22" l="1"/>
  <c r="G1939" i="21"/>
  <c r="A1940" i="21"/>
  <c r="H947" i="21"/>
  <c r="C948" i="21" s="1"/>
  <c r="I947" i="21"/>
  <c r="A1926" i="22" l="1"/>
  <c r="A1941" i="21"/>
  <c r="G1940" i="21"/>
  <c r="D948" i="21"/>
  <c r="A1927" i="22" l="1"/>
  <c r="G1941" i="21"/>
  <c r="A1942" i="21"/>
  <c r="F948" i="21"/>
  <c r="E948" i="21"/>
  <c r="A1928" i="22" l="1"/>
  <c r="A1943" i="21"/>
  <c r="G1942" i="21"/>
  <c r="H948" i="21"/>
  <c r="C949" i="21" s="1"/>
  <c r="I948" i="21"/>
  <c r="A1929" i="22" l="1"/>
  <c r="A1944" i="21"/>
  <c r="G1943" i="21"/>
  <c r="D949" i="21"/>
  <c r="A1930" i="22" l="1"/>
  <c r="G1944" i="21"/>
  <c r="A1945" i="21"/>
  <c r="F949" i="21"/>
  <c r="E949" i="21"/>
  <c r="A1931" i="22" l="1"/>
  <c r="G1945" i="21"/>
  <c r="A1946" i="21"/>
  <c r="H949" i="21"/>
  <c r="C950" i="21" s="1"/>
  <c r="I949" i="21"/>
  <c r="A1932" i="22" l="1"/>
  <c r="A1947" i="21"/>
  <c r="G1946" i="21"/>
  <c r="D950" i="21"/>
  <c r="A1933" i="22" l="1"/>
  <c r="A1948" i="21"/>
  <c r="G1947" i="21"/>
  <c r="F950" i="21"/>
  <c r="E950" i="21"/>
  <c r="A1934" i="22" l="1"/>
  <c r="G1948" i="21"/>
  <c r="A1949" i="21"/>
  <c r="H950" i="21"/>
  <c r="C951" i="21" s="1"/>
  <c r="I950" i="21"/>
  <c r="A1935" i="22" l="1"/>
  <c r="A1950" i="21"/>
  <c r="G1949" i="21"/>
  <c r="D951" i="21"/>
  <c r="A1936" i="22" l="1"/>
  <c r="A1951" i="21"/>
  <c r="G1950" i="21"/>
  <c r="F951" i="21"/>
  <c r="E951" i="21"/>
  <c r="A1937" i="22" l="1"/>
  <c r="G1951" i="21"/>
  <c r="A1952" i="21"/>
  <c r="H951" i="21"/>
  <c r="C952" i="21" s="1"/>
  <c r="I951" i="21"/>
  <c r="A1938" i="22" l="1"/>
  <c r="A1953" i="21"/>
  <c r="G1952" i="21"/>
  <c r="D952" i="21"/>
  <c r="A1939" i="22" l="1"/>
  <c r="G1953" i="21"/>
  <c r="A1954" i="21"/>
  <c r="F952" i="21"/>
  <c r="E952" i="21"/>
  <c r="A1940" i="22" l="1"/>
  <c r="A1955" i="21"/>
  <c r="G1954" i="21"/>
  <c r="H952" i="21"/>
  <c r="C953" i="21" s="1"/>
  <c r="I952" i="21"/>
  <c r="A1941" i="22" l="1"/>
  <c r="A1956" i="21"/>
  <c r="G1955" i="21"/>
  <c r="D953" i="21"/>
  <c r="A1942" i="22" l="1"/>
  <c r="G1956" i="21"/>
  <c r="A1957" i="21"/>
  <c r="F953" i="21"/>
  <c r="E953" i="21"/>
  <c r="A1943" i="22" l="1"/>
  <c r="A1958" i="21"/>
  <c r="G1957" i="21"/>
  <c r="H953" i="21"/>
  <c r="C954" i="21" s="1"/>
  <c r="I953" i="21"/>
  <c r="A1944" i="22" l="1"/>
  <c r="A1959" i="21"/>
  <c r="G1958" i="21"/>
  <c r="D954" i="21"/>
  <c r="A1945" i="22" l="1"/>
  <c r="A1960" i="21"/>
  <c r="G1959" i="21"/>
  <c r="F954" i="21"/>
  <c r="E954" i="21"/>
  <c r="A1946" i="22" l="1"/>
  <c r="G1960" i="21"/>
  <c r="A1961" i="21"/>
  <c r="H954" i="21"/>
  <c r="C955" i="21" s="1"/>
  <c r="I954" i="21"/>
  <c r="A1947" i="22" l="1"/>
  <c r="A1962" i="21"/>
  <c r="G1961" i="21"/>
  <c r="D955" i="21"/>
  <c r="A1948" i="22" l="1"/>
  <c r="G1962" i="21"/>
  <c r="A1963" i="21"/>
  <c r="F955" i="21"/>
  <c r="E955" i="21"/>
  <c r="A1949" i="22" l="1"/>
  <c r="G1963" i="21"/>
  <c r="A1964" i="21"/>
  <c r="H955" i="21"/>
  <c r="C956" i="21" s="1"/>
  <c r="I955" i="21"/>
  <c r="A1950" i="22" l="1"/>
  <c r="A1965" i="21"/>
  <c r="G1964" i="21"/>
  <c r="D956" i="21"/>
  <c r="A1951" i="22" l="1"/>
  <c r="A1966" i="21"/>
  <c r="G1965" i="21"/>
  <c r="F956" i="21"/>
  <c r="E956" i="21"/>
  <c r="A1952" i="22" l="1"/>
  <c r="G1966" i="21"/>
  <c r="A1967" i="21"/>
  <c r="H956" i="21"/>
  <c r="C957" i="21" s="1"/>
  <c r="I956" i="21"/>
  <c r="A1953" i="22" l="1"/>
  <c r="A1968" i="21"/>
  <c r="G1967" i="21"/>
  <c r="D957" i="21"/>
  <c r="A1954" i="22" l="1"/>
  <c r="G1968" i="21"/>
  <c r="A1969" i="21"/>
  <c r="F957" i="21"/>
  <c r="E957" i="21"/>
  <c r="A1955" i="22" l="1"/>
  <c r="A1970" i="21"/>
  <c r="G1969" i="21"/>
  <c r="H957" i="21"/>
  <c r="C958" i="21" s="1"/>
  <c r="I957" i="21"/>
  <c r="A1956" i="22" l="1"/>
  <c r="A1971" i="21"/>
  <c r="G1970" i="21"/>
  <c r="D958" i="21"/>
  <c r="A1957" i="22" l="1"/>
  <c r="G1971" i="21"/>
  <c r="A1972" i="21"/>
  <c r="F958" i="21"/>
  <c r="E958" i="21"/>
  <c r="A1958" i="22" l="1"/>
  <c r="G1972" i="21"/>
  <c r="A1973" i="21"/>
  <c r="H958" i="21"/>
  <c r="C959" i="21" s="1"/>
  <c r="I958" i="21"/>
  <c r="A1959" i="22" l="1"/>
  <c r="A1974" i="21"/>
  <c r="G1973" i="21"/>
  <c r="D959" i="21"/>
  <c r="A1960" i="22" l="1"/>
  <c r="A1975" i="21"/>
  <c r="G1974" i="21"/>
  <c r="F959" i="21"/>
  <c r="E959" i="21"/>
  <c r="A1961" i="22" l="1"/>
  <c r="G1975" i="21"/>
  <c r="A1976" i="21"/>
  <c r="H959" i="21"/>
  <c r="C960" i="21" s="1"/>
  <c r="I959" i="21"/>
  <c r="A1962" i="22" l="1"/>
  <c r="A1977" i="21"/>
  <c r="G1976" i="21"/>
  <c r="D960" i="21"/>
  <c r="A1963" i="22" l="1"/>
  <c r="A1978" i="21"/>
  <c r="G1977" i="21"/>
  <c r="F960" i="21"/>
  <c r="E960" i="21"/>
  <c r="A1964" i="22" l="1"/>
  <c r="G1978" i="21"/>
  <c r="A1979" i="21"/>
  <c r="H960" i="21"/>
  <c r="C961" i="21" s="1"/>
  <c r="I960" i="21"/>
  <c r="A1965" i="22" l="1"/>
  <c r="A1980" i="21"/>
  <c r="G1979" i="21"/>
  <c r="D961" i="21"/>
  <c r="A1966" i="22" l="1"/>
  <c r="G1980" i="21"/>
  <c r="A1981" i="21"/>
  <c r="F961" i="21"/>
  <c r="E961" i="21"/>
  <c r="A1967" i="22" l="1"/>
  <c r="G1981" i="21"/>
  <c r="A1982" i="21"/>
  <c r="H961" i="21"/>
  <c r="C962" i="21" s="1"/>
  <c r="I961" i="21"/>
  <c r="A1968" i="22" l="1"/>
  <c r="A1983" i="21"/>
  <c r="G1982" i="21"/>
  <c r="D962" i="21"/>
  <c r="A1969" i="22" l="1"/>
  <c r="G1983" i="21"/>
  <c r="A1984" i="21"/>
  <c r="F962" i="21"/>
  <c r="E962" i="21"/>
  <c r="A1970" i="22" l="1"/>
  <c r="A1985" i="21"/>
  <c r="G1984" i="21"/>
  <c r="H962" i="21"/>
  <c r="C963" i="21" s="1"/>
  <c r="I962" i="21"/>
  <c r="A1971" i="22" l="1"/>
  <c r="A1986" i="21"/>
  <c r="G1985" i="21"/>
  <c r="D963" i="21"/>
  <c r="A1972" i="22" l="1"/>
  <c r="A1987" i="21"/>
  <c r="G1986" i="21"/>
  <c r="F963" i="21"/>
  <c r="E963" i="21"/>
  <c r="A1973" i="22" l="1"/>
  <c r="A1988" i="21"/>
  <c r="G1987" i="21"/>
  <c r="H963" i="21"/>
  <c r="C964" i="21" s="1"/>
  <c r="I963" i="21"/>
  <c r="A1974" i="22" l="1"/>
  <c r="A1989" i="21"/>
  <c r="G1988" i="21"/>
  <c r="D964" i="21"/>
  <c r="A1975" i="22" l="1"/>
  <c r="G1989" i="21"/>
  <c r="A1990" i="21"/>
  <c r="F964" i="21"/>
  <c r="E964" i="21"/>
  <c r="A1976" i="22" l="1"/>
  <c r="A1991" i="21"/>
  <c r="G1990" i="21"/>
  <c r="H964" i="21"/>
  <c r="C965" i="21" s="1"/>
  <c r="I964" i="21"/>
  <c r="A1977" i="22" l="1"/>
  <c r="A1992" i="21"/>
  <c r="G1991" i="21"/>
  <c r="D965" i="21"/>
  <c r="A1978" i="22" l="1"/>
  <c r="G1992" i="21"/>
  <c r="A1993" i="21"/>
  <c r="F965" i="21"/>
  <c r="E965" i="21"/>
  <c r="A1979" i="22" l="1"/>
  <c r="G1993" i="21"/>
  <c r="A1994" i="21"/>
  <c r="H965" i="21"/>
  <c r="C966" i="21" s="1"/>
  <c r="I965" i="21"/>
  <c r="A1980" i="22" l="1"/>
  <c r="A1995" i="21"/>
  <c r="G1994" i="21"/>
  <c r="D966" i="21"/>
  <c r="A1981" i="22" l="1"/>
  <c r="G1995" i="21"/>
  <c r="A1996" i="21"/>
  <c r="F966" i="21"/>
  <c r="E966" i="21"/>
  <c r="A1982" i="22" l="1"/>
  <c r="A1997" i="21"/>
  <c r="G1996" i="21"/>
  <c r="H966" i="21"/>
  <c r="C967" i="21" s="1"/>
  <c r="I966" i="21"/>
  <c r="A1983" i="22" l="1"/>
  <c r="A1998" i="21"/>
  <c r="G1997" i="21"/>
  <c r="D967" i="21"/>
  <c r="A1984" i="22" l="1"/>
  <c r="G1998" i="21"/>
  <c r="A1999" i="21"/>
  <c r="F967" i="21"/>
  <c r="E967" i="21"/>
  <c r="A1985" i="22" l="1"/>
  <c r="G1999" i="21"/>
  <c r="A2000" i="21"/>
  <c r="H967" i="21"/>
  <c r="C968" i="21" s="1"/>
  <c r="I967" i="21"/>
  <c r="A1986" i="22" l="1"/>
  <c r="A2001" i="21"/>
  <c r="G2000" i="21"/>
  <c r="D968" i="21"/>
  <c r="A1987" i="22" l="1"/>
  <c r="A2002" i="21"/>
  <c r="G2001" i="21"/>
  <c r="F968" i="21"/>
  <c r="E968" i="21"/>
  <c r="A1988" i="22" l="1"/>
  <c r="G2002" i="21"/>
  <c r="A2003" i="21"/>
  <c r="H968" i="21"/>
  <c r="C969" i="21" s="1"/>
  <c r="I968" i="21"/>
  <c r="A1989" i="22" l="1"/>
  <c r="A2004" i="21"/>
  <c r="G2003" i="21"/>
  <c r="D969" i="21"/>
  <c r="A1990" i="22" l="1"/>
  <c r="G2004" i="21"/>
  <c r="A2005" i="21"/>
  <c r="F969" i="21"/>
  <c r="E969" i="21"/>
  <c r="A1991" i="22" l="1"/>
  <c r="A2006" i="21"/>
  <c r="G2005" i="21"/>
  <c r="H969" i="21"/>
  <c r="C970" i="21" s="1"/>
  <c r="I969" i="21"/>
  <c r="A1992" i="22" l="1"/>
  <c r="A2007" i="21"/>
  <c r="G2006" i="21"/>
  <c r="D970" i="21"/>
  <c r="A1993" i="22" l="1"/>
  <c r="G2007" i="21"/>
  <c r="A2008" i="21"/>
  <c r="F970" i="21"/>
  <c r="E970" i="21"/>
  <c r="A1994" i="22" l="1"/>
  <c r="G2008" i="21"/>
  <c r="A2009" i="21"/>
  <c r="H970" i="21"/>
  <c r="C971" i="21" s="1"/>
  <c r="I970" i="21"/>
  <c r="A1995" i="22" l="1"/>
  <c r="A2010" i="21"/>
  <c r="G2009" i="21"/>
  <c r="D971" i="21"/>
  <c r="A1996" i="22" l="1"/>
  <c r="A2011" i="21"/>
  <c r="G2010" i="21"/>
  <c r="F971" i="21"/>
  <c r="E971" i="21"/>
  <c r="A1997" i="22" l="1"/>
  <c r="G2011" i="21"/>
  <c r="A2012" i="21"/>
  <c r="H971" i="21"/>
  <c r="C972" i="21" s="1"/>
  <c r="I971" i="21"/>
  <c r="A1998" i="22" l="1"/>
  <c r="A2013" i="21"/>
  <c r="G2012" i="21"/>
  <c r="D972" i="21"/>
  <c r="A1999" i="22" l="1"/>
  <c r="G2013" i="21"/>
  <c r="A2014" i="21"/>
  <c r="F972" i="21"/>
  <c r="E972" i="21"/>
  <c r="A2000" i="22" l="1"/>
  <c r="G2014" i="21"/>
  <c r="A2015" i="21"/>
  <c r="H972" i="21"/>
  <c r="C973" i="21" s="1"/>
  <c r="I972" i="21"/>
  <c r="A2001" i="22" l="1"/>
  <c r="A2016" i="21"/>
  <c r="G2015" i="21"/>
  <c r="D973" i="21"/>
  <c r="A2002" i="22" l="1"/>
  <c r="G2016" i="21"/>
  <c r="A2017" i="21"/>
  <c r="F973" i="21"/>
  <c r="E973" i="21"/>
  <c r="A2003" i="22" l="1"/>
  <c r="G2017" i="21"/>
  <c r="A2018" i="21"/>
  <c r="H973" i="21"/>
  <c r="C974" i="21" s="1"/>
  <c r="I973" i="21"/>
  <c r="A2004" i="22" l="1"/>
  <c r="A2019" i="21"/>
  <c r="G2018" i="21"/>
  <c r="D974" i="21"/>
  <c r="A2005" i="22" l="1"/>
  <c r="G2019" i="21"/>
  <c r="A2020" i="21"/>
  <c r="F974" i="21"/>
  <c r="E974" i="21"/>
  <c r="A2006" i="22" l="1"/>
  <c r="A2021" i="21"/>
  <c r="G2020" i="21"/>
  <c r="H974" i="21"/>
  <c r="C975" i="21" s="1"/>
  <c r="I974" i="21"/>
  <c r="A2007" i="22" l="1"/>
  <c r="A2022" i="21"/>
  <c r="G2021" i="21"/>
  <c r="D975" i="21"/>
  <c r="A2008" i="22" l="1"/>
  <c r="A2023" i="21"/>
  <c r="G2022" i="21"/>
  <c r="F975" i="21"/>
  <c r="E975" i="21"/>
  <c r="A2009" i="22" l="1"/>
  <c r="G2023" i="21"/>
  <c r="A2024" i="21"/>
  <c r="H975" i="21"/>
  <c r="C976" i="21" s="1"/>
  <c r="I975" i="21"/>
  <c r="A2010" i="22" l="1"/>
  <c r="A2025" i="21"/>
  <c r="G2024" i="21"/>
  <c r="D976" i="21"/>
  <c r="A2011" i="22" l="1"/>
  <c r="A2026" i="21"/>
  <c r="G2025" i="21"/>
  <c r="F976" i="21"/>
  <c r="E976" i="21"/>
  <c r="A2012" i="22" l="1"/>
  <c r="A2027" i="21"/>
  <c r="G2026" i="21"/>
  <c r="H976" i="21"/>
  <c r="C977" i="21" s="1"/>
  <c r="I976" i="21"/>
  <c r="A2013" i="22" l="1"/>
  <c r="A2028" i="21"/>
  <c r="G2027" i="21"/>
  <c r="D977" i="21"/>
  <c r="A2014" i="22" l="1"/>
  <c r="G2028" i="21"/>
  <c r="A2029" i="21"/>
  <c r="F977" i="21"/>
  <c r="E977" i="21"/>
  <c r="A2015" i="22" l="1"/>
  <c r="G2029" i="21"/>
  <c r="A2030" i="21"/>
  <c r="H977" i="21"/>
  <c r="C978" i="21" s="1"/>
  <c r="I977" i="21"/>
  <c r="A2016" i="22" l="1"/>
  <c r="A2031" i="21"/>
  <c r="G2030" i="21"/>
  <c r="D978" i="21"/>
  <c r="A2017" i="22" l="1"/>
  <c r="G2031" i="21"/>
  <c r="A2032" i="21"/>
  <c r="F978" i="21"/>
  <c r="E978" i="21"/>
  <c r="A2018" i="22" l="1"/>
  <c r="G2032" i="21"/>
  <c r="A2033" i="21"/>
  <c r="H978" i="21"/>
  <c r="C979" i="21" s="1"/>
  <c r="I978" i="21"/>
  <c r="A2019" i="22" l="1"/>
  <c r="A2034" i="21"/>
  <c r="G2033" i="21"/>
  <c r="D979" i="21"/>
  <c r="A2020" i="22" l="1"/>
  <c r="G2034" i="21"/>
  <c r="A2035" i="21"/>
  <c r="F979" i="21"/>
  <c r="E979" i="21"/>
  <c r="A2021" i="22" l="1"/>
  <c r="A2036" i="21"/>
  <c r="G2035" i="21"/>
  <c r="H979" i="21"/>
  <c r="C980" i="21" s="1"/>
  <c r="I979" i="21"/>
  <c r="A2022" i="22" l="1"/>
  <c r="A2037" i="21"/>
  <c r="G2036" i="21"/>
  <c r="D980" i="21"/>
  <c r="A2023" i="22" l="1"/>
  <c r="A2038" i="21"/>
  <c r="G2037" i="21"/>
  <c r="F980" i="21"/>
  <c r="E980" i="21"/>
  <c r="A2024" i="22" l="1"/>
  <c r="G2038" i="21"/>
  <c r="A2039" i="21"/>
  <c r="H980" i="21"/>
  <c r="C981" i="21" s="1"/>
  <c r="I980" i="21"/>
  <c r="A2025" i="22" l="1"/>
  <c r="A2040" i="21"/>
  <c r="G2039" i="21"/>
  <c r="D981" i="21"/>
  <c r="A2026" i="22" l="1"/>
  <c r="A2041" i="21"/>
  <c r="G2040" i="21"/>
  <c r="F981" i="21"/>
  <c r="E981" i="21"/>
  <c r="A2027" i="22" l="1"/>
  <c r="A2042" i="21"/>
  <c r="G2041" i="21"/>
  <c r="H981" i="21"/>
  <c r="C982" i="21" s="1"/>
  <c r="I981" i="21"/>
  <c r="A2028" i="22" l="1"/>
  <c r="A2043" i="21"/>
  <c r="G2042" i="21"/>
  <c r="D982" i="21"/>
  <c r="A2029" i="22" l="1"/>
  <c r="A2044" i="21"/>
  <c r="G2043" i="21"/>
  <c r="F982" i="21"/>
  <c r="E982" i="21"/>
  <c r="A2030" i="22" l="1"/>
  <c r="G2044" i="21"/>
  <c r="A2045" i="21"/>
  <c r="H982" i="21"/>
  <c r="C983" i="21" s="1"/>
  <c r="I982" i="21"/>
  <c r="A2031" i="22" l="1"/>
  <c r="A2046" i="21"/>
  <c r="G2045" i="21"/>
  <c r="D983" i="21"/>
  <c r="A2032" i="22" l="1"/>
  <c r="G2046" i="21"/>
  <c r="A2047" i="21"/>
  <c r="F983" i="21"/>
  <c r="E983" i="21"/>
  <c r="A2033" i="22" l="1"/>
  <c r="A2048" i="21"/>
  <c r="G2047" i="21"/>
  <c r="H983" i="21"/>
  <c r="C984" i="21" s="1"/>
  <c r="I983" i="21"/>
  <c r="A2034" i="22" l="1"/>
  <c r="A2049" i="21"/>
  <c r="G2048" i="21"/>
  <c r="D984" i="21"/>
  <c r="A2035" i="22" l="1"/>
  <c r="G2049" i="21"/>
  <c r="A2050" i="21"/>
  <c r="F984" i="21"/>
  <c r="E984" i="21"/>
  <c r="A2036" i="22" l="1"/>
  <c r="G2050" i="21"/>
  <c r="A2051" i="21"/>
  <c r="H984" i="21"/>
  <c r="C985" i="21" s="1"/>
  <c r="I984" i="21"/>
  <c r="A2037" i="22" l="1"/>
  <c r="A2052" i="21"/>
  <c r="G2051" i="21"/>
  <c r="D985" i="21"/>
  <c r="A2038" i="22" l="1"/>
  <c r="A2053" i="21"/>
  <c r="G2052" i="21"/>
  <c r="F985" i="21"/>
  <c r="E985" i="21"/>
  <c r="A2039" i="22" l="1"/>
  <c r="G2053" i="21"/>
  <c r="A2054" i="21"/>
  <c r="H985" i="21"/>
  <c r="C986" i="21" s="1"/>
  <c r="I985" i="21"/>
  <c r="A2040" i="22" l="1"/>
  <c r="A2055" i="21"/>
  <c r="G2054" i="21"/>
  <c r="D986" i="21"/>
  <c r="A2041" i="22" l="1"/>
  <c r="A2056" i="21"/>
  <c r="G2055" i="21"/>
  <c r="F986" i="21"/>
  <c r="E986" i="21"/>
  <c r="A2042" i="22" l="1"/>
  <c r="G2056" i="21"/>
  <c r="A2057" i="21"/>
  <c r="H986" i="21"/>
  <c r="C987" i="21" s="1"/>
  <c r="I986" i="21"/>
  <c r="A2043" i="22" l="1"/>
  <c r="A2058" i="21"/>
  <c r="G2057" i="21"/>
  <c r="D987" i="21"/>
  <c r="A2044" i="22" l="1"/>
  <c r="G2058" i="21"/>
  <c r="A2059" i="21"/>
  <c r="F987" i="21"/>
  <c r="E987" i="21"/>
  <c r="A2045" i="22" l="1"/>
  <c r="A2060" i="21"/>
  <c r="G2059" i="21"/>
  <c r="H987" i="21"/>
  <c r="C988" i="21" s="1"/>
  <c r="I987" i="21"/>
  <c r="A2046" i="22" l="1"/>
  <c r="A2061" i="21"/>
  <c r="G2060" i="21"/>
  <c r="D988" i="21"/>
  <c r="A2047" i="22" l="1"/>
  <c r="G2061" i="21"/>
  <c r="A2062" i="21"/>
  <c r="F988" i="21"/>
  <c r="E988" i="21"/>
  <c r="A2048" i="22" l="1"/>
  <c r="A2063" i="21"/>
  <c r="G2062" i="21"/>
  <c r="H988" i="21"/>
  <c r="C989" i="21" s="1"/>
  <c r="I988" i="21"/>
  <c r="A2049" i="22" l="1"/>
  <c r="A2064" i="21"/>
  <c r="G2063" i="21"/>
  <c r="D989" i="21"/>
  <c r="A2050" i="22" l="1"/>
  <c r="G2064" i="21"/>
  <c r="A2065" i="21"/>
  <c r="F989" i="21"/>
  <c r="E989" i="21"/>
  <c r="A2051" i="22" l="1"/>
  <c r="A2066" i="21"/>
  <c r="G2065" i="21"/>
  <c r="H989" i="21"/>
  <c r="C990" i="21" s="1"/>
  <c r="I989" i="21"/>
  <c r="A2052" i="22" l="1"/>
  <c r="A2067" i="21"/>
  <c r="G2066" i="21"/>
  <c r="D990" i="21"/>
  <c r="A2053" i="22" l="1"/>
  <c r="A2068" i="21"/>
  <c r="G2067" i="21"/>
  <c r="F990" i="21"/>
  <c r="E990" i="21"/>
  <c r="A2054" i="22" l="1"/>
  <c r="G2068" i="21"/>
  <c r="A2069" i="21"/>
  <c r="H990" i="21"/>
  <c r="C991" i="21" s="1"/>
  <c r="I990" i="21"/>
  <c r="A2055" i="22" l="1"/>
  <c r="A2070" i="21"/>
  <c r="G2069" i="21"/>
  <c r="D991" i="21"/>
  <c r="A2056" i="22" l="1"/>
  <c r="A2071" i="21"/>
  <c r="G2070" i="21"/>
  <c r="F991" i="21"/>
  <c r="E991" i="21"/>
  <c r="A2057" i="22" l="1"/>
  <c r="G2071" i="21"/>
  <c r="A2072" i="21"/>
  <c r="H991" i="21"/>
  <c r="C992" i="21" s="1"/>
  <c r="I991" i="21"/>
  <c r="A2058" i="22" l="1"/>
  <c r="A2073" i="21"/>
  <c r="G2072" i="21"/>
  <c r="D992" i="21"/>
  <c r="A2059" i="22" l="1"/>
  <c r="A2074" i="21"/>
  <c r="G2073" i="21"/>
  <c r="F992" i="21"/>
  <c r="E992" i="21"/>
  <c r="A2060" i="22" l="1"/>
  <c r="A2075" i="21"/>
  <c r="G2074" i="21"/>
  <c r="H992" i="21"/>
  <c r="C993" i="21" s="1"/>
  <c r="I992" i="21"/>
  <c r="A2061" i="22" l="1"/>
  <c r="A2076" i="21"/>
  <c r="G2075" i="21"/>
  <c r="D993" i="21"/>
  <c r="A2062" i="22" l="1"/>
  <c r="G2076" i="21"/>
  <c r="A2077" i="21"/>
  <c r="F993" i="21"/>
  <c r="E993" i="21"/>
  <c r="A2063" i="22" l="1"/>
  <c r="A2078" i="21"/>
  <c r="G2077" i="21"/>
  <c r="H993" i="21"/>
  <c r="C994" i="21" s="1"/>
  <c r="I993" i="21"/>
  <c r="A2064" i="22" l="1"/>
  <c r="A2079" i="21"/>
  <c r="G2078" i="21"/>
  <c r="D994" i="21"/>
  <c r="A2065" i="22" l="1"/>
  <c r="A2080" i="21"/>
  <c r="G2079" i="21"/>
  <c r="F994" i="21"/>
  <c r="E994" i="21"/>
  <c r="A2066" i="22" l="1"/>
  <c r="G2080" i="21"/>
  <c r="A2081" i="21"/>
  <c r="H994" i="21"/>
  <c r="C995" i="21" s="1"/>
  <c r="I994" i="21"/>
  <c r="A2067" i="22" l="1"/>
  <c r="A2082" i="21"/>
  <c r="G2081" i="21"/>
  <c r="D995" i="21"/>
  <c r="A2068" i="22" l="1"/>
  <c r="G2082" i="21"/>
  <c r="A2083" i="21"/>
  <c r="F995" i="21"/>
  <c r="E995" i="21"/>
  <c r="A2069" i="22" l="1"/>
  <c r="G2083" i="21"/>
  <c r="A2084" i="21"/>
  <c r="H995" i="21"/>
  <c r="C996" i="21" s="1"/>
  <c r="I995" i="21"/>
  <c r="A2070" i="22" l="1"/>
  <c r="A2085" i="21"/>
  <c r="G2084" i="21"/>
  <c r="D996" i="21"/>
  <c r="A2071" i="22" l="1"/>
  <c r="A2086" i="21"/>
  <c r="G2085" i="21"/>
  <c r="F996" i="21"/>
  <c r="E996" i="21"/>
  <c r="A2072" i="22" l="1"/>
  <c r="G2086" i="21"/>
  <c r="A2087" i="21"/>
  <c r="H996" i="21"/>
  <c r="C997" i="21" s="1"/>
  <c r="I996" i="21"/>
  <c r="A2073" i="22" l="1"/>
  <c r="A2088" i="21"/>
  <c r="G2087" i="21"/>
  <c r="D997" i="21"/>
  <c r="A2074" i="22" l="1"/>
  <c r="G2088" i="21"/>
  <c r="A2089" i="21"/>
  <c r="F997" i="21"/>
  <c r="E997" i="21"/>
  <c r="A2075" i="22" l="1"/>
  <c r="G2089" i="21"/>
  <c r="A2090" i="21"/>
  <c r="H997" i="21"/>
  <c r="C998" i="21" s="1"/>
  <c r="I997" i="21"/>
  <c r="A2076" i="22" l="1"/>
  <c r="A2091" i="21"/>
  <c r="G2090" i="21"/>
  <c r="D998" i="21"/>
  <c r="A2077" i="22" l="1"/>
  <c r="A2092" i="21"/>
  <c r="G2091" i="21"/>
  <c r="F998" i="21"/>
  <c r="E998" i="21"/>
  <c r="A2078" i="22" l="1"/>
  <c r="G2092" i="21"/>
  <c r="A2093" i="21"/>
  <c r="H998" i="21"/>
  <c r="C999" i="21" s="1"/>
  <c r="I998" i="21"/>
  <c r="A2079" i="22" l="1"/>
  <c r="A2094" i="21"/>
  <c r="G2093" i="21"/>
  <c r="D999" i="21"/>
  <c r="A2080" i="22" l="1"/>
  <c r="G2094" i="21"/>
  <c r="A2095" i="21"/>
  <c r="F999" i="21"/>
  <c r="E999" i="21"/>
  <c r="A2081" i="22" l="1"/>
  <c r="G2095" i="21"/>
  <c r="A2096" i="21"/>
  <c r="H999" i="21"/>
  <c r="C1000" i="21" s="1"/>
  <c r="I999" i="21"/>
  <c r="A2082" i="22" l="1"/>
  <c r="A2097" i="21"/>
  <c r="G2096" i="21"/>
  <c r="D1000" i="21"/>
  <c r="A2083" i="22" l="1"/>
  <c r="G2097" i="21"/>
  <c r="A2098" i="21"/>
  <c r="F1000" i="21"/>
  <c r="E1000" i="21"/>
  <c r="A2084" i="22" l="1"/>
  <c r="A2099" i="21"/>
  <c r="G2098" i="21"/>
  <c r="H1000" i="21"/>
  <c r="C1001" i="21" s="1"/>
  <c r="I1000" i="21"/>
  <c r="A2085" i="22" l="1"/>
  <c r="A2100" i="21"/>
  <c r="G2099" i="21"/>
  <c r="D1001" i="21"/>
  <c r="A2086" i="22" l="1"/>
  <c r="G2100" i="21"/>
  <c r="A2101" i="21"/>
  <c r="F1001" i="21"/>
  <c r="E1001" i="21"/>
  <c r="A2087" i="22" l="1"/>
  <c r="A2102" i="21"/>
  <c r="G2101" i="21"/>
  <c r="H1001" i="21"/>
  <c r="C1002" i="21" s="1"/>
  <c r="I1001" i="21"/>
  <c r="A2088" i="22" l="1"/>
  <c r="A2103" i="21"/>
  <c r="G2102" i="21"/>
  <c r="D1002" i="21"/>
  <c r="A2089" i="22" l="1"/>
  <c r="G2103" i="21"/>
  <c r="A2104" i="21"/>
  <c r="F1002" i="21"/>
  <c r="E1002" i="21"/>
  <c r="A2090" i="22" l="1"/>
  <c r="A2105" i="21"/>
  <c r="G2104" i="21"/>
  <c r="H1002" i="21"/>
  <c r="C1003" i="21" s="1"/>
  <c r="I1002" i="21"/>
  <c r="A2091" i="22" l="1"/>
  <c r="A2106" i="21"/>
  <c r="G2105" i="21"/>
  <c r="D1003" i="21"/>
  <c r="A2092" i="22" l="1"/>
  <c r="G2106" i="21"/>
  <c r="A2107" i="21"/>
  <c r="F1003" i="21"/>
  <c r="E1003" i="21"/>
  <c r="A2093" i="22" l="1"/>
  <c r="G2107" i="21"/>
  <c r="A2108" i="21"/>
  <c r="H1003" i="21"/>
  <c r="C1004" i="21" s="1"/>
  <c r="I1003" i="21"/>
  <c r="A2094" i="22" l="1"/>
  <c r="A2109" i="21"/>
  <c r="G2108" i="21"/>
  <c r="D1004" i="21"/>
  <c r="A2095" i="22" l="1"/>
  <c r="A2110" i="21"/>
  <c r="G2109" i="21"/>
  <c r="F1004" i="21"/>
  <c r="E1004" i="21"/>
  <c r="A2096" i="22" l="1"/>
  <c r="G2110" i="21"/>
  <c r="A2111" i="21"/>
  <c r="H1004" i="21"/>
  <c r="C1005" i="21" s="1"/>
  <c r="I1004" i="21"/>
  <c r="A2097" i="22" l="1"/>
  <c r="A2112" i="21"/>
  <c r="G2111" i="21"/>
  <c r="D1005" i="21"/>
  <c r="A2098" i="22" l="1"/>
  <c r="A2113" i="21"/>
  <c r="G2112" i="21"/>
  <c r="F1005" i="21"/>
  <c r="E1005" i="21"/>
  <c r="A2099" i="22" l="1"/>
  <c r="G2113" i="21"/>
  <c r="A2114" i="21"/>
  <c r="H1005" i="21"/>
  <c r="C1006" i="21" s="1"/>
  <c r="I1005" i="21"/>
  <c r="A2100" i="22" l="1"/>
  <c r="A2115" i="21"/>
  <c r="G2114" i="21"/>
  <c r="D1006" i="21"/>
  <c r="A2101" i="22" l="1"/>
  <c r="G2115" i="21"/>
  <c r="A2116" i="21"/>
  <c r="F1006" i="21"/>
  <c r="E1006" i="21"/>
  <c r="A2102" i="22" l="1"/>
  <c r="A2117" i="21"/>
  <c r="G2116" i="21"/>
  <c r="H1006" i="21"/>
  <c r="C1007" i="21" s="1"/>
  <c r="I1006" i="21"/>
  <c r="A2103" i="22" l="1"/>
  <c r="A2118" i="21"/>
  <c r="G2117" i="21"/>
  <c r="D1007" i="21"/>
  <c r="A2104" i="22" l="1"/>
  <c r="A2119" i="21"/>
  <c r="G2118" i="21"/>
  <c r="F1007" i="21"/>
  <c r="E1007" i="21"/>
  <c r="A2105" i="22" l="1"/>
  <c r="G2119" i="21"/>
  <c r="A2120" i="21"/>
  <c r="H1007" i="21"/>
  <c r="C1008" i="21" s="1"/>
  <c r="I1007" i="21"/>
  <c r="A2106" i="22" l="1"/>
  <c r="A2121" i="21"/>
  <c r="G2120" i="21"/>
  <c r="D1008" i="21"/>
  <c r="A2107" i="22" l="1"/>
  <c r="G2121" i="21"/>
  <c r="A2122" i="21"/>
  <c r="F1008" i="21"/>
  <c r="E1008" i="21"/>
  <c r="A2108" i="22" l="1"/>
  <c r="A2123" i="21"/>
  <c r="G2122" i="21"/>
  <c r="H1008" i="21"/>
  <c r="C1009" i="21" s="1"/>
  <c r="I1008" i="21"/>
  <c r="A2109" i="22" l="1"/>
  <c r="A2124" i="21"/>
  <c r="G2123" i="21"/>
  <c r="D1009" i="21"/>
  <c r="A2110" i="22" l="1"/>
  <c r="A2125" i="21"/>
  <c r="G2124" i="21"/>
  <c r="F1009" i="21"/>
  <c r="E1009" i="21"/>
  <c r="A2111" i="22" l="1"/>
  <c r="G2125" i="21"/>
  <c r="A2126" i="21"/>
  <c r="H1009" i="21"/>
  <c r="C1010" i="21" s="1"/>
  <c r="I1009" i="21"/>
  <c r="A2112" i="22" l="1"/>
  <c r="A2127" i="21"/>
  <c r="G2126" i="21"/>
  <c r="D1010" i="21"/>
  <c r="A2113" i="22" l="1"/>
  <c r="G2127" i="21"/>
  <c r="A2128" i="21"/>
  <c r="F1010" i="21"/>
  <c r="E1010" i="21"/>
  <c r="A2114" i="22" l="1"/>
  <c r="A2129" i="21"/>
  <c r="G2128" i="21"/>
  <c r="H1010" i="21"/>
  <c r="C1011" i="21" s="1"/>
  <c r="I1010" i="21"/>
  <c r="A2115" i="22" l="1"/>
  <c r="A2130" i="21"/>
  <c r="G2129" i="21"/>
  <c r="D1011" i="21"/>
  <c r="A2116" i="22" l="1"/>
  <c r="A2131" i="21"/>
  <c r="G2130" i="21"/>
  <c r="F1011" i="21"/>
  <c r="E1011" i="21"/>
  <c r="A2117" i="22" l="1"/>
  <c r="G2131" i="21"/>
  <c r="A2132" i="21"/>
  <c r="H1011" i="21"/>
  <c r="C1012" i="21" s="1"/>
  <c r="I1011" i="21"/>
  <c r="A2118" i="22" l="1"/>
  <c r="A2133" i="21"/>
  <c r="G2132" i="21"/>
  <c r="D1012" i="21"/>
  <c r="A2119" i="22" l="1"/>
  <c r="A2134" i="21"/>
  <c r="G2133" i="21"/>
  <c r="F1012" i="21"/>
  <c r="E1012" i="21"/>
  <c r="A2120" i="22" l="1"/>
  <c r="A2135" i="21"/>
  <c r="G2134" i="21"/>
  <c r="H1012" i="21"/>
  <c r="C1013" i="21" s="1"/>
  <c r="I1012" i="21"/>
  <c r="A2121" i="22" l="1"/>
  <c r="A2136" i="21"/>
  <c r="G2135" i="21"/>
  <c r="D1013" i="21"/>
  <c r="A2122" i="22" l="1"/>
  <c r="G2136" i="21"/>
  <c r="A2137" i="21"/>
  <c r="F1013" i="21"/>
  <c r="E1013" i="21"/>
  <c r="A2123" i="22" l="1"/>
  <c r="G2137" i="21"/>
  <c r="A2138" i="21"/>
  <c r="H1013" i="21"/>
  <c r="C1014" i="21" s="1"/>
  <c r="I1013" i="21"/>
  <c r="A2124" i="22" l="1"/>
  <c r="A2139" i="21"/>
  <c r="G2138" i="21"/>
  <c r="D1014" i="21"/>
  <c r="A2125" i="22" l="1"/>
  <c r="G2139" i="21"/>
  <c r="A2140" i="21"/>
  <c r="F1014" i="21"/>
  <c r="E1014" i="21"/>
  <c r="A2126" i="22" l="1"/>
  <c r="A2141" i="21"/>
  <c r="G2140" i="21"/>
  <c r="H1014" i="21"/>
  <c r="C1015" i="21" s="1"/>
  <c r="I1014" i="21"/>
  <c r="A2127" i="22" l="1"/>
  <c r="G2141" i="21"/>
  <c r="A2142" i="21"/>
  <c r="D1015" i="21"/>
  <c r="A2128" i="22" l="1"/>
  <c r="G2142" i="21"/>
  <c r="A2143" i="21"/>
  <c r="F1015" i="21"/>
  <c r="E1015" i="21"/>
  <c r="A2129" i="22" l="1"/>
  <c r="A2144" i="21"/>
  <c r="G2143" i="21"/>
  <c r="H1015" i="21"/>
  <c r="C1016" i="21" s="1"/>
  <c r="I1015" i="21"/>
  <c r="A2130" i="22" l="1"/>
  <c r="G2144" i="21"/>
  <c r="A2145" i="21"/>
  <c r="D1016" i="21"/>
  <c r="A2131" i="22" l="1"/>
  <c r="G2145" i="21"/>
  <c r="A2146" i="21"/>
  <c r="F1016" i="21"/>
  <c r="E1016" i="21"/>
  <c r="A2132" i="22" l="1"/>
  <c r="G2146" i="21"/>
  <c r="A2147" i="21"/>
  <c r="H1016" i="21"/>
  <c r="C1017" i="21" s="1"/>
  <c r="I1016" i="21"/>
  <c r="A2133" i="22" l="1"/>
  <c r="G2147" i="21"/>
  <c r="A2148" i="21"/>
  <c r="D1017" i="21"/>
  <c r="A2134" i="22" l="1"/>
  <c r="A2149" i="21"/>
  <c r="G2148" i="21"/>
  <c r="F1017" i="21"/>
  <c r="E1017" i="21"/>
  <c r="A2135" i="22" l="1"/>
  <c r="A2150" i="21"/>
  <c r="G2149" i="21"/>
  <c r="H1017" i="21"/>
  <c r="C1018" i="21" s="1"/>
  <c r="I1017" i="21"/>
  <c r="A2136" i="22" l="1"/>
  <c r="G2150" i="21"/>
  <c r="A2151" i="21"/>
  <c r="D1018" i="21"/>
  <c r="A2137" i="22" l="1"/>
  <c r="A2152" i="21"/>
  <c r="G2151" i="21"/>
  <c r="F1018" i="21"/>
  <c r="E1018" i="21"/>
  <c r="A2138" i="22" l="1"/>
  <c r="A2153" i="21"/>
  <c r="G2152" i="21"/>
  <c r="H1018" i="21"/>
  <c r="C1019" i="21" s="1"/>
  <c r="I1018" i="21"/>
  <c r="A2139" i="22" l="1"/>
  <c r="A2154" i="21"/>
  <c r="G2153" i="21"/>
  <c r="D1019" i="21"/>
  <c r="A2140" i="22" l="1"/>
  <c r="G2154" i="21"/>
  <c r="A2155" i="21"/>
  <c r="F1019" i="21"/>
  <c r="E1019" i="21"/>
  <c r="A2141" i="22" l="1"/>
  <c r="G2155" i="21"/>
  <c r="A2156" i="21"/>
  <c r="H1019" i="21"/>
  <c r="C1020" i="21" s="1"/>
  <c r="I1019" i="21"/>
  <c r="A2142" i="22" l="1"/>
  <c r="G2156" i="21"/>
  <c r="A2157" i="21"/>
  <c r="D1020" i="21"/>
  <c r="A2143" i="22" l="1"/>
  <c r="A2158" i="21"/>
  <c r="G2157" i="21"/>
  <c r="F1020" i="21"/>
  <c r="E1020" i="21"/>
  <c r="A2144" i="22" l="1"/>
  <c r="G2158" i="21"/>
  <c r="A2159" i="21"/>
  <c r="H1020" i="21"/>
  <c r="C1021" i="21" s="1"/>
  <c r="I1020" i="21"/>
  <c r="A2145" i="22" l="1"/>
  <c r="A2160" i="21"/>
  <c r="G2159" i="21"/>
  <c r="D1021" i="21"/>
  <c r="A2146" i="22" l="1"/>
  <c r="G2160" i="21"/>
  <c r="A2161" i="21"/>
  <c r="F1021" i="21"/>
  <c r="E1021" i="21"/>
  <c r="A2147" i="22" l="1"/>
  <c r="A2162" i="21"/>
  <c r="G2161" i="21"/>
  <c r="H1021" i="21"/>
  <c r="C1022" i="21" s="1"/>
  <c r="I1021" i="21"/>
  <c r="A2148" i="22" l="1"/>
  <c r="G2162" i="21"/>
  <c r="A2163" i="21"/>
  <c r="D1022" i="21"/>
  <c r="A2149" i="22" l="1"/>
  <c r="G2163" i="21"/>
  <c r="A2164" i="21"/>
  <c r="F1022" i="21"/>
  <c r="E1022" i="21"/>
  <c r="A2150" i="22" l="1"/>
  <c r="G2164" i="21"/>
  <c r="A2165" i="21"/>
  <c r="H1022" i="21"/>
  <c r="C1023" i="21" s="1"/>
  <c r="I1022" i="21"/>
  <c r="A2151" i="22" l="1"/>
  <c r="G2165" i="21"/>
  <c r="A2166" i="21"/>
  <c r="D1023" i="21"/>
  <c r="A2152" i="22" l="1"/>
  <c r="A2167" i="21"/>
  <c r="G2166" i="21"/>
  <c r="F1023" i="21"/>
  <c r="E1023" i="21"/>
  <c r="A2153" i="22" l="1"/>
  <c r="G2167" i="21"/>
  <c r="A2168" i="21"/>
  <c r="H1023" i="21"/>
  <c r="C1024" i="21" s="1"/>
  <c r="I1023" i="21"/>
  <c r="A2154" i="22" l="1"/>
  <c r="G2168" i="21"/>
  <c r="A2169" i="21"/>
  <c r="D1024" i="21"/>
  <c r="A2155" i="22" l="1"/>
  <c r="G2169" i="21"/>
  <c r="A2170" i="21"/>
  <c r="F1024" i="21"/>
  <c r="E1024" i="21"/>
  <c r="A2156" i="22" l="1"/>
  <c r="G2170" i="21"/>
  <c r="A2171" i="21"/>
  <c r="H1024" i="21"/>
  <c r="C1025" i="21" s="1"/>
  <c r="I1024" i="21"/>
  <c r="A2157" i="22" l="1"/>
  <c r="A2172" i="21"/>
  <c r="G2171" i="21"/>
  <c r="D1025" i="21"/>
  <c r="A2158" i="22" l="1"/>
  <c r="G2172" i="21"/>
  <c r="A2173" i="21"/>
  <c r="F1025" i="21"/>
  <c r="E1025" i="21"/>
  <c r="A2159" i="22" l="1"/>
  <c r="G2173" i="21"/>
  <c r="A2174" i="21"/>
  <c r="H1025" i="21"/>
  <c r="C1026" i="21" s="1"/>
  <c r="I1025" i="21"/>
  <c r="A2160" i="22" l="1"/>
  <c r="A2175" i="21"/>
  <c r="G2174" i="21"/>
  <c r="D1026" i="21"/>
  <c r="A2161" i="22" l="1"/>
  <c r="A2176" i="21"/>
  <c r="G2175" i="21"/>
  <c r="F1026" i="21"/>
  <c r="E1026" i="21"/>
  <c r="A2162" i="22" l="1"/>
  <c r="A2177" i="21"/>
  <c r="G2176" i="21"/>
  <c r="H1026" i="21"/>
  <c r="C1027" i="21" s="1"/>
  <c r="I1026" i="21"/>
  <c r="A2163" i="22" l="1"/>
  <c r="G2177" i="21"/>
  <c r="A2178" i="21"/>
  <c r="D1027" i="21"/>
  <c r="A2164" i="22" l="1"/>
  <c r="A2179" i="21"/>
  <c r="G2178" i="21"/>
  <c r="F1027" i="21"/>
  <c r="E1027" i="21"/>
  <c r="A2165" i="22" l="1"/>
  <c r="A2180" i="21"/>
  <c r="G2179" i="21"/>
  <c r="H1027" i="21"/>
  <c r="C1028" i="21" s="1"/>
  <c r="I1027" i="21"/>
  <c r="G2180" i="21" l="1"/>
  <c r="L58" i="21"/>
  <c r="L60" i="21" s="1"/>
  <c r="A2166" i="22"/>
  <c r="D1028" i="21"/>
  <c r="H22" i="21" l="1"/>
  <c r="H23" i="21" s="1"/>
  <c r="L59" i="21"/>
  <c r="P51" i="21"/>
  <c r="A2167" i="22"/>
  <c r="F1028" i="21"/>
  <c r="E1028" i="21"/>
  <c r="L19" i="21" l="1"/>
  <c r="C60" i="20" s="1"/>
  <c r="M24" i="21"/>
  <c r="D65" i="20" s="1"/>
  <c r="A2168" i="22"/>
  <c r="H1028" i="21"/>
  <c r="C1029" i="21" s="1"/>
  <c r="I1028" i="21"/>
  <c r="A2169" i="22" l="1"/>
  <c r="D1029" i="21"/>
  <c r="A2170" i="22" l="1"/>
  <c r="F1029" i="21"/>
  <c r="E1029" i="21"/>
  <c r="A2171" i="22" l="1"/>
  <c r="H1029" i="21"/>
  <c r="C1030" i="21" s="1"/>
  <c r="I1029" i="21"/>
  <c r="A2172" i="22" l="1"/>
  <c r="D1030" i="21"/>
  <c r="A2173" i="22" l="1"/>
  <c r="F1030" i="21"/>
  <c r="E1030" i="21"/>
  <c r="A2174" i="22" l="1"/>
  <c r="H1030" i="21"/>
  <c r="C1031" i="21" s="1"/>
  <c r="I1030" i="21"/>
  <c r="A2175" i="22" l="1"/>
  <c r="D1031" i="21"/>
  <c r="A2176" i="22" l="1"/>
  <c r="F1031" i="21"/>
  <c r="E1031" i="21"/>
  <c r="A2177" i="22" l="1"/>
  <c r="H1031" i="21"/>
  <c r="C1032" i="21" s="1"/>
  <c r="I1031" i="21"/>
  <c r="A2178" i="22" l="1"/>
  <c r="D1032" i="21"/>
  <c r="A2179" i="22" l="1"/>
  <c r="F1032" i="21"/>
  <c r="E1032" i="21"/>
  <c r="A2180" i="22" l="1"/>
  <c r="H1032" i="21"/>
  <c r="C1033" i="21" s="1"/>
  <c r="I1032" i="21"/>
  <c r="A2181" i="22" l="1"/>
  <c r="D1033" i="21"/>
  <c r="A2182" i="22" l="1"/>
  <c r="F1033" i="21"/>
  <c r="E1033" i="21"/>
  <c r="A2183" i="22" l="1"/>
  <c r="H1033" i="21"/>
  <c r="C1034" i="21" s="1"/>
  <c r="I1033" i="21"/>
  <c r="A2184" i="22" l="1"/>
  <c r="D1034" i="21"/>
  <c r="A2185" i="22" l="1"/>
  <c r="F1034" i="21"/>
  <c r="E1034" i="21"/>
  <c r="A2186" i="22" l="1"/>
  <c r="H1034" i="21"/>
  <c r="C1035" i="21" s="1"/>
  <c r="I1034" i="21"/>
  <c r="A2187" i="22" l="1"/>
  <c r="D1035" i="21"/>
  <c r="F1035" i="21" l="1"/>
  <c r="E1035" i="21"/>
  <c r="H1035" i="21" l="1"/>
  <c r="C1036" i="21" s="1"/>
  <c r="I1035" i="21"/>
  <c r="D1036" i="21" l="1"/>
  <c r="F1036" i="21" l="1"/>
  <c r="E1036" i="21"/>
  <c r="H1036" i="21" l="1"/>
  <c r="C1037" i="21" s="1"/>
  <c r="I1036" i="21"/>
  <c r="D1037" i="21" l="1"/>
  <c r="F1037" i="21" l="1"/>
  <c r="E1037" i="21"/>
  <c r="H1037" i="21" l="1"/>
  <c r="C1038" i="21" s="1"/>
  <c r="I1037" i="21"/>
  <c r="D1038" i="21" l="1"/>
  <c r="F1038" i="21" l="1"/>
  <c r="E1038" i="21"/>
  <c r="H1038" i="21" l="1"/>
  <c r="C1039" i="21" s="1"/>
  <c r="I1038" i="21"/>
  <c r="D1039" i="21" l="1"/>
  <c r="F1039" i="21" l="1"/>
  <c r="E1039" i="21"/>
  <c r="E1040" i="21" s="1"/>
  <c r="E1041" i="21" l="1"/>
  <c r="H1039" i="21"/>
  <c r="C1040" i="21" s="1"/>
  <c r="I1039" i="21"/>
  <c r="D1040" i="21" l="1"/>
  <c r="F1040" i="21" s="1"/>
  <c r="E1042" i="21"/>
  <c r="I1040" i="21" l="1"/>
  <c r="H1040" i="21"/>
  <c r="C1041" i="21" s="1"/>
  <c r="E1043" i="21"/>
  <c r="D1041" i="21" l="1"/>
  <c r="F1041" i="21" s="1"/>
  <c r="E1044" i="21"/>
  <c r="H1041" i="21" l="1"/>
  <c r="C1042" i="21" s="1"/>
  <c r="D1042" i="21" s="1"/>
  <c r="H1042" i="21" s="1"/>
  <c r="C1043" i="21" s="1"/>
  <c r="I1041" i="21"/>
  <c r="E1045" i="21"/>
  <c r="D1043" i="21" l="1"/>
  <c r="F1043" i="21" s="1"/>
  <c r="I1042" i="21"/>
  <c r="F1042" i="21"/>
  <c r="E1046" i="21"/>
  <c r="I1043" i="21" l="1"/>
  <c r="H1043" i="21"/>
  <c r="C1044" i="21" s="1"/>
  <c r="E1047" i="21"/>
  <c r="D1044" i="21" l="1"/>
  <c r="H1044" i="21" s="1"/>
  <c r="C1045" i="21" s="1"/>
  <c r="E1048" i="21"/>
  <c r="I1044" i="21" l="1"/>
  <c r="F1044" i="21"/>
  <c r="D1045" i="21"/>
  <c r="F1045" i="21" s="1"/>
  <c r="E1049" i="21"/>
  <c r="I1045" i="21" l="1"/>
  <c r="H1045" i="21"/>
  <c r="C1046" i="21" s="1"/>
  <c r="D1046" i="21" s="1"/>
  <c r="H1046" i="21" s="1"/>
  <c r="C1047" i="21" s="1"/>
  <c r="E1050" i="21"/>
  <c r="D1047" i="21" l="1"/>
  <c r="F1047" i="21" s="1"/>
  <c r="I1046" i="21"/>
  <c r="F1046" i="21"/>
  <c r="E1051" i="21"/>
  <c r="H1047" i="21" l="1"/>
  <c r="C1048" i="21" s="1"/>
  <c r="D1048" i="21" s="1"/>
  <c r="I1047" i="21"/>
  <c r="E1052" i="21"/>
  <c r="I1048" i="21" l="1"/>
  <c r="F1048" i="21"/>
  <c r="H1048" i="21"/>
  <c r="C1049" i="21" s="1"/>
  <c r="E1053" i="21"/>
  <c r="D1049" i="21" l="1"/>
  <c r="F1049" i="21" s="1"/>
  <c r="E1054" i="21"/>
  <c r="H1049" i="21" l="1"/>
  <c r="C1050" i="21" s="1"/>
  <c r="D1050" i="21" s="1"/>
  <c r="F1050" i="21" s="1"/>
  <c r="I1049" i="21"/>
  <c r="E1055" i="21"/>
  <c r="I1050" i="21" l="1"/>
  <c r="H1050" i="21"/>
  <c r="C1051" i="21" s="1"/>
  <c r="D1051" i="21" s="1"/>
  <c r="H1051" i="21" s="1"/>
  <c r="C1052" i="21" s="1"/>
  <c r="E1056" i="21"/>
  <c r="D1052" i="21" l="1"/>
  <c r="H1052" i="21" s="1"/>
  <c r="C1053" i="21" s="1"/>
  <c r="I1051" i="21"/>
  <c r="F1051" i="21"/>
  <c r="E1057" i="21"/>
  <c r="D1053" i="21" l="1"/>
  <c r="I1052" i="21"/>
  <c r="F1052" i="21"/>
  <c r="E1058" i="21"/>
  <c r="I1053" i="21" l="1"/>
  <c r="F1053" i="21"/>
  <c r="H1053" i="21"/>
  <c r="C1054" i="21" s="1"/>
  <c r="E1059" i="21"/>
  <c r="D1054" i="21" l="1"/>
  <c r="F1054" i="21" s="1"/>
  <c r="E1060" i="21"/>
  <c r="H1054" i="21" l="1"/>
  <c r="C1055" i="21" s="1"/>
  <c r="I1054" i="21"/>
  <c r="E1061" i="21"/>
  <c r="D1055" i="21" l="1"/>
  <c r="F1055" i="21" s="1"/>
  <c r="E1062" i="21"/>
  <c r="H1055" i="21" l="1"/>
  <c r="C1056" i="21" s="1"/>
  <c r="D1056" i="21" s="1"/>
  <c r="H1056" i="21" s="1"/>
  <c r="C1057" i="21" s="1"/>
  <c r="I1055" i="21"/>
  <c r="E1063" i="21"/>
  <c r="D1057" i="21" l="1"/>
  <c r="F1057" i="21" s="1"/>
  <c r="I1056" i="21"/>
  <c r="F1056" i="21"/>
  <c r="E1064" i="21"/>
  <c r="H1057" i="21" l="1"/>
  <c r="C1058" i="21" s="1"/>
  <c r="I1057" i="21"/>
  <c r="E1065" i="21"/>
  <c r="D1058" i="21" l="1"/>
  <c r="H1058" i="21" s="1"/>
  <c r="C1059" i="21" s="1"/>
  <c r="E1066" i="21"/>
  <c r="D1059" i="21" l="1"/>
  <c r="F1059" i="21" s="1"/>
  <c r="I1058" i="21"/>
  <c r="F1058" i="21"/>
  <c r="E1067" i="21"/>
  <c r="H1059" i="21" l="1"/>
  <c r="C1060" i="21" s="1"/>
  <c r="D1060" i="21" s="1"/>
  <c r="F1060" i="21" s="1"/>
  <c r="I1059" i="21"/>
  <c r="E1068" i="21"/>
  <c r="I1060" i="21" l="1"/>
  <c r="H1060" i="21"/>
  <c r="C1061" i="21" s="1"/>
  <c r="E1069" i="21"/>
  <c r="D1061" i="21" l="1"/>
  <c r="F1061" i="21" s="1"/>
  <c r="E1070" i="21"/>
  <c r="I1061" i="21" l="1"/>
  <c r="H1061" i="21"/>
  <c r="C1062" i="21" s="1"/>
  <c r="E1071" i="21"/>
  <c r="D1062" i="21" l="1"/>
  <c r="H1062" i="21" s="1"/>
  <c r="C1063" i="21" s="1"/>
  <c r="E1072" i="21"/>
  <c r="D1063" i="21" l="1"/>
  <c r="F1063" i="21" s="1"/>
  <c r="I1062" i="21"/>
  <c r="F1062" i="21"/>
  <c r="E1073" i="21"/>
  <c r="H1063" i="21" l="1"/>
  <c r="C1064" i="21" s="1"/>
  <c r="D1064" i="21" s="1"/>
  <c r="F1064" i="21" s="1"/>
  <c r="I1063" i="21"/>
  <c r="E1074" i="21"/>
  <c r="H1064" i="21" l="1"/>
  <c r="C1065" i="21" s="1"/>
  <c r="D1065" i="21" s="1"/>
  <c r="F1065" i="21" s="1"/>
  <c r="I1064" i="21"/>
  <c r="E1075" i="21"/>
  <c r="I1065" i="21" l="1"/>
  <c r="H1065" i="21"/>
  <c r="C1066" i="21" s="1"/>
  <c r="D1066" i="21" s="1"/>
  <c r="H1066" i="21" s="1"/>
  <c r="C1067" i="21" s="1"/>
  <c r="E1076" i="21"/>
  <c r="D1067" i="21" l="1"/>
  <c r="H1067" i="21" s="1"/>
  <c r="C1068" i="21" s="1"/>
  <c r="I1066" i="21"/>
  <c r="F1066" i="21"/>
  <c r="E1077" i="21"/>
  <c r="D1068" i="21" l="1"/>
  <c r="F1068" i="21" s="1"/>
  <c r="I1067" i="21"/>
  <c r="F1067" i="21"/>
  <c r="E1078" i="21"/>
  <c r="I1068" i="21" l="1"/>
  <c r="H1068" i="21"/>
  <c r="C1069" i="21" s="1"/>
  <c r="D1069" i="21" s="1"/>
  <c r="H1069" i="21" s="1"/>
  <c r="C1070" i="21" s="1"/>
  <c r="E1079" i="21"/>
  <c r="D1070" i="21" l="1"/>
  <c r="F1070" i="21" s="1"/>
  <c r="I1069" i="21"/>
  <c r="F1069" i="21"/>
  <c r="E1080" i="21"/>
  <c r="H1070" i="21" l="1"/>
  <c r="C1071" i="21" s="1"/>
  <c r="D1071" i="21" s="1"/>
  <c r="F1071" i="21" s="1"/>
  <c r="I1070" i="21"/>
  <c r="E1081" i="21"/>
  <c r="I1071" i="21" l="1"/>
  <c r="H1071" i="21"/>
  <c r="C1072" i="21" s="1"/>
  <c r="D1072" i="21" s="1"/>
  <c r="F1072" i="21" s="1"/>
  <c r="E1082" i="21"/>
  <c r="H1072" i="21" l="1"/>
  <c r="C1073" i="21" s="1"/>
  <c r="I1072" i="21"/>
  <c r="E1083" i="21"/>
  <c r="D1073" i="21" l="1"/>
  <c r="H1073" i="21" s="1"/>
  <c r="C1074" i="21" s="1"/>
  <c r="E1084" i="21"/>
  <c r="D1074" i="21" l="1"/>
  <c r="F1074" i="21" s="1"/>
  <c r="I1073" i="21"/>
  <c r="F1073" i="21"/>
  <c r="E1085" i="21"/>
  <c r="H1074" i="21" l="1"/>
  <c r="C1075" i="21" s="1"/>
  <c r="D1075" i="21" s="1"/>
  <c r="F1075" i="21" s="1"/>
  <c r="I1074" i="21"/>
  <c r="E1086" i="21"/>
  <c r="I1075" i="21" l="1"/>
  <c r="H1075" i="21"/>
  <c r="C1076" i="21" s="1"/>
  <c r="E1087" i="21"/>
  <c r="D1076" i="21" l="1"/>
  <c r="F1076" i="21" s="1"/>
  <c r="E1088" i="21"/>
  <c r="H1076" i="21" l="1"/>
  <c r="C1077" i="21" s="1"/>
  <c r="D1077" i="21" s="1"/>
  <c r="F1077" i="21" s="1"/>
  <c r="I1076" i="21"/>
  <c r="E1089" i="21"/>
  <c r="I1077" i="21" l="1"/>
  <c r="H1077" i="21"/>
  <c r="C1078" i="21" s="1"/>
  <c r="D1078" i="21" s="1"/>
  <c r="E1090" i="21"/>
  <c r="H1078" i="21" l="1"/>
  <c r="C1079" i="21" s="1"/>
  <c r="D1079" i="21" s="1"/>
  <c r="H1079" i="21" s="1"/>
  <c r="C1080" i="21" s="1"/>
  <c r="I1078" i="21"/>
  <c r="F1078" i="21"/>
  <c r="E1091" i="21"/>
  <c r="D1080" i="21" l="1"/>
  <c r="F1080" i="21" s="1"/>
  <c r="I1079" i="21"/>
  <c r="F1079" i="21"/>
  <c r="E1092" i="21"/>
  <c r="H1080" i="21" l="1"/>
  <c r="C1081" i="21" s="1"/>
  <c r="D1081" i="21" s="1"/>
  <c r="F1081" i="21" s="1"/>
  <c r="I1080" i="21"/>
  <c r="E1093" i="21"/>
  <c r="I1081" i="21" l="1"/>
  <c r="H1081" i="21"/>
  <c r="C1082" i="21" s="1"/>
  <c r="E1094" i="21"/>
  <c r="D1082" i="21" l="1"/>
  <c r="H1082" i="21" s="1"/>
  <c r="C1083" i="21" s="1"/>
  <c r="E1095" i="21"/>
  <c r="D1083" i="21" l="1"/>
  <c r="H1083" i="21" s="1"/>
  <c r="C1084" i="21" s="1"/>
  <c r="I1082" i="21"/>
  <c r="F1082" i="21"/>
  <c r="E1096" i="21"/>
  <c r="D1084" i="21" l="1"/>
  <c r="H1084" i="21" s="1"/>
  <c r="C1085" i="21" s="1"/>
  <c r="I1083" i="21"/>
  <c r="F1083" i="21"/>
  <c r="E1097" i="21"/>
  <c r="D1085" i="21" l="1"/>
  <c r="H1085" i="21" s="1"/>
  <c r="C1086" i="21" s="1"/>
  <c r="I1084" i="21"/>
  <c r="F1084" i="21"/>
  <c r="E1098" i="21"/>
  <c r="D1086" i="21" l="1"/>
  <c r="F1086" i="21" s="1"/>
  <c r="I1085" i="21"/>
  <c r="F1085" i="21"/>
  <c r="E1099" i="21"/>
  <c r="I1086" i="21" l="1"/>
  <c r="H1086" i="21"/>
  <c r="C1087" i="21" s="1"/>
  <c r="D1087" i="21" s="1"/>
  <c r="H1087" i="21" s="1"/>
  <c r="C1088" i="21" s="1"/>
  <c r="E1100" i="21"/>
  <c r="D1088" i="21" l="1"/>
  <c r="F1088" i="21" s="1"/>
  <c r="I1087" i="21"/>
  <c r="F1087" i="21"/>
  <c r="E1101" i="21"/>
  <c r="H1088" i="21" l="1"/>
  <c r="C1089" i="21" s="1"/>
  <c r="D1089" i="21" s="1"/>
  <c r="I1088" i="21"/>
  <c r="E1102" i="21"/>
  <c r="H1089" i="21" l="1"/>
  <c r="C1090" i="21" s="1"/>
  <c r="D1090" i="21" s="1"/>
  <c r="I1089" i="21"/>
  <c r="F1089" i="21"/>
  <c r="E1103" i="21"/>
  <c r="F1090" i="21" l="1"/>
  <c r="I1090" i="21"/>
  <c r="H1090" i="21"/>
  <c r="C1091" i="21" s="1"/>
  <c r="D1091" i="21" s="1"/>
  <c r="F1091" i="21" s="1"/>
  <c r="E1104" i="21"/>
  <c r="H1091" i="21" l="1"/>
  <c r="C1092" i="21" s="1"/>
  <c r="I1091" i="21"/>
  <c r="E1105" i="21"/>
  <c r="D1092" i="21" l="1"/>
  <c r="F1092" i="21" s="1"/>
  <c r="E1106" i="21"/>
  <c r="I1092" i="21" l="1"/>
  <c r="H1092" i="21"/>
  <c r="C1093" i="21" s="1"/>
  <c r="E1107" i="21"/>
  <c r="D1093" i="21" l="1"/>
  <c r="F1093" i="21" s="1"/>
  <c r="E1108" i="21"/>
  <c r="H1093" i="21" l="1"/>
  <c r="C1094" i="21" s="1"/>
  <c r="D1094" i="21" s="1"/>
  <c r="H1094" i="21" s="1"/>
  <c r="C1095" i="21" s="1"/>
  <c r="I1093" i="21"/>
  <c r="E1109" i="21"/>
  <c r="D1095" i="21" l="1"/>
  <c r="F1095" i="21" s="1"/>
  <c r="I1094" i="21"/>
  <c r="F1094" i="21"/>
  <c r="E1110" i="21"/>
  <c r="H1095" i="21" l="1"/>
  <c r="C1096" i="21" s="1"/>
  <c r="D1096" i="21" s="1"/>
  <c r="F1096" i="21" s="1"/>
  <c r="I1095" i="21"/>
  <c r="E1111" i="21"/>
  <c r="I1096" i="21" l="1"/>
  <c r="H1096" i="21"/>
  <c r="C1097" i="21" s="1"/>
  <c r="E1112" i="21"/>
  <c r="D1097" i="21" l="1"/>
  <c r="H1097" i="21" s="1"/>
  <c r="C1098" i="21" s="1"/>
  <c r="E1113" i="21"/>
  <c r="F1097" i="21" l="1"/>
  <c r="I1097" i="21"/>
  <c r="D1098" i="21"/>
  <c r="F1098" i="21" s="1"/>
  <c r="E1114" i="21"/>
  <c r="H1098" i="21" l="1"/>
  <c r="C1099" i="21" s="1"/>
  <c r="D1099" i="21" s="1"/>
  <c r="H1099" i="21" s="1"/>
  <c r="C1100" i="21" s="1"/>
  <c r="D1100" i="21" s="1"/>
  <c r="H1100" i="21" s="1"/>
  <c r="C1101" i="21" s="1"/>
  <c r="I1098" i="21"/>
  <c r="E1115" i="21"/>
  <c r="F1099" i="21" l="1"/>
  <c r="I1099" i="21"/>
  <c r="D1101" i="21"/>
  <c r="F1101" i="21" s="1"/>
  <c r="I1100" i="21"/>
  <c r="F1100" i="21"/>
  <c r="E1116" i="21"/>
  <c r="I1101" i="21" l="1"/>
  <c r="H1101" i="21"/>
  <c r="C1102" i="21" s="1"/>
  <c r="D1102" i="21" s="1"/>
  <c r="E1117" i="21"/>
  <c r="F1102" i="21" l="1"/>
  <c r="I1102" i="21"/>
  <c r="H1102" i="21"/>
  <c r="C1103" i="21" s="1"/>
  <c r="E1118" i="21"/>
  <c r="D1103" i="21" l="1"/>
  <c r="H1103" i="21" s="1"/>
  <c r="C1104" i="21" s="1"/>
  <c r="E1119" i="21"/>
  <c r="D1104" i="21" l="1"/>
  <c r="F1104" i="21" s="1"/>
  <c r="I1103" i="21"/>
  <c r="F1103" i="21"/>
  <c r="E1120" i="21"/>
  <c r="H1104" i="21" l="1"/>
  <c r="C1105" i="21" s="1"/>
  <c r="D1105" i="21" s="1"/>
  <c r="F1105" i="21" s="1"/>
  <c r="I1104" i="21"/>
  <c r="E1121" i="21"/>
  <c r="I1105" i="21" l="1"/>
  <c r="H1105" i="21"/>
  <c r="C1106" i="21" s="1"/>
  <c r="D1106" i="21" s="1"/>
  <c r="E1122" i="21"/>
  <c r="H1106" i="21" l="1"/>
  <c r="C1107" i="21" s="1"/>
  <c r="D1107" i="21" s="1"/>
  <c r="F1107" i="21" s="1"/>
  <c r="I1106" i="21"/>
  <c r="F1106" i="21"/>
  <c r="E1123" i="21"/>
  <c r="I1107" i="21" l="1"/>
  <c r="H1107" i="21"/>
  <c r="C1108" i="21" s="1"/>
  <c r="D1108" i="21" s="1"/>
  <c r="E1124" i="21"/>
  <c r="I1108" i="21" l="1"/>
  <c r="F1108" i="21"/>
  <c r="H1108" i="21"/>
  <c r="C1109" i="21" s="1"/>
  <c r="E1125" i="21"/>
  <c r="D1109" i="21" l="1"/>
  <c r="H1109" i="21" s="1"/>
  <c r="C1110" i="21" s="1"/>
  <c r="E1126" i="21"/>
  <c r="D1110" i="21" l="1"/>
  <c r="F1110" i="21" s="1"/>
  <c r="I1109" i="21"/>
  <c r="F1109" i="21"/>
  <c r="E1127" i="21"/>
  <c r="I1110" i="21" l="1"/>
  <c r="H1110" i="21"/>
  <c r="C1111" i="21" s="1"/>
  <c r="D1111" i="21" s="1"/>
  <c r="E1128" i="21"/>
  <c r="I1111" i="21" l="1"/>
  <c r="F1111" i="21"/>
  <c r="H1111" i="21"/>
  <c r="C1112" i="21" s="1"/>
  <c r="E1129" i="21"/>
  <c r="D1112" i="21" l="1"/>
  <c r="H1112" i="21" s="1"/>
  <c r="C1113" i="21" s="1"/>
  <c r="E1130" i="21"/>
  <c r="D1113" i="21" l="1"/>
  <c r="F1113" i="21" s="1"/>
  <c r="I1112" i="21"/>
  <c r="F1112" i="21"/>
  <c r="E1131" i="21"/>
  <c r="I1113" i="21" l="1"/>
  <c r="H1113" i="21"/>
  <c r="C1114" i="21" s="1"/>
  <c r="D1114" i="21" s="1"/>
  <c r="F1114" i="21" s="1"/>
  <c r="E1132" i="21"/>
  <c r="H1114" i="21" l="1"/>
  <c r="C1115" i="21" s="1"/>
  <c r="D1115" i="21" s="1"/>
  <c r="H1115" i="21" s="1"/>
  <c r="C1116" i="21" s="1"/>
  <c r="I1114" i="21"/>
  <c r="E1133" i="21"/>
  <c r="D1116" i="21" l="1"/>
  <c r="F1116" i="21" s="1"/>
  <c r="I1115" i="21"/>
  <c r="F1115" i="21"/>
  <c r="E1134" i="21"/>
  <c r="I1116" i="21" l="1"/>
  <c r="H1116" i="21"/>
  <c r="C1117" i="21" s="1"/>
  <c r="D1117" i="21" s="1"/>
  <c r="F1117" i="21" s="1"/>
  <c r="E1135" i="21"/>
  <c r="I1117" i="21" l="1"/>
  <c r="H1117" i="21"/>
  <c r="C1118" i="21" s="1"/>
  <c r="E1136" i="21"/>
  <c r="D1118" i="21" l="1"/>
  <c r="F1118" i="21" s="1"/>
  <c r="E1137" i="21"/>
  <c r="H1118" i="21" l="1"/>
  <c r="C1119" i="21" s="1"/>
  <c r="D1119" i="21" s="1"/>
  <c r="F1119" i="21" s="1"/>
  <c r="I1118" i="21"/>
  <c r="E1138" i="21"/>
  <c r="H1119" i="21" l="1"/>
  <c r="C1120" i="21" s="1"/>
  <c r="D1120" i="21" s="1"/>
  <c r="F1120" i="21" s="1"/>
  <c r="I1119" i="21"/>
  <c r="E1139" i="21"/>
  <c r="I1120" i="21" l="1"/>
  <c r="H1120" i="21"/>
  <c r="C1121" i="21" s="1"/>
  <c r="D1121" i="21" s="1"/>
  <c r="F1121" i="21" s="1"/>
  <c r="E1140" i="21"/>
  <c r="H1121" i="21" l="1"/>
  <c r="C1122" i="21" s="1"/>
  <c r="D1122" i="21" s="1"/>
  <c r="F1122" i="21" s="1"/>
  <c r="I1121" i="21"/>
  <c r="E1141" i="21"/>
  <c r="H1122" i="21" l="1"/>
  <c r="C1123" i="21" s="1"/>
  <c r="D1123" i="21" s="1"/>
  <c r="H1123" i="21" s="1"/>
  <c r="C1124" i="21" s="1"/>
  <c r="I1122" i="21"/>
  <c r="E1142" i="21"/>
  <c r="D1124" i="21" l="1"/>
  <c r="H1124" i="21" s="1"/>
  <c r="C1125" i="21" s="1"/>
  <c r="I1123" i="21"/>
  <c r="F1123" i="21"/>
  <c r="E1143" i="21"/>
  <c r="D1125" i="21" l="1"/>
  <c r="F1125" i="21" s="1"/>
  <c r="I1124" i="21"/>
  <c r="F1124" i="21"/>
  <c r="E1144" i="21"/>
  <c r="I1125" i="21" l="1"/>
  <c r="H1125" i="21"/>
  <c r="C1126" i="21" s="1"/>
  <c r="D1126" i="21" s="1"/>
  <c r="H1126" i="21" s="1"/>
  <c r="C1127" i="21" s="1"/>
  <c r="E1145" i="21"/>
  <c r="D1127" i="21" l="1"/>
  <c r="F1127" i="21" s="1"/>
  <c r="I1126" i="21"/>
  <c r="F1126" i="21"/>
  <c r="E1146" i="21"/>
  <c r="H1127" i="21" l="1"/>
  <c r="C1128" i="21" s="1"/>
  <c r="I1127" i="21"/>
  <c r="E1147" i="21"/>
  <c r="D1128" i="21" l="1"/>
  <c r="H1128" i="21" s="1"/>
  <c r="C1129" i="21" s="1"/>
  <c r="E1148" i="21"/>
  <c r="F1128" i="21" l="1"/>
  <c r="D1129" i="21"/>
  <c r="F1129" i="21" s="1"/>
  <c r="I1128" i="21"/>
  <c r="E1149" i="21"/>
  <c r="H1129" i="21" l="1"/>
  <c r="C1130" i="21" s="1"/>
  <c r="D1130" i="21" s="1"/>
  <c r="H1130" i="21" s="1"/>
  <c r="C1131" i="21" s="1"/>
  <c r="D1131" i="21" s="1"/>
  <c r="I1129" i="21"/>
  <c r="E1150" i="21"/>
  <c r="F1130" i="21" l="1"/>
  <c r="I1130" i="21"/>
  <c r="I1131" i="21"/>
  <c r="F1131" i="21"/>
  <c r="H1131" i="21"/>
  <c r="C1132" i="21" s="1"/>
  <c r="E1151" i="21"/>
  <c r="D1132" i="21" l="1"/>
  <c r="E1152" i="21"/>
  <c r="I1132" i="21" l="1"/>
  <c r="F1132" i="21"/>
  <c r="H1132" i="21"/>
  <c r="C1133" i="21" s="1"/>
  <c r="E1153" i="21"/>
  <c r="D1133" i="21" l="1"/>
  <c r="H1133" i="21" s="1"/>
  <c r="C1134" i="21" s="1"/>
  <c r="E1154" i="21"/>
  <c r="D1134" i="21" l="1"/>
  <c r="H1134" i="21" s="1"/>
  <c r="C1135" i="21" s="1"/>
  <c r="I1133" i="21"/>
  <c r="F1133" i="21"/>
  <c r="E1155" i="21"/>
  <c r="D1135" i="21" l="1"/>
  <c r="F1135" i="21" s="1"/>
  <c r="I1134" i="21"/>
  <c r="F1134" i="21"/>
  <c r="E1156" i="21"/>
  <c r="I1135" i="21" l="1"/>
  <c r="H1135" i="21"/>
  <c r="C1136" i="21" s="1"/>
  <c r="E1157" i="21"/>
  <c r="D1136" i="21" l="1"/>
  <c r="H1136" i="21" s="1"/>
  <c r="C1137" i="21" s="1"/>
  <c r="E1158" i="21"/>
  <c r="D1137" i="21" l="1"/>
  <c r="F1137" i="21" s="1"/>
  <c r="I1136" i="21"/>
  <c r="F1136" i="21"/>
  <c r="E1159" i="21"/>
  <c r="H1137" i="21" l="1"/>
  <c r="C1138" i="21" s="1"/>
  <c r="D1138" i="21" s="1"/>
  <c r="H1138" i="21" s="1"/>
  <c r="C1139" i="21" s="1"/>
  <c r="I1137" i="21"/>
  <c r="E1160" i="21"/>
  <c r="D1139" i="21" l="1"/>
  <c r="H1139" i="21" s="1"/>
  <c r="C1140" i="21" s="1"/>
  <c r="I1138" i="21"/>
  <c r="F1138" i="21"/>
  <c r="E1161" i="21"/>
  <c r="D1140" i="21" l="1"/>
  <c r="F1140" i="21" s="1"/>
  <c r="I1139" i="21"/>
  <c r="F1139" i="21"/>
  <c r="E1162" i="21"/>
  <c r="H1140" i="21" l="1"/>
  <c r="C1141" i="21" s="1"/>
  <c r="D1141" i="21" s="1"/>
  <c r="F1141" i="21" s="1"/>
  <c r="I1140" i="21"/>
  <c r="E1163" i="21"/>
  <c r="H1141" i="21" l="1"/>
  <c r="C1142" i="21" s="1"/>
  <c r="D1142" i="21" s="1"/>
  <c r="H1142" i="21" s="1"/>
  <c r="C1143" i="21" s="1"/>
  <c r="I1141" i="21"/>
  <c r="E1164" i="21"/>
  <c r="D1143" i="21" l="1"/>
  <c r="F1143" i="21" s="1"/>
  <c r="I1142" i="21"/>
  <c r="F1142" i="21"/>
  <c r="E1165" i="21"/>
  <c r="I1143" i="21" l="1"/>
  <c r="H1143" i="21"/>
  <c r="C1144" i="21" s="1"/>
  <c r="D1144" i="21" s="1"/>
  <c r="E1166" i="21"/>
  <c r="I1144" i="21" l="1"/>
  <c r="F1144" i="21"/>
  <c r="H1144" i="21"/>
  <c r="C1145" i="21" s="1"/>
  <c r="E1167" i="21"/>
  <c r="D1145" i="21" l="1"/>
  <c r="E1168" i="21"/>
  <c r="I1145" i="21" l="1"/>
  <c r="F1145" i="21"/>
  <c r="H1145" i="21"/>
  <c r="C1146" i="21" s="1"/>
  <c r="E1169" i="21"/>
  <c r="D1146" i="21" l="1"/>
  <c r="F1146" i="21" s="1"/>
  <c r="E1170" i="21"/>
  <c r="H1146" i="21" l="1"/>
  <c r="C1147" i="21" s="1"/>
  <c r="D1147" i="21" s="1"/>
  <c r="F1147" i="21" s="1"/>
  <c r="I1146" i="21"/>
  <c r="E1171" i="21"/>
  <c r="I1147" i="21" l="1"/>
  <c r="H1147" i="21"/>
  <c r="C1148" i="21" s="1"/>
  <c r="D1148" i="21" s="1"/>
  <c r="F1148" i="21" s="1"/>
  <c r="E1172" i="21"/>
  <c r="H1148" i="21" l="1"/>
  <c r="C1149" i="21" s="1"/>
  <c r="D1149" i="21" s="1"/>
  <c r="F1149" i="21" s="1"/>
  <c r="I1148" i="21"/>
  <c r="E1173" i="21"/>
  <c r="H1149" i="21" l="1"/>
  <c r="C1150" i="21" s="1"/>
  <c r="D1150" i="21" s="1"/>
  <c r="F1150" i="21" s="1"/>
  <c r="I1149" i="21"/>
  <c r="E1174" i="21"/>
  <c r="H1150" i="21" l="1"/>
  <c r="C1151" i="21" s="1"/>
  <c r="D1151" i="21" s="1"/>
  <c r="F1151" i="21" s="1"/>
  <c r="I1150" i="21"/>
  <c r="E1175" i="21"/>
  <c r="I1151" i="21" l="1"/>
  <c r="H1151" i="21"/>
  <c r="C1152" i="21" s="1"/>
  <c r="D1152" i="21" s="1"/>
  <c r="E1176" i="21"/>
  <c r="F1152" i="21" l="1"/>
  <c r="I1152" i="21"/>
  <c r="H1152" i="21"/>
  <c r="C1153" i="21" s="1"/>
  <c r="D1153" i="21" s="1"/>
  <c r="H1153" i="21" s="1"/>
  <c r="C1154" i="21" s="1"/>
  <c r="E1177" i="21"/>
  <c r="D1154" i="21" l="1"/>
  <c r="H1154" i="21" s="1"/>
  <c r="C1155" i="21" s="1"/>
  <c r="I1153" i="21"/>
  <c r="F1153" i="21"/>
  <c r="E1178" i="21"/>
  <c r="D1155" i="21" l="1"/>
  <c r="H1155" i="21" s="1"/>
  <c r="C1156" i="21" s="1"/>
  <c r="I1154" i="21"/>
  <c r="F1154" i="21"/>
  <c r="E1179" i="21"/>
  <c r="D1156" i="21" l="1"/>
  <c r="H1156" i="21" s="1"/>
  <c r="C1157" i="21" s="1"/>
  <c r="I1155" i="21"/>
  <c r="F1155" i="21"/>
  <c r="E1180" i="21"/>
  <c r="D1157" i="21" l="1"/>
  <c r="H1157" i="21" s="1"/>
  <c r="C1158" i="21" s="1"/>
  <c r="I1156" i="21"/>
  <c r="F1156" i="21"/>
  <c r="E1181" i="21"/>
  <c r="D1158" i="21" l="1"/>
  <c r="H1158" i="21" s="1"/>
  <c r="C1159" i="21" s="1"/>
  <c r="I1157" i="21"/>
  <c r="F1157" i="21"/>
  <c r="E1182" i="21"/>
  <c r="D1159" i="21" l="1"/>
  <c r="H1159" i="21" s="1"/>
  <c r="C1160" i="21" s="1"/>
  <c r="I1158" i="21"/>
  <c r="F1158" i="21"/>
  <c r="E1183" i="21"/>
  <c r="D1160" i="21" l="1"/>
  <c r="H1160" i="21" s="1"/>
  <c r="C1161" i="21" s="1"/>
  <c r="I1159" i="21"/>
  <c r="F1159" i="21"/>
  <c r="E1184" i="21"/>
  <c r="D1161" i="21" l="1"/>
  <c r="H1161" i="21" s="1"/>
  <c r="C1162" i="21" s="1"/>
  <c r="I1160" i="21"/>
  <c r="F1160" i="21"/>
  <c r="E1185" i="21"/>
  <c r="D1162" i="21" l="1"/>
  <c r="H1162" i="21" s="1"/>
  <c r="C1163" i="21" s="1"/>
  <c r="I1161" i="21"/>
  <c r="F1161" i="21"/>
  <c r="E1186" i="21"/>
  <c r="D1163" i="21" l="1"/>
  <c r="H1163" i="21" s="1"/>
  <c r="C1164" i="21" s="1"/>
  <c r="I1162" i="21"/>
  <c r="F1162" i="21"/>
  <c r="E1187" i="21"/>
  <c r="D1164" i="21" l="1"/>
  <c r="F1164" i="21" s="1"/>
  <c r="I1163" i="21"/>
  <c r="F1163" i="21"/>
  <c r="E1188" i="21"/>
  <c r="I1164" i="21" l="1"/>
  <c r="H1164" i="21"/>
  <c r="C1165" i="21" s="1"/>
  <c r="D1165" i="21" s="1"/>
  <c r="F1165" i="21" s="1"/>
  <c r="E1189" i="21"/>
  <c r="I1165" i="21" l="1"/>
  <c r="H1165" i="21"/>
  <c r="C1166" i="21" s="1"/>
  <c r="E1190" i="21"/>
  <c r="D1166" i="21" l="1"/>
  <c r="F1166" i="21" s="1"/>
  <c r="E1191" i="21"/>
  <c r="H1166" i="21" l="1"/>
  <c r="C1167" i="21" s="1"/>
  <c r="D1167" i="21" s="1"/>
  <c r="I1166" i="21"/>
  <c r="E1192" i="21"/>
  <c r="H1167" i="21" l="1"/>
  <c r="C1168" i="21" s="1"/>
  <c r="D1168" i="21" s="1"/>
  <c r="F1168" i="21" s="1"/>
  <c r="I1167" i="21"/>
  <c r="F1167" i="21"/>
  <c r="E1193" i="21"/>
  <c r="H1168" i="21" l="1"/>
  <c r="C1169" i="21" s="1"/>
  <c r="I1168" i="21"/>
  <c r="E1194" i="21"/>
  <c r="D1169" i="21" l="1"/>
  <c r="H1169" i="21" s="1"/>
  <c r="C1170" i="21" s="1"/>
  <c r="E1195" i="21"/>
  <c r="D1170" i="21" l="1"/>
  <c r="F1170" i="21" s="1"/>
  <c r="I1169" i="21"/>
  <c r="F1169" i="21"/>
  <c r="E1196" i="21"/>
  <c r="I1170" i="21" l="1"/>
  <c r="H1170" i="21"/>
  <c r="C1171" i="21" s="1"/>
  <c r="D1171" i="21" s="1"/>
  <c r="F1171" i="21" s="1"/>
  <c r="E1197" i="21"/>
  <c r="I1171" i="21" l="1"/>
  <c r="H1171" i="21"/>
  <c r="C1172" i="21" s="1"/>
  <c r="D1172" i="21" s="1"/>
  <c r="E1198" i="21"/>
  <c r="F1172" i="21" l="1"/>
  <c r="H1172" i="21"/>
  <c r="C1173" i="21" s="1"/>
  <c r="D1173" i="21" s="1"/>
  <c r="F1173" i="21" s="1"/>
  <c r="I1172" i="21"/>
  <c r="E1199" i="21"/>
  <c r="H1173" i="21" l="1"/>
  <c r="C1174" i="21" s="1"/>
  <c r="D1174" i="21" s="1"/>
  <c r="F1174" i="21" s="1"/>
  <c r="I1173" i="21"/>
  <c r="E1200" i="21"/>
  <c r="H1174" i="21" l="1"/>
  <c r="C1175" i="21" s="1"/>
  <c r="D1175" i="21" s="1"/>
  <c r="H1175" i="21" s="1"/>
  <c r="C1176" i="21" s="1"/>
  <c r="I1174" i="21"/>
  <c r="E1201" i="21"/>
  <c r="D1176" i="21" l="1"/>
  <c r="F1176" i="21" s="1"/>
  <c r="I1175" i="21"/>
  <c r="F1175" i="21"/>
  <c r="E1202" i="21"/>
  <c r="I1176" i="21" l="1"/>
  <c r="H1176" i="21"/>
  <c r="C1177" i="21" s="1"/>
  <c r="E1203" i="21"/>
  <c r="D1177" i="21" l="1"/>
  <c r="F1177" i="21" s="1"/>
  <c r="E1204" i="21"/>
  <c r="I1177" i="21" l="1"/>
  <c r="H1177" i="21"/>
  <c r="C1178" i="21" s="1"/>
  <c r="D1178" i="21" s="1"/>
  <c r="F1178" i="21" s="1"/>
  <c r="E1205" i="21"/>
  <c r="I1178" i="21" l="1"/>
  <c r="H1178" i="21"/>
  <c r="C1179" i="21" s="1"/>
  <c r="E1206" i="21"/>
  <c r="D1179" i="21" l="1"/>
  <c r="E1207" i="21"/>
  <c r="I1179" i="21" l="1"/>
  <c r="F1179" i="21"/>
  <c r="H1179" i="21"/>
  <c r="C1180" i="21" s="1"/>
  <c r="E1208" i="21"/>
  <c r="D1180" i="21" l="1"/>
  <c r="H1180" i="21" s="1"/>
  <c r="C1181" i="21" s="1"/>
  <c r="E1209" i="21"/>
  <c r="D1181" i="21" l="1"/>
  <c r="I1180" i="21"/>
  <c r="F1180" i="21"/>
  <c r="E1210" i="21"/>
  <c r="I1181" i="21" l="1"/>
  <c r="F1181" i="21"/>
  <c r="H1181" i="21"/>
  <c r="C1182" i="21" s="1"/>
  <c r="E1211" i="21"/>
  <c r="D1182" i="21" l="1"/>
  <c r="E1212" i="21"/>
  <c r="I1182" i="21" l="1"/>
  <c r="F1182" i="21"/>
  <c r="H1182" i="21"/>
  <c r="C1183" i="21" s="1"/>
  <c r="E1213" i="21"/>
  <c r="D1183" i="21" l="1"/>
  <c r="H1183" i="21" s="1"/>
  <c r="C1184" i="21" s="1"/>
  <c r="E1214" i="21"/>
  <c r="D1184" i="21" l="1"/>
  <c r="F1184" i="21" s="1"/>
  <c r="I1183" i="21"/>
  <c r="F1183" i="21"/>
  <c r="E1215" i="21"/>
  <c r="I1184" i="21" l="1"/>
  <c r="H1184" i="21"/>
  <c r="C1185" i="21" s="1"/>
  <c r="E1216" i="21"/>
  <c r="D1185" i="21" l="1"/>
  <c r="H1185" i="21" s="1"/>
  <c r="C1186" i="21" s="1"/>
  <c r="E1217" i="21"/>
  <c r="F1185" i="21" l="1"/>
  <c r="I1185" i="21"/>
  <c r="D1186" i="21"/>
  <c r="I1186" i="21" s="1"/>
  <c r="F1186" i="21"/>
  <c r="E1218" i="21"/>
  <c r="H1186" i="21" l="1"/>
  <c r="C1187" i="21" s="1"/>
  <c r="D1187" i="21" s="1"/>
  <c r="F1187" i="21" s="1"/>
  <c r="E1219" i="21"/>
  <c r="I1187" i="21" l="1"/>
  <c r="H1187" i="21"/>
  <c r="C1188" i="21" s="1"/>
  <c r="D1188" i="21" s="1"/>
  <c r="F1188" i="21" s="1"/>
  <c r="E1220" i="21"/>
  <c r="I1188" i="21" l="1"/>
  <c r="H1188" i="21"/>
  <c r="C1189" i="21" s="1"/>
  <c r="D1189" i="21" s="1"/>
  <c r="F1189" i="21" s="1"/>
  <c r="E1221" i="21"/>
  <c r="I1189" i="21" l="1"/>
  <c r="H1189" i="21"/>
  <c r="C1190" i="21" s="1"/>
  <c r="D1190" i="21" s="1"/>
  <c r="E1222" i="21"/>
  <c r="H1190" i="21" l="1"/>
  <c r="C1191" i="21" s="1"/>
  <c r="D1191" i="21" s="1"/>
  <c r="F1191" i="21" s="1"/>
  <c r="I1190" i="21"/>
  <c r="F1190" i="21"/>
  <c r="E1223" i="21"/>
  <c r="I1191" i="21" l="1"/>
  <c r="H1191" i="21"/>
  <c r="C1192" i="21" s="1"/>
  <c r="E1224" i="21"/>
  <c r="D1192" i="21" l="1"/>
  <c r="H1192" i="21" s="1"/>
  <c r="C1193" i="21" s="1"/>
  <c r="E1225" i="21"/>
  <c r="D1193" i="21" l="1"/>
  <c r="H1193" i="21" s="1"/>
  <c r="C1194" i="21" s="1"/>
  <c r="I1192" i="21"/>
  <c r="F1192" i="21"/>
  <c r="E1226" i="21"/>
  <c r="D1194" i="21" l="1"/>
  <c r="I1193" i="21"/>
  <c r="F1193" i="21"/>
  <c r="E1227" i="21"/>
  <c r="I1194" i="21" l="1"/>
  <c r="F1194" i="21"/>
  <c r="H1194" i="21"/>
  <c r="C1195" i="21" s="1"/>
  <c r="E1228" i="21"/>
  <c r="D1195" i="21" l="1"/>
  <c r="F1195" i="21" s="1"/>
  <c r="E1229" i="21"/>
  <c r="H1195" i="21" l="1"/>
  <c r="C1196" i="21" s="1"/>
  <c r="I1195" i="21"/>
  <c r="E1230" i="21"/>
  <c r="D1196" i="21" l="1"/>
  <c r="F1196" i="21" s="1"/>
  <c r="E1231" i="21"/>
  <c r="I1196" i="21" l="1"/>
  <c r="H1196" i="21"/>
  <c r="C1197" i="21" s="1"/>
  <c r="D1197" i="21" s="1"/>
  <c r="E1232" i="21"/>
  <c r="H1197" i="21" l="1"/>
  <c r="C1198" i="21" s="1"/>
  <c r="D1198" i="21" s="1"/>
  <c r="I1197" i="21"/>
  <c r="F1197" i="21"/>
  <c r="E1233" i="21"/>
  <c r="I1198" i="21" l="1"/>
  <c r="F1198" i="21"/>
  <c r="H1198" i="21"/>
  <c r="C1199" i="21" s="1"/>
  <c r="E1234" i="21"/>
  <c r="D1199" i="21" l="1"/>
  <c r="F1199" i="21" s="1"/>
  <c r="E1235" i="21"/>
  <c r="I1199" i="21" l="1"/>
  <c r="H1199" i="21"/>
  <c r="C1200" i="21" s="1"/>
  <c r="D1200" i="21" s="1"/>
  <c r="E1236" i="21"/>
  <c r="F1200" i="21" l="1"/>
  <c r="I1200" i="21"/>
  <c r="H1200" i="21"/>
  <c r="C1201" i="21" s="1"/>
  <c r="D1201" i="21" s="1"/>
  <c r="F1201" i="21" s="1"/>
  <c r="E1237" i="21"/>
  <c r="I1201" i="21" l="1"/>
  <c r="H1201" i="21"/>
  <c r="C1202" i="21" s="1"/>
  <c r="D1202" i="21" s="1"/>
  <c r="F1202" i="21" s="1"/>
  <c r="E1238" i="21"/>
  <c r="H1202" i="21" l="1"/>
  <c r="C1203" i="21" s="1"/>
  <c r="D1203" i="21" s="1"/>
  <c r="I1202" i="21"/>
  <c r="E1239" i="21"/>
  <c r="I1203" i="21" l="1"/>
  <c r="F1203" i="21"/>
  <c r="H1203" i="21"/>
  <c r="C1204" i="21" s="1"/>
  <c r="E1240" i="21"/>
  <c r="D1204" i="21" l="1"/>
  <c r="H1204" i="21" s="1"/>
  <c r="C1205" i="21" s="1"/>
  <c r="E1241" i="21"/>
  <c r="D1205" i="21" l="1"/>
  <c r="F1205" i="21" s="1"/>
  <c r="I1204" i="21"/>
  <c r="F1204" i="21"/>
  <c r="E1242" i="21"/>
  <c r="H1205" i="21" l="1"/>
  <c r="C1206" i="21" s="1"/>
  <c r="D1206" i="21" s="1"/>
  <c r="I1205" i="21"/>
  <c r="E1243" i="21"/>
  <c r="I1206" i="21" l="1"/>
  <c r="F1206" i="21"/>
  <c r="H1206" i="21"/>
  <c r="C1207" i="21" s="1"/>
  <c r="E1244" i="21"/>
  <c r="D1207" i="21" l="1"/>
  <c r="F1207" i="21" s="1"/>
  <c r="E1245" i="21"/>
  <c r="H1207" i="21" l="1"/>
  <c r="C1208" i="21" s="1"/>
  <c r="D1208" i="21" s="1"/>
  <c r="H1208" i="21" s="1"/>
  <c r="C1209" i="21" s="1"/>
  <c r="I1207" i="21"/>
  <c r="E1246" i="21"/>
  <c r="D1209" i="21" l="1"/>
  <c r="I1208" i="21"/>
  <c r="F1208" i="21"/>
  <c r="E1247" i="21"/>
  <c r="I1209" i="21" l="1"/>
  <c r="F1209" i="21"/>
  <c r="H1209" i="21"/>
  <c r="C1210" i="21" s="1"/>
  <c r="E1248" i="21"/>
  <c r="D1210" i="21" l="1"/>
  <c r="H1210" i="21" s="1"/>
  <c r="C1211" i="21" s="1"/>
  <c r="E1249" i="21"/>
  <c r="D1211" i="21" l="1"/>
  <c r="F1211" i="21" s="1"/>
  <c r="I1210" i="21"/>
  <c r="F1210" i="21"/>
  <c r="E1250" i="21"/>
  <c r="I1211" i="21" l="1"/>
  <c r="H1211" i="21"/>
  <c r="C1212" i="21" s="1"/>
  <c r="E1251" i="21"/>
  <c r="D1212" i="21" l="1"/>
  <c r="H1212" i="21" s="1"/>
  <c r="C1213" i="21" s="1"/>
  <c r="E1252" i="21"/>
  <c r="D1213" i="21" l="1"/>
  <c r="F1213" i="21" s="1"/>
  <c r="I1212" i="21"/>
  <c r="F1212" i="21"/>
  <c r="E1253" i="21"/>
  <c r="H1213" i="21" l="1"/>
  <c r="C1214" i="21" s="1"/>
  <c r="I1213" i="21"/>
  <c r="E1254" i="21"/>
  <c r="D1214" i="21" l="1"/>
  <c r="E1255" i="21"/>
  <c r="I1214" i="21" l="1"/>
  <c r="F1214" i="21"/>
  <c r="H1214" i="21"/>
  <c r="C1215" i="21" s="1"/>
  <c r="E1256" i="21"/>
  <c r="D1215" i="21" l="1"/>
  <c r="H1215" i="21" s="1"/>
  <c r="C1216" i="21" s="1"/>
  <c r="E1257" i="21"/>
  <c r="D1216" i="21" l="1"/>
  <c r="H1216" i="21" s="1"/>
  <c r="C1217" i="21" s="1"/>
  <c r="I1215" i="21"/>
  <c r="F1215" i="21"/>
  <c r="E1258" i="21"/>
  <c r="D1217" i="21" l="1"/>
  <c r="H1217" i="21" s="1"/>
  <c r="C1218" i="21" s="1"/>
  <c r="I1216" i="21"/>
  <c r="F1216" i="21"/>
  <c r="E1259" i="21"/>
  <c r="D1218" i="21" l="1"/>
  <c r="H1218" i="21" s="1"/>
  <c r="C1219" i="21" s="1"/>
  <c r="I1217" i="21"/>
  <c r="F1217" i="21"/>
  <c r="E1260" i="21"/>
  <c r="D1219" i="21" l="1"/>
  <c r="H1219" i="21" s="1"/>
  <c r="C1220" i="21" s="1"/>
  <c r="I1218" i="21"/>
  <c r="F1218" i="21"/>
  <c r="E1261" i="21"/>
  <c r="D1220" i="21" l="1"/>
  <c r="H1220" i="21" s="1"/>
  <c r="C1221" i="21" s="1"/>
  <c r="I1219" i="21"/>
  <c r="F1219" i="21"/>
  <c r="E1262" i="21"/>
  <c r="D1221" i="21" l="1"/>
  <c r="H1221" i="21" s="1"/>
  <c r="C1222" i="21" s="1"/>
  <c r="I1220" i="21"/>
  <c r="F1220" i="21"/>
  <c r="E1263" i="21"/>
  <c r="D1222" i="21" l="1"/>
  <c r="F1222" i="21" s="1"/>
  <c r="I1221" i="21"/>
  <c r="F1221" i="21"/>
  <c r="E1264" i="21"/>
  <c r="H1222" i="21" l="1"/>
  <c r="C1223" i="21" s="1"/>
  <c r="D1223" i="21" s="1"/>
  <c r="I1222" i="21"/>
  <c r="E1265" i="21"/>
  <c r="H1223" i="21" l="1"/>
  <c r="C1224" i="21" s="1"/>
  <c r="D1224" i="21" s="1"/>
  <c r="F1224" i="21" s="1"/>
  <c r="I1223" i="21"/>
  <c r="F1223" i="21"/>
  <c r="E1266" i="21"/>
  <c r="I1224" i="21" l="1"/>
  <c r="H1224" i="21"/>
  <c r="C1225" i="21" s="1"/>
  <c r="E1267" i="21"/>
  <c r="D1225" i="21" l="1"/>
  <c r="H1225" i="21" s="1"/>
  <c r="C1226" i="21" s="1"/>
  <c r="E1268" i="21"/>
  <c r="I1225" i="21" l="1"/>
  <c r="F1225" i="21"/>
  <c r="D1226" i="21"/>
  <c r="H1226" i="21" s="1"/>
  <c r="C1227" i="21" s="1"/>
  <c r="E1269" i="21"/>
  <c r="D1227" i="21" l="1"/>
  <c r="F1227" i="21" s="1"/>
  <c r="I1226" i="21"/>
  <c r="F1226" i="21"/>
  <c r="E1270" i="21"/>
  <c r="H1227" i="21" l="1"/>
  <c r="C1228" i="21" s="1"/>
  <c r="D1228" i="21" s="1"/>
  <c r="F1228" i="21" s="1"/>
  <c r="I1227" i="21"/>
  <c r="E1271" i="21"/>
  <c r="I1228" i="21" l="1"/>
  <c r="H1228" i="21"/>
  <c r="C1229" i="21" s="1"/>
  <c r="E1272" i="21"/>
  <c r="D1229" i="21" l="1"/>
  <c r="E1273" i="21"/>
  <c r="I1229" i="21" l="1"/>
  <c r="F1229" i="21"/>
  <c r="H1229" i="21"/>
  <c r="C1230" i="21" s="1"/>
  <c r="E1274" i="21"/>
  <c r="D1230" i="21" l="1"/>
  <c r="F1230" i="21" s="1"/>
  <c r="E1275" i="21"/>
  <c r="H1230" i="21" l="1"/>
  <c r="C1231" i="21" s="1"/>
  <c r="I1230" i="21"/>
  <c r="E1276" i="21"/>
  <c r="D1231" i="21" l="1"/>
  <c r="F1231" i="21" s="1"/>
  <c r="E1277" i="21"/>
  <c r="H1231" i="21" l="1"/>
  <c r="C1232" i="21" s="1"/>
  <c r="I1231" i="21"/>
  <c r="E1278" i="21"/>
  <c r="D1232" i="21" l="1"/>
  <c r="H1232" i="21" s="1"/>
  <c r="C1233" i="21" s="1"/>
  <c r="E1279" i="21"/>
  <c r="D1233" i="21" l="1"/>
  <c r="F1233" i="21" s="1"/>
  <c r="I1232" i="21"/>
  <c r="F1232" i="21"/>
  <c r="E1280" i="21"/>
  <c r="I1233" i="21" l="1"/>
  <c r="H1233" i="21"/>
  <c r="C1234" i="21" s="1"/>
  <c r="D1234" i="21" s="1"/>
  <c r="E1281" i="21"/>
  <c r="F1234" i="21" l="1"/>
  <c r="H1234" i="21"/>
  <c r="C1235" i="21" s="1"/>
  <c r="D1235" i="21" s="1"/>
  <c r="I1234" i="21"/>
  <c r="E1282" i="21"/>
  <c r="I1235" i="21" l="1"/>
  <c r="F1235" i="21"/>
  <c r="H1235" i="21"/>
  <c r="C1236" i="21" s="1"/>
  <c r="E1283" i="21"/>
  <c r="D1236" i="21" l="1"/>
  <c r="H1236" i="21" s="1"/>
  <c r="C1237" i="21" s="1"/>
  <c r="E1284" i="21"/>
  <c r="D1237" i="21" l="1"/>
  <c r="F1237" i="21" s="1"/>
  <c r="I1236" i="21"/>
  <c r="F1236" i="21"/>
  <c r="E1285" i="21"/>
  <c r="H1237" i="21" l="1"/>
  <c r="C1238" i="21" s="1"/>
  <c r="D1238" i="21" s="1"/>
  <c r="F1238" i="21" s="1"/>
  <c r="I1237" i="21"/>
  <c r="E1286" i="21"/>
  <c r="I1238" i="21" l="1"/>
  <c r="H1238" i="21"/>
  <c r="C1239" i="21" s="1"/>
  <c r="D1239" i="21" s="1"/>
  <c r="F1239" i="21" s="1"/>
  <c r="E1287" i="21"/>
  <c r="I1239" i="21" l="1"/>
  <c r="H1239" i="21"/>
  <c r="C1240" i="21" s="1"/>
  <c r="D1240" i="21" s="1"/>
  <c r="F1240" i="21" s="1"/>
  <c r="E1288" i="21"/>
  <c r="H1240" i="21" l="1"/>
  <c r="C1241" i="21" s="1"/>
  <c r="D1241" i="21" s="1"/>
  <c r="F1241" i="21" s="1"/>
  <c r="I1240" i="21"/>
  <c r="E1289" i="21"/>
  <c r="H1241" i="21" l="1"/>
  <c r="C1242" i="21" s="1"/>
  <c r="D1242" i="21" s="1"/>
  <c r="F1242" i="21" s="1"/>
  <c r="I1241" i="21"/>
  <c r="E1290" i="21"/>
  <c r="I1242" i="21" l="1"/>
  <c r="H1242" i="21"/>
  <c r="C1243" i="21" s="1"/>
  <c r="D1243" i="21" s="1"/>
  <c r="F1243" i="21" s="1"/>
  <c r="E1291" i="21"/>
  <c r="H1243" i="21" l="1"/>
  <c r="C1244" i="21" s="1"/>
  <c r="D1244" i="21" s="1"/>
  <c r="I1243" i="21"/>
  <c r="E1292" i="21"/>
  <c r="H1244" i="21" l="1"/>
  <c r="C1245" i="21" s="1"/>
  <c r="D1245" i="21" s="1"/>
  <c r="F1245" i="21" s="1"/>
  <c r="I1244" i="21"/>
  <c r="F1244" i="21"/>
  <c r="E1293" i="21"/>
  <c r="I1245" i="21" l="1"/>
  <c r="H1245" i="21"/>
  <c r="C1246" i="21" s="1"/>
  <c r="D1246" i="21" s="1"/>
  <c r="H1246" i="21" s="1"/>
  <c r="C1247" i="21" s="1"/>
  <c r="E1294" i="21"/>
  <c r="D1247" i="21" l="1"/>
  <c r="F1247" i="21" s="1"/>
  <c r="I1246" i="21"/>
  <c r="F1246" i="21"/>
  <c r="E1295" i="21"/>
  <c r="I1247" i="21" l="1"/>
  <c r="H1247" i="21"/>
  <c r="C1248" i="21" s="1"/>
  <c r="E1296" i="21"/>
  <c r="D1248" i="21" l="1"/>
  <c r="E1297" i="21"/>
  <c r="I1248" i="21" l="1"/>
  <c r="F1248" i="21"/>
  <c r="H1248" i="21"/>
  <c r="C1249" i="21" s="1"/>
  <c r="E1298" i="21"/>
  <c r="D1249" i="21" l="1"/>
  <c r="H1249" i="21" s="1"/>
  <c r="C1250" i="21" s="1"/>
  <c r="E1299" i="21"/>
  <c r="D1250" i="21" l="1"/>
  <c r="F1250" i="21" s="1"/>
  <c r="I1249" i="21"/>
  <c r="F1249" i="21"/>
  <c r="E1300" i="21"/>
  <c r="H1250" i="21" l="1"/>
  <c r="C1251" i="21" s="1"/>
  <c r="D1251" i="21" s="1"/>
  <c r="F1251" i="21" s="1"/>
  <c r="I1250" i="21"/>
  <c r="E1301" i="21"/>
  <c r="I1251" i="21" l="1"/>
  <c r="H1251" i="21"/>
  <c r="C1252" i="21" s="1"/>
  <c r="D1252" i="21" s="1"/>
  <c r="F1252" i="21" s="1"/>
  <c r="E1302" i="21"/>
  <c r="I1252" i="21" l="1"/>
  <c r="H1252" i="21"/>
  <c r="C1253" i="21" s="1"/>
  <c r="D1253" i="21" s="1"/>
  <c r="F1253" i="21" s="1"/>
  <c r="E1303" i="21"/>
  <c r="H1253" i="21" l="1"/>
  <c r="C1254" i="21" s="1"/>
  <c r="D1254" i="21" s="1"/>
  <c r="F1254" i="21" s="1"/>
  <c r="I1253" i="21"/>
  <c r="E1304" i="21"/>
  <c r="H1254" i="21" l="1"/>
  <c r="C1255" i="21" s="1"/>
  <c r="D1255" i="21" s="1"/>
  <c r="F1255" i="21" s="1"/>
  <c r="I1254" i="21"/>
  <c r="E1305" i="21"/>
  <c r="H1255" i="21" l="1"/>
  <c r="C1256" i="21" s="1"/>
  <c r="D1256" i="21" s="1"/>
  <c r="I1255" i="21"/>
  <c r="E1306" i="21"/>
  <c r="I1256" i="21" l="1"/>
  <c r="F1256" i="21"/>
  <c r="H1256" i="21"/>
  <c r="C1257" i="21" s="1"/>
  <c r="E1307" i="21"/>
  <c r="D1257" i="21" l="1"/>
  <c r="F1257" i="21" s="1"/>
  <c r="E1308" i="21"/>
  <c r="I1257" i="21" l="1"/>
  <c r="H1257" i="21"/>
  <c r="C1258" i="21" s="1"/>
  <c r="D1258" i="21" s="1"/>
  <c r="H1258" i="21" s="1"/>
  <c r="C1259" i="21" s="1"/>
  <c r="E1309" i="21"/>
  <c r="D1259" i="21" l="1"/>
  <c r="F1259" i="21" s="1"/>
  <c r="I1258" i="21"/>
  <c r="F1258" i="21"/>
  <c r="E1310" i="21"/>
  <c r="H1259" i="21" l="1"/>
  <c r="C1260" i="21" s="1"/>
  <c r="D1260" i="21" s="1"/>
  <c r="F1260" i="21" s="1"/>
  <c r="I1259" i="21"/>
  <c r="E1311" i="21"/>
  <c r="H1260" i="21" l="1"/>
  <c r="C1261" i="21" s="1"/>
  <c r="I1260" i="21"/>
  <c r="E1312" i="21"/>
  <c r="D1261" i="21" l="1"/>
  <c r="H1261" i="21" s="1"/>
  <c r="C1262" i="21" s="1"/>
  <c r="E1313" i="21"/>
  <c r="D1262" i="21" l="1"/>
  <c r="F1262" i="21" s="1"/>
  <c r="I1261" i="21"/>
  <c r="F1261" i="21"/>
  <c r="E1314" i="21"/>
  <c r="H1262" i="21" l="1"/>
  <c r="C1263" i="21" s="1"/>
  <c r="D1263" i="21" s="1"/>
  <c r="I1262" i="21"/>
  <c r="E1315" i="21"/>
  <c r="F1263" i="21" l="1"/>
  <c r="H1263" i="21"/>
  <c r="C1264" i="21" s="1"/>
  <c r="D1264" i="21" s="1"/>
  <c r="F1264" i="21" s="1"/>
  <c r="I1263" i="21"/>
  <c r="E1316" i="21"/>
  <c r="H1264" i="21" l="1"/>
  <c r="C1265" i="21" s="1"/>
  <c r="D1265" i="21" s="1"/>
  <c r="H1265" i="21" s="1"/>
  <c r="C1266" i="21" s="1"/>
  <c r="I1264" i="21"/>
  <c r="E1317" i="21"/>
  <c r="D1266" i="21" l="1"/>
  <c r="F1266" i="21" s="1"/>
  <c r="I1265" i="21"/>
  <c r="F1265" i="21"/>
  <c r="E1318" i="21"/>
  <c r="H1266" i="21" l="1"/>
  <c r="C1267" i="21" s="1"/>
  <c r="D1267" i="21" s="1"/>
  <c r="I1266" i="21"/>
  <c r="E1319" i="21"/>
  <c r="F1267" i="21" l="1"/>
  <c r="H1267" i="21"/>
  <c r="C1268" i="21" s="1"/>
  <c r="D1268" i="21" s="1"/>
  <c r="F1268" i="21" s="1"/>
  <c r="I1267" i="21"/>
  <c r="E1320" i="21"/>
  <c r="I1268" i="21" l="1"/>
  <c r="H1268" i="21"/>
  <c r="C1269" i="21" s="1"/>
  <c r="E1321" i="21"/>
  <c r="D1269" i="21" l="1"/>
  <c r="F1269" i="21" s="1"/>
  <c r="E1322" i="21"/>
  <c r="H1269" i="21" l="1"/>
  <c r="C1270" i="21" s="1"/>
  <c r="D1270" i="21" s="1"/>
  <c r="H1270" i="21" s="1"/>
  <c r="C1271" i="21" s="1"/>
  <c r="I1269" i="21"/>
  <c r="E1323" i="21"/>
  <c r="D1271" i="21" l="1"/>
  <c r="F1271" i="21" s="1"/>
  <c r="I1270" i="21"/>
  <c r="F1270" i="21"/>
  <c r="E1324" i="21"/>
  <c r="I1271" i="21" l="1"/>
  <c r="H1271" i="21"/>
  <c r="C1272" i="21" s="1"/>
  <c r="E1325" i="21"/>
  <c r="D1272" i="21" l="1"/>
  <c r="F1272" i="21" s="1"/>
  <c r="E1326" i="21"/>
  <c r="H1272" i="21" l="1"/>
  <c r="C1273" i="21" s="1"/>
  <c r="I1272" i="21"/>
  <c r="E1327" i="21"/>
  <c r="D1273" i="21" l="1"/>
  <c r="I1273" i="21" s="1"/>
  <c r="E1328" i="21"/>
  <c r="F1273" i="21" l="1"/>
  <c r="H1273" i="21"/>
  <c r="C1274" i="21" s="1"/>
  <c r="D1274" i="21" s="1"/>
  <c r="F1274" i="21" s="1"/>
  <c r="E1329" i="21"/>
  <c r="I1274" i="21" l="1"/>
  <c r="H1274" i="21"/>
  <c r="C1275" i="21" s="1"/>
  <c r="D1275" i="21" s="1"/>
  <c r="H1275" i="21" s="1"/>
  <c r="C1276" i="21" s="1"/>
  <c r="D1276" i="21" s="1"/>
  <c r="F1276" i="21" s="1"/>
  <c r="E1330" i="21"/>
  <c r="F1275" i="21" l="1"/>
  <c r="I1275" i="21"/>
  <c r="H1276" i="21"/>
  <c r="C1277" i="21" s="1"/>
  <c r="D1277" i="21" s="1"/>
  <c r="F1277" i="21" s="1"/>
  <c r="I1276" i="21"/>
  <c r="E1331" i="21"/>
  <c r="I1277" i="21" l="1"/>
  <c r="H1277" i="21"/>
  <c r="C1278" i="21" s="1"/>
  <c r="D1278" i="21" s="1"/>
  <c r="F1278" i="21" s="1"/>
  <c r="E1332" i="21"/>
  <c r="H1278" i="21" l="1"/>
  <c r="C1279" i="21" s="1"/>
  <c r="D1279" i="21" s="1"/>
  <c r="F1279" i="21" s="1"/>
  <c r="I1278" i="21"/>
  <c r="E1333" i="21"/>
  <c r="I1279" i="21" l="1"/>
  <c r="H1279" i="21"/>
  <c r="C1280" i="21" s="1"/>
  <c r="D1280" i="21" s="1"/>
  <c r="E1334" i="21"/>
  <c r="H1280" i="21" l="1"/>
  <c r="C1281" i="21" s="1"/>
  <c r="D1281" i="21" s="1"/>
  <c r="I1280" i="21"/>
  <c r="F1280" i="21"/>
  <c r="E1335" i="21"/>
  <c r="I1281" i="21" l="1"/>
  <c r="F1281" i="21"/>
  <c r="H1281" i="21"/>
  <c r="C1282" i="21" s="1"/>
  <c r="E1336" i="21"/>
  <c r="D1282" i="21" l="1"/>
  <c r="F1282" i="21" s="1"/>
  <c r="E1337" i="21"/>
  <c r="H1282" i="21" l="1"/>
  <c r="C1283" i="21" s="1"/>
  <c r="D1283" i="21" s="1"/>
  <c r="I1282" i="21"/>
  <c r="E1338" i="21"/>
  <c r="I1283" i="21" l="1"/>
  <c r="F1283" i="21"/>
  <c r="H1283" i="21"/>
  <c r="C1284" i="21" s="1"/>
  <c r="E1339" i="21"/>
  <c r="D1284" i="21" l="1"/>
  <c r="E1340" i="21"/>
  <c r="I1284" i="21" l="1"/>
  <c r="F1284" i="21"/>
  <c r="H1284" i="21"/>
  <c r="C1285" i="21" s="1"/>
  <c r="E1341" i="21"/>
  <c r="D1285" i="21" l="1"/>
  <c r="F1285" i="21" s="1"/>
  <c r="E1342" i="21"/>
  <c r="I1285" i="21" l="1"/>
  <c r="H1285" i="21"/>
  <c r="C1286" i="21" s="1"/>
  <c r="E1343" i="21"/>
  <c r="D1286" i="21" l="1"/>
  <c r="F1286" i="21" s="1"/>
  <c r="E1344" i="21"/>
  <c r="I1286" i="21" l="1"/>
  <c r="H1286" i="21"/>
  <c r="C1287" i="21" s="1"/>
  <c r="D1287" i="21" s="1"/>
  <c r="E1345" i="21"/>
  <c r="F1287" i="21" l="1"/>
  <c r="H1287" i="21"/>
  <c r="C1288" i="21" s="1"/>
  <c r="D1288" i="21" s="1"/>
  <c r="F1288" i="21" s="1"/>
  <c r="I1287" i="21"/>
  <c r="E1346" i="21"/>
  <c r="I1288" i="21" l="1"/>
  <c r="H1288" i="21"/>
  <c r="C1289" i="21" s="1"/>
  <c r="D1289" i="21" s="1"/>
  <c r="F1289" i="21" s="1"/>
  <c r="E1347" i="21"/>
  <c r="I1289" i="21" l="1"/>
  <c r="H1289" i="21"/>
  <c r="C1290" i="21" s="1"/>
  <c r="E1348" i="21"/>
  <c r="D1290" i="21" l="1"/>
  <c r="H1290" i="21" s="1"/>
  <c r="C1291" i="21" s="1"/>
  <c r="E1349" i="21"/>
  <c r="D1291" i="21" l="1"/>
  <c r="F1291" i="21" s="1"/>
  <c r="I1290" i="21"/>
  <c r="F1290" i="21"/>
  <c r="E1350" i="21"/>
  <c r="I1291" i="21" l="1"/>
  <c r="H1291" i="21"/>
  <c r="C1292" i="21" s="1"/>
  <c r="D1292" i="21" s="1"/>
  <c r="E1351" i="21"/>
  <c r="I1292" i="21" l="1"/>
  <c r="F1292" i="21"/>
  <c r="H1292" i="21"/>
  <c r="C1293" i="21" s="1"/>
  <c r="E1352" i="21"/>
  <c r="D1293" i="21" l="1"/>
  <c r="H1293" i="21" s="1"/>
  <c r="C1294" i="21" s="1"/>
  <c r="E1353" i="21"/>
  <c r="D1294" i="21" l="1"/>
  <c r="F1294" i="21" s="1"/>
  <c r="I1293" i="21"/>
  <c r="F1293" i="21"/>
  <c r="E1354" i="21"/>
  <c r="I1294" i="21" l="1"/>
  <c r="H1294" i="21"/>
  <c r="C1295" i="21" s="1"/>
  <c r="D1295" i="21" s="1"/>
  <c r="H1295" i="21" s="1"/>
  <c r="C1296" i="21" s="1"/>
  <c r="E1355" i="21"/>
  <c r="D1296" i="21" l="1"/>
  <c r="F1296" i="21" s="1"/>
  <c r="I1295" i="21"/>
  <c r="F1295" i="21"/>
  <c r="E1356" i="21"/>
  <c r="I1296" i="21" l="1"/>
  <c r="H1296" i="21"/>
  <c r="C1297" i="21" s="1"/>
  <c r="D1297" i="21" s="1"/>
  <c r="F1297" i="21" s="1"/>
  <c r="E1357" i="21"/>
  <c r="I1297" i="21" l="1"/>
  <c r="H1297" i="21"/>
  <c r="C1298" i="21" s="1"/>
  <c r="E1358" i="21"/>
  <c r="D1298" i="21" l="1"/>
  <c r="F1298" i="21" s="1"/>
  <c r="E1359" i="21"/>
  <c r="I1298" i="21" l="1"/>
  <c r="H1298" i="21"/>
  <c r="C1299" i="21" s="1"/>
  <c r="D1299" i="21" s="1"/>
  <c r="F1299" i="21" s="1"/>
  <c r="E1360" i="21"/>
  <c r="I1299" i="21" l="1"/>
  <c r="H1299" i="21"/>
  <c r="C1300" i="21" s="1"/>
  <c r="D1300" i="21" s="1"/>
  <c r="E1361" i="21"/>
  <c r="F1300" i="21" l="1"/>
  <c r="H1300" i="21"/>
  <c r="C1301" i="21" s="1"/>
  <c r="D1301" i="21" s="1"/>
  <c r="F1301" i="21" s="1"/>
  <c r="I1300" i="21"/>
  <c r="E1362" i="21"/>
  <c r="I1301" i="21" l="1"/>
  <c r="H1301" i="21"/>
  <c r="C1302" i="21" s="1"/>
  <c r="E1363" i="21"/>
  <c r="D1302" i="21" l="1"/>
  <c r="F1302" i="21" s="1"/>
  <c r="E1364" i="21"/>
  <c r="H1302" i="21" l="1"/>
  <c r="C1303" i="21" s="1"/>
  <c r="D1303" i="21" s="1"/>
  <c r="H1303" i="21" s="1"/>
  <c r="C1304" i="21" s="1"/>
  <c r="I1302" i="21"/>
  <c r="E1365" i="21"/>
  <c r="D1304" i="21" l="1"/>
  <c r="F1304" i="21" s="1"/>
  <c r="I1303" i="21"/>
  <c r="F1303" i="21"/>
  <c r="E1366" i="21"/>
  <c r="H1304" i="21" l="1"/>
  <c r="C1305" i="21" s="1"/>
  <c r="D1305" i="21" s="1"/>
  <c r="F1305" i="21" s="1"/>
  <c r="I1304" i="21"/>
  <c r="E1367" i="21"/>
  <c r="I1305" i="21" l="1"/>
  <c r="H1305" i="21"/>
  <c r="C1306" i="21" s="1"/>
  <c r="E1368" i="21"/>
  <c r="D1306" i="21" l="1"/>
  <c r="F1306" i="21" s="1"/>
  <c r="E1369" i="21"/>
  <c r="I1306" i="21" l="1"/>
  <c r="H1306" i="21"/>
  <c r="C1307" i="21" s="1"/>
  <c r="D1307" i="21" s="1"/>
  <c r="E1370" i="21"/>
  <c r="H1307" i="21" l="1"/>
  <c r="C1308" i="21" s="1"/>
  <c r="D1308" i="21" s="1"/>
  <c r="I1307" i="21"/>
  <c r="F1307" i="21"/>
  <c r="E1371" i="21"/>
  <c r="H1308" i="21" l="1"/>
  <c r="C1309" i="21" s="1"/>
  <c r="D1309" i="21" s="1"/>
  <c r="I1308" i="21"/>
  <c r="F1308" i="21"/>
  <c r="E1372" i="21"/>
  <c r="I1309" i="21" l="1"/>
  <c r="F1309" i="21"/>
  <c r="H1309" i="21"/>
  <c r="C1310" i="21" s="1"/>
  <c r="E1373" i="21"/>
  <c r="D1310" i="21" l="1"/>
  <c r="F1310" i="21" s="1"/>
  <c r="E1374" i="21"/>
  <c r="H1310" i="21" l="1"/>
  <c r="C1311" i="21" s="1"/>
  <c r="D1311" i="21" s="1"/>
  <c r="H1311" i="21" s="1"/>
  <c r="C1312" i="21" s="1"/>
  <c r="I1310" i="21"/>
  <c r="E1375" i="21"/>
  <c r="D1312" i="21" l="1"/>
  <c r="F1312" i="21" s="1"/>
  <c r="I1311" i="21"/>
  <c r="F1311" i="21"/>
  <c r="E1376" i="21"/>
  <c r="I1312" i="21" l="1"/>
  <c r="H1312" i="21"/>
  <c r="C1313" i="21" s="1"/>
  <c r="E1377" i="21"/>
  <c r="D1313" i="21" l="1"/>
  <c r="H1313" i="21" s="1"/>
  <c r="C1314" i="21" s="1"/>
  <c r="E1378" i="21"/>
  <c r="D1314" i="21" l="1"/>
  <c r="I1313" i="21"/>
  <c r="F1313" i="21"/>
  <c r="E1379" i="21"/>
  <c r="I1314" i="21" l="1"/>
  <c r="F1314" i="21"/>
  <c r="H1314" i="21"/>
  <c r="C1315" i="21" s="1"/>
  <c r="E1380" i="21"/>
  <c r="D1315" i="21" l="1"/>
  <c r="F1315" i="21" s="1"/>
  <c r="E1381" i="21"/>
  <c r="H1315" i="21" l="1"/>
  <c r="C1316" i="21" s="1"/>
  <c r="D1316" i="21" s="1"/>
  <c r="H1316" i="21" s="1"/>
  <c r="C1317" i="21" s="1"/>
  <c r="I1315" i="21"/>
  <c r="E1382" i="21"/>
  <c r="D1317" i="21" l="1"/>
  <c r="F1317" i="21" s="1"/>
  <c r="I1316" i="21"/>
  <c r="F1316" i="21"/>
  <c r="E1383" i="21"/>
  <c r="I1317" i="21" l="1"/>
  <c r="H1317" i="21"/>
  <c r="C1318" i="21" s="1"/>
  <c r="D1318" i="21" s="1"/>
  <c r="H1318" i="21" s="1"/>
  <c r="C1319" i="21" s="1"/>
  <c r="E1384" i="21"/>
  <c r="D1319" i="21" l="1"/>
  <c r="F1319" i="21" s="1"/>
  <c r="I1318" i="21"/>
  <c r="F1318" i="21"/>
  <c r="E1385" i="21"/>
  <c r="I1319" i="21" l="1"/>
  <c r="H1319" i="21"/>
  <c r="C1320" i="21" s="1"/>
  <c r="D1320" i="21" s="1"/>
  <c r="H1320" i="21" s="1"/>
  <c r="C1321" i="21" s="1"/>
  <c r="E1386" i="21"/>
  <c r="D1321" i="21" l="1"/>
  <c r="H1321" i="21" s="1"/>
  <c r="C1322" i="21" s="1"/>
  <c r="I1320" i="21"/>
  <c r="F1320" i="21"/>
  <c r="E1387" i="21"/>
  <c r="D1322" i="21" l="1"/>
  <c r="F1322" i="21" s="1"/>
  <c r="I1321" i="21"/>
  <c r="F1321" i="21"/>
  <c r="E1388" i="21"/>
  <c r="I1322" i="21" l="1"/>
  <c r="H1322" i="21"/>
  <c r="C1323" i="21" s="1"/>
  <c r="E1389" i="21"/>
  <c r="D1323" i="21" l="1"/>
  <c r="F1323" i="21" s="1"/>
  <c r="E1390" i="21"/>
  <c r="I1323" i="21" l="1"/>
  <c r="H1323" i="21"/>
  <c r="C1324" i="21" s="1"/>
  <c r="D1324" i="21" s="1"/>
  <c r="E1391" i="21"/>
  <c r="F1324" i="21" l="1"/>
  <c r="I1324" i="21"/>
  <c r="H1324" i="21"/>
  <c r="C1325" i="21" s="1"/>
  <c r="D1325" i="21" s="1"/>
  <c r="F1325" i="21" s="1"/>
  <c r="E1392" i="21"/>
  <c r="H1325" i="21" l="1"/>
  <c r="C1326" i="21" s="1"/>
  <c r="D1326" i="21" s="1"/>
  <c r="F1326" i="21" s="1"/>
  <c r="I1325" i="21"/>
  <c r="E1393" i="21"/>
  <c r="I1326" i="21" l="1"/>
  <c r="H1326" i="21"/>
  <c r="C1327" i="21" s="1"/>
  <c r="D1327" i="21" s="1"/>
  <c r="F1327" i="21" s="1"/>
  <c r="E1394" i="21"/>
  <c r="H1327" i="21" l="1"/>
  <c r="C1328" i="21" s="1"/>
  <c r="I1327" i="21"/>
  <c r="E1395" i="21"/>
  <c r="D1328" i="21" l="1"/>
  <c r="H1328" i="21" s="1"/>
  <c r="C1329" i="21" s="1"/>
  <c r="E1396" i="21"/>
  <c r="D1329" i="21" l="1"/>
  <c r="F1329" i="21" s="1"/>
  <c r="I1328" i="21"/>
  <c r="F1328" i="21"/>
  <c r="E1397" i="21"/>
  <c r="I1329" i="21" l="1"/>
  <c r="H1329" i="21"/>
  <c r="C1330" i="21" s="1"/>
  <c r="D1330" i="21" s="1"/>
  <c r="F1330" i="21" s="1"/>
  <c r="E1398" i="21"/>
  <c r="H1330" i="21" l="1"/>
  <c r="C1331" i="21" s="1"/>
  <c r="D1331" i="21" s="1"/>
  <c r="H1331" i="21" s="1"/>
  <c r="C1332" i="21" s="1"/>
  <c r="I1330" i="21"/>
  <c r="E1399" i="21"/>
  <c r="D1332" i="21" l="1"/>
  <c r="H1332" i="21" s="1"/>
  <c r="C1333" i="21" s="1"/>
  <c r="I1331" i="21"/>
  <c r="F1331" i="21"/>
  <c r="E1400" i="21"/>
  <c r="D1333" i="21" l="1"/>
  <c r="F1333" i="21" s="1"/>
  <c r="I1332" i="21"/>
  <c r="F1332" i="21"/>
  <c r="E1401" i="21"/>
  <c r="H1333" i="21" l="1"/>
  <c r="C1334" i="21" s="1"/>
  <c r="D1334" i="21" s="1"/>
  <c r="F1334" i="21" s="1"/>
  <c r="I1333" i="21"/>
  <c r="E1402" i="21"/>
  <c r="I1334" i="21" l="1"/>
  <c r="H1334" i="21"/>
  <c r="C1335" i="21" s="1"/>
  <c r="D1335" i="21" s="1"/>
  <c r="F1335" i="21" s="1"/>
  <c r="E1403" i="21"/>
  <c r="H1335" i="21" l="1"/>
  <c r="C1336" i="21" s="1"/>
  <c r="D1336" i="21" s="1"/>
  <c r="F1336" i="21" s="1"/>
  <c r="I1335" i="21"/>
  <c r="E1404" i="21"/>
  <c r="I1336" i="21" l="1"/>
  <c r="H1336" i="21"/>
  <c r="C1337" i="21" s="1"/>
  <c r="D1337" i="21" s="1"/>
  <c r="E1405" i="21"/>
  <c r="F1337" i="21" l="1"/>
  <c r="H1337" i="21"/>
  <c r="C1338" i="21" s="1"/>
  <c r="D1338" i="21" s="1"/>
  <c r="H1338" i="21" s="1"/>
  <c r="C1339" i="21" s="1"/>
  <c r="I1337" i="21"/>
  <c r="E1406" i="21"/>
  <c r="D1339" i="21" l="1"/>
  <c r="F1339" i="21" s="1"/>
  <c r="I1338" i="21"/>
  <c r="F1338" i="21"/>
  <c r="E1407" i="21"/>
  <c r="H1339" i="21" l="1"/>
  <c r="C1340" i="21" s="1"/>
  <c r="D1340" i="21" s="1"/>
  <c r="F1340" i="21" s="1"/>
  <c r="I1339" i="21"/>
  <c r="E1408" i="21"/>
  <c r="I1340" i="21" l="1"/>
  <c r="H1340" i="21"/>
  <c r="C1341" i="21" s="1"/>
  <c r="E1409" i="21"/>
  <c r="D1341" i="21" l="1"/>
  <c r="H1341" i="21" s="1"/>
  <c r="C1342" i="21" s="1"/>
  <c r="E1410" i="21"/>
  <c r="D1342" i="21" l="1"/>
  <c r="H1342" i="21" s="1"/>
  <c r="C1343" i="21" s="1"/>
  <c r="I1341" i="21"/>
  <c r="F1341" i="21"/>
  <c r="E1411" i="21"/>
  <c r="D1343" i="21" l="1"/>
  <c r="F1343" i="21" s="1"/>
  <c r="I1342" i="21"/>
  <c r="F1342" i="21"/>
  <c r="E1412" i="21"/>
  <c r="I1343" i="21" l="1"/>
  <c r="H1343" i="21"/>
  <c r="C1344" i="21" s="1"/>
  <c r="D1344" i="21" s="1"/>
  <c r="E1413" i="21"/>
  <c r="H1344" i="21" l="1"/>
  <c r="C1345" i="21" s="1"/>
  <c r="D1345" i="21" s="1"/>
  <c r="H1345" i="21" s="1"/>
  <c r="C1346" i="21" s="1"/>
  <c r="I1344" i="21"/>
  <c r="F1344" i="21"/>
  <c r="E1414" i="21"/>
  <c r="D1346" i="21" l="1"/>
  <c r="H1346" i="21" s="1"/>
  <c r="C1347" i="21" s="1"/>
  <c r="I1345" i="21"/>
  <c r="F1345" i="21"/>
  <c r="E1415" i="21"/>
  <c r="D1347" i="21" l="1"/>
  <c r="H1347" i="21" s="1"/>
  <c r="C1348" i="21" s="1"/>
  <c r="I1346" i="21"/>
  <c r="F1346" i="21"/>
  <c r="E1416" i="21"/>
  <c r="D1348" i="21" l="1"/>
  <c r="F1348" i="21" s="1"/>
  <c r="I1347" i="21"/>
  <c r="F1347" i="21"/>
  <c r="E1417" i="21"/>
  <c r="I1348" i="21" l="1"/>
  <c r="H1348" i="21"/>
  <c r="C1349" i="21" s="1"/>
  <c r="D1349" i="21" s="1"/>
  <c r="F1349" i="21" s="1"/>
  <c r="E1418" i="21"/>
  <c r="H1349" i="21" l="1"/>
  <c r="C1350" i="21" s="1"/>
  <c r="I1349" i="21"/>
  <c r="E1419" i="21"/>
  <c r="D1350" i="21" l="1"/>
  <c r="F1350" i="21" s="1"/>
  <c r="E1420" i="21"/>
  <c r="I1350" i="21" l="1"/>
  <c r="H1350" i="21"/>
  <c r="C1351" i="21" s="1"/>
  <c r="D1351" i="21" s="1"/>
  <c r="E1421" i="21"/>
  <c r="F1351" i="21" l="1"/>
  <c r="H1351" i="21"/>
  <c r="C1352" i="21" s="1"/>
  <c r="D1352" i="21" s="1"/>
  <c r="F1352" i="21" s="1"/>
  <c r="I1351" i="21"/>
  <c r="E1422" i="21"/>
  <c r="I1352" i="21" l="1"/>
  <c r="H1352" i="21"/>
  <c r="C1353" i="21" s="1"/>
  <c r="E1423" i="21"/>
  <c r="D1353" i="21" l="1"/>
  <c r="H1353" i="21" s="1"/>
  <c r="C1354" i="21" s="1"/>
  <c r="E1424" i="21"/>
  <c r="D1354" i="21" l="1"/>
  <c r="H1354" i="21" s="1"/>
  <c r="C1355" i="21" s="1"/>
  <c r="I1353" i="21"/>
  <c r="F1353" i="21"/>
  <c r="E1425" i="21"/>
  <c r="D1355" i="21" l="1"/>
  <c r="F1355" i="21" s="1"/>
  <c r="I1354" i="21"/>
  <c r="F1354" i="21"/>
  <c r="E1426" i="21"/>
  <c r="I1355" i="21" l="1"/>
  <c r="H1355" i="21"/>
  <c r="C1356" i="21" s="1"/>
  <c r="E1427" i="21"/>
  <c r="D1356" i="21" l="1"/>
  <c r="F1356" i="21" s="1"/>
  <c r="E1428" i="21"/>
  <c r="H1356" i="21" l="1"/>
  <c r="C1357" i="21" s="1"/>
  <c r="D1357" i="21" s="1"/>
  <c r="F1357" i="21" s="1"/>
  <c r="I1356" i="21"/>
  <c r="E1429" i="21"/>
  <c r="H1357" i="21" l="1"/>
  <c r="C1358" i="21" s="1"/>
  <c r="D1358" i="21" s="1"/>
  <c r="H1358" i="21" s="1"/>
  <c r="C1359" i="21" s="1"/>
  <c r="I1357" i="21"/>
  <c r="E1430" i="21"/>
  <c r="D1359" i="21" l="1"/>
  <c r="F1359" i="21" s="1"/>
  <c r="I1358" i="21"/>
  <c r="F1358" i="21"/>
  <c r="E1431" i="21"/>
  <c r="I1359" i="21" l="1"/>
  <c r="H1359" i="21"/>
  <c r="C1360" i="21" s="1"/>
  <c r="D1360" i="21" s="1"/>
  <c r="F1360" i="21" s="1"/>
  <c r="E1432" i="21"/>
  <c r="H1360" i="21" l="1"/>
  <c r="C1361" i="21" s="1"/>
  <c r="D1361" i="21" s="1"/>
  <c r="F1361" i="21" s="1"/>
  <c r="I1360" i="21"/>
  <c r="E1433" i="21"/>
  <c r="I1361" i="21" l="1"/>
  <c r="H1361" i="21"/>
  <c r="C1362" i="21" s="1"/>
  <c r="D1362" i="21" s="1"/>
  <c r="F1362" i="21" s="1"/>
  <c r="E1434" i="21"/>
  <c r="H1362" i="21" l="1"/>
  <c r="C1363" i="21" s="1"/>
  <c r="D1363" i="21" s="1"/>
  <c r="I1362" i="21"/>
  <c r="E1435" i="21"/>
  <c r="I1363" i="21" l="1"/>
  <c r="F1363" i="21"/>
  <c r="H1363" i="21"/>
  <c r="C1364" i="21" s="1"/>
  <c r="E1436" i="21"/>
  <c r="D1364" i="21" l="1"/>
  <c r="H1364" i="21" s="1"/>
  <c r="C1365" i="21" s="1"/>
  <c r="E1437" i="21"/>
  <c r="D1365" i="21" l="1"/>
  <c r="F1365" i="21" s="1"/>
  <c r="I1364" i="21"/>
  <c r="F1364" i="21"/>
  <c r="E1438" i="21"/>
  <c r="H1365" i="21" l="1"/>
  <c r="C1366" i="21" s="1"/>
  <c r="D1366" i="21" s="1"/>
  <c r="F1366" i="21" s="1"/>
  <c r="I1365" i="21"/>
  <c r="E1439" i="21"/>
  <c r="H1366" i="21" l="1"/>
  <c r="C1367" i="21" s="1"/>
  <c r="D1367" i="21" s="1"/>
  <c r="F1367" i="21" s="1"/>
  <c r="I1366" i="21"/>
  <c r="E1440" i="21"/>
  <c r="I1367" i="21" l="1"/>
  <c r="H1367" i="21"/>
  <c r="C1368" i="21" s="1"/>
  <c r="D1368" i="21" s="1"/>
  <c r="F1368" i="21" s="1"/>
  <c r="E1441" i="21"/>
  <c r="H1368" i="21" l="1"/>
  <c r="C1369" i="21" s="1"/>
  <c r="D1369" i="21" s="1"/>
  <c r="F1369" i="21" s="1"/>
  <c r="I1368" i="21"/>
  <c r="E1442" i="21"/>
  <c r="I1369" i="21" l="1"/>
  <c r="H1369" i="21"/>
  <c r="C1370" i="21" s="1"/>
  <c r="E1443" i="21"/>
  <c r="D1370" i="21" l="1"/>
  <c r="F1370" i="21" s="1"/>
  <c r="E1444" i="21"/>
  <c r="I1370" i="21" l="1"/>
  <c r="H1370" i="21"/>
  <c r="C1371" i="21" s="1"/>
  <c r="D1371" i="21" s="1"/>
  <c r="F1371" i="21" s="1"/>
  <c r="E1445" i="21"/>
  <c r="I1371" i="21" l="1"/>
  <c r="H1371" i="21"/>
  <c r="C1372" i="21" s="1"/>
  <c r="E1446" i="21"/>
  <c r="D1372" i="21" l="1"/>
  <c r="F1372" i="21" s="1"/>
  <c r="E1447" i="21"/>
  <c r="I1372" i="21" l="1"/>
  <c r="H1372" i="21"/>
  <c r="C1373" i="21" s="1"/>
  <c r="D1373" i="21" s="1"/>
  <c r="F1373" i="21" s="1"/>
  <c r="E1448" i="21"/>
  <c r="I1373" i="21" l="1"/>
  <c r="H1373" i="21"/>
  <c r="C1374" i="21" s="1"/>
  <c r="E1449" i="21"/>
  <c r="D1374" i="21" l="1"/>
  <c r="F1374" i="21" s="1"/>
  <c r="E1450" i="21"/>
  <c r="I1374" i="21" l="1"/>
  <c r="H1374" i="21"/>
  <c r="C1375" i="21" s="1"/>
  <c r="E1451" i="21"/>
  <c r="D1375" i="21" l="1"/>
  <c r="F1375" i="21" s="1"/>
  <c r="E1452" i="21"/>
  <c r="H1375" i="21" l="1"/>
  <c r="C1376" i="21" s="1"/>
  <c r="D1376" i="21" s="1"/>
  <c r="F1376" i="21" s="1"/>
  <c r="I1375" i="21"/>
  <c r="E1453" i="21"/>
  <c r="H1376" i="21" l="1"/>
  <c r="C1377" i="21" s="1"/>
  <c r="D1377" i="21" s="1"/>
  <c r="F1377" i="21" s="1"/>
  <c r="I1376" i="21"/>
  <c r="E1454" i="21"/>
  <c r="I1377" i="21" l="1"/>
  <c r="H1377" i="21"/>
  <c r="C1378" i="21" s="1"/>
  <c r="D1378" i="21" s="1"/>
  <c r="E1455" i="21"/>
  <c r="H1378" i="21" l="1"/>
  <c r="C1379" i="21" s="1"/>
  <c r="D1379" i="21" s="1"/>
  <c r="F1379" i="21" s="1"/>
  <c r="I1378" i="21"/>
  <c r="F1378" i="21"/>
  <c r="E1456" i="21"/>
  <c r="I1379" i="21" l="1"/>
  <c r="H1379" i="21"/>
  <c r="C1380" i="21" s="1"/>
  <c r="D1380" i="21" s="1"/>
  <c r="E1457" i="21"/>
  <c r="F1380" i="21" l="1"/>
  <c r="H1380" i="21"/>
  <c r="C1381" i="21" s="1"/>
  <c r="D1381" i="21" s="1"/>
  <c r="H1381" i="21" s="1"/>
  <c r="C1382" i="21" s="1"/>
  <c r="I1380" i="21"/>
  <c r="E1458" i="21"/>
  <c r="D1382" i="21" l="1"/>
  <c r="F1382" i="21" s="1"/>
  <c r="I1381" i="21"/>
  <c r="F1381" i="21"/>
  <c r="E1459" i="21"/>
  <c r="I1382" i="21" l="1"/>
  <c r="H1382" i="21"/>
  <c r="C1383" i="21" s="1"/>
  <c r="D1383" i="21" s="1"/>
  <c r="H1383" i="21" s="1"/>
  <c r="C1384" i="21" s="1"/>
  <c r="E1460" i="21"/>
  <c r="D1384" i="21" l="1"/>
  <c r="F1384" i="21" s="1"/>
  <c r="I1383" i="21"/>
  <c r="F1383" i="21"/>
  <c r="E1461" i="21"/>
  <c r="I1384" i="21" l="1"/>
  <c r="H1384" i="21"/>
  <c r="C1385" i="21" s="1"/>
  <c r="D1385" i="21" s="1"/>
  <c r="F1385" i="21" s="1"/>
  <c r="E1462" i="21"/>
  <c r="H1385" i="21" l="1"/>
  <c r="C1386" i="21" s="1"/>
  <c r="I1385" i="21"/>
  <c r="E1463" i="21"/>
  <c r="D1386" i="21" l="1"/>
  <c r="I1386" i="21" s="1"/>
  <c r="E1464" i="21"/>
  <c r="F1386" i="21" l="1"/>
  <c r="H1386" i="21"/>
  <c r="C1387" i="21" s="1"/>
  <c r="D1387" i="21" s="1"/>
  <c r="F1387" i="21" s="1"/>
  <c r="E1465" i="21"/>
  <c r="I1387" i="21" l="1"/>
  <c r="H1387" i="21"/>
  <c r="C1388" i="21" s="1"/>
  <c r="E1466" i="21"/>
  <c r="D1388" i="21" l="1"/>
  <c r="F1388" i="21" s="1"/>
  <c r="E1467" i="21"/>
  <c r="I1388" i="21" l="1"/>
  <c r="H1388" i="21"/>
  <c r="C1389" i="21" s="1"/>
  <c r="E1468" i="21"/>
  <c r="D1389" i="21" l="1"/>
  <c r="H1389" i="21" s="1"/>
  <c r="C1390" i="21" s="1"/>
  <c r="E1469" i="21"/>
  <c r="I1389" i="21" l="1"/>
  <c r="D1390" i="21"/>
  <c r="I1390" i="21" s="1"/>
  <c r="F1389" i="21"/>
  <c r="F1390" i="21"/>
  <c r="E1470" i="21"/>
  <c r="H1390" i="21" l="1"/>
  <c r="C1391" i="21" s="1"/>
  <c r="D1391" i="21" s="1"/>
  <c r="F1391" i="21" s="1"/>
  <c r="E1471" i="21"/>
  <c r="I1391" i="21" l="1"/>
  <c r="H1391" i="21"/>
  <c r="C1392" i="21" s="1"/>
  <c r="E1472" i="21"/>
  <c r="D1392" i="21" l="1"/>
  <c r="F1392" i="21" s="1"/>
  <c r="E1473" i="21"/>
  <c r="I1392" i="21" l="1"/>
  <c r="H1392" i="21"/>
  <c r="C1393" i="21" s="1"/>
  <c r="D1393" i="21" s="1"/>
  <c r="I1393" i="21" s="1"/>
  <c r="E1474" i="21"/>
  <c r="F1393" i="21" l="1"/>
  <c r="H1393" i="21"/>
  <c r="C1394" i="21" s="1"/>
  <c r="E1475" i="21"/>
  <c r="D1394" i="21" l="1"/>
  <c r="H1394" i="21" s="1"/>
  <c r="C1395" i="21" s="1"/>
  <c r="D1395" i="21" s="1"/>
  <c r="E1476" i="21"/>
  <c r="I1395" i="21" l="1"/>
  <c r="F1395" i="21"/>
  <c r="H1395" i="21"/>
  <c r="C1396" i="21" s="1"/>
  <c r="D1396" i="21" s="1"/>
  <c r="F1396" i="21" s="1"/>
  <c r="I1394" i="21"/>
  <c r="F1394" i="21"/>
  <c r="E1477" i="21"/>
  <c r="I1396" i="21" l="1"/>
  <c r="H1396" i="21"/>
  <c r="C1397" i="21" s="1"/>
  <c r="D1397" i="21" s="1"/>
  <c r="F1397" i="21" s="1"/>
  <c r="E1478" i="21"/>
  <c r="H1397" i="21" l="1"/>
  <c r="C1398" i="21" s="1"/>
  <c r="D1398" i="21" s="1"/>
  <c r="I1397" i="21"/>
  <c r="E1479" i="21"/>
  <c r="I1398" i="21" l="1"/>
  <c r="H1398" i="21"/>
  <c r="C1399" i="21" s="1"/>
  <c r="F1398" i="21"/>
  <c r="E1480" i="21"/>
  <c r="D1399" i="21" l="1"/>
  <c r="F1399" i="21" s="1"/>
  <c r="E1481" i="21"/>
  <c r="I1399" i="21" l="1"/>
  <c r="H1399" i="21"/>
  <c r="C1400" i="21" s="1"/>
  <c r="E1482" i="21"/>
  <c r="D1400" i="21" l="1"/>
  <c r="I1400" i="21" s="1"/>
  <c r="E1483" i="21"/>
  <c r="H1400" i="21" l="1"/>
  <c r="C1401" i="21" s="1"/>
  <c r="F1400" i="21"/>
  <c r="E1484" i="21"/>
  <c r="D1401" i="21" l="1"/>
  <c r="H1401" i="21" s="1"/>
  <c r="C1402" i="21" s="1"/>
  <c r="E1485" i="21"/>
  <c r="I1401" i="21" l="1"/>
  <c r="D1402" i="21"/>
  <c r="H1402" i="21" s="1"/>
  <c r="C1403" i="21" s="1"/>
  <c r="F1401" i="21"/>
  <c r="E1486" i="21"/>
  <c r="F1402" i="21" l="1"/>
  <c r="D1403" i="21"/>
  <c r="F1403" i="21" s="1"/>
  <c r="I1402" i="21"/>
  <c r="E1487" i="21"/>
  <c r="I1403" i="21" l="1"/>
  <c r="H1403" i="21"/>
  <c r="C1404" i="21" s="1"/>
  <c r="E1488" i="21"/>
  <c r="D1404" i="21" l="1"/>
  <c r="F1404" i="21" s="1"/>
  <c r="E1489" i="21"/>
  <c r="H1404" i="21" l="1"/>
  <c r="C1405" i="21" s="1"/>
  <c r="I1404" i="21"/>
  <c r="E1490" i="21"/>
  <c r="D1405" i="21" l="1"/>
  <c r="F1405" i="21" s="1"/>
  <c r="E1491" i="21"/>
  <c r="H1405" i="21" l="1"/>
  <c r="C1406" i="21" s="1"/>
  <c r="D1406" i="21" s="1"/>
  <c r="F1406" i="21" s="1"/>
  <c r="I1405" i="21"/>
  <c r="E1492" i="21"/>
  <c r="H1406" i="21" l="1"/>
  <c r="C1407" i="21" s="1"/>
  <c r="D1407" i="21" s="1"/>
  <c r="F1407" i="21" s="1"/>
  <c r="I1406" i="21"/>
  <c r="E1493" i="21"/>
  <c r="I1407" i="21" l="1"/>
  <c r="H1407" i="21"/>
  <c r="C1408" i="21" s="1"/>
  <c r="E1494" i="21"/>
  <c r="D1408" i="21" l="1"/>
  <c r="F1408" i="21" s="1"/>
  <c r="E1495" i="21"/>
  <c r="H1408" i="21" l="1"/>
  <c r="C1409" i="21" s="1"/>
  <c r="D1409" i="21" s="1"/>
  <c r="H1409" i="21" s="1"/>
  <c r="C1410" i="21" s="1"/>
  <c r="D1410" i="21" s="1"/>
  <c r="F1410" i="21" s="1"/>
  <c r="I1408" i="21"/>
  <c r="E1496" i="21"/>
  <c r="H1410" i="21" l="1"/>
  <c r="C1411" i="21" s="1"/>
  <c r="D1411" i="21" s="1"/>
  <c r="F1411" i="21" s="1"/>
  <c r="I1410" i="21"/>
  <c r="I1409" i="21"/>
  <c r="F1409" i="21"/>
  <c r="E1497" i="21"/>
  <c r="H1411" i="21" l="1"/>
  <c r="C1412" i="21" s="1"/>
  <c r="D1412" i="21" s="1"/>
  <c r="F1412" i="21" s="1"/>
  <c r="I1411" i="21"/>
  <c r="E1498" i="21"/>
  <c r="H1412" i="21" l="1"/>
  <c r="C1413" i="21" s="1"/>
  <c r="D1413" i="21" s="1"/>
  <c r="F1413" i="21" s="1"/>
  <c r="I1412" i="21"/>
  <c r="E1499" i="21"/>
  <c r="H1413" i="21" l="1"/>
  <c r="C1414" i="21" s="1"/>
  <c r="D1414" i="21" s="1"/>
  <c r="F1414" i="21" s="1"/>
  <c r="I1413" i="21"/>
  <c r="E1500" i="21"/>
  <c r="I1414" i="21" l="1"/>
  <c r="H1414" i="21"/>
  <c r="C1415" i="21" s="1"/>
  <c r="E1501" i="21"/>
  <c r="D1415" i="21" l="1"/>
  <c r="F1415" i="21" s="1"/>
  <c r="E1502" i="21"/>
  <c r="H1415" i="21" l="1"/>
  <c r="C1416" i="21" s="1"/>
  <c r="D1416" i="21" s="1"/>
  <c r="F1416" i="21" s="1"/>
  <c r="I1415" i="21"/>
  <c r="E1503" i="21"/>
  <c r="I1416" i="21" l="1"/>
  <c r="H1416" i="21"/>
  <c r="C1417" i="21" s="1"/>
  <c r="E1504" i="21"/>
  <c r="D1417" i="21" l="1"/>
  <c r="F1417" i="21" s="1"/>
  <c r="E1505" i="21"/>
  <c r="I1417" i="21" l="1"/>
  <c r="H1417" i="21"/>
  <c r="C1418" i="21" s="1"/>
  <c r="E1506" i="21"/>
  <c r="D1418" i="21" l="1"/>
  <c r="F1418" i="21" s="1"/>
  <c r="E1507" i="21"/>
  <c r="H1418" i="21" l="1"/>
  <c r="C1419" i="21" s="1"/>
  <c r="D1419" i="21" s="1"/>
  <c r="F1419" i="21" s="1"/>
  <c r="I1418" i="21"/>
  <c r="E1508" i="21"/>
  <c r="H1419" i="21" l="1"/>
  <c r="C1420" i="21" s="1"/>
  <c r="D1420" i="21" s="1"/>
  <c r="H1420" i="21" s="1"/>
  <c r="C1421" i="21" s="1"/>
  <c r="I1419" i="21"/>
  <c r="E1509" i="21"/>
  <c r="D1421" i="21" l="1"/>
  <c r="H1421" i="21" s="1"/>
  <c r="C1422" i="21" s="1"/>
  <c r="I1420" i="21"/>
  <c r="F1420" i="21"/>
  <c r="E1510" i="21"/>
  <c r="D1422" i="21" l="1"/>
  <c r="F1422" i="21" s="1"/>
  <c r="I1421" i="21"/>
  <c r="F1421" i="21"/>
  <c r="E1511" i="21"/>
  <c r="I1422" i="21" l="1"/>
  <c r="H1422" i="21"/>
  <c r="C1423" i="21" s="1"/>
  <c r="D1423" i="21" s="1"/>
  <c r="F1423" i="21" s="1"/>
  <c r="E1512" i="21"/>
  <c r="H1423" i="21" l="1"/>
  <c r="C1424" i="21" s="1"/>
  <c r="D1424" i="21" s="1"/>
  <c r="F1424" i="21" s="1"/>
  <c r="I1423" i="21"/>
  <c r="E1513" i="21"/>
  <c r="H1424" i="21" l="1"/>
  <c r="C1425" i="21" s="1"/>
  <c r="D1425" i="21" s="1"/>
  <c r="F1425" i="21" s="1"/>
  <c r="I1424" i="21"/>
  <c r="E1514" i="21"/>
  <c r="H1425" i="21" l="1"/>
  <c r="C1426" i="21" s="1"/>
  <c r="D1426" i="21" s="1"/>
  <c r="I1425" i="21"/>
  <c r="E1515" i="21"/>
  <c r="H1426" i="21" l="1"/>
  <c r="C1427" i="21" s="1"/>
  <c r="D1427" i="21" s="1"/>
  <c r="I1426" i="21"/>
  <c r="F1426" i="21"/>
  <c r="E1516" i="21"/>
  <c r="I1427" i="21" l="1"/>
  <c r="F1427" i="21"/>
  <c r="H1427" i="21"/>
  <c r="C1428" i="21" s="1"/>
  <c r="E1517" i="21"/>
  <c r="D1428" i="21" l="1"/>
  <c r="F1428" i="21" s="1"/>
  <c r="E1518" i="21"/>
  <c r="I1428" i="21" l="1"/>
  <c r="H1428" i="21"/>
  <c r="C1429" i="21" s="1"/>
  <c r="D1429" i="21" s="1"/>
  <c r="E1519" i="21"/>
  <c r="H1429" i="21" l="1"/>
  <c r="C1430" i="21" s="1"/>
  <c r="D1430" i="21" s="1"/>
  <c r="F1430" i="21" s="1"/>
  <c r="F1429" i="21"/>
  <c r="I1429" i="21"/>
  <c r="E1520" i="21"/>
  <c r="H1430" i="21" l="1"/>
  <c r="C1431" i="21" s="1"/>
  <c r="D1431" i="21" s="1"/>
  <c r="F1431" i="21" s="1"/>
  <c r="I1430" i="21"/>
  <c r="E1521" i="21"/>
  <c r="H1431" i="21" l="1"/>
  <c r="C1432" i="21" s="1"/>
  <c r="D1432" i="21" s="1"/>
  <c r="H1432" i="21" s="1"/>
  <c r="C1433" i="21" s="1"/>
  <c r="I1431" i="21"/>
  <c r="E1522" i="21"/>
  <c r="D1433" i="21" l="1"/>
  <c r="F1433" i="21" s="1"/>
  <c r="I1432" i="21"/>
  <c r="F1432" i="21"/>
  <c r="E1523" i="21"/>
  <c r="H1433" i="21" l="1"/>
  <c r="C1434" i="21" s="1"/>
  <c r="D1434" i="21" s="1"/>
  <c r="H1434" i="21" s="1"/>
  <c r="C1435" i="21" s="1"/>
  <c r="I1433" i="21"/>
  <c r="E1524" i="21"/>
  <c r="D1435" i="21" l="1"/>
  <c r="H1435" i="21" s="1"/>
  <c r="C1436" i="21" s="1"/>
  <c r="I1434" i="21"/>
  <c r="F1434" i="21"/>
  <c r="E1525" i="21"/>
  <c r="D1436" i="21" l="1"/>
  <c r="F1436" i="21" s="1"/>
  <c r="I1435" i="21"/>
  <c r="F1435" i="21"/>
  <c r="E1526" i="21"/>
  <c r="I1436" i="21" l="1"/>
  <c r="H1436" i="21"/>
  <c r="C1437" i="21" s="1"/>
  <c r="D1437" i="21" s="1"/>
  <c r="H1437" i="21" s="1"/>
  <c r="C1438" i="21" s="1"/>
  <c r="E1527" i="21"/>
  <c r="F1437" i="21" l="1"/>
  <c r="I1437" i="21"/>
  <c r="D1438" i="21"/>
  <c r="F1438" i="21" s="1"/>
  <c r="E1528" i="21"/>
  <c r="H1438" i="21" l="1"/>
  <c r="C1439" i="21" s="1"/>
  <c r="D1439" i="21" s="1"/>
  <c r="F1439" i="21" s="1"/>
  <c r="I1438" i="21"/>
  <c r="E1529" i="21"/>
  <c r="H1439" i="21" l="1"/>
  <c r="C1440" i="21" s="1"/>
  <c r="D1440" i="21" s="1"/>
  <c r="I1439" i="21"/>
  <c r="E1530" i="21"/>
  <c r="H1440" i="21" l="1"/>
  <c r="C1441" i="21" s="1"/>
  <c r="D1441" i="21" s="1"/>
  <c r="F1441" i="21" s="1"/>
  <c r="I1440" i="21"/>
  <c r="F1440" i="21"/>
  <c r="E1531" i="21"/>
  <c r="I1441" i="21" l="1"/>
  <c r="H1441" i="21"/>
  <c r="C1442" i="21" s="1"/>
  <c r="E1532" i="21"/>
  <c r="D1442" i="21" l="1"/>
  <c r="F1442" i="21" s="1"/>
  <c r="E1533" i="21"/>
  <c r="H1442" i="21" l="1"/>
  <c r="C1443" i="21" s="1"/>
  <c r="D1443" i="21" s="1"/>
  <c r="I1442" i="21"/>
  <c r="E1534" i="21"/>
  <c r="I1443" i="21" l="1"/>
  <c r="F1443" i="21"/>
  <c r="H1443" i="21"/>
  <c r="C1444" i="21" s="1"/>
  <c r="E1535" i="21"/>
  <c r="D1444" i="21" l="1"/>
  <c r="F1444" i="21" s="1"/>
  <c r="E1536" i="21"/>
  <c r="I1444" i="21" l="1"/>
  <c r="H1444" i="21"/>
  <c r="C1445" i="21" s="1"/>
  <c r="E1537" i="21"/>
  <c r="D1445" i="21" l="1"/>
  <c r="H1445" i="21" s="1"/>
  <c r="C1446" i="21" s="1"/>
  <c r="E1538" i="21"/>
  <c r="D1446" i="21" l="1"/>
  <c r="F1446" i="21" s="1"/>
  <c r="I1445" i="21"/>
  <c r="F1445" i="21"/>
  <c r="E1539" i="21"/>
  <c r="I1446" i="21" l="1"/>
  <c r="H1446" i="21"/>
  <c r="C1447" i="21" s="1"/>
  <c r="D1447" i="21" s="1"/>
  <c r="H1447" i="21" s="1"/>
  <c r="C1448" i="21" s="1"/>
  <c r="E1540" i="21"/>
  <c r="D1448" i="21" l="1"/>
  <c r="F1448" i="21" s="1"/>
  <c r="I1447" i="21"/>
  <c r="F1447" i="21"/>
  <c r="E1541" i="21"/>
  <c r="I1448" i="21" l="1"/>
  <c r="H1448" i="21"/>
  <c r="C1449" i="21" s="1"/>
  <c r="D1449" i="21" s="1"/>
  <c r="F1449" i="21" s="1"/>
  <c r="E1542" i="21"/>
  <c r="H1449" i="21" l="1"/>
  <c r="C1450" i="21" s="1"/>
  <c r="I1449" i="21"/>
  <c r="E1543" i="21"/>
  <c r="D1450" i="21" l="1"/>
  <c r="F1450" i="21" s="1"/>
  <c r="E1544" i="21"/>
  <c r="H1450" i="21" l="1"/>
  <c r="C1451" i="21" s="1"/>
  <c r="D1451" i="21" s="1"/>
  <c r="F1451" i="21" s="1"/>
  <c r="I1450" i="21"/>
  <c r="E1545" i="21"/>
  <c r="H1451" i="21" l="1"/>
  <c r="C1452" i="21" s="1"/>
  <c r="D1452" i="21" s="1"/>
  <c r="I1451" i="21"/>
  <c r="E1546" i="21"/>
  <c r="H1452" i="21" l="1"/>
  <c r="C1453" i="21" s="1"/>
  <c r="D1453" i="21" s="1"/>
  <c r="F1453" i="21" s="1"/>
  <c r="F1452" i="21"/>
  <c r="I1452" i="21"/>
  <c r="E1547" i="21"/>
  <c r="I1453" i="21" l="1"/>
  <c r="H1453" i="21"/>
  <c r="C1454" i="21" s="1"/>
  <c r="D1454" i="21" s="1"/>
  <c r="H1454" i="21" s="1"/>
  <c r="C1455" i="21" s="1"/>
  <c r="D1455" i="21" s="1"/>
  <c r="F1455" i="21" s="1"/>
  <c r="F1454" i="21"/>
  <c r="E1548" i="21"/>
  <c r="I1454" i="21" l="1"/>
  <c r="H1455" i="21"/>
  <c r="C1456" i="21" s="1"/>
  <c r="D1456" i="21" s="1"/>
  <c r="I1455" i="21"/>
  <c r="E1549" i="21"/>
  <c r="F1456" i="21" l="1"/>
  <c r="H1456" i="21"/>
  <c r="C1457" i="21" s="1"/>
  <c r="D1457" i="21" s="1"/>
  <c r="I1456" i="21"/>
  <c r="E1550" i="21"/>
  <c r="I1457" i="21" l="1"/>
  <c r="F1457" i="21"/>
  <c r="H1457" i="21"/>
  <c r="C1458" i="21" s="1"/>
  <c r="E1551" i="21"/>
  <c r="D1458" i="21" l="1"/>
  <c r="F1458" i="21" s="1"/>
  <c r="E1552" i="21"/>
  <c r="I1458" i="21" l="1"/>
  <c r="H1458" i="21"/>
  <c r="C1459" i="21" s="1"/>
  <c r="D1459" i="21" s="1"/>
  <c r="F1459" i="21" s="1"/>
  <c r="E1553" i="21"/>
  <c r="H1459" i="21" l="1"/>
  <c r="C1460" i="21" s="1"/>
  <c r="D1460" i="21" s="1"/>
  <c r="F1460" i="21" s="1"/>
  <c r="I1459" i="21"/>
  <c r="E1554" i="21"/>
  <c r="H1460" i="21" l="1"/>
  <c r="C1461" i="21" s="1"/>
  <c r="D1461" i="21" s="1"/>
  <c r="F1461" i="21" s="1"/>
  <c r="I1460" i="21"/>
  <c r="E1555" i="21"/>
  <c r="H1461" i="21" l="1"/>
  <c r="C1462" i="21" s="1"/>
  <c r="D1462" i="21" s="1"/>
  <c r="H1462" i="21" s="1"/>
  <c r="C1463" i="21" s="1"/>
  <c r="I1461" i="21"/>
  <c r="E1556" i="21"/>
  <c r="D1463" i="21" l="1"/>
  <c r="F1463" i="21" s="1"/>
  <c r="I1462" i="21"/>
  <c r="F1462" i="21"/>
  <c r="E1557" i="21"/>
  <c r="H1463" i="21" l="1"/>
  <c r="C1464" i="21" s="1"/>
  <c r="D1464" i="21" s="1"/>
  <c r="F1464" i="21" s="1"/>
  <c r="I1463" i="21"/>
  <c r="E1558" i="21"/>
  <c r="I1464" i="21" l="1"/>
  <c r="H1464" i="21"/>
  <c r="C1465" i="21" s="1"/>
  <c r="D1465" i="21" s="1"/>
  <c r="F1465" i="21" s="1"/>
  <c r="E1559" i="21"/>
  <c r="H1465" i="21" l="1"/>
  <c r="C1466" i="21" s="1"/>
  <c r="D1466" i="21" s="1"/>
  <c r="F1466" i="21" s="1"/>
  <c r="I1465" i="21"/>
  <c r="E1560" i="21"/>
  <c r="I1466" i="21" l="1"/>
  <c r="H1466" i="21"/>
  <c r="C1467" i="21" s="1"/>
  <c r="E1561" i="21"/>
  <c r="D1467" i="21" l="1"/>
  <c r="F1467" i="21" s="1"/>
  <c r="E1562" i="21"/>
  <c r="H1467" i="21" l="1"/>
  <c r="C1468" i="21" s="1"/>
  <c r="D1468" i="21" s="1"/>
  <c r="F1468" i="21" s="1"/>
  <c r="I1467" i="21"/>
  <c r="E1563" i="21"/>
  <c r="H1468" i="21" l="1"/>
  <c r="C1469" i="21" s="1"/>
  <c r="D1469" i="21" s="1"/>
  <c r="F1469" i="21" s="1"/>
  <c r="I1468" i="21"/>
  <c r="E1564" i="21"/>
  <c r="H1469" i="21" l="1"/>
  <c r="C1470" i="21" s="1"/>
  <c r="D1470" i="21" s="1"/>
  <c r="H1470" i="21" s="1"/>
  <c r="C1471" i="21" s="1"/>
  <c r="D1471" i="21" s="1"/>
  <c r="F1471" i="21" s="1"/>
  <c r="I1469" i="21"/>
  <c r="E1565" i="21"/>
  <c r="F1470" i="21" l="1"/>
  <c r="I1470" i="21"/>
  <c r="I1471" i="21"/>
  <c r="H1471" i="21"/>
  <c r="C1472" i="21" s="1"/>
  <c r="D1472" i="21" s="1"/>
  <c r="E1566" i="21"/>
  <c r="F1472" i="21" l="1"/>
  <c r="I1472" i="21"/>
  <c r="H1472" i="21"/>
  <c r="C1473" i="21" s="1"/>
  <c r="D1473" i="21" s="1"/>
  <c r="F1473" i="21" s="1"/>
  <c r="E1567" i="21"/>
  <c r="I1473" i="21" l="1"/>
  <c r="H1473" i="21"/>
  <c r="C1474" i="21" s="1"/>
  <c r="E1568" i="21"/>
  <c r="D1474" i="21" l="1"/>
  <c r="F1474" i="21" s="1"/>
  <c r="E1569" i="21"/>
  <c r="I1474" i="21" l="1"/>
  <c r="H1474" i="21"/>
  <c r="C1475" i="21" s="1"/>
  <c r="E1570" i="21"/>
  <c r="D1475" i="21" l="1"/>
  <c r="F1475" i="21" s="1"/>
  <c r="E1571" i="21"/>
  <c r="I1475" i="21" l="1"/>
  <c r="H1475" i="21"/>
  <c r="C1476" i="21" s="1"/>
  <c r="D1476" i="21" s="1"/>
  <c r="F1476" i="21" s="1"/>
  <c r="E1572" i="21"/>
  <c r="H1476" i="21" l="1"/>
  <c r="C1477" i="21" s="1"/>
  <c r="D1477" i="21" s="1"/>
  <c r="F1477" i="21" s="1"/>
  <c r="I1476" i="21"/>
  <c r="E1573" i="21"/>
  <c r="I1477" i="21" l="1"/>
  <c r="H1477" i="21"/>
  <c r="C1478" i="21" s="1"/>
  <c r="E1574" i="21"/>
  <c r="D1478" i="21" l="1"/>
  <c r="F1478" i="21" s="1"/>
  <c r="E1575" i="21"/>
  <c r="H1478" i="21" l="1"/>
  <c r="C1479" i="21" s="1"/>
  <c r="D1479" i="21" s="1"/>
  <c r="F1479" i="21" s="1"/>
  <c r="I1478" i="21"/>
  <c r="E1576" i="21"/>
  <c r="I1479" i="21" l="1"/>
  <c r="H1479" i="21"/>
  <c r="C1480" i="21" s="1"/>
  <c r="E1577" i="21"/>
  <c r="D1480" i="21" l="1"/>
  <c r="F1480" i="21" s="1"/>
  <c r="E1578" i="21"/>
  <c r="I1480" i="21" l="1"/>
  <c r="H1480" i="21"/>
  <c r="C1481" i="21" s="1"/>
  <c r="D1481" i="21" s="1"/>
  <c r="F1481" i="21" s="1"/>
  <c r="E1579" i="21"/>
  <c r="H1481" i="21" l="1"/>
  <c r="C1482" i="21" s="1"/>
  <c r="D1482" i="21" s="1"/>
  <c r="F1482" i="21" s="1"/>
  <c r="I1481" i="21"/>
  <c r="E1580" i="21"/>
  <c r="H1482" i="21" l="1"/>
  <c r="C1483" i="21" s="1"/>
  <c r="D1483" i="21" s="1"/>
  <c r="F1483" i="21" s="1"/>
  <c r="I1482" i="21"/>
  <c r="E1581" i="21"/>
  <c r="H1483" i="21" l="1"/>
  <c r="C1484" i="21" s="1"/>
  <c r="D1484" i="21" s="1"/>
  <c r="I1483" i="21"/>
  <c r="E1582" i="21"/>
  <c r="H1484" i="21" l="1"/>
  <c r="C1485" i="21" s="1"/>
  <c r="D1485" i="21" s="1"/>
  <c r="F1485" i="21" s="1"/>
  <c r="I1484" i="21"/>
  <c r="F1484" i="21"/>
  <c r="E1583" i="21"/>
  <c r="H1485" i="21" l="1"/>
  <c r="C1486" i="21" s="1"/>
  <c r="D1486" i="21" s="1"/>
  <c r="F1486" i="21" s="1"/>
  <c r="I1485" i="21"/>
  <c r="E1584" i="21"/>
  <c r="I1486" i="21" l="1"/>
  <c r="H1486" i="21"/>
  <c r="C1487" i="21" s="1"/>
  <c r="E1585" i="21"/>
  <c r="D1487" i="21" l="1"/>
  <c r="F1487" i="21" s="1"/>
  <c r="E1586" i="21"/>
  <c r="I1487" i="21" l="1"/>
  <c r="H1487" i="21"/>
  <c r="C1488" i="21" s="1"/>
  <c r="D1488" i="21" s="1"/>
  <c r="F1488" i="21" s="1"/>
  <c r="E1587" i="21"/>
  <c r="I1488" i="21" l="1"/>
  <c r="H1488" i="21"/>
  <c r="C1489" i="21" s="1"/>
  <c r="E1588" i="21"/>
  <c r="D1489" i="21" l="1"/>
  <c r="F1489" i="21" s="1"/>
  <c r="E1589" i="21"/>
  <c r="I1489" i="21" l="1"/>
  <c r="H1489" i="21"/>
  <c r="C1490" i="21" s="1"/>
  <c r="D1490" i="21" s="1"/>
  <c r="F1490" i="21" s="1"/>
  <c r="E1590" i="21"/>
  <c r="I1490" i="21" l="1"/>
  <c r="H1490" i="21"/>
  <c r="C1491" i="21" s="1"/>
  <c r="E1591" i="21"/>
  <c r="D1491" i="21" l="1"/>
  <c r="F1491" i="21" s="1"/>
  <c r="E1592" i="21"/>
  <c r="I1491" i="21" l="1"/>
  <c r="H1491" i="21"/>
  <c r="C1492" i="21" s="1"/>
  <c r="E1593" i="21"/>
  <c r="D1492" i="21" l="1"/>
  <c r="H1492" i="21" s="1"/>
  <c r="C1493" i="21" s="1"/>
  <c r="E1594" i="21"/>
  <c r="D1493" i="21" l="1"/>
  <c r="F1493" i="21" s="1"/>
  <c r="I1492" i="21"/>
  <c r="F1492" i="21"/>
  <c r="E1595" i="21"/>
  <c r="H1493" i="21" l="1"/>
  <c r="C1494" i="21" s="1"/>
  <c r="D1494" i="21" s="1"/>
  <c r="F1494" i="21" s="1"/>
  <c r="I1493" i="21"/>
  <c r="E1596" i="21"/>
  <c r="H1494" i="21" l="1"/>
  <c r="C1495" i="21" s="1"/>
  <c r="D1495" i="21" s="1"/>
  <c r="I1494" i="21"/>
  <c r="E1597" i="21"/>
  <c r="I1495" i="21" l="1"/>
  <c r="F1495" i="21"/>
  <c r="H1495" i="21"/>
  <c r="C1496" i="21" s="1"/>
  <c r="E1598" i="21"/>
  <c r="D1496" i="21" l="1"/>
  <c r="F1496" i="21" s="1"/>
  <c r="E1599" i="21"/>
  <c r="I1496" i="21" l="1"/>
  <c r="H1496" i="21"/>
  <c r="C1497" i="21" s="1"/>
  <c r="D1497" i="21" s="1"/>
  <c r="E1600" i="21"/>
  <c r="I1497" i="21" l="1"/>
  <c r="F1497" i="21"/>
  <c r="H1497" i="21"/>
  <c r="C1498" i="21" s="1"/>
  <c r="E1601" i="21"/>
  <c r="D1498" i="21" l="1"/>
  <c r="E1602" i="21"/>
  <c r="I1498" i="21" l="1"/>
  <c r="F1498" i="21"/>
  <c r="H1498" i="21"/>
  <c r="C1499" i="21" s="1"/>
  <c r="E1603" i="21"/>
  <c r="D1499" i="21" l="1"/>
  <c r="H1499" i="21" s="1"/>
  <c r="C1500" i="21" s="1"/>
  <c r="E1604" i="21"/>
  <c r="D1500" i="21" l="1"/>
  <c r="F1500" i="21" s="1"/>
  <c r="I1499" i="21"/>
  <c r="F1499" i="21"/>
  <c r="E1605" i="21"/>
  <c r="I1500" i="21" l="1"/>
  <c r="H1500" i="21"/>
  <c r="C1501" i="21" s="1"/>
  <c r="D1501" i="21" s="1"/>
  <c r="H1501" i="21" s="1"/>
  <c r="C1502" i="21" s="1"/>
  <c r="E1606" i="21"/>
  <c r="D1502" i="21" l="1"/>
  <c r="F1502" i="21" s="1"/>
  <c r="I1501" i="21"/>
  <c r="F1501" i="21"/>
  <c r="E1607" i="21"/>
  <c r="H1502" i="21" l="1"/>
  <c r="C1503" i="21" s="1"/>
  <c r="D1503" i="21" s="1"/>
  <c r="F1503" i="21" s="1"/>
  <c r="I1502" i="21"/>
  <c r="E1608" i="21"/>
  <c r="H1503" i="21" l="1"/>
  <c r="C1504" i="21" s="1"/>
  <c r="D1504" i="21" s="1"/>
  <c r="I1503" i="21"/>
  <c r="E1609" i="21"/>
  <c r="H1504" i="21" l="1"/>
  <c r="C1505" i="21" s="1"/>
  <c r="D1505" i="21" s="1"/>
  <c r="F1505" i="21" s="1"/>
  <c r="I1504" i="21"/>
  <c r="F1504" i="21"/>
  <c r="E1610" i="21"/>
  <c r="H1505" i="21" l="1"/>
  <c r="C1506" i="21" s="1"/>
  <c r="D1506" i="21" s="1"/>
  <c r="I1505" i="21"/>
  <c r="E1611" i="21"/>
  <c r="I1506" i="21" l="1"/>
  <c r="F1506" i="21"/>
  <c r="H1506" i="21"/>
  <c r="C1507" i="21" s="1"/>
  <c r="E1612" i="21"/>
  <c r="D1507" i="21" l="1"/>
  <c r="F1507" i="21" s="1"/>
  <c r="E1613" i="21"/>
  <c r="I1507" i="21" l="1"/>
  <c r="H1507" i="21"/>
  <c r="C1508" i="21" s="1"/>
  <c r="E1614" i="21"/>
  <c r="D1508" i="21" l="1"/>
  <c r="H1508" i="21" s="1"/>
  <c r="C1509" i="21" s="1"/>
  <c r="E1615" i="21"/>
  <c r="D1509" i="21" l="1"/>
  <c r="F1509" i="21" s="1"/>
  <c r="I1508" i="21"/>
  <c r="F1508" i="21"/>
  <c r="E1616" i="21"/>
  <c r="H1509" i="21" l="1"/>
  <c r="C1510" i="21" s="1"/>
  <c r="I1509" i="21"/>
  <c r="E1617" i="21"/>
  <c r="D1510" i="21" l="1"/>
  <c r="E1618" i="21"/>
  <c r="I1510" i="21" l="1"/>
  <c r="F1510" i="21"/>
  <c r="H1510" i="21"/>
  <c r="C1511" i="21" s="1"/>
  <c r="E1619" i="21"/>
  <c r="D1511" i="21" l="1"/>
  <c r="H1511" i="21" s="1"/>
  <c r="C1512" i="21" s="1"/>
  <c r="E1620" i="21"/>
  <c r="D1512" i="21" l="1"/>
  <c r="F1512" i="21" s="1"/>
  <c r="I1511" i="21"/>
  <c r="F1511" i="21"/>
  <c r="E1621" i="21"/>
  <c r="I1512" i="21" l="1"/>
  <c r="H1512" i="21"/>
  <c r="C1513" i="21" s="1"/>
  <c r="E1622" i="21"/>
  <c r="D1513" i="21" l="1"/>
  <c r="F1513" i="21" s="1"/>
  <c r="E1623" i="21"/>
  <c r="H1513" i="21" l="1"/>
  <c r="C1514" i="21" s="1"/>
  <c r="D1514" i="21" s="1"/>
  <c r="F1514" i="21" s="1"/>
  <c r="I1513" i="21"/>
  <c r="E1624" i="21"/>
  <c r="H1514" i="21" l="1"/>
  <c r="C1515" i="21" s="1"/>
  <c r="D1515" i="21" s="1"/>
  <c r="I1514" i="21"/>
  <c r="E1625" i="21"/>
  <c r="F1515" i="21" l="1"/>
  <c r="H1515" i="21"/>
  <c r="C1516" i="21" s="1"/>
  <c r="D1516" i="21" s="1"/>
  <c r="F1516" i="21" s="1"/>
  <c r="I1515" i="21"/>
  <c r="E1626" i="21"/>
  <c r="I1516" i="21" l="1"/>
  <c r="H1516" i="21"/>
  <c r="C1517" i="21" s="1"/>
  <c r="D1517" i="21" s="1"/>
  <c r="F1517" i="21" s="1"/>
  <c r="E1627" i="21"/>
  <c r="I1517" i="21" l="1"/>
  <c r="H1517" i="21"/>
  <c r="C1518" i="21" s="1"/>
  <c r="E1628" i="21"/>
  <c r="D1518" i="21" l="1"/>
  <c r="H1518" i="21" s="1"/>
  <c r="C1519" i="21" s="1"/>
  <c r="E1629" i="21"/>
  <c r="D1519" i="21" l="1"/>
  <c r="F1519" i="21" s="1"/>
  <c r="I1518" i="21"/>
  <c r="F1518" i="21"/>
  <c r="E1630" i="21"/>
  <c r="H1519" i="21" l="1"/>
  <c r="C1520" i="21" s="1"/>
  <c r="D1520" i="21" s="1"/>
  <c r="F1520" i="21" s="1"/>
  <c r="I1519" i="21"/>
  <c r="E1631" i="21"/>
  <c r="H1520" i="21" l="1"/>
  <c r="C1521" i="21" s="1"/>
  <c r="D1521" i="21" s="1"/>
  <c r="H1521" i="21" s="1"/>
  <c r="C1522" i="21" s="1"/>
  <c r="I1520" i="21"/>
  <c r="E1632" i="21"/>
  <c r="D1522" i="21" l="1"/>
  <c r="I1521" i="21"/>
  <c r="F1521" i="21"/>
  <c r="E1633" i="21"/>
  <c r="I1522" i="21" l="1"/>
  <c r="F1522" i="21"/>
  <c r="H1522" i="21"/>
  <c r="C1523" i="21" s="1"/>
  <c r="E1634" i="21"/>
  <c r="D1523" i="21" l="1"/>
  <c r="H1523" i="21" s="1"/>
  <c r="C1524" i="21" s="1"/>
  <c r="E1635" i="21"/>
  <c r="D1524" i="21" l="1"/>
  <c r="F1524" i="21" s="1"/>
  <c r="I1523" i="21"/>
  <c r="F1523" i="21"/>
  <c r="E1636" i="21"/>
  <c r="I1524" i="21" l="1"/>
  <c r="H1524" i="21"/>
  <c r="C1525" i="21" s="1"/>
  <c r="E1637" i="21"/>
  <c r="D1525" i="21" l="1"/>
  <c r="F1525" i="21" s="1"/>
  <c r="E1638" i="21"/>
  <c r="H1525" i="21" l="1"/>
  <c r="C1526" i="21" s="1"/>
  <c r="I1525" i="21"/>
  <c r="E1639" i="21"/>
  <c r="D1526" i="21" l="1"/>
  <c r="F1526" i="21" s="1"/>
  <c r="E1640" i="21"/>
  <c r="H1526" i="21" l="1"/>
  <c r="C1527" i="21" s="1"/>
  <c r="D1527" i="21" s="1"/>
  <c r="F1527" i="21" s="1"/>
  <c r="I1526" i="21"/>
  <c r="E1641" i="21"/>
  <c r="I1527" i="21" l="1"/>
  <c r="H1527" i="21"/>
  <c r="C1528" i="21" s="1"/>
  <c r="D1528" i="21" s="1"/>
  <c r="F1528" i="21" s="1"/>
  <c r="E1642" i="21"/>
  <c r="I1528" i="21" l="1"/>
  <c r="H1528" i="21"/>
  <c r="C1529" i="21" s="1"/>
  <c r="D1529" i="21" s="1"/>
  <c r="H1529" i="21" s="1"/>
  <c r="C1530" i="21" s="1"/>
  <c r="E1643" i="21"/>
  <c r="D1530" i="21" l="1"/>
  <c r="H1530" i="21" s="1"/>
  <c r="C1531" i="21" s="1"/>
  <c r="I1529" i="21"/>
  <c r="F1529" i="21"/>
  <c r="E1644" i="21"/>
  <c r="D1531" i="21" l="1"/>
  <c r="F1531" i="21" s="1"/>
  <c r="I1530" i="21"/>
  <c r="F1530" i="21"/>
  <c r="E1645" i="21"/>
  <c r="I1531" i="21" l="1"/>
  <c r="H1531" i="21"/>
  <c r="C1532" i="21" s="1"/>
  <c r="E1646" i="21"/>
  <c r="D1532" i="21" l="1"/>
  <c r="F1532" i="21" s="1"/>
  <c r="E1647" i="21"/>
  <c r="H1532" i="21" l="1"/>
  <c r="C1533" i="21" s="1"/>
  <c r="D1533" i="21" s="1"/>
  <c r="F1533" i="21" s="1"/>
  <c r="I1532" i="21"/>
  <c r="E1648" i="21"/>
  <c r="I1533" i="21" l="1"/>
  <c r="H1533" i="21"/>
  <c r="C1534" i="21" s="1"/>
  <c r="E1649" i="21"/>
  <c r="D1534" i="21" l="1"/>
  <c r="F1534" i="21" s="1"/>
  <c r="E1650" i="21"/>
  <c r="I1534" i="21" l="1"/>
  <c r="H1534" i="21"/>
  <c r="C1535" i="21" s="1"/>
  <c r="E1651" i="21"/>
  <c r="D1535" i="21" l="1"/>
  <c r="F1535" i="21" s="1"/>
  <c r="E1652" i="21"/>
  <c r="H1535" i="21" l="1"/>
  <c r="C1536" i="21" s="1"/>
  <c r="D1536" i="21" s="1"/>
  <c r="F1536" i="21" s="1"/>
  <c r="I1535" i="21"/>
  <c r="E1653" i="21"/>
  <c r="I1536" i="21" l="1"/>
  <c r="H1536" i="21"/>
  <c r="C1537" i="21" s="1"/>
  <c r="D1537" i="21" s="1"/>
  <c r="F1537" i="21" s="1"/>
  <c r="E1654" i="21"/>
  <c r="I1537" i="21" l="1"/>
  <c r="H1537" i="21"/>
  <c r="C1538" i="21" s="1"/>
  <c r="D1538" i="21" s="1"/>
  <c r="F1538" i="21" s="1"/>
  <c r="E1655" i="21"/>
  <c r="I1538" i="21" l="1"/>
  <c r="H1538" i="21"/>
  <c r="C1539" i="21" s="1"/>
  <c r="D1539" i="21" s="1"/>
  <c r="F1539" i="21" s="1"/>
  <c r="E1656" i="21"/>
  <c r="I1539" i="21" l="1"/>
  <c r="H1539" i="21"/>
  <c r="C1540" i="21" s="1"/>
  <c r="E1657" i="21"/>
  <c r="D1540" i="21" l="1"/>
  <c r="H1540" i="21" s="1"/>
  <c r="C1541" i="21" s="1"/>
  <c r="E1658" i="21"/>
  <c r="D1541" i="21" l="1"/>
  <c r="F1541" i="21" s="1"/>
  <c r="I1540" i="21"/>
  <c r="F1540" i="21"/>
  <c r="E1659" i="21"/>
  <c r="H1541" i="21" l="1"/>
  <c r="C1542" i="21" s="1"/>
  <c r="D1542" i="21" s="1"/>
  <c r="F1542" i="21" s="1"/>
  <c r="I1541" i="21"/>
  <c r="E1660" i="21"/>
  <c r="H1542" i="21" l="1"/>
  <c r="C1543" i="21" s="1"/>
  <c r="I1542" i="21"/>
  <c r="E1661" i="21"/>
  <c r="D1543" i="21" l="1"/>
  <c r="F1543" i="21" s="1"/>
  <c r="E1662" i="21"/>
  <c r="I1543" i="21" l="1"/>
  <c r="H1543" i="21"/>
  <c r="C1544" i="21" s="1"/>
  <c r="E1663" i="21"/>
  <c r="D1544" i="21" l="1"/>
  <c r="I1544" i="21" s="1"/>
  <c r="E1664" i="21"/>
  <c r="F1544" i="21" l="1"/>
  <c r="H1544" i="21"/>
  <c r="C1545" i="21" s="1"/>
  <c r="D1545" i="21" s="1"/>
  <c r="F1545" i="21" s="1"/>
  <c r="E1665" i="21"/>
  <c r="H1545" i="21" l="1"/>
  <c r="C1546" i="21" s="1"/>
  <c r="I1545" i="21"/>
  <c r="E1666" i="21"/>
  <c r="D1546" i="21" l="1"/>
  <c r="F1546" i="21" s="1"/>
  <c r="E1667" i="21"/>
  <c r="H1546" i="21" l="1"/>
  <c r="C1547" i="21" s="1"/>
  <c r="D1547" i="21" s="1"/>
  <c r="F1547" i="21" s="1"/>
  <c r="I1546" i="21"/>
  <c r="E1668" i="21"/>
  <c r="H1547" i="21" l="1"/>
  <c r="C1548" i="21" s="1"/>
  <c r="D1548" i="21" s="1"/>
  <c r="H1548" i="21" s="1"/>
  <c r="C1549" i="21" s="1"/>
  <c r="I1547" i="21"/>
  <c r="E1669" i="21"/>
  <c r="D1549" i="21" l="1"/>
  <c r="F1549" i="21" s="1"/>
  <c r="I1548" i="21"/>
  <c r="F1548" i="21"/>
  <c r="E1670" i="21"/>
  <c r="I1549" i="21" l="1"/>
  <c r="H1549" i="21"/>
  <c r="C1550" i="21" s="1"/>
  <c r="E1671" i="21"/>
  <c r="D1550" i="21" l="1"/>
  <c r="F1550" i="21" s="1"/>
  <c r="E1672" i="21"/>
  <c r="I1550" i="21" l="1"/>
  <c r="H1550" i="21"/>
  <c r="C1551" i="21" s="1"/>
  <c r="E1673" i="21"/>
  <c r="D1551" i="21" l="1"/>
  <c r="F1551" i="21" s="1"/>
  <c r="E1674" i="21"/>
  <c r="I1551" i="21" l="1"/>
  <c r="H1551" i="21"/>
  <c r="C1552" i="21" s="1"/>
  <c r="D1552" i="21" s="1"/>
  <c r="F1552" i="21" s="1"/>
  <c r="E1675" i="21"/>
  <c r="I1552" i="21" l="1"/>
  <c r="H1552" i="21"/>
  <c r="C1553" i="21" s="1"/>
  <c r="E1676" i="21"/>
  <c r="D1553" i="21" l="1"/>
  <c r="F1553" i="21" s="1"/>
  <c r="E1677" i="21"/>
  <c r="H1553" i="21" l="1"/>
  <c r="C1554" i="21" s="1"/>
  <c r="D1554" i="21" s="1"/>
  <c r="I1553" i="21"/>
  <c r="E1678" i="21"/>
  <c r="H1554" i="21" l="1"/>
  <c r="C1555" i="21" s="1"/>
  <c r="D1555" i="21" s="1"/>
  <c r="I1554" i="21"/>
  <c r="F1554" i="21"/>
  <c r="E1679" i="21"/>
  <c r="H1555" i="21" l="1"/>
  <c r="C1556" i="21" s="1"/>
  <c r="D1556" i="21" s="1"/>
  <c r="F1556" i="21" s="1"/>
  <c r="I1555" i="21"/>
  <c r="F1555" i="21"/>
  <c r="E1680" i="21"/>
  <c r="I1556" i="21" l="1"/>
  <c r="H1556" i="21"/>
  <c r="C1557" i="21" s="1"/>
  <c r="D1557" i="21" s="1"/>
  <c r="F1557" i="21" s="1"/>
  <c r="E1681" i="21"/>
  <c r="I1557" i="21" l="1"/>
  <c r="H1557" i="21"/>
  <c r="C1558" i="21" s="1"/>
  <c r="E1682" i="21"/>
  <c r="D1558" i="21" l="1"/>
  <c r="H1558" i="21" s="1"/>
  <c r="C1559" i="21" s="1"/>
  <c r="E1683" i="21"/>
  <c r="D1559" i="21" l="1"/>
  <c r="F1559" i="21" s="1"/>
  <c r="I1558" i="21"/>
  <c r="F1558" i="21"/>
  <c r="E1684" i="21"/>
  <c r="H1559" i="21" l="1"/>
  <c r="C1560" i="21" s="1"/>
  <c r="D1560" i="21" s="1"/>
  <c r="F1560" i="21" s="1"/>
  <c r="I1559" i="21"/>
  <c r="E1685" i="21"/>
  <c r="I1560" i="21" l="1"/>
  <c r="H1560" i="21"/>
  <c r="C1561" i="21" s="1"/>
  <c r="E1686" i="21"/>
  <c r="D1561" i="21" l="1"/>
  <c r="F1561" i="21" s="1"/>
  <c r="E1687" i="21"/>
  <c r="H1561" i="21" l="1"/>
  <c r="C1562" i="21" s="1"/>
  <c r="D1562" i="21" s="1"/>
  <c r="F1562" i="21" s="1"/>
  <c r="I1561" i="21"/>
  <c r="E1688" i="21"/>
  <c r="I1562" i="21" l="1"/>
  <c r="H1562" i="21"/>
  <c r="C1563" i="21" s="1"/>
  <c r="D1563" i="21" s="1"/>
  <c r="E1689" i="21"/>
  <c r="F1563" i="21" l="1"/>
  <c r="I1563" i="21"/>
  <c r="H1563" i="21"/>
  <c r="C1564" i="21" s="1"/>
  <c r="D1564" i="21" s="1"/>
  <c r="F1564" i="21" s="1"/>
  <c r="E1690" i="21"/>
  <c r="H1564" i="21" l="1"/>
  <c r="C1565" i="21" s="1"/>
  <c r="I1564" i="21"/>
  <c r="E1691" i="21"/>
  <c r="D1565" i="21" l="1"/>
  <c r="H1565" i="21" s="1"/>
  <c r="C1566" i="21" s="1"/>
  <c r="E1692" i="21"/>
  <c r="D1566" i="21" l="1"/>
  <c r="F1566" i="21" s="1"/>
  <c r="I1565" i="21"/>
  <c r="F1565" i="21"/>
  <c r="E1693" i="21"/>
  <c r="H1566" i="21" l="1"/>
  <c r="C1567" i="21" s="1"/>
  <c r="D1567" i="21" s="1"/>
  <c r="F1567" i="21" s="1"/>
  <c r="I1566" i="21"/>
  <c r="E1694" i="21"/>
  <c r="H1567" i="21" l="1"/>
  <c r="C1568" i="21" s="1"/>
  <c r="D1568" i="21" s="1"/>
  <c r="I1567" i="21"/>
  <c r="E1695" i="21"/>
  <c r="H1568" i="21" l="1"/>
  <c r="C1569" i="21" s="1"/>
  <c r="D1569" i="21" s="1"/>
  <c r="F1569" i="21" s="1"/>
  <c r="I1568" i="21"/>
  <c r="F1568" i="21"/>
  <c r="E1696" i="21"/>
  <c r="H1569" i="21" l="1"/>
  <c r="C1570" i="21" s="1"/>
  <c r="D1570" i="21" s="1"/>
  <c r="F1570" i="21" s="1"/>
  <c r="I1569" i="21"/>
  <c r="E1697" i="21"/>
  <c r="I1570" i="21" l="1"/>
  <c r="H1570" i="21"/>
  <c r="C1571" i="21" s="1"/>
  <c r="D1571" i="21" s="1"/>
  <c r="F1571" i="21" s="1"/>
  <c r="E1698" i="21"/>
  <c r="H1571" i="21" l="1"/>
  <c r="C1572" i="21" s="1"/>
  <c r="D1572" i="21" s="1"/>
  <c r="F1572" i="21" s="1"/>
  <c r="I1571" i="21"/>
  <c r="E1699" i="21"/>
  <c r="I1572" i="21" l="1"/>
  <c r="H1572" i="21"/>
  <c r="C1573" i="21" s="1"/>
  <c r="D1573" i="21" s="1"/>
  <c r="F1573" i="21" s="1"/>
  <c r="E1700" i="21"/>
  <c r="I1573" i="21" l="1"/>
  <c r="H1573" i="21"/>
  <c r="C1574" i="21" s="1"/>
  <c r="D1574" i="21" s="1"/>
  <c r="F1574" i="21" s="1"/>
  <c r="E1701" i="21"/>
  <c r="H1574" i="21" l="1"/>
  <c r="C1575" i="21" s="1"/>
  <c r="I1574" i="21"/>
  <c r="E1702" i="21"/>
  <c r="D1575" i="21" l="1"/>
  <c r="F1575" i="21" s="1"/>
  <c r="E1703" i="21"/>
  <c r="H1575" i="21" l="1"/>
  <c r="C1576" i="21" s="1"/>
  <c r="D1576" i="21" s="1"/>
  <c r="F1576" i="21" s="1"/>
  <c r="I1575" i="21"/>
  <c r="E1704" i="21"/>
  <c r="I1576" i="21" l="1"/>
  <c r="H1576" i="21"/>
  <c r="C1577" i="21" s="1"/>
  <c r="D1577" i="21" s="1"/>
  <c r="F1577" i="21" s="1"/>
  <c r="E1705" i="21"/>
  <c r="H1577" i="21" l="1"/>
  <c r="C1578" i="21" s="1"/>
  <c r="D1578" i="21" s="1"/>
  <c r="H1578" i="21" s="1"/>
  <c r="C1579" i="21" s="1"/>
  <c r="I1577" i="21"/>
  <c r="E1706" i="21"/>
  <c r="D1579" i="21" l="1"/>
  <c r="F1579" i="21" s="1"/>
  <c r="I1578" i="21"/>
  <c r="F1578" i="21"/>
  <c r="E1707" i="21"/>
  <c r="H1579" i="21" l="1"/>
  <c r="C1580" i="21" s="1"/>
  <c r="I1579" i="21"/>
  <c r="E1708" i="21"/>
  <c r="D1580" i="21" l="1"/>
  <c r="F1580" i="21" s="1"/>
  <c r="E1709" i="21"/>
  <c r="I1580" i="21" l="1"/>
  <c r="H1580" i="21"/>
  <c r="C1581" i="21" s="1"/>
  <c r="D1581" i="21" s="1"/>
  <c r="E1710" i="21"/>
  <c r="F1581" i="21" l="1"/>
  <c r="I1581" i="21"/>
  <c r="H1581" i="21"/>
  <c r="C1582" i="21" s="1"/>
  <c r="E1711" i="21"/>
  <c r="D1582" i="21" l="1"/>
  <c r="F1582" i="21" s="1"/>
  <c r="E1712" i="21"/>
  <c r="H1582" i="21" l="1"/>
  <c r="C1583" i="21" s="1"/>
  <c r="D1583" i="21" s="1"/>
  <c r="F1583" i="21" s="1"/>
  <c r="I1582" i="21"/>
  <c r="E1713" i="21"/>
  <c r="H1583" i="21" l="1"/>
  <c r="C1584" i="21" s="1"/>
  <c r="D1584" i="21" s="1"/>
  <c r="F1584" i="21" s="1"/>
  <c r="I1583" i="21"/>
  <c r="E1714" i="21"/>
  <c r="H1584" i="21" l="1"/>
  <c r="C1585" i="21" s="1"/>
  <c r="I1584" i="21"/>
  <c r="E1715" i="21"/>
  <c r="D1585" i="21" l="1"/>
  <c r="F1585" i="21" s="1"/>
  <c r="E1716" i="21"/>
  <c r="I1585" i="21" l="1"/>
  <c r="H1585" i="21"/>
  <c r="C1586" i="21" s="1"/>
  <c r="D1586" i="21" s="1"/>
  <c r="F1586" i="21" s="1"/>
  <c r="E1717" i="21"/>
  <c r="H1586" i="21" l="1"/>
  <c r="C1587" i="21" s="1"/>
  <c r="I1586" i="21"/>
  <c r="E1718" i="21"/>
  <c r="D1587" i="21" l="1"/>
  <c r="F1587" i="21" s="1"/>
  <c r="E1719" i="21"/>
  <c r="I1587" i="21" l="1"/>
  <c r="H1587" i="21"/>
  <c r="C1588" i="21" s="1"/>
  <c r="E1720" i="21"/>
  <c r="D1588" i="21" l="1"/>
  <c r="F1588" i="21" s="1"/>
  <c r="E1721" i="21"/>
  <c r="I1588" i="21" l="1"/>
  <c r="H1588" i="21"/>
  <c r="C1589" i="21" s="1"/>
  <c r="D1589" i="21" s="1"/>
  <c r="F1589" i="21" s="1"/>
  <c r="E1722" i="21"/>
  <c r="I1589" i="21" l="1"/>
  <c r="H1589" i="21"/>
  <c r="C1590" i="21" s="1"/>
  <c r="E1723" i="21"/>
  <c r="D1590" i="21" l="1"/>
  <c r="F1590" i="21" s="1"/>
  <c r="E1724" i="21"/>
  <c r="H1590" i="21" l="1"/>
  <c r="C1591" i="21" s="1"/>
  <c r="D1591" i="21" s="1"/>
  <c r="F1591" i="21" s="1"/>
  <c r="I1590" i="21"/>
  <c r="E1725" i="21"/>
  <c r="H1591" i="21" l="1"/>
  <c r="C1592" i="21" s="1"/>
  <c r="I1591" i="21"/>
  <c r="E1726" i="21"/>
  <c r="D1592" i="21" l="1"/>
  <c r="H1592" i="21" s="1"/>
  <c r="C1593" i="21" s="1"/>
  <c r="E1727" i="21"/>
  <c r="D1593" i="21" l="1"/>
  <c r="F1593" i="21" s="1"/>
  <c r="I1592" i="21"/>
  <c r="F1592" i="21"/>
  <c r="E1728" i="21"/>
  <c r="I1593" i="21" l="1"/>
  <c r="H1593" i="21"/>
  <c r="C1594" i="21" s="1"/>
  <c r="E1729" i="21"/>
  <c r="D1594" i="21" l="1"/>
  <c r="F1594" i="21" s="1"/>
  <c r="E1730" i="21"/>
  <c r="I1594" i="21" l="1"/>
  <c r="H1594" i="21"/>
  <c r="C1595" i="21" s="1"/>
  <c r="D1595" i="21" s="1"/>
  <c r="F1595" i="21" s="1"/>
  <c r="E1731" i="21"/>
  <c r="I1595" i="21" l="1"/>
  <c r="H1595" i="21"/>
  <c r="C1596" i="21" s="1"/>
  <c r="E1732" i="21"/>
  <c r="D1596" i="21" l="1"/>
  <c r="F1596" i="21" s="1"/>
  <c r="E1733" i="21"/>
  <c r="H1596" i="21" l="1"/>
  <c r="C1597" i="21" s="1"/>
  <c r="D1597" i="21" s="1"/>
  <c r="H1597" i="21" s="1"/>
  <c r="C1598" i="21" s="1"/>
  <c r="I1596" i="21"/>
  <c r="E1734" i="21"/>
  <c r="F1597" i="21" l="1"/>
  <c r="I1597" i="21"/>
  <c r="D1598" i="21"/>
  <c r="F1598" i="21" s="1"/>
  <c r="E1735" i="21"/>
  <c r="I1598" i="21" l="1"/>
  <c r="H1598" i="21"/>
  <c r="C1599" i="21" s="1"/>
  <c r="E1736" i="21"/>
  <c r="D1599" i="21" l="1"/>
  <c r="F1599" i="21" s="1"/>
  <c r="E1737" i="21"/>
  <c r="I1599" i="21" l="1"/>
  <c r="H1599" i="21"/>
  <c r="C1600" i="21" s="1"/>
  <c r="D1600" i="21" s="1"/>
  <c r="H1600" i="21" s="1"/>
  <c r="C1601" i="21" s="1"/>
  <c r="E1738" i="21"/>
  <c r="D1601" i="21" l="1"/>
  <c r="H1601" i="21" s="1"/>
  <c r="C1602" i="21" s="1"/>
  <c r="I1600" i="21"/>
  <c r="F1600" i="21"/>
  <c r="E1739" i="21"/>
  <c r="D1602" i="21" l="1"/>
  <c r="F1602" i="21" s="1"/>
  <c r="I1601" i="21"/>
  <c r="F1601" i="21"/>
  <c r="E1740" i="21"/>
  <c r="I1602" i="21" l="1"/>
  <c r="H1602" i="21"/>
  <c r="C1603" i="21" s="1"/>
  <c r="D1603" i="21" s="1"/>
  <c r="F1603" i="21" s="1"/>
  <c r="E1741" i="21"/>
  <c r="I1603" i="21" l="1"/>
  <c r="H1603" i="21"/>
  <c r="C1604" i="21" s="1"/>
  <c r="E1742" i="21"/>
  <c r="D1604" i="21" l="1"/>
  <c r="F1604" i="21" s="1"/>
  <c r="E1743" i="21"/>
  <c r="I1604" i="21" l="1"/>
  <c r="H1604" i="21"/>
  <c r="C1605" i="21" s="1"/>
  <c r="E1744" i="21"/>
  <c r="D1605" i="21" l="1"/>
  <c r="F1605" i="21" s="1"/>
  <c r="E1745" i="21"/>
  <c r="I1605" i="21" l="1"/>
  <c r="H1605" i="21"/>
  <c r="C1606" i="21" s="1"/>
  <c r="E1746" i="21"/>
  <c r="D1606" i="21" l="1"/>
  <c r="F1606" i="21" s="1"/>
  <c r="E1747" i="21"/>
  <c r="I1606" i="21" l="1"/>
  <c r="H1606" i="21"/>
  <c r="C1607" i="21" s="1"/>
  <c r="E1748" i="21"/>
  <c r="D1607" i="21" l="1"/>
  <c r="F1607" i="21" s="1"/>
  <c r="E1749" i="21"/>
  <c r="I1607" i="21" l="1"/>
  <c r="H1607" i="21"/>
  <c r="C1608" i="21" s="1"/>
  <c r="D1608" i="21" s="1"/>
  <c r="F1608" i="21" s="1"/>
  <c r="E1750" i="21"/>
  <c r="I1608" i="21" l="1"/>
  <c r="H1608" i="21"/>
  <c r="C1609" i="21" s="1"/>
  <c r="E1751" i="21"/>
  <c r="D1609" i="21" l="1"/>
  <c r="E1752" i="21"/>
  <c r="I1609" i="21" l="1"/>
  <c r="F1609" i="21"/>
  <c r="H1609" i="21"/>
  <c r="C1610" i="21" s="1"/>
  <c r="E1753" i="21"/>
  <c r="D1610" i="21" l="1"/>
  <c r="F1610" i="21" s="1"/>
  <c r="E1754" i="21"/>
  <c r="I1610" i="21" l="1"/>
  <c r="H1610" i="21"/>
  <c r="C1611" i="21" s="1"/>
  <c r="D1611" i="21" s="1"/>
  <c r="H1611" i="21" s="1"/>
  <c r="C1612" i="21" s="1"/>
  <c r="E1755" i="21"/>
  <c r="D1612" i="21" l="1"/>
  <c r="F1612" i="21" s="1"/>
  <c r="I1611" i="21"/>
  <c r="F1611" i="21"/>
  <c r="E1756" i="21"/>
  <c r="H1612" i="21" l="1"/>
  <c r="C1613" i="21" s="1"/>
  <c r="D1613" i="21" s="1"/>
  <c r="F1613" i="21" s="1"/>
  <c r="I1612" i="21"/>
  <c r="E1757" i="21"/>
  <c r="H1613" i="21" l="1"/>
  <c r="C1614" i="21" s="1"/>
  <c r="D1614" i="21" s="1"/>
  <c r="F1614" i="21" s="1"/>
  <c r="I1613" i="21"/>
  <c r="E1758" i="21"/>
  <c r="H1614" i="21" l="1"/>
  <c r="C1615" i="21" s="1"/>
  <c r="D1615" i="21" s="1"/>
  <c r="I1614" i="21"/>
  <c r="E1759" i="21"/>
  <c r="H1615" i="21" l="1"/>
  <c r="C1616" i="21" s="1"/>
  <c r="D1616" i="21" s="1"/>
  <c r="F1616" i="21" s="1"/>
  <c r="I1615" i="21"/>
  <c r="F1615" i="21"/>
  <c r="E1760" i="21"/>
  <c r="I1616" i="21" l="1"/>
  <c r="H1616" i="21"/>
  <c r="C1617" i="21" s="1"/>
  <c r="E1761" i="21"/>
  <c r="D1617" i="21" l="1"/>
  <c r="F1617" i="21" s="1"/>
  <c r="E1762" i="21"/>
  <c r="H1617" i="21" l="1"/>
  <c r="C1618" i="21" s="1"/>
  <c r="I1617" i="21"/>
  <c r="E1763" i="21"/>
  <c r="D1618" i="21" l="1"/>
  <c r="F1618" i="21" s="1"/>
  <c r="E1764" i="21"/>
  <c r="I1618" i="21" l="1"/>
  <c r="H1618" i="21"/>
  <c r="C1619" i="21" s="1"/>
  <c r="D1619" i="21" s="1"/>
  <c r="H1619" i="21" s="1"/>
  <c r="C1620" i="21" s="1"/>
  <c r="D1620" i="21" s="1"/>
  <c r="F1620" i="21" s="1"/>
  <c r="F1619" i="21"/>
  <c r="E1765" i="21"/>
  <c r="I1619" i="21" l="1"/>
  <c r="H1620" i="21"/>
  <c r="C1621" i="21" s="1"/>
  <c r="I1620" i="21"/>
  <c r="E1766" i="21"/>
  <c r="D1621" i="21" l="1"/>
  <c r="H1621" i="21" s="1"/>
  <c r="C1622" i="21" s="1"/>
  <c r="E1767" i="21"/>
  <c r="F1621" i="21" l="1"/>
  <c r="I1621" i="21"/>
  <c r="D1622" i="21"/>
  <c r="F1622" i="21" s="1"/>
  <c r="E1768" i="21"/>
  <c r="H1622" i="21" l="1"/>
  <c r="C1623" i="21" s="1"/>
  <c r="I1622" i="21"/>
  <c r="E1769" i="21"/>
  <c r="D1623" i="21" l="1"/>
  <c r="F1623" i="21" s="1"/>
  <c r="E1770" i="21"/>
  <c r="I1623" i="21" l="1"/>
  <c r="H1623" i="21"/>
  <c r="C1624" i="21" s="1"/>
  <c r="E1771" i="21"/>
  <c r="D1624" i="21" l="1"/>
  <c r="F1624" i="21" s="1"/>
  <c r="E1772" i="21"/>
  <c r="H1624" i="21" l="1"/>
  <c r="C1625" i="21" s="1"/>
  <c r="I1624" i="21"/>
  <c r="E1773" i="21"/>
  <c r="D1625" i="21" l="1"/>
  <c r="I1625" i="21" s="1"/>
  <c r="E1774" i="21"/>
  <c r="H1625" i="21" l="1"/>
  <c r="C1626" i="21" s="1"/>
  <c r="F1625" i="21"/>
  <c r="E1775" i="21"/>
  <c r="D1626" i="21" l="1"/>
  <c r="I1626" i="21" s="1"/>
  <c r="E1776" i="21"/>
  <c r="H1626" i="21" l="1"/>
  <c r="C1627" i="21" s="1"/>
  <c r="D1627" i="21" s="1"/>
  <c r="F1627" i="21" s="1"/>
  <c r="F1626" i="21"/>
  <c r="E1777" i="21"/>
  <c r="H1627" i="21" l="1"/>
  <c r="C1628" i="21" s="1"/>
  <c r="D1628" i="21" s="1"/>
  <c r="I1628" i="21" s="1"/>
  <c r="I1627" i="21"/>
  <c r="E1778" i="21"/>
  <c r="H1628" i="21" l="1"/>
  <c r="C1629" i="21" s="1"/>
  <c r="D1629" i="21" s="1"/>
  <c r="F1628" i="21"/>
  <c r="E1779" i="21"/>
  <c r="H1629" i="21" l="1"/>
  <c r="C1630" i="21" s="1"/>
  <c r="D1630" i="21" s="1"/>
  <c r="F1630" i="21" s="1"/>
  <c r="F1629" i="21"/>
  <c r="I1629" i="21"/>
  <c r="E1780" i="21"/>
  <c r="I1630" i="21" l="1"/>
  <c r="H1630" i="21"/>
  <c r="C1631" i="21" s="1"/>
  <c r="D1631" i="21" s="1"/>
  <c r="I1631" i="21" s="1"/>
  <c r="E1781" i="21"/>
  <c r="H1631" i="21" l="1"/>
  <c r="C1632" i="21" s="1"/>
  <c r="F1631" i="21"/>
  <c r="E1782" i="21"/>
  <c r="D1632" i="21" l="1"/>
  <c r="I1632" i="21" s="1"/>
  <c r="E1783" i="21"/>
  <c r="H1632" i="21" l="1"/>
  <c r="C1633" i="21" s="1"/>
  <c r="D1633" i="21" s="1"/>
  <c r="F1632" i="21"/>
  <c r="E1784" i="21"/>
  <c r="I1633" i="21" l="1"/>
  <c r="F1633" i="21"/>
  <c r="H1633" i="21"/>
  <c r="C1634" i="21" s="1"/>
  <c r="E1785" i="21"/>
  <c r="D1634" i="21" l="1"/>
  <c r="I1634" i="21" s="1"/>
  <c r="E1786" i="21"/>
  <c r="H1634" i="21" l="1"/>
  <c r="C1635" i="21" s="1"/>
  <c r="F1634" i="21"/>
  <c r="E1787" i="21"/>
  <c r="D1635" i="21" l="1"/>
  <c r="H1635" i="21" s="1"/>
  <c r="C1636" i="21" s="1"/>
  <c r="E1788" i="21"/>
  <c r="D1636" i="21" l="1"/>
  <c r="H1636" i="21" s="1"/>
  <c r="C1637" i="21" s="1"/>
  <c r="I1635" i="21"/>
  <c r="F1635" i="21"/>
  <c r="E1789" i="21"/>
  <c r="F1636" i="21" l="1"/>
  <c r="D1637" i="21"/>
  <c r="H1637" i="21" s="1"/>
  <c r="C1638" i="21" s="1"/>
  <c r="I1636" i="21"/>
  <c r="E1790" i="21"/>
  <c r="D1638" i="21" l="1"/>
  <c r="H1638" i="21" s="1"/>
  <c r="C1639" i="21" s="1"/>
  <c r="I1637" i="21"/>
  <c r="F1637" i="21"/>
  <c r="E1791" i="21"/>
  <c r="F1638" i="21" l="1"/>
  <c r="D1639" i="21"/>
  <c r="I1639" i="21" s="1"/>
  <c r="I1638" i="21"/>
  <c r="E1792" i="21"/>
  <c r="H1639" i="21" l="1"/>
  <c r="C1640" i="21" s="1"/>
  <c r="D1640" i="21" s="1"/>
  <c r="I1640" i="21" s="1"/>
  <c r="F1639" i="21"/>
  <c r="E1793" i="21"/>
  <c r="H1640" i="21" l="1"/>
  <c r="C1641" i="21" s="1"/>
  <c r="F1640" i="21"/>
  <c r="E1794" i="21"/>
  <c r="D1641" i="21" l="1"/>
  <c r="F1641" i="21" s="1"/>
  <c r="E1795" i="21"/>
  <c r="I1641" i="21" l="1"/>
  <c r="H1641" i="21"/>
  <c r="C1642" i="21" s="1"/>
  <c r="E1796" i="21"/>
  <c r="D1642" i="21" l="1"/>
  <c r="F1642" i="21" s="1"/>
  <c r="E1797" i="21"/>
  <c r="H1642" i="21" l="1"/>
  <c r="C1643" i="21" s="1"/>
  <c r="D1643" i="21" s="1"/>
  <c r="F1643" i="21" s="1"/>
  <c r="I1642" i="21"/>
  <c r="E1798" i="21"/>
  <c r="H1643" i="21" l="1"/>
  <c r="C1644" i="21" s="1"/>
  <c r="D1644" i="21" s="1"/>
  <c r="F1644" i="21" s="1"/>
  <c r="I1643" i="21"/>
  <c r="E1799" i="21"/>
  <c r="H1644" i="21" l="1"/>
  <c r="C1645" i="21" s="1"/>
  <c r="I1644" i="21"/>
  <c r="E1800" i="21"/>
  <c r="D1645" i="21" l="1"/>
  <c r="F1645" i="21" s="1"/>
  <c r="E1801" i="21"/>
  <c r="I1645" i="21" l="1"/>
  <c r="H1645" i="21"/>
  <c r="C1646" i="21" s="1"/>
  <c r="D1646" i="21" s="1"/>
  <c r="H1646" i="21" s="1"/>
  <c r="C1647" i="21" s="1"/>
  <c r="E1802" i="21"/>
  <c r="I1646" i="21" l="1"/>
  <c r="D1647" i="21"/>
  <c r="F1647" i="21" s="1"/>
  <c r="F1646" i="21"/>
  <c r="E1803" i="21"/>
  <c r="H1647" i="21" l="1"/>
  <c r="C1648" i="21" s="1"/>
  <c r="I1647" i="21"/>
  <c r="E1804" i="21"/>
  <c r="D1648" i="21" l="1"/>
  <c r="I1648" i="21" s="1"/>
  <c r="E1805" i="21"/>
  <c r="H1648" i="21" l="1"/>
  <c r="C1649" i="21" s="1"/>
  <c r="F1648" i="21"/>
  <c r="E1806" i="21"/>
  <c r="D1649" i="21" l="1"/>
  <c r="I1649" i="21" s="1"/>
  <c r="E1807" i="21"/>
  <c r="H1649" i="21" l="1"/>
  <c r="C1650" i="21" s="1"/>
  <c r="F1649" i="21"/>
  <c r="E1808" i="21"/>
  <c r="D1650" i="21" l="1"/>
  <c r="E1809" i="21"/>
  <c r="H1650" i="21" l="1"/>
  <c r="C1651" i="21" s="1"/>
  <c r="F1650" i="21"/>
  <c r="I1650" i="21"/>
  <c r="E1810" i="21"/>
  <c r="D1651" i="21" l="1"/>
  <c r="E1811" i="21"/>
  <c r="F1651" i="21" l="1"/>
  <c r="I1651" i="21"/>
  <c r="H1651" i="21"/>
  <c r="C1652" i="21" s="1"/>
  <c r="E1812" i="21"/>
  <c r="D1652" i="21" l="1"/>
  <c r="H1652" i="21" s="1"/>
  <c r="C1653" i="21" s="1"/>
  <c r="E1813" i="21"/>
  <c r="I1652" i="21" l="1"/>
  <c r="D1653" i="21"/>
  <c r="F1653" i="21" s="1"/>
  <c r="F1652" i="21"/>
  <c r="E1814" i="21"/>
  <c r="H1653" i="21" l="1"/>
  <c r="C1654" i="21" s="1"/>
  <c r="D1654" i="21" s="1"/>
  <c r="H1654" i="21" s="1"/>
  <c r="C1655" i="21" s="1"/>
  <c r="I1653" i="21"/>
  <c r="E1815" i="21"/>
  <c r="I1654" i="21" l="1"/>
  <c r="D1655" i="21"/>
  <c r="F1655" i="21" s="1"/>
  <c r="F1654" i="21"/>
  <c r="E1816" i="21"/>
  <c r="I1655" i="21" l="1"/>
  <c r="H1655" i="21"/>
  <c r="C1656" i="21" s="1"/>
  <c r="E1817" i="21"/>
  <c r="D1656" i="21" l="1"/>
  <c r="I1656" i="21" s="1"/>
  <c r="E1818" i="21"/>
  <c r="F1656" i="21" l="1"/>
  <c r="H1656" i="21"/>
  <c r="C1657" i="21" s="1"/>
  <c r="E1819" i="21"/>
  <c r="D1657" i="21" l="1"/>
  <c r="I1657" i="21" s="1"/>
  <c r="E1820" i="21"/>
  <c r="F1657" i="21" l="1"/>
  <c r="H1657" i="21"/>
  <c r="C1658" i="21" s="1"/>
  <c r="E1821" i="21"/>
  <c r="D1658" i="21" l="1"/>
  <c r="H1658" i="21" s="1"/>
  <c r="C1659" i="21" s="1"/>
  <c r="E1822" i="21"/>
  <c r="D1659" i="21" l="1"/>
  <c r="H1659" i="21" s="1"/>
  <c r="C1660" i="21" s="1"/>
  <c r="F1658" i="21"/>
  <c r="I1658" i="21"/>
  <c r="E1823" i="21"/>
  <c r="F1659" i="21" l="1"/>
  <c r="I1659" i="21"/>
  <c r="D1660" i="21"/>
  <c r="F1660" i="21" s="1"/>
  <c r="E1824" i="21"/>
  <c r="I1660" i="21" l="1"/>
  <c r="H1660" i="21"/>
  <c r="C1661" i="21" s="1"/>
  <c r="E1825" i="21"/>
  <c r="D1661" i="21" l="1"/>
  <c r="F1661" i="21" s="1"/>
  <c r="E1826" i="21"/>
  <c r="I1661" i="21" l="1"/>
  <c r="H1661" i="21"/>
  <c r="C1662" i="21" s="1"/>
  <c r="E1827" i="21"/>
  <c r="D1662" i="21" l="1"/>
  <c r="F1662" i="21" s="1"/>
  <c r="E1828" i="21"/>
  <c r="I1662" i="21" l="1"/>
  <c r="H1662" i="21"/>
  <c r="C1663" i="21" s="1"/>
  <c r="E1829" i="21"/>
  <c r="D1663" i="21" l="1"/>
  <c r="E1830" i="21"/>
  <c r="F1663" i="21" l="1"/>
  <c r="H1663" i="21"/>
  <c r="C1664" i="21" s="1"/>
  <c r="I1663" i="21"/>
  <c r="E1831" i="21"/>
  <c r="D1664" i="21" l="1"/>
  <c r="H1664" i="21" s="1"/>
  <c r="C1665" i="21" s="1"/>
  <c r="E1832" i="21"/>
  <c r="D1665" i="21" l="1"/>
  <c r="F1665" i="21" s="1"/>
  <c r="I1664" i="21"/>
  <c r="F1664" i="21"/>
  <c r="E1833" i="21"/>
  <c r="H1665" i="21" l="1"/>
  <c r="C1666" i="21" s="1"/>
  <c r="D1666" i="21" s="1"/>
  <c r="H1666" i="21" s="1"/>
  <c r="C1667" i="21" s="1"/>
  <c r="I1665" i="21"/>
  <c r="E1834" i="21"/>
  <c r="I1666" i="21" l="1"/>
  <c r="D1667" i="21"/>
  <c r="H1667" i="21" s="1"/>
  <c r="C1668" i="21" s="1"/>
  <c r="F1666" i="21"/>
  <c r="E1835" i="21"/>
  <c r="I1667" i="21" l="1"/>
  <c r="D1668" i="21"/>
  <c r="H1668" i="21" s="1"/>
  <c r="C1669" i="21" s="1"/>
  <c r="F1667" i="21"/>
  <c r="E1836" i="21"/>
  <c r="D1669" i="21" l="1"/>
  <c r="I1669" i="21" s="1"/>
  <c r="I1668" i="21"/>
  <c r="F1668" i="21"/>
  <c r="E1837" i="21"/>
  <c r="H1669" i="21" l="1"/>
  <c r="C1670" i="21" s="1"/>
  <c r="D1670" i="21" s="1"/>
  <c r="H1670" i="21" s="1"/>
  <c r="C1671" i="21" s="1"/>
  <c r="F1669" i="21"/>
  <c r="E1838" i="21"/>
  <c r="D1671" i="21" l="1"/>
  <c r="I1671" i="21" s="1"/>
  <c r="F1670" i="21"/>
  <c r="I1670" i="21"/>
  <c r="E1839" i="21"/>
  <c r="H1671" i="21" l="1"/>
  <c r="C1672" i="21" s="1"/>
  <c r="D1672" i="21" s="1"/>
  <c r="I1672" i="21" s="1"/>
  <c r="F1671" i="21"/>
  <c r="E1840" i="21"/>
  <c r="H1672" i="21" l="1"/>
  <c r="C1673" i="21" s="1"/>
  <c r="F1672" i="21"/>
  <c r="E1841" i="21"/>
  <c r="D1673" i="21" l="1"/>
  <c r="E1842" i="21"/>
  <c r="F1673" i="21" l="1"/>
  <c r="I1673" i="21"/>
  <c r="H1673" i="21"/>
  <c r="C1674" i="21" s="1"/>
  <c r="E1843" i="21"/>
  <c r="D1674" i="21" l="1"/>
  <c r="I1674" i="21" s="1"/>
  <c r="E1844" i="21"/>
  <c r="H1674" i="21" l="1"/>
  <c r="C1675" i="21" s="1"/>
  <c r="D1675" i="21" s="1"/>
  <c r="F1675" i="21" s="1"/>
  <c r="F1674" i="21"/>
  <c r="E1845" i="21"/>
  <c r="H1675" i="21" l="1"/>
  <c r="C1676" i="21" s="1"/>
  <c r="I1675" i="21"/>
  <c r="E1846" i="21"/>
  <c r="D1676" i="21" l="1"/>
  <c r="I1676" i="21" s="1"/>
  <c r="E1847" i="21"/>
  <c r="H1676" i="21" l="1"/>
  <c r="C1677" i="21" s="1"/>
  <c r="F1676" i="21"/>
  <c r="E1848" i="21"/>
  <c r="D1677" i="21" l="1"/>
  <c r="H1677" i="21" s="1"/>
  <c r="C1678" i="21" s="1"/>
  <c r="E1849" i="21"/>
  <c r="D1678" i="21" l="1"/>
  <c r="F1678" i="21" s="1"/>
  <c r="I1677" i="21"/>
  <c r="F1677" i="21"/>
  <c r="E1850" i="21"/>
  <c r="I1678" i="21" l="1"/>
  <c r="H1678" i="21"/>
  <c r="C1679" i="21" s="1"/>
  <c r="E1851" i="21"/>
  <c r="D1679" i="21" l="1"/>
  <c r="H1679" i="21" s="1"/>
  <c r="C1680" i="21" s="1"/>
  <c r="E1852" i="21"/>
  <c r="D1680" i="21" l="1"/>
  <c r="F1680" i="21" s="1"/>
  <c r="I1679" i="21"/>
  <c r="F1679" i="21"/>
  <c r="E1853" i="21"/>
  <c r="I1680" i="21" l="1"/>
  <c r="H1680" i="21"/>
  <c r="C1681" i="21" s="1"/>
  <c r="E1854" i="21"/>
  <c r="D1681" i="21" l="1"/>
  <c r="H1681" i="21" s="1"/>
  <c r="C1682" i="21" s="1"/>
  <c r="E1855" i="21"/>
  <c r="I1681" i="21" l="1"/>
  <c r="D1682" i="21"/>
  <c r="I1682" i="21" s="1"/>
  <c r="F1681" i="21"/>
  <c r="F1682" i="21"/>
  <c r="E1856" i="21"/>
  <c r="H1682" i="21" l="1"/>
  <c r="C1683" i="21" s="1"/>
  <c r="E1857" i="21"/>
  <c r="D1683" i="21" l="1"/>
  <c r="H1683" i="21" s="1"/>
  <c r="C1684" i="21" s="1"/>
  <c r="E1858" i="21"/>
  <c r="D1684" i="21" l="1"/>
  <c r="H1684" i="21" s="1"/>
  <c r="C1685" i="21" s="1"/>
  <c r="I1683" i="21"/>
  <c r="F1683" i="21"/>
  <c r="E1859" i="21"/>
  <c r="I1684" i="21" l="1"/>
  <c r="D1685" i="21"/>
  <c r="I1685" i="21" s="1"/>
  <c r="F1684" i="21"/>
  <c r="E1860" i="21"/>
  <c r="H1685" i="21" l="1"/>
  <c r="C1686" i="21" s="1"/>
  <c r="D1686" i="21" s="1"/>
  <c r="H1686" i="21" s="1"/>
  <c r="C1687" i="21" s="1"/>
  <c r="F1685" i="21"/>
  <c r="E1861" i="21"/>
  <c r="D1687" i="21" l="1"/>
  <c r="I1687" i="21" s="1"/>
  <c r="I1686" i="21"/>
  <c r="F1686" i="21"/>
  <c r="E1862" i="21"/>
  <c r="H1687" i="21" l="1"/>
  <c r="C1688" i="21" s="1"/>
  <c r="D1688" i="21" s="1"/>
  <c r="I1688" i="21" s="1"/>
  <c r="F1687" i="21"/>
  <c r="E1863" i="21"/>
  <c r="H1688" i="21" l="1"/>
  <c r="C1689" i="21" s="1"/>
  <c r="D1689" i="21" s="1"/>
  <c r="F1688" i="21"/>
  <c r="E1864" i="21"/>
  <c r="I1689" i="21" l="1"/>
  <c r="H1689" i="21"/>
  <c r="C1690" i="21" s="1"/>
  <c r="D1690" i="21" s="1"/>
  <c r="F1689" i="21"/>
  <c r="E1865" i="21"/>
  <c r="I1690" i="21" l="1"/>
  <c r="H1690" i="21"/>
  <c r="C1691" i="21" s="1"/>
  <c r="D1691" i="21" s="1"/>
  <c r="H1691" i="21" s="1"/>
  <c r="C1692" i="21" s="1"/>
  <c r="F1690" i="21"/>
  <c r="E1866" i="21"/>
  <c r="D1692" i="21" l="1"/>
  <c r="I1692" i="21" s="1"/>
  <c r="I1691" i="21"/>
  <c r="F1691" i="21"/>
  <c r="E1867" i="21"/>
  <c r="H1692" i="21" l="1"/>
  <c r="C1693" i="21" s="1"/>
  <c r="D1693" i="21" s="1"/>
  <c r="F1692" i="21"/>
  <c r="E1868" i="21"/>
  <c r="H1693" i="21" l="1"/>
  <c r="C1694" i="21" s="1"/>
  <c r="D1694" i="21" s="1"/>
  <c r="F1693" i="21"/>
  <c r="I1693" i="21"/>
  <c r="E1869" i="21"/>
  <c r="I1694" i="21" l="1"/>
  <c r="F1694" i="21"/>
  <c r="H1694" i="21"/>
  <c r="C1695" i="21" s="1"/>
  <c r="D1695" i="21" s="1"/>
  <c r="H1695" i="21" s="1"/>
  <c r="C1696" i="21" s="1"/>
  <c r="E1870" i="21"/>
  <c r="D1696" i="21" l="1"/>
  <c r="I1696" i="21" s="1"/>
  <c r="F1695" i="21"/>
  <c r="I1695" i="21"/>
  <c r="E1871" i="21"/>
  <c r="F1696" i="21" l="1"/>
  <c r="H1696" i="21"/>
  <c r="C1697" i="21" s="1"/>
  <c r="E1872" i="21"/>
  <c r="D1697" i="21" l="1"/>
  <c r="H1697" i="21" s="1"/>
  <c r="C1698" i="21" s="1"/>
  <c r="E1873" i="21"/>
  <c r="D1698" i="21" l="1"/>
  <c r="H1698" i="21" s="1"/>
  <c r="C1699" i="21" s="1"/>
  <c r="I1697" i="21"/>
  <c r="F1697" i="21"/>
  <c r="E1874" i="21"/>
  <c r="I1698" i="21" l="1"/>
  <c r="D1699" i="21"/>
  <c r="I1699" i="21" s="1"/>
  <c r="F1698" i="21"/>
  <c r="E1875" i="21"/>
  <c r="H1699" i="21" l="1"/>
  <c r="C1700" i="21" s="1"/>
  <c r="D1700" i="21" s="1"/>
  <c r="H1700" i="21" s="1"/>
  <c r="C1701" i="21" s="1"/>
  <c r="F1699" i="21"/>
  <c r="E1876" i="21"/>
  <c r="I1700" i="21" l="1"/>
  <c r="D1701" i="21"/>
  <c r="I1701" i="21" s="1"/>
  <c r="F1700" i="21"/>
  <c r="E1877" i="21"/>
  <c r="H1701" i="21" l="1"/>
  <c r="C1702" i="21" s="1"/>
  <c r="F1701" i="21"/>
  <c r="E1878" i="21"/>
  <c r="D1702" i="21" l="1"/>
  <c r="H1702" i="21" s="1"/>
  <c r="C1703" i="21" s="1"/>
  <c r="E1879" i="21"/>
  <c r="D1703" i="21" l="1"/>
  <c r="I1703" i="21" s="1"/>
  <c r="I1702" i="21"/>
  <c r="F1702" i="21"/>
  <c r="E1880" i="21"/>
  <c r="F1703" i="21" l="1"/>
  <c r="H1703" i="21"/>
  <c r="C1704" i="21" s="1"/>
  <c r="E1881" i="21"/>
  <c r="D1704" i="21" l="1"/>
  <c r="I1704" i="21" s="1"/>
  <c r="E1882" i="21"/>
  <c r="H1704" i="21" l="1"/>
  <c r="C1705" i="21" s="1"/>
  <c r="F1704" i="21"/>
  <c r="E1883" i="21"/>
  <c r="D1705" i="21" l="1"/>
  <c r="H1705" i="21" s="1"/>
  <c r="C1706" i="21" s="1"/>
  <c r="E1884" i="21"/>
  <c r="D1706" i="21" l="1"/>
  <c r="H1706" i="21" s="1"/>
  <c r="C1707" i="21" s="1"/>
  <c r="I1705" i="21"/>
  <c r="F1705" i="21"/>
  <c r="E1885" i="21"/>
  <c r="F1706" i="21" l="1"/>
  <c r="I1706" i="21"/>
  <c r="D1707" i="21"/>
  <c r="H1707" i="21" s="1"/>
  <c r="C1708" i="21" s="1"/>
  <c r="E1886" i="21"/>
  <c r="I1707" i="21" l="1"/>
  <c r="D1708" i="21"/>
  <c r="F1708" i="21" s="1"/>
  <c r="F1707" i="21"/>
  <c r="E1887" i="21"/>
  <c r="H1708" i="21" l="1"/>
  <c r="C1709" i="21" s="1"/>
  <c r="D1709" i="21" s="1"/>
  <c r="I1708" i="21"/>
  <c r="E1888" i="21"/>
  <c r="F1709" i="21" l="1"/>
  <c r="I1709" i="21"/>
  <c r="H1709" i="21"/>
  <c r="C1710" i="21" s="1"/>
  <c r="E1889" i="21"/>
  <c r="D1710" i="21" l="1"/>
  <c r="E1890" i="21"/>
  <c r="H1710" i="21" l="1"/>
  <c r="C1711" i="21" s="1"/>
  <c r="F1710" i="21"/>
  <c r="I1710" i="21"/>
  <c r="E1891" i="21"/>
  <c r="D1711" i="21" l="1"/>
  <c r="H1711" i="21" s="1"/>
  <c r="C1712" i="21" s="1"/>
  <c r="E1892" i="21"/>
  <c r="D1712" i="21" l="1"/>
  <c r="F1712" i="21" s="1"/>
  <c r="I1711" i="21"/>
  <c r="F1711" i="21"/>
  <c r="E1893" i="21"/>
  <c r="I1712" i="21" l="1"/>
  <c r="H1712" i="21"/>
  <c r="C1713" i="21" s="1"/>
  <c r="D1713" i="21" s="1"/>
  <c r="H1713" i="21" s="1"/>
  <c r="C1714" i="21" s="1"/>
  <c r="E1894" i="21"/>
  <c r="D1714" i="21" l="1"/>
  <c r="F1714" i="21" s="1"/>
  <c r="I1713" i="21"/>
  <c r="F1713" i="21"/>
  <c r="E1895" i="21"/>
  <c r="H1714" i="21" l="1"/>
  <c r="C1715" i="21" s="1"/>
  <c r="D1715" i="21" s="1"/>
  <c r="I1715" i="21" s="1"/>
  <c r="I1714" i="21"/>
  <c r="E1896" i="21"/>
  <c r="H1715" i="21" l="1"/>
  <c r="C1716" i="21" s="1"/>
  <c r="D1716" i="21" s="1"/>
  <c r="F1716" i="21" s="1"/>
  <c r="F1715" i="21"/>
  <c r="E1897" i="21"/>
  <c r="H1716" i="21" l="1"/>
  <c r="C1717" i="21" s="1"/>
  <c r="D1717" i="21" s="1"/>
  <c r="I1716" i="21"/>
  <c r="E1898" i="21"/>
  <c r="H1717" i="21" l="1"/>
  <c r="C1718" i="21" s="1"/>
  <c r="F1717" i="21"/>
  <c r="I1717" i="21"/>
  <c r="E1899" i="21"/>
  <c r="D1718" i="21" l="1"/>
  <c r="H1718" i="21" s="1"/>
  <c r="C1719" i="21" s="1"/>
  <c r="E1900" i="21"/>
  <c r="I1718" i="21" l="1"/>
  <c r="D1719" i="21"/>
  <c r="I1719" i="21" s="1"/>
  <c r="F1718" i="21"/>
  <c r="F1719" i="21"/>
  <c r="E1901" i="21"/>
  <c r="H1719" i="21" l="1"/>
  <c r="C1720" i="21" s="1"/>
  <c r="D1720" i="21" s="1"/>
  <c r="F1720" i="21" s="1"/>
  <c r="E1902" i="21"/>
  <c r="H1720" i="21" l="1"/>
  <c r="C1721" i="21" s="1"/>
  <c r="D1721" i="21" s="1"/>
  <c r="F1721" i="21" s="1"/>
  <c r="I1720" i="21"/>
  <c r="E1903" i="21"/>
  <c r="I1721" i="21" l="1"/>
  <c r="H1721" i="21"/>
  <c r="C1722" i="21" s="1"/>
  <c r="D1722" i="21" s="1"/>
  <c r="E1904" i="21"/>
  <c r="I1722" i="21" l="1"/>
  <c r="H1722" i="21"/>
  <c r="C1723" i="21" s="1"/>
  <c r="D1723" i="21" s="1"/>
  <c r="F1723" i="21" s="1"/>
  <c r="F1722" i="21"/>
  <c r="E1905" i="21"/>
  <c r="H1723" i="21" l="1"/>
  <c r="C1724" i="21" s="1"/>
  <c r="I1723" i="21"/>
  <c r="E1906" i="21"/>
  <c r="D1724" i="21" l="1"/>
  <c r="H1724" i="21" s="1"/>
  <c r="C1725" i="21" s="1"/>
  <c r="E1907" i="21"/>
  <c r="I1724" i="21" l="1"/>
  <c r="D1725" i="21"/>
  <c r="F1725" i="21" s="1"/>
  <c r="F1724" i="21"/>
  <c r="E1908" i="21"/>
  <c r="H1725" i="21" l="1"/>
  <c r="C1726" i="21" s="1"/>
  <c r="D1726" i="21" s="1"/>
  <c r="H1726" i="21" s="1"/>
  <c r="C1727" i="21" s="1"/>
  <c r="I1725" i="21"/>
  <c r="E1909" i="21"/>
  <c r="I1726" i="21" l="1"/>
  <c r="D1727" i="21"/>
  <c r="I1727" i="21" s="1"/>
  <c r="F1726" i="21"/>
  <c r="F1727" i="21"/>
  <c r="E1910" i="21"/>
  <c r="H1727" i="21" l="1"/>
  <c r="C1728" i="21" s="1"/>
  <c r="D1728" i="21" s="1"/>
  <c r="E1911" i="21"/>
  <c r="F1728" i="21" l="1"/>
  <c r="H1728" i="21"/>
  <c r="C1729" i="21" s="1"/>
  <c r="I1728" i="21"/>
  <c r="E1912" i="21"/>
  <c r="D1729" i="21" l="1"/>
  <c r="F1729" i="21" s="1"/>
  <c r="E1913" i="21"/>
  <c r="H1729" i="21" l="1"/>
  <c r="C1730" i="21" s="1"/>
  <c r="I1729" i="21"/>
  <c r="E1914" i="21"/>
  <c r="D1730" i="21" l="1"/>
  <c r="F1730" i="21" s="1"/>
  <c r="E1915" i="21"/>
  <c r="H1730" i="21" l="1"/>
  <c r="C1731" i="21" s="1"/>
  <c r="I1730" i="21"/>
  <c r="E1916" i="21"/>
  <c r="D1731" i="21" l="1"/>
  <c r="I1731" i="21" s="1"/>
  <c r="E1917" i="21"/>
  <c r="F1731" i="21" l="1"/>
  <c r="H1731" i="21"/>
  <c r="C1732" i="21" s="1"/>
  <c r="E1918" i="21"/>
  <c r="D1732" i="21" l="1"/>
  <c r="H1732" i="21" s="1"/>
  <c r="C1733" i="21" s="1"/>
  <c r="E1919" i="21"/>
  <c r="I1732" i="21" l="1"/>
  <c r="D1733" i="21"/>
  <c r="F1733" i="21" s="1"/>
  <c r="F1732" i="21"/>
  <c r="E1920" i="21"/>
  <c r="H1733" i="21" l="1"/>
  <c r="C1734" i="21" s="1"/>
  <c r="I1733" i="21"/>
  <c r="E1921" i="21"/>
  <c r="D1734" i="21" l="1"/>
  <c r="I1734" i="21" s="1"/>
  <c r="E1922" i="21"/>
  <c r="F1734" i="21" l="1"/>
  <c r="H1734" i="21"/>
  <c r="C1735" i="21" s="1"/>
  <c r="E1923" i="21"/>
  <c r="D1735" i="21" l="1"/>
  <c r="F1735" i="21" s="1"/>
  <c r="E1924" i="21"/>
  <c r="H1735" i="21" l="1"/>
  <c r="C1736" i="21" s="1"/>
  <c r="I1735" i="21"/>
  <c r="E1925" i="21"/>
  <c r="D1736" i="21" l="1"/>
  <c r="F1736" i="21" s="1"/>
  <c r="E1926" i="21"/>
  <c r="H1736" i="21" l="1"/>
  <c r="C1737" i="21" s="1"/>
  <c r="I1736" i="21"/>
  <c r="E1927" i="21"/>
  <c r="D1737" i="21" l="1"/>
  <c r="F1737" i="21" s="1"/>
  <c r="E1928" i="21"/>
  <c r="H1737" i="21" l="1"/>
  <c r="C1738" i="21" s="1"/>
  <c r="I1737" i="21"/>
  <c r="E1929" i="21"/>
  <c r="D1738" i="21" l="1"/>
  <c r="F1738" i="21" s="1"/>
  <c r="E1930" i="21"/>
  <c r="H1738" i="21" l="1"/>
  <c r="C1739" i="21" s="1"/>
  <c r="I1738" i="21"/>
  <c r="E1931" i="21"/>
  <c r="D1739" i="21" l="1"/>
  <c r="I1739" i="21" s="1"/>
  <c r="E1932" i="21"/>
  <c r="H1739" i="21" l="1"/>
  <c r="C1740" i="21" s="1"/>
  <c r="F1739" i="21"/>
  <c r="E1933" i="21"/>
  <c r="D1740" i="21" l="1"/>
  <c r="I1740" i="21" s="1"/>
  <c r="E1934" i="21"/>
  <c r="H1740" i="21" l="1"/>
  <c r="C1741" i="21" s="1"/>
  <c r="D1741" i="21" s="1"/>
  <c r="H1741" i="21" s="1"/>
  <c r="C1742" i="21" s="1"/>
  <c r="F1740" i="21"/>
  <c r="E1935" i="21"/>
  <c r="I1741" i="21" l="1"/>
  <c r="D1742" i="21"/>
  <c r="I1742" i="21" s="1"/>
  <c r="F1741" i="21"/>
  <c r="E1936" i="21"/>
  <c r="H1742" i="21" l="1"/>
  <c r="C1743" i="21" s="1"/>
  <c r="D1743" i="21" s="1"/>
  <c r="I1743" i="21" s="1"/>
  <c r="F1742" i="21"/>
  <c r="E1937" i="21"/>
  <c r="H1743" i="21" l="1"/>
  <c r="C1744" i="21" s="1"/>
  <c r="D1744" i="21" s="1"/>
  <c r="I1744" i="21" s="1"/>
  <c r="F1743" i="21"/>
  <c r="E1938" i="21"/>
  <c r="H1744" i="21" l="1"/>
  <c r="C1745" i="21" s="1"/>
  <c r="D1745" i="21" s="1"/>
  <c r="I1745" i="21" s="1"/>
  <c r="F1744" i="21"/>
  <c r="E1939" i="21"/>
  <c r="H1745" i="21" l="1"/>
  <c r="C1746" i="21" s="1"/>
  <c r="D1746" i="21" s="1"/>
  <c r="H1746" i="21" s="1"/>
  <c r="C1747" i="21" s="1"/>
  <c r="F1745" i="21"/>
  <c r="E1940" i="21"/>
  <c r="D1747" i="21" l="1"/>
  <c r="H1747" i="21" s="1"/>
  <c r="C1748" i="21" s="1"/>
  <c r="I1746" i="21"/>
  <c r="F1746" i="21"/>
  <c r="E1941" i="21"/>
  <c r="D1748" i="21" l="1"/>
  <c r="I1748" i="21" s="1"/>
  <c r="I1747" i="21"/>
  <c r="F1747" i="21"/>
  <c r="E1942" i="21"/>
  <c r="H1748" i="21" l="1"/>
  <c r="C1749" i="21" s="1"/>
  <c r="F1748" i="21"/>
  <c r="E1943" i="21"/>
  <c r="D1749" i="21" l="1"/>
  <c r="H1749" i="21" s="1"/>
  <c r="C1750" i="21" s="1"/>
  <c r="E1944" i="21"/>
  <c r="D1750" i="21" l="1"/>
  <c r="I1750" i="21" s="1"/>
  <c r="I1749" i="21"/>
  <c r="F1749" i="21"/>
  <c r="E1945" i="21"/>
  <c r="F1750" i="21" l="1"/>
  <c r="H1750" i="21"/>
  <c r="C1751" i="21" s="1"/>
  <c r="D1751" i="21" s="1"/>
  <c r="E1946" i="21"/>
  <c r="H1751" i="21" l="1"/>
  <c r="C1752" i="21" s="1"/>
  <c r="D1752" i="21" s="1"/>
  <c r="F1752" i="21" s="1"/>
  <c r="I1751" i="21"/>
  <c r="F1751" i="21"/>
  <c r="E1947" i="21"/>
  <c r="I1752" i="21" l="1"/>
  <c r="H1752" i="21"/>
  <c r="C1753" i="21" s="1"/>
  <c r="E1948" i="21"/>
  <c r="D1753" i="21" l="1"/>
  <c r="I1753" i="21" s="1"/>
  <c r="E1949" i="21"/>
  <c r="H1753" i="21" l="1"/>
  <c r="C1754" i="21" s="1"/>
  <c r="F1753" i="21"/>
  <c r="E1950" i="21"/>
  <c r="D1754" i="21" l="1"/>
  <c r="H1754" i="21" s="1"/>
  <c r="C1755" i="21" s="1"/>
  <c r="E1951" i="21"/>
  <c r="D1755" i="21" l="1"/>
  <c r="H1755" i="21" s="1"/>
  <c r="C1756" i="21" s="1"/>
  <c r="I1754" i="21"/>
  <c r="F1754" i="21"/>
  <c r="E1952" i="21"/>
  <c r="F1755" i="21" l="1"/>
  <c r="D1756" i="21"/>
  <c r="F1756" i="21" s="1"/>
  <c r="I1755" i="21"/>
  <c r="E1953" i="21"/>
  <c r="H1756" i="21" l="1"/>
  <c r="C1757" i="21" s="1"/>
  <c r="D1757" i="21" s="1"/>
  <c r="F1757" i="21" s="1"/>
  <c r="I1756" i="21"/>
  <c r="E1954" i="21"/>
  <c r="H1757" i="21" l="1"/>
  <c r="C1758" i="21" s="1"/>
  <c r="D1758" i="21" s="1"/>
  <c r="F1758" i="21" s="1"/>
  <c r="I1757" i="21"/>
  <c r="E1955" i="21"/>
  <c r="I1758" i="21" l="1"/>
  <c r="H1758" i="21"/>
  <c r="C1759" i="21" s="1"/>
  <c r="E1956" i="21"/>
  <c r="D1759" i="21" l="1"/>
  <c r="F1759" i="21" s="1"/>
  <c r="E1957" i="21"/>
  <c r="I1759" i="21" l="1"/>
  <c r="H1759" i="21"/>
  <c r="C1760" i="21" s="1"/>
  <c r="E1958" i="21"/>
  <c r="D1760" i="21" l="1"/>
  <c r="E1959" i="21"/>
  <c r="F1760" i="21" l="1"/>
  <c r="I1760" i="21"/>
  <c r="H1760" i="21"/>
  <c r="C1761" i="21" s="1"/>
  <c r="E1960" i="21"/>
  <c r="D1761" i="21" l="1"/>
  <c r="I1761" i="21" s="1"/>
  <c r="E1961" i="21"/>
  <c r="H1761" i="21" l="1"/>
  <c r="C1762" i="21" s="1"/>
  <c r="D1762" i="21" s="1"/>
  <c r="F1762" i="21" s="1"/>
  <c r="F1761" i="21"/>
  <c r="E1962" i="21"/>
  <c r="I1762" i="21" l="1"/>
  <c r="H1762" i="21"/>
  <c r="C1763" i="21" s="1"/>
  <c r="E1963" i="21"/>
  <c r="D1763" i="21" l="1"/>
  <c r="E1964" i="21"/>
  <c r="F1763" i="21" l="1"/>
  <c r="I1763" i="21"/>
  <c r="H1763" i="21"/>
  <c r="C1764" i="21" s="1"/>
  <c r="E1965" i="21"/>
  <c r="D1764" i="21" l="1"/>
  <c r="I1764" i="21" s="1"/>
  <c r="E1966" i="21"/>
  <c r="H1764" i="21" l="1"/>
  <c r="C1765" i="21" s="1"/>
  <c r="F1764" i="21"/>
  <c r="E1967" i="21"/>
  <c r="D1765" i="21" l="1"/>
  <c r="I1765" i="21" s="1"/>
  <c r="E1968" i="21"/>
  <c r="H1765" i="21" l="1"/>
  <c r="C1766" i="21" s="1"/>
  <c r="D1766" i="21" s="1"/>
  <c r="F1765" i="21"/>
  <c r="E1969" i="21"/>
  <c r="H1766" i="21" l="1"/>
  <c r="C1767" i="21" s="1"/>
  <c r="D1767" i="21" s="1"/>
  <c r="I1767" i="21" s="1"/>
  <c r="F1766" i="21"/>
  <c r="I1766" i="21"/>
  <c r="E1970" i="21"/>
  <c r="H1767" i="21" l="1"/>
  <c r="C1768" i="21" s="1"/>
  <c r="F1767" i="21"/>
  <c r="E1971" i="21"/>
  <c r="D1768" i="21" l="1"/>
  <c r="I1768" i="21" s="1"/>
  <c r="E1972" i="21"/>
  <c r="H1768" i="21" l="1"/>
  <c r="C1769" i="21" s="1"/>
  <c r="F1768" i="21"/>
  <c r="E1973" i="21"/>
  <c r="D1769" i="21" l="1"/>
  <c r="F1769" i="21" s="1"/>
  <c r="E1974" i="21"/>
  <c r="I1769" i="21" l="1"/>
  <c r="H1769" i="21"/>
  <c r="C1770" i="21" s="1"/>
  <c r="E1975" i="21"/>
  <c r="D1770" i="21" l="1"/>
  <c r="I1770" i="21" s="1"/>
  <c r="E1976" i="21"/>
  <c r="H1770" i="21" l="1"/>
  <c r="C1771" i="21" s="1"/>
  <c r="F1770" i="21"/>
  <c r="E1977" i="21"/>
  <c r="D1771" i="21" l="1"/>
  <c r="H1771" i="21" s="1"/>
  <c r="C1772" i="21" s="1"/>
  <c r="E1978" i="21"/>
  <c r="I1771" i="21" l="1"/>
  <c r="D1772" i="21"/>
  <c r="F1772" i="21" s="1"/>
  <c r="F1771" i="21"/>
  <c r="E1979" i="21"/>
  <c r="H1772" i="21" l="1"/>
  <c r="C1773" i="21" s="1"/>
  <c r="I1772" i="21"/>
  <c r="E1980" i="21"/>
  <c r="D1773" i="21" l="1"/>
  <c r="H1773" i="21" s="1"/>
  <c r="C1774" i="21" s="1"/>
  <c r="E1981" i="21"/>
  <c r="D1774" i="21" l="1"/>
  <c r="F1774" i="21" s="1"/>
  <c r="I1773" i="21"/>
  <c r="F1773" i="21"/>
  <c r="E1982" i="21"/>
  <c r="H1774" i="21" l="1"/>
  <c r="C1775" i="21" s="1"/>
  <c r="D1775" i="21" s="1"/>
  <c r="I1775" i="21" s="1"/>
  <c r="I1774" i="21"/>
  <c r="E1983" i="21"/>
  <c r="H1775" i="21" l="1"/>
  <c r="C1776" i="21" s="1"/>
  <c r="F1775" i="21"/>
  <c r="E1984" i="21"/>
  <c r="D1776" i="21" l="1"/>
  <c r="I1776" i="21" s="1"/>
  <c r="E1985" i="21"/>
  <c r="H1776" i="21" l="1"/>
  <c r="C1777" i="21" s="1"/>
  <c r="F1776" i="21"/>
  <c r="E1986" i="21"/>
  <c r="D1777" i="21" l="1"/>
  <c r="F1777" i="21" s="1"/>
  <c r="E1987" i="21"/>
  <c r="I1777" i="21" l="1"/>
  <c r="H1777" i="21"/>
  <c r="C1778" i="21" s="1"/>
  <c r="E1988" i="21"/>
  <c r="D1778" i="21" l="1"/>
  <c r="F1778" i="21" s="1"/>
  <c r="E1989" i="21"/>
  <c r="H1778" i="21" l="1"/>
  <c r="C1779" i="21" s="1"/>
  <c r="I1778" i="21"/>
  <c r="E1990" i="21"/>
  <c r="D1779" i="21" l="1"/>
  <c r="F1779" i="21" s="1"/>
  <c r="E1991" i="21"/>
  <c r="H1779" i="21" l="1"/>
  <c r="C1780" i="21" s="1"/>
  <c r="I1779" i="21"/>
  <c r="E1992" i="21"/>
  <c r="D1780" i="21" l="1"/>
  <c r="I1780" i="21" s="1"/>
  <c r="E1993" i="21"/>
  <c r="H1780" i="21" l="1"/>
  <c r="C1781" i="21" s="1"/>
  <c r="D1781" i="21" s="1"/>
  <c r="F1781" i="21" s="1"/>
  <c r="F1780" i="21"/>
  <c r="E1994" i="21"/>
  <c r="H1781" i="21" l="1"/>
  <c r="C1782" i="21" s="1"/>
  <c r="I1781" i="21"/>
  <c r="E1995" i="21"/>
  <c r="D1782" i="21" l="1"/>
  <c r="I1782" i="21" s="1"/>
  <c r="E1996" i="21"/>
  <c r="H1782" i="21" l="1"/>
  <c r="C1783" i="21" s="1"/>
  <c r="D1783" i="21" s="1"/>
  <c r="F1783" i="21" s="1"/>
  <c r="F1782" i="21"/>
  <c r="E1997" i="21"/>
  <c r="H1783" i="21" l="1"/>
  <c r="C1784" i="21" s="1"/>
  <c r="D1784" i="21" s="1"/>
  <c r="I1784" i="21" s="1"/>
  <c r="I1783" i="21"/>
  <c r="E1998" i="21"/>
  <c r="H1784" i="21" l="1"/>
  <c r="C1785" i="21" s="1"/>
  <c r="D1785" i="21" s="1"/>
  <c r="F1785" i="21" s="1"/>
  <c r="F1784" i="21"/>
  <c r="E1999" i="21"/>
  <c r="H1785" i="21" l="1"/>
  <c r="C1786" i="21" s="1"/>
  <c r="I1785" i="21"/>
  <c r="E2000" i="21"/>
  <c r="D1786" i="21" l="1"/>
  <c r="I1786" i="21" s="1"/>
  <c r="E2001" i="21"/>
  <c r="F1786" i="21" l="1"/>
  <c r="H1786" i="21"/>
  <c r="C1787" i="21" s="1"/>
  <c r="E2002" i="21"/>
  <c r="D1787" i="21" l="1"/>
  <c r="H1787" i="21" s="1"/>
  <c r="C1788" i="21" s="1"/>
  <c r="E2003" i="21"/>
  <c r="D1788" i="21" l="1"/>
  <c r="I1788" i="21" s="1"/>
  <c r="F1787" i="21"/>
  <c r="I1787" i="21"/>
  <c r="E2004" i="21"/>
  <c r="H1788" i="21" l="1"/>
  <c r="C1789" i="21" s="1"/>
  <c r="D1789" i="21" s="1"/>
  <c r="F1788" i="21"/>
  <c r="E2005" i="21"/>
  <c r="H1789" i="21" l="1"/>
  <c r="C1790" i="21" s="1"/>
  <c r="F1789" i="21"/>
  <c r="I1789" i="21"/>
  <c r="E2006" i="21"/>
  <c r="D1790" i="21" l="1"/>
  <c r="I1790" i="21" s="1"/>
  <c r="E2007" i="21"/>
  <c r="H1790" i="21" l="1"/>
  <c r="C1791" i="21" s="1"/>
  <c r="F1790" i="21"/>
  <c r="E2008" i="21"/>
  <c r="D1791" i="21" l="1"/>
  <c r="H1791" i="21" s="1"/>
  <c r="C1792" i="21" s="1"/>
  <c r="E2009" i="21"/>
  <c r="D1792" i="21" l="1"/>
  <c r="F1792" i="21" s="1"/>
  <c r="I1791" i="21"/>
  <c r="F1791" i="21"/>
  <c r="E2010" i="21"/>
  <c r="H1792" i="21" l="1"/>
  <c r="C1793" i="21" s="1"/>
  <c r="I1792" i="21"/>
  <c r="E2011" i="21"/>
  <c r="D1793" i="21" l="1"/>
  <c r="E2012" i="21"/>
  <c r="F1793" i="21" l="1"/>
  <c r="I1793" i="21"/>
  <c r="H1793" i="21"/>
  <c r="C1794" i="21" s="1"/>
  <c r="E2013" i="21"/>
  <c r="D1794" i="21" l="1"/>
  <c r="E2014" i="21"/>
  <c r="F1794" i="21" l="1"/>
  <c r="H1794" i="21"/>
  <c r="C1795" i="21" s="1"/>
  <c r="I1794" i="21"/>
  <c r="E2015" i="21"/>
  <c r="D1795" i="21" l="1"/>
  <c r="H1795" i="21" s="1"/>
  <c r="C1796" i="21" s="1"/>
  <c r="E2016" i="21"/>
  <c r="I1795" i="21" l="1"/>
  <c r="D1796" i="21"/>
  <c r="F1796" i="21" s="1"/>
  <c r="F1795" i="21"/>
  <c r="E2017" i="21"/>
  <c r="H1796" i="21" l="1"/>
  <c r="C1797" i="21" s="1"/>
  <c r="I1796" i="21"/>
  <c r="E2018" i="21"/>
  <c r="D1797" i="21" l="1"/>
  <c r="I1797" i="21" s="1"/>
  <c r="E2019" i="21"/>
  <c r="H1797" i="21" l="1"/>
  <c r="C1798" i="21" s="1"/>
  <c r="D1798" i="21" s="1"/>
  <c r="I1798" i="21" s="1"/>
  <c r="F1797" i="21"/>
  <c r="E2020" i="21"/>
  <c r="H1798" i="21" l="1"/>
  <c r="C1799" i="21" s="1"/>
  <c r="D1799" i="21" s="1"/>
  <c r="I1799" i="21" s="1"/>
  <c r="F1798" i="21"/>
  <c r="E2021" i="21"/>
  <c r="H1799" i="21" l="1"/>
  <c r="C1800" i="21" s="1"/>
  <c r="F1799" i="21"/>
  <c r="E2022" i="21"/>
  <c r="D1800" i="21" l="1"/>
  <c r="I1800" i="21" s="1"/>
  <c r="E2023" i="21"/>
  <c r="H1800" i="21" l="1"/>
  <c r="C1801" i="21" s="1"/>
  <c r="D1801" i="21" s="1"/>
  <c r="F1800" i="21"/>
  <c r="E2024" i="21"/>
  <c r="F1801" i="21" l="1"/>
  <c r="I1801" i="21"/>
  <c r="H1801" i="21"/>
  <c r="C1802" i="21" s="1"/>
  <c r="D1802" i="21" s="1"/>
  <c r="H1802" i="21" s="1"/>
  <c r="C1803" i="21" s="1"/>
  <c r="E2025" i="21"/>
  <c r="D1803" i="21" l="1"/>
  <c r="F1803" i="21" s="1"/>
  <c r="I1802" i="21"/>
  <c r="F1802" i="21"/>
  <c r="E2026" i="21"/>
  <c r="H1803" i="21" l="1"/>
  <c r="C1804" i="21" s="1"/>
  <c r="I1803" i="21"/>
  <c r="E2027" i="21"/>
  <c r="D1804" i="21" l="1"/>
  <c r="I1804" i="21" s="1"/>
  <c r="E2028" i="21"/>
  <c r="H1804" i="21" l="1"/>
  <c r="C1805" i="21" s="1"/>
  <c r="D1805" i="21" s="1"/>
  <c r="F1805" i="21" s="1"/>
  <c r="F1804" i="21"/>
  <c r="E2029" i="21"/>
  <c r="I1805" i="21" l="1"/>
  <c r="H1805" i="21"/>
  <c r="C1806" i="21" s="1"/>
  <c r="D1806" i="21" s="1"/>
  <c r="E2030" i="21"/>
  <c r="F1806" i="21" l="1"/>
  <c r="I1806" i="21"/>
  <c r="H1806" i="21"/>
  <c r="C1807" i="21" s="1"/>
  <c r="E2031" i="21"/>
  <c r="D1807" i="21" l="1"/>
  <c r="I1807" i="21" s="1"/>
  <c r="E2032" i="21"/>
  <c r="H1807" i="21" l="1"/>
  <c r="C1808" i="21" s="1"/>
  <c r="F1807" i="21"/>
  <c r="E2033" i="21"/>
  <c r="D1808" i="21" l="1"/>
  <c r="I1808" i="21" s="1"/>
  <c r="E2034" i="21"/>
  <c r="F1808" i="21" l="1"/>
  <c r="H1808" i="21"/>
  <c r="C1809" i="21" s="1"/>
  <c r="E2035" i="21"/>
  <c r="D1809" i="21" l="1"/>
  <c r="E2036" i="21"/>
  <c r="F1809" i="21" l="1"/>
  <c r="I1809" i="21"/>
  <c r="H1809" i="21"/>
  <c r="C1810" i="21" s="1"/>
  <c r="E2037" i="21"/>
  <c r="D1810" i="21" l="1"/>
  <c r="I1810" i="21" s="1"/>
  <c r="E2038" i="21"/>
  <c r="H1810" i="21" l="1"/>
  <c r="C1811" i="21" s="1"/>
  <c r="F1810" i="21"/>
  <c r="E2039" i="21"/>
  <c r="D1811" i="21" l="1"/>
  <c r="I1811" i="21" s="1"/>
  <c r="E2040" i="21"/>
  <c r="H1811" i="21" l="1"/>
  <c r="C1812" i="21" s="1"/>
  <c r="D1812" i="21" s="1"/>
  <c r="H1812" i="21" s="1"/>
  <c r="C1813" i="21" s="1"/>
  <c r="F1811" i="21"/>
  <c r="E2041" i="21"/>
  <c r="D1813" i="21" l="1"/>
  <c r="I1813" i="21" s="1"/>
  <c r="I1812" i="21"/>
  <c r="F1812" i="21"/>
  <c r="E2042" i="21"/>
  <c r="H1813" i="21" l="1"/>
  <c r="C1814" i="21" s="1"/>
  <c r="D1814" i="21" s="1"/>
  <c r="F1813" i="21"/>
  <c r="E2043" i="21"/>
  <c r="F1814" i="21" l="1"/>
  <c r="H1814" i="21"/>
  <c r="C1815" i="21" s="1"/>
  <c r="I1814" i="21"/>
  <c r="E2044" i="21"/>
  <c r="D1815" i="21" l="1"/>
  <c r="E2045" i="21"/>
  <c r="F1815" i="21" l="1"/>
  <c r="I1815" i="21"/>
  <c r="H1815" i="21"/>
  <c r="C1816" i="21" s="1"/>
  <c r="E2046" i="21"/>
  <c r="D1816" i="21" l="1"/>
  <c r="I1816" i="21" s="1"/>
  <c r="E2047" i="21"/>
  <c r="H1816" i="21" l="1"/>
  <c r="C1817" i="21" s="1"/>
  <c r="D1817" i="21" s="1"/>
  <c r="F1817" i="21" s="1"/>
  <c r="F1816" i="21"/>
  <c r="E2048" i="21"/>
  <c r="H1817" i="21" l="1"/>
  <c r="C1818" i="21" s="1"/>
  <c r="I1817" i="21"/>
  <c r="E2049" i="21"/>
  <c r="D1818" i="21" l="1"/>
  <c r="H1818" i="21" s="1"/>
  <c r="C1819" i="21" s="1"/>
  <c r="E2050" i="21"/>
  <c r="I1818" i="21" l="1"/>
  <c r="D1819" i="21"/>
  <c r="F1819" i="21" s="1"/>
  <c r="F1818" i="21"/>
  <c r="E2051" i="21"/>
  <c r="H1819" i="21" l="1"/>
  <c r="C1820" i="21" s="1"/>
  <c r="I1819" i="21"/>
  <c r="E2052" i="21"/>
  <c r="D1820" i="21" l="1"/>
  <c r="I1820" i="21" s="1"/>
  <c r="E2053" i="21"/>
  <c r="H1820" i="21" l="1"/>
  <c r="C1821" i="21" s="1"/>
  <c r="F1820" i="21"/>
  <c r="E2054" i="21"/>
  <c r="D1821" i="21" l="1"/>
  <c r="H1821" i="21" s="1"/>
  <c r="C1822" i="21" s="1"/>
  <c r="E2055" i="21"/>
  <c r="I1821" i="21" l="1"/>
  <c r="F1821" i="21"/>
  <c r="D1822" i="21"/>
  <c r="F1822" i="21" s="1"/>
  <c r="E2056" i="21"/>
  <c r="H1822" i="21" l="1"/>
  <c r="C1823" i="21" s="1"/>
  <c r="I1822" i="21"/>
  <c r="E2057" i="21"/>
  <c r="D1823" i="21" l="1"/>
  <c r="I1823" i="21" s="1"/>
  <c r="E2058" i="21"/>
  <c r="F1823" i="21" l="1"/>
  <c r="H1823" i="21"/>
  <c r="C1824" i="21" s="1"/>
  <c r="E2059" i="21"/>
  <c r="D1824" i="21" l="1"/>
  <c r="H1824" i="21" s="1"/>
  <c r="C1825" i="21" s="1"/>
  <c r="E2060" i="21"/>
  <c r="D1825" i="21" l="1"/>
  <c r="I1825" i="21" s="1"/>
  <c r="I1824" i="21"/>
  <c r="F1824" i="21"/>
  <c r="E2061" i="21"/>
  <c r="H1825" i="21" l="1"/>
  <c r="C1826" i="21" s="1"/>
  <c r="F1825" i="21"/>
  <c r="E2062" i="21"/>
  <c r="D1826" i="21" l="1"/>
  <c r="H1826" i="21" s="1"/>
  <c r="C1827" i="21" s="1"/>
  <c r="E2063" i="21"/>
  <c r="D1827" i="21" l="1"/>
  <c r="F1827" i="21" s="1"/>
  <c r="I1826" i="21"/>
  <c r="F1826" i="21"/>
  <c r="E2064" i="21"/>
  <c r="I1827" i="21" l="1"/>
  <c r="H1827" i="21"/>
  <c r="C1828" i="21" s="1"/>
  <c r="E2065" i="21"/>
  <c r="D1828" i="21" l="1"/>
  <c r="H1828" i="21" s="1"/>
  <c r="C1829" i="21" s="1"/>
  <c r="E2066" i="21"/>
  <c r="D1829" i="21" l="1"/>
  <c r="F1829" i="21" s="1"/>
  <c r="I1828" i="21"/>
  <c r="F1828" i="21"/>
  <c r="E2067" i="21"/>
  <c r="H1829" i="21" l="1"/>
  <c r="C1830" i="21" s="1"/>
  <c r="I1829" i="21"/>
  <c r="E2068" i="21"/>
  <c r="D1830" i="21" l="1"/>
  <c r="H1830" i="21" s="1"/>
  <c r="C1831" i="21" s="1"/>
  <c r="E2069" i="21"/>
  <c r="I1830" i="21" l="1"/>
  <c r="D1831" i="21"/>
  <c r="F1831" i="21" s="1"/>
  <c r="F1830" i="21"/>
  <c r="E2070" i="21"/>
  <c r="H1831" i="21" l="1"/>
  <c r="C1832" i="21" s="1"/>
  <c r="I1831" i="21"/>
  <c r="E2071" i="21"/>
  <c r="D1832" i="21" l="1"/>
  <c r="I1832" i="21" s="1"/>
  <c r="E2072" i="21"/>
  <c r="H1832" i="21" l="1"/>
  <c r="C1833" i="21" s="1"/>
  <c r="D1833" i="21" s="1"/>
  <c r="I1833" i="21" s="1"/>
  <c r="F1832" i="21"/>
  <c r="E2073" i="21"/>
  <c r="H1833" i="21" l="1"/>
  <c r="C1834" i="21" s="1"/>
  <c r="D1834" i="21" s="1"/>
  <c r="I1834" i="21" s="1"/>
  <c r="F1833" i="21"/>
  <c r="E2074" i="21"/>
  <c r="F1834" i="21" l="1"/>
  <c r="H1834" i="21"/>
  <c r="C1835" i="21" s="1"/>
  <c r="E2075" i="21"/>
  <c r="D1835" i="21" l="1"/>
  <c r="H1835" i="21" s="1"/>
  <c r="C1836" i="21" s="1"/>
  <c r="E2076" i="21"/>
  <c r="D1836" i="21" l="1"/>
  <c r="F1836" i="21" s="1"/>
  <c r="I1835" i="21"/>
  <c r="F1835" i="21"/>
  <c r="E2077" i="21"/>
  <c r="I1836" i="21" l="1"/>
  <c r="H1836" i="21"/>
  <c r="C1837" i="21" s="1"/>
  <c r="E2078" i="21"/>
  <c r="D1837" i="21" l="1"/>
  <c r="I1837" i="21" s="1"/>
  <c r="E2079" i="21"/>
  <c r="F1837" i="21" l="1"/>
  <c r="H1837" i="21"/>
  <c r="C1838" i="21" s="1"/>
  <c r="E2080" i="21"/>
  <c r="D1838" i="21" l="1"/>
  <c r="I1838" i="21" s="1"/>
  <c r="E2081" i="21"/>
  <c r="F1838" i="21" l="1"/>
  <c r="H1838" i="21"/>
  <c r="C1839" i="21" s="1"/>
  <c r="E2082" i="21"/>
  <c r="D1839" i="21" l="1"/>
  <c r="I1839" i="21" s="1"/>
  <c r="E2083" i="21"/>
  <c r="H1839" i="21" l="1"/>
  <c r="C1840" i="21" s="1"/>
  <c r="F1839" i="21"/>
  <c r="E2084" i="21"/>
  <c r="D1840" i="21" l="1"/>
  <c r="H1840" i="21" s="1"/>
  <c r="C1841" i="21" s="1"/>
  <c r="E2085" i="21"/>
  <c r="D1841" i="21" l="1"/>
  <c r="I1841" i="21" s="1"/>
  <c r="I1840" i="21"/>
  <c r="F1840" i="21"/>
  <c r="E2086" i="21"/>
  <c r="H1841" i="21" l="1"/>
  <c r="C1842" i="21" s="1"/>
  <c r="D1842" i="21" s="1"/>
  <c r="H1842" i="21" s="1"/>
  <c r="C1843" i="21" s="1"/>
  <c r="F1841" i="21"/>
  <c r="E2087" i="21"/>
  <c r="D1843" i="21" l="1"/>
  <c r="H1843" i="21" s="1"/>
  <c r="C1844" i="21" s="1"/>
  <c r="F1842" i="21"/>
  <c r="I1842" i="21"/>
  <c r="E2088" i="21"/>
  <c r="I1843" i="21" l="1"/>
  <c r="D1844" i="21"/>
  <c r="I1844" i="21" s="1"/>
  <c r="F1843" i="21"/>
  <c r="E2089" i="21"/>
  <c r="H1844" i="21" l="1"/>
  <c r="C1845" i="21" s="1"/>
  <c r="F1844" i="21"/>
  <c r="E2090" i="21"/>
  <c r="D1845" i="21" l="1"/>
  <c r="I1845" i="21" s="1"/>
  <c r="E2091" i="21"/>
  <c r="F1845" i="21" l="1"/>
  <c r="H1845" i="21"/>
  <c r="C1846" i="21" s="1"/>
  <c r="E2092" i="21"/>
  <c r="D1846" i="21" l="1"/>
  <c r="H1846" i="21" s="1"/>
  <c r="C1847" i="21" s="1"/>
  <c r="E2093" i="21"/>
  <c r="I1846" i="21" l="1"/>
  <c r="D1847" i="21"/>
  <c r="F1847" i="21" s="1"/>
  <c r="F1846" i="21"/>
  <c r="E2094" i="21"/>
  <c r="I1847" i="21" l="1"/>
  <c r="H1847" i="21"/>
  <c r="C1848" i="21" s="1"/>
  <c r="E2095" i="21"/>
  <c r="D1848" i="21" l="1"/>
  <c r="H1848" i="21" s="1"/>
  <c r="C1849" i="21" s="1"/>
  <c r="E2096" i="21"/>
  <c r="D1849" i="21" l="1"/>
  <c r="F1849" i="21" s="1"/>
  <c r="F1848" i="21"/>
  <c r="I1848" i="21"/>
  <c r="E2097" i="21"/>
  <c r="I1849" i="21" l="1"/>
  <c r="H1849" i="21"/>
  <c r="C1850" i="21" s="1"/>
  <c r="E2098" i="21"/>
  <c r="D1850" i="21" l="1"/>
  <c r="I1850" i="21" s="1"/>
  <c r="E2099" i="21"/>
  <c r="F1850" i="21" l="1"/>
  <c r="H1850" i="21"/>
  <c r="C1851" i="21" s="1"/>
  <c r="E2100" i="21"/>
  <c r="D1851" i="21" l="1"/>
  <c r="I1851" i="21" s="1"/>
  <c r="E2101" i="21"/>
  <c r="F1851" i="21" l="1"/>
  <c r="H1851" i="21"/>
  <c r="C1852" i="21" s="1"/>
  <c r="E2102" i="21"/>
  <c r="D1852" i="21" l="1"/>
  <c r="H1852" i="21" s="1"/>
  <c r="C1853" i="21" s="1"/>
  <c r="E2103" i="21"/>
  <c r="D1853" i="21" l="1"/>
  <c r="F1853" i="21" s="1"/>
  <c r="I1852" i="21"/>
  <c r="F1852" i="21"/>
  <c r="E2104" i="21"/>
  <c r="I1853" i="21" l="1"/>
  <c r="H1853" i="21"/>
  <c r="C1854" i="21" s="1"/>
  <c r="E2105" i="21"/>
  <c r="D1854" i="21" l="1"/>
  <c r="I1854" i="21" s="1"/>
  <c r="E2106" i="21"/>
  <c r="H1854" i="21" l="1"/>
  <c r="C1855" i="21" s="1"/>
  <c r="F1854" i="21"/>
  <c r="E2107" i="21"/>
  <c r="D1855" i="21" l="1"/>
  <c r="E2108" i="21"/>
  <c r="F1855" i="21" l="1"/>
  <c r="H1855" i="21"/>
  <c r="C1856" i="21" s="1"/>
  <c r="I1855" i="21"/>
  <c r="E2109" i="21"/>
  <c r="D1856" i="21" l="1"/>
  <c r="I1856" i="21" s="1"/>
  <c r="E2110" i="21"/>
  <c r="H1856" i="21" l="1"/>
  <c r="C1857" i="21" s="1"/>
  <c r="F1856" i="21"/>
  <c r="E2111" i="21"/>
  <c r="D1857" i="21" l="1"/>
  <c r="I1857" i="21" s="1"/>
  <c r="E2112" i="21"/>
  <c r="H1857" i="21" l="1"/>
  <c r="C1858" i="21" s="1"/>
  <c r="F1857" i="21"/>
  <c r="E2113" i="21"/>
  <c r="D1858" i="21" l="1"/>
  <c r="H1858" i="21" s="1"/>
  <c r="C1859" i="21" s="1"/>
  <c r="E2114" i="21"/>
  <c r="D1859" i="21" l="1"/>
  <c r="F1859" i="21" s="1"/>
  <c r="I1858" i="21"/>
  <c r="F1858" i="21"/>
  <c r="E2115" i="21"/>
  <c r="H1859" i="21" l="1"/>
  <c r="C1860" i="21" s="1"/>
  <c r="D1860" i="21" s="1"/>
  <c r="H1860" i="21" s="1"/>
  <c r="C1861" i="21" s="1"/>
  <c r="I1859" i="21"/>
  <c r="E2116" i="21"/>
  <c r="D1861" i="21" l="1"/>
  <c r="F1861" i="21" s="1"/>
  <c r="I1860" i="21"/>
  <c r="F1860" i="21"/>
  <c r="E2117" i="21"/>
  <c r="I1861" i="21" l="1"/>
  <c r="H1861" i="21"/>
  <c r="C1862" i="21" s="1"/>
  <c r="E2118" i="21"/>
  <c r="D1862" i="21" l="1"/>
  <c r="H1862" i="21" s="1"/>
  <c r="C1863" i="21" s="1"/>
  <c r="E2119" i="21"/>
  <c r="F1862" i="21" l="1"/>
  <c r="I1862" i="21"/>
  <c r="D1863" i="21"/>
  <c r="F1863" i="21" s="1"/>
  <c r="E2120" i="21"/>
  <c r="H1863" i="21" l="1"/>
  <c r="C1864" i="21" s="1"/>
  <c r="I1863" i="21"/>
  <c r="E2121" i="21"/>
  <c r="D1864" i="21" l="1"/>
  <c r="H1864" i="21" s="1"/>
  <c r="C1865" i="21" s="1"/>
  <c r="E2122" i="21"/>
  <c r="I1864" i="21" l="1"/>
  <c r="D1865" i="21"/>
  <c r="F1865" i="21" s="1"/>
  <c r="F1864" i="21"/>
  <c r="E2123" i="21"/>
  <c r="H1865" i="21" l="1"/>
  <c r="C1866" i="21" s="1"/>
  <c r="I1865" i="21"/>
  <c r="E2124" i="21"/>
  <c r="D1866" i="21" l="1"/>
  <c r="E2125" i="21"/>
  <c r="F1866" i="21" l="1"/>
  <c r="H1866" i="21"/>
  <c r="C1867" i="21" s="1"/>
  <c r="I1866" i="21"/>
  <c r="E2126" i="21"/>
  <c r="D1867" i="21" l="1"/>
  <c r="I1867" i="21" s="1"/>
  <c r="E2127" i="21"/>
  <c r="H1867" i="21" l="1"/>
  <c r="C1868" i="21" s="1"/>
  <c r="F1867" i="21"/>
  <c r="E2128" i="21"/>
  <c r="D1868" i="21" l="1"/>
  <c r="I1868" i="21" s="1"/>
  <c r="E2129" i="21"/>
  <c r="H1868" i="21" l="1"/>
  <c r="C1869" i="21" s="1"/>
  <c r="F1868" i="21"/>
  <c r="E2130" i="21"/>
  <c r="D1869" i="21" l="1"/>
  <c r="I1869" i="21" s="1"/>
  <c r="E2131" i="21"/>
  <c r="H1869" i="21" l="1"/>
  <c r="C1870" i="21" s="1"/>
  <c r="F1869" i="21"/>
  <c r="E2132" i="21"/>
  <c r="D1870" i="21" l="1"/>
  <c r="H1870" i="21" s="1"/>
  <c r="C1871" i="21" s="1"/>
  <c r="E2133" i="21"/>
  <c r="D1871" i="21" l="1"/>
  <c r="F1871" i="21" s="1"/>
  <c r="I1870" i="21"/>
  <c r="F1870" i="21"/>
  <c r="E2134" i="21"/>
  <c r="H1871" i="21" l="1"/>
  <c r="C1872" i="21" s="1"/>
  <c r="D1872" i="21" s="1"/>
  <c r="I1872" i="21" s="1"/>
  <c r="I1871" i="21"/>
  <c r="E2135" i="21"/>
  <c r="H1872" i="21" l="1"/>
  <c r="C1873" i="21" s="1"/>
  <c r="F1872" i="21"/>
  <c r="E2136" i="21"/>
  <c r="D1873" i="21" l="1"/>
  <c r="E2137" i="21"/>
  <c r="F1873" i="21" l="1"/>
  <c r="I1873" i="21"/>
  <c r="H1873" i="21"/>
  <c r="C1874" i="21" s="1"/>
  <c r="E2138" i="21"/>
  <c r="D1874" i="21" l="1"/>
  <c r="I1874" i="21" s="1"/>
  <c r="E2139" i="21"/>
  <c r="H1874" i="21" l="1"/>
  <c r="C1875" i="21" s="1"/>
  <c r="D1875" i="21" s="1"/>
  <c r="F1875" i="21" s="1"/>
  <c r="F1874" i="21"/>
  <c r="E2140" i="21"/>
  <c r="H1875" i="21" l="1"/>
  <c r="C1876" i="21" s="1"/>
  <c r="I1875" i="21"/>
  <c r="E2141" i="21"/>
  <c r="D1876" i="21" l="1"/>
  <c r="I1876" i="21" s="1"/>
  <c r="E2142" i="21"/>
  <c r="H1876" i="21" l="1"/>
  <c r="C1877" i="21" s="1"/>
  <c r="D1877" i="21" s="1"/>
  <c r="I1877" i="21" s="1"/>
  <c r="F1876" i="21"/>
  <c r="E2143" i="21"/>
  <c r="H1877" i="21" l="1"/>
  <c r="C1878" i="21" s="1"/>
  <c r="D1878" i="21" s="1"/>
  <c r="F1877" i="21"/>
  <c r="E2144" i="21"/>
  <c r="F1878" i="21" l="1"/>
  <c r="I1878" i="21"/>
  <c r="H1878" i="21"/>
  <c r="C1879" i="21" s="1"/>
  <c r="E2145" i="21"/>
  <c r="D1879" i="21" l="1"/>
  <c r="I1879" i="21" s="1"/>
  <c r="E2146" i="21"/>
  <c r="H1879" i="21" l="1"/>
  <c r="C1880" i="21" s="1"/>
  <c r="F1879" i="21"/>
  <c r="E2147" i="21"/>
  <c r="D1880" i="21" l="1"/>
  <c r="I1880" i="21" s="1"/>
  <c r="E2148" i="21"/>
  <c r="H1880" i="21" l="1"/>
  <c r="C1881" i="21" s="1"/>
  <c r="D1881" i="21" s="1"/>
  <c r="F1881" i="21" s="1"/>
  <c r="F1880" i="21"/>
  <c r="E2149" i="21"/>
  <c r="H1881" i="21" l="1"/>
  <c r="C1882" i="21" s="1"/>
  <c r="I1881" i="21"/>
  <c r="E2150" i="21"/>
  <c r="D1882" i="21" l="1"/>
  <c r="H1882" i="21" s="1"/>
  <c r="C1883" i="21" s="1"/>
  <c r="E2151" i="21"/>
  <c r="I1882" i="21" l="1"/>
  <c r="F1882" i="21"/>
  <c r="D1883" i="21"/>
  <c r="H1883" i="21" s="1"/>
  <c r="C1884" i="21" s="1"/>
  <c r="E2152" i="21"/>
  <c r="I1883" i="21" l="1"/>
  <c r="D1884" i="21"/>
  <c r="I1884" i="21" s="1"/>
  <c r="F1883" i="21"/>
  <c r="E2153" i="21"/>
  <c r="H1884" i="21" l="1"/>
  <c r="C1885" i="21" s="1"/>
  <c r="F1884" i="21"/>
  <c r="E2154" i="21"/>
  <c r="D1885" i="21" l="1"/>
  <c r="I1885" i="21" s="1"/>
  <c r="E2155" i="21"/>
  <c r="H1885" i="21" l="1"/>
  <c r="C1886" i="21" s="1"/>
  <c r="D1886" i="21" s="1"/>
  <c r="F1886" i="21" s="1"/>
  <c r="F1885" i="21"/>
  <c r="E2156" i="21"/>
  <c r="H1886" i="21" l="1"/>
  <c r="C1887" i="21" s="1"/>
  <c r="D1887" i="21" s="1"/>
  <c r="I1887" i="21" s="1"/>
  <c r="I1886" i="21"/>
  <c r="E2157" i="21"/>
  <c r="F1887" i="21" l="1"/>
  <c r="H1887" i="21"/>
  <c r="C1888" i="21" s="1"/>
  <c r="E2158" i="21"/>
  <c r="D1888" i="21" l="1"/>
  <c r="I1888" i="21" s="1"/>
  <c r="E2159" i="21"/>
  <c r="H1888" i="21" l="1"/>
  <c r="C1889" i="21" s="1"/>
  <c r="F1888" i="21"/>
  <c r="E2160" i="21"/>
  <c r="D1889" i="21" l="1"/>
  <c r="H1889" i="21" s="1"/>
  <c r="C1890" i="21" s="1"/>
  <c r="E2161" i="21"/>
  <c r="I1889" i="21" l="1"/>
  <c r="D1890" i="21"/>
  <c r="F1890" i="21" s="1"/>
  <c r="F1889" i="21"/>
  <c r="E2162" i="21"/>
  <c r="H1890" i="21" l="1"/>
  <c r="C1891" i="21" s="1"/>
  <c r="D1891" i="21" s="1"/>
  <c r="I1891" i="21" s="1"/>
  <c r="I1890" i="21"/>
  <c r="E2163" i="21"/>
  <c r="H1891" i="21" l="1"/>
  <c r="C1892" i="21" s="1"/>
  <c r="F1891" i="21"/>
  <c r="E2164" i="21"/>
  <c r="D1892" i="21" l="1"/>
  <c r="I1892" i="21" s="1"/>
  <c r="E2165" i="21"/>
  <c r="H1892" i="21" l="1"/>
  <c r="C1893" i="21" s="1"/>
  <c r="F1892" i="21"/>
  <c r="E2166" i="21"/>
  <c r="D1893" i="21" l="1"/>
  <c r="H1893" i="21" s="1"/>
  <c r="C1894" i="21" s="1"/>
  <c r="E2167" i="21"/>
  <c r="I1893" i="21" l="1"/>
  <c r="D1894" i="21"/>
  <c r="F1894" i="21" s="1"/>
  <c r="F1893" i="21"/>
  <c r="E2168" i="21"/>
  <c r="I1894" i="21" l="1"/>
  <c r="H1894" i="21"/>
  <c r="C1895" i="21" s="1"/>
  <c r="E2169" i="21"/>
  <c r="D1895" i="21" l="1"/>
  <c r="I1895" i="21" s="1"/>
  <c r="E2170" i="21"/>
  <c r="F1895" i="21" l="1"/>
  <c r="H1895" i="21"/>
  <c r="C1896" i="21" s="1"/>
  <c r="E2171" i="21"/>
  <c r="D1896" i="21" l="1"/>
  <c r="H1896" i="21" s="1"/>
  <c r="C1897" i="21" s="1"/>
  <c r="E2172" i="21"/>
  <c r="D1897" i="21" l="1"/>
  <c r="F1897" i="21" s="1"/>
  <c r="I1896" i="21"/>
  <c r="F1896" i="21"/>
  <c r="E2173" i="21"/>
  <c r="H1897" i="21" l="1"/>
  <c r="C1898" i="21" s="1"/>
  <c r="I1897" i="21"/>
  <c r="E2174" i="21"/>
  <c r="D1898" i="21" l="1"/>
  <c r="I1898" i="21" s="1"/>
  <c r="E2175" i="21"/>
  <c r="H1898" i="21" l="1"/>
  <c r="C1899" i="21" s="1"/>
  <c r="F1898" i="21"/>
  <c r="E2176" i="21"/>
  <c r="D1899" i="21" l="1"/>
  <c r="I1899" i="21" s="1"/>
  <c r="E2177" i="21"/>
  <c r="H1899" i="21" l="1"/>
  <c r="C1900" i="21" s="1"/>
  <c r="F1899" i="21"/>
  <c r="E2178" i="21"/>
  <c r="D1900" i="21" l="1"/>
  <c r="H1900" i="21" s="1"/>
  <c r="C1901" i="21" s="1"/>
  <c r="E2179" i="21"/>
  <c r="D1901" i="21" l="1"/>
  <c r="F1901" i="21" s="1"/>
  <c r="I1900" i="21"/>
  <c r="F1900" i="21"/>
  <c r="E2180" i="21"/>
  <c r="H1901" i="21" l="1"/>
  <c r="C1902" i="21" s="1"/>
  <c r="I1901" i="21"/>
  <c r="D1902" i="21" l="1"/>
  <c r="H1902" i="21" s="1"/>
  <c r="C1903" i="21" s="1"/>
  <c r="D1903" i="21" l="1"/>
  <c r="H1903" i="21" s="1"/>
  <c r="C1904" i="21" s="1"/>
  <c r="I1902" i="21"/>
  <c r="F1902" i="21"/>
  <c r="D1904" i="21" l="1"/>
  <c r="F1904" i="21" s="1"/>
  <c r="I1903" i="21"/>
  <c r="F1903" i="21"/>
  <c r="I1904" i="21" l="1"/>
  <c r="H1904" i="21"/>
  <c r="C1905" i="21" s="1"/>
  <c r="D1905" i="21" s="1"/>
  <c r="I1905" i="21" s="1"/>
  <c r="H1905" i="21" l="1"/>
  <c r="C1906" i="21" s="1"/>
  <c r="D1906" i="21" s="1"/>
  <c r="F1906" i="21" s="1"/>
  <c r="F1905" i="21"/>
  <c r="H1906" i="21" l="1"/>
  <c r="C1907" i="21" s="1"/>
  <c r="I1906" i="21"/>
  <c r="D1907" i="21" l="1"/>
  <c r="H1907" i="21" s="1"/>
  <c r="C1908" i="21" s="1"/>
  <c r="F1907" i="21" l="1"/>
  <c r="I1907" i="21"/>
  <c r="D1908" i="21"/>
  <c r="I1908" i="21" s="1"/>
  <c r="H1908" i="21" l="1"/>
  <c r="C1909" i="21" s="1"/>
  <c r="D1909" i="21" s="1"/>
  <c r="F1908" i="21"/>
  <c r="F1909" i="21" l="1"/>
  <c r="I1909" i="21"/>
  <c r="H1909" i="21"/>
  <c r="C1910" i="21" s="1"/>
  <c r="D1910" i="21" l="1"/>
  <c r="H1910" i="21" s="1"/>
  <c r="C1911" i="21" s="1"/>
  <c r="I1910" i="21" l="1"/>
  <c r="D1911" i="21"/>
  <c r="F1911" i="21" s="1"/>
  <c r="F1910" i="21"/>
  <c r="I1911" i="21" l="1"/>
  <c r="H1911" i="21"/>
  <c r="C1912" i="21" s="1"/>
  <c r="D1912" i="21" l="1"/>
  <c r="I1912" i="21" s="1"/>
  <c r="H1912" i="21" l="1"/>
  <c r="C1913" i="21" s="1"/>
  <c r="F1912" i="21"/>
  <c r="D1913" i="21" l="1"/>
  <c r="I1913" i="21" s="1"/>
  <c r="H1913" i="21" l="1"/>
  <c r="C1914" i="21" s="1"/>
  <c r="D1914" i="21" s="1"/>
  <c r="F1914" i="21" s="1"/>
  <c r="F1913" i="21"/>
  <c r="H1914" i="21" l="1"/>
  <c r="C1915" i="21" s="1"/>
  <c r="D1915" i="21" s="1"/>
  <c r="I1915" i="21" s="1"/>
  <c r="I1914" i="21"/>
  <c r="H1915" i="21" l="1"/>
  <c r="C1916" i="21" s="1"/>
  <c r="D1916" i="21" s="1"/>
  <c r="H1916" i="21" s="1"/>
  <c r="C1917" i="21" s="1"/>
  <c r="F1915" i="21"/>
  <c r="I1916" i="21" l="1"/>
  <c r="D1917" i="21"/>
  <c r="H1917" i="21" s="1"/>
  <c r="C1918" i="21" s="1"/>
  <c r="F1916" i="21"/>
  <c r="I1917" i="21" l="1"/>
  <c r="D1918" i="21"/>
  <c r="H1918" i="21" s="1"/>
  <c r="C1919" i="21" s="1"/>
  <c r="F1917" i="21"/>
  <c r="I1918" i="21" l="1"/>
  <c r="D1919" i="21"/>
  <c r="I1919" i="21" s="1"/>
  <c r="F1918" i="21"/>
  <c r="H1919" i="21" l="1"/>
  <c r="C1920" i="21" s="1"/>
  <c r="D1920" i="21" s="1"/>
  <c r="I1920" i="21" s="1"/>
  <c r="F1919" i="21"/>
  <c r="F1920" i="21" l="1"/>
  <c r="H1920" i="21"/>
  <c r="C1921" i="21" s="1"/>
  <c r="D1921" i="21" l="1"/>
  <c r="H1921" i="21" s="1"/>
  <c r="C1922" i="21" s="1"/>
  <c r="I1921" i="21" l="1"/>
  <c r="D1922" i="21"/>
  <c r="F1922" i="21" s="1"/>
  <c r="F1921" i="21"/>
  <c r="H1922" i="21" l="1"/>
  <c r="C1923" i="21" s="1"/>
  <c r="D1923" i="21" s="1"/>
  <c r="H1923" i="21" s="1"/>
  <c r="C1924" i="21" s="1"/>
  <c r="I1922" i="21"/>
  <c r="I1923" i="21" l="1"/>
  <c r="D1924" i="21"/>
  <c r="F1924" i="21" s="1"/>
  <c r="F1923" i="21"/>
  <c r="H1924" i="21" l="1"/>
  <c r="C1925" i="21" s="1"/>
  <c r="D1925" i="21" s="1"/>
  <c r="I1924" i="21"/>
  <c r="I1925" i="21" l="1"/>
  <c r="H1925" i="21"/>
  <c r="C1926" i="21" s="1"/>
  <c r="D1926" i="21" s="1"/>
  <c r="I1926" i="21" s="1"/>
  <c r="F1925" i="21"/>
  <c r="H1926" i="21" l="1"/>
  <c r="C1927" i="21" s="1"/>
  <c r="F1926" i="21"/>
  <c r="D1927" i="21" l="1"/>
  <c r="I1927" i="21" s="1"/>
  <c r="H1927" i="21" l="1"/>
  <c r="C1928" i="21" s="1"/>
  <c r="D1928" i="21" s="1"/>
  <c r="F1928" i="21" s="1"/>
  <c r="F1927" i="21"/>
  <c r="I1928" i="21" l="1"/>
  <c r="H1928" i="21"/>
  <c r="C1929" i="21" s="1"/>
  <c r="D1929" i="21" s="1"/>
  <c r="H1929" i="21" s="1"/>
  <c r="C1930" i="21" s="1"/>
  <c r="I1929" i="21" l="1"/>
  <c r="D1930" i="21"/>
  <c r="H1930" i="21" s="1"/>
  <c r="C1931" i="21" s="1"/>
  <c r="F1929" i="21"/>
  <c r="I1930" i="21" l="1"/>
  <c r="D1931" i="21"/>
  <c r="I1931" i="21" s="1"/>
  <c r="F1930" i="21"/>
  <c r="H1931" i="21" l="1"/>
  <c r="C1932" i="21" s="1"/>
  <c r="D1932" i="21" s="1"/>
  <c r="I1932" i="21" s="1"/>
  <c r="F1931" i="21"/>
  <c r="H1932" i="21" l="1"/>
  <c r="C1933" i="21" s="1"/>
  <c r="D1933" i="21" s="1"/>
  <c r="I1933" i="21" s="1"/>
  <c r="F1932" i="21"/>
  <c r="H1933" i="21" l="1"/>
  <c r="C1934" i="21" s="1"/>
  <c r="D1934" i="21" s="1"/>
  <c r="I1934" i="21" s="1"/>
  <c r="F1933" i="21"/>
  <c r="H1934" i="21" l="1"/>
  <c r="C1935" i="21" s="1"/>
  <c r="F1934" i="21"/>
  <c r="D1935" i="21" l="1"/>
  <c r="H1935" i="21" s="1"/>
  <c r="C1936" i="21" s="1"/>
  <c r="D1936" i="21" l="1"/>
  <c r="F1936" i="21" s="1"/>
  <c r="F1935" i="21"/>
  <c r="I1935" i="21"/>
  <c r="I1936" i="21" l="1"/>
  <c r="H1936" i="21"/>
  <c r="C1937" i="21" s="1"/>
  <c r="D1937" i="21" s="1"/>
  <c r="I1937" i="21" s="1"/>
  <c r="H1937" i="21" l="1"/>
  <c r="C1938" i="21" s="1"/>
  <c r="D1938" i="21" s="1"/>
  <c r="I1938" i="21" s="1"/>
  <c r="F1937" i="21"/>
  <c r="H1938" i="21" l="1"/>
  <c r="C1939" i="21" s="1"/>
  <c r="D1939" i="21" s="1"/>
  <c r="F1938" i="21"/>
  <c r="I1939" i="21" l="1"/>
  <c r="H1939" i="21"/>
  <c r="C1940" i="21" s="1"/>
  <c r="F1939" i="21"/>
  <c r="D1940" i="21" l="1"/>
  <c r="I1940" i="21" s="1"/>
  <c r="H1940" i="21" l="1"/>
  <c r="C1941" i="21" s="1"/>
  <c r="D1941" i="21" s="1"/>
  <c r="I1941" i="21" s="1"/>
  <c r="F1940" i="21"/>
  <c r="H1941" i="21" l="1"/>
  <c r="C1942" i="21" s="1"/>
  <c r="F1941" i="21"/>
  <c r="D1942" i="21" l="1"/>
  <c r="I1942" i="21" s="1"/>
  <c r="H1942" i="21" l="1"/>
  <c r="C1943" i="21" s="1"/>
  <c r="D1943" i="21" s="1"/>
  <c r="I1943" i="21" s="1"/>
  <c r="F1942" i="21"/>
  <c r="H1943" i="21" l="1"/>
  <c r="C1944" i="21" s="1"/>
  <c r="D1944" i="21" s="1"/>
  <c r="I1944" i="21" s="1"/>
  <c r="F1943" i="21"/>
  <c r="H1944" i="21" l="1"/>
  <c r="C1945" i="21" s="1"/>
  <c r="F1944" i="21"/>
  <c r="D1945" i="21" l="1"/>
  <c r="F1945" i="21" l="1"/>
  <c r="I1945" i="21"/>
  <c r="H1945" i="21"/>
  <c r="C1946" i="21" s="1"/>
  <c r="D1946" i="21" l="1"/>
  <c r="I1946" i="21" s="1"/>
  <c r="H1946" i="21" l="1"/>
  <c r="C1947" i="21" s="1"/>
  <c r="D1947" i="21" s="1"/>
  <c r="F1947" i="21" s="1"/>
  <c r="F1946" i="21"/>
  <c r="H1947" i="21" l="1"/>
  <c r="C1948" i="21" s="1"/>
  <c r="D1948" i="21" s="1"/>
  <c r="I1948" i="21" s="1"/>
  <c r="I1947" i="21"/>
  <c r="H1948" i="21" l="1"/>
  <c r="C1949" i="21" s="1"/>
  <c r="D1949" i="21" s="1"/>
  <c r="I1949" i="21" s="1"/>
  <c r="F1948" i="21"/>
  <c r="H1949" i="21" l="1"/>
  <c r="C1950" i="21" s="1"/>
  <c r="F1949" i="21"/>
  <c r="D1950" i="21" l="1"/>
  <c r="I1950" i="21" s="1"/>
  <c r="H1950" i="21" l="1"/>
  <c r="C1951" i="21" s="1"/>
  <c r="D1951" i="21" s="1"/>
  <c r="H1951" i="21" s="1"/>
  <c r="C1952" i="21" s="1"/>
  <c r="F1950" i="21"/>
  <c r="I1951" i="21" l="1"/>
  <c r="D1952" i="21"/>
  <c r="I1952" i="21" s="1"/>
  <c r="F1951" i="21"/>
  <c r="H1952" i="21" l="1"/>
  <c r="C1953" i="21" s="1"/>
  <c r="D1953" i="21" s="1"/>
  <c r="I1953" i="21" s="1"/>
  <c r="F1952" i="21"/>
  <c r="F1953" i="21" l="1"/>
  <c r="H1953" i="21"/>
  <c r="C1954" i="21" s="1"/>
  <c r="D1954" i="21" l="1"/>
  <c r="I1954" i="21" s="1"/>
  <c r="H1954" i="21" l="1"/>
  <c r="C1955" i="21" s="1"/>
  <c r="D1955" i="21" s="1"/>
  <c r="H1955" i="21" s="1"/>
  <c r="C1956" i="21" s="1"/>
  <c r="F1954" i="21"/>
  <c r="I1955" i="21" l="1"/>
  <c r="D1956" i="21"/>
  <c r="H1956" i="21" s="1"/>
  <c r="C1957" i="21" s="1"/>
  <c r="F1955" i="21"/>
  <c r="I1956" i="21" l="1"/>
  <c r="D1957" i="21"/>
  <c r="I1957" i="21" s="1"/>
  <c r="F1956" i="21"/>
  <c r="H1957" i="21" l="1"/>
  <c r="C1958" i="21" s="1"/>
  <c r="D1958" i="21" s="1"/>
  <c r="F1957" i="21"/>
  <c r="H1958" i="21" l="1"/>
  <c r="C1959" i="21" s="1"/>
  <c r="D1959" i="21" s="1"/>
  <c r="I1959" i="21" s="1"/>
  <c r="I1958" i="21"/>
  <c r="F1958" i="21"/>
  <c r="H1959" i="21" l="1"/>
  <c r="C1960" i="21" s="1"/>
  <c r="F1959" i="21"/>
  <c r="D1960" i="21" l="1"/>
  <c r="I1960" i="21" s="1"/>
  <c r="H1960" i="21" l="1"/>
  <c r="C1961" i="21" s="1"/>
  <c r="D1961" i="21" s="1"/>
  <c r="F1961" i="21" s="1"/>
  <c r="F1960" i="21"/>
  <c r="H1961" i="21" l="1"/>
  <c r="C1962" i="21" s="1"/>
  <c r="D1962" i="21" s="1"/>
  <c r="H1962" i="21" s="1"/>
  <c r="C1963" i="21" s="1"/>
  <c r="I1961" i="21"/>
  <c r="I1962" i="21" l="1"/>
  <c r="D1963" i="21"/>
  <c r="F1963" i="21" s="1"/>
  <c r="F1962" i="21"/>
  <c r="H1963" i="21" l="1"/>
  <c r="C1964" i="21" s="1"/>
  <c r="D1964" i="21" s="1"/>
  <c r="I1964" i="21" s="1"/>
  <c r="I1963" i="21"/>
  <c r="H1964" i="21" l="1"/>
  <c r="C1965" i="21" s="1"/>
  <c r="D1965" i="21" s="1"/>
  <c r="F1965" i="21" s="1"/>
  <c r="F1964" i="21"/>
  <c r="H1965" i="21" l="1"/>
  <c r="C1966" i="21" s="1"/>
  <c r="D1966" i="21" s="1"/>
  <c r="I1965" i="21"/>
  <c r="F1966" i="21" l="1"/>
  <c r="H1966" i="21"/>
  <c r="C1967" i="21" s="1"/>
  <c r="D1967" i="21" s="1"/>
  <c r="H1967" i="21" s="1"/>
  <c r="C1968" i="21" s="1"/>
  <c r="I1966" i="21"/>
  <c r="I1967" i="21" l="1"/>
  <c r="D1968" i="21"/>
  <c r="F1968" i="21" s="1"/>
  <c r="F1967" i="21"/>
  <c r="H1968" i="21" l="1"/>
  <c r="C1969" i="21" s="1"/>
  <c r="D1969" i="21" s="1"/>
  <c r="I1968" i="21"/>
  <c r="I1969" i="21" l="1"/>
  <c r="H1969" i="21"/>
  <c r="C1970" i="21" s="1"/>
  <c r="D1970" i="21" s="1"/>
  <c r="I1970" i="21" s="1"/>
  <c r="F1969" i="21"/>
  <c r="H1970" i="21" l="1"/>
  <c r="C1971" i="21" s="1"/>
  <c r="D1971" i="21" s="1"/>
  <c r="I1971" i="21" s="1"/>
  <c r="F1970" i="21"/>
  <c r="H1971" i="21" l="1"/>
  <c r="C1972" i="21" s="1"/>
  <c r="D1972" i="21" s="1"/>
  <c r="H1972" i="21" s="1"/>
  <c r="C1973" i="21" s="1"/>
  <c r="F1971" i="21"/>
  <c r="I1972" i="21" l="1"/>
  <c r="D1973" i="21"/>
  <c r="I1973" i="21" s="1"/>
  <c r="F1972" i="21"/>
  <c r="H1973" i="21" l="1"/>
  <c r="C1974" i="21" s="1"/>
  <c r="D1974" i="21" s="1"/>
  <c r="I1974" i="21" s="1"/>
  <c r="F1973" i="21"/>
  <c r="H1974" i="21" l="1"/>
  <c r="C1975" i="21" s="1"/>
  <c r="D1975" i="21" s="1"/>
  <c r="F1974" i="21"/>
  <c r="H1975" i="21" l="1"/>
  <c r="C1976" i="21" s="1"/>
  <c r="D1976" i="21" s="1"/>
  <c r="H1976" i="21" s="1"/>
  <c r="C1977" i="21" s="1"/>
  <c r="I1975" i="21"/>
  <c r="F1975" i="21"/>
  <c r="D1977" i="21" l="1"/>
  <c r="H1977" i="21" s="1"/>
  <c r="C1978" i="21" s="1"/>
  <c r="F1976" i="21"/>
  <c r="I1976" i="21"/>
  <c r="I1977" i="21" l="1"/>
  <c r="D1978" i="21"/>
  <c r="I1978" i="21" s="1"/>
  <c r="F1977" i="21"/>
  <c r="H1978" i="21" l="1"/>
  <c r="C1979" i="21" s="1"/>
  <c r="D1979" i="21" s="1"/>
  <c r="F1978" i="21"/>
  <c r="I1979" i="21" l="1"/>
  <c r="H1979" i="21"/>
  <c r="C1980" i="21" s="1"/>
  <c r="D1980" i="21" s="1"/>
  <c r="H1980" i="21" s="1"/>
  <c r="C1981" i="21" s="1"/>
  <c r="F1979" i="21"/>
  <c r="D1981" i="21" l="1"/>
  <c r="I1981" i="21" s="1"/>
  <c r="F1980" i="21"/>
  <c r="I1980" i="21"/>
  <c r="H1981" i="21" l="1"/>
  <c r="C1982" i="21" s="1"/>
  <c r="D1982" i="21" s="1"/>
  <c r="F1981" i="21"/>
  <c r="F1982" i="21" l="1"/>
  <c r="H1982" i="21"/>
  <c r="C1983" i="21" s="1"/>
  <c r="D1983" i="21" s="1"/>
  <c r="I1983" i="21" s="1"/>
  <c r="I1982" i="21"/>
  <c r="H1983" i="21" l="1"/>
  <c r="C1984" i="21" s="1"/>
  <c r="F1983" i="21"/>
  <c r="D1984" i="21" l="1"/>
  <c r="I1984" i="21" s="1"/>
  <c r="H1984" i="21" l="1"/>
  <c r="C1985" i="21" s="1"/>
  <c r="F1984" i="21"/>
  <c r="D1985" i="21" l="1"/>
  <c r="H1985" i="21" s="1"/>
  <c r="C1986" i="21" s="1"/>
  <c r="I1985" i="21" l="1"/>
  <c r="D1986" i="21"/>
  <c r="F1986" i="21" s="1"/>
  <c r="F1985" i="21"/>
  <c r="I1986" i="21" l="1"/>
  <c r="H1986" i="21"/>
  <c r="C1987" i="21" s="1"/>
  <c r="D1987" i="21" l="1"/>
  <c r="I1987" i="21" s="1"/>
  <c r="F1987" i="21" l="1"/>
  <c r="H1987" i="21"/>
  <c r="C1988" i="21" s="1"/>
  <c r="D1988" i="21" l="1"/>
  <c r="I1988" i="21" s="1"/>
  <c r="F1988" i="21" l="1"/>
  <c r="H1988" i="21"/>
  <c r="C1989" i="21" s="1"/>
  <c r="D1989" i="21" l="1"/>
  <c r="I1989" i="21" s="1"/>
  <c r="H1989" i="21" l="1"/>
  <c r="C1990" i="21" s="1"/>
  <c r="D1990" i="21" s="1"/>
  <c r="F1990" i="21" s="1"/>
  <c r="F1989" i="21"/>
  <c r="H1990" i="21" l="1"/>
  <c r="C1991" i="21" s="1"/>
  <c r="D1991" i="21" s="1"/>
  <c r="I1991" i="21" s="1"/>
  <c r="I1990" i="21"/>
  <c r="H1991" i="21" l="1"/>
  <c r="C1992" i="21" s="1"/>
  <c r="D1992" i="21" s="1"/>
  <c r="I1992" i="21" s="1"/>
  <c r="F1991" i="21"/>
  <c r="H1992" i="21" l="1"/>
  <c r="C1993" i="21" s="1"/>
  <c r="D1993" i="21" s="1"/>
  <c r="I1993" i="21" s="1"/>
  <c r="F1992" i="21"/>
  <c r="H1993" i="21" l="1"/>
  <c r="C1994" i="21" s="1"/>
  <c r="D1994" i="21" s="1"/>
  <c r="I1994" i="21" s="1"/>
  <c r="F1993" i="21"/>
  <c r="H1994" i="21" l="1"/>
  <c r="C1995" i="21" s="1"/>
  <c r="D1995" i="21" s="1"/>
  <c r="I1995" i="21" s="1"/>
  <c r="F1994" i="21"/>
  <c r="H1995" i="21" l="1"/>
  <c r="C1996" i="21" s="1"/>
  <c r="D1996" i="21" s="1"/>
  <c r="I1996" i="21" s="1"/>
  <c r="F1995" i="21"/>
  <c r="F1996" i="21" l="1"/>
  <c r="H1996" i="21"/>
  <c r="C1997" i="21" s="1"/>
  <c r="D1997" i="21" l="1"/>
  <c r="I1997" i="21" s="1"/>
  <c r="H1997" i="21" l="1"/>
  <c r="C1998" i="21" s="1"/>
  <c r="D1998" i="21" s="1"/>
  <c r="I1998" i="21" s="1"/>
  <c r="F1997" i="21"/>
  <c r="H1998" i="21" l="1"/>
  <c r="C1999" i="21" s="1"/>
  <c r="D1999" i="21" s="1"/>
  <c r="H1999" i="21" s="1"/>
  <c r="C2000" i="21" s="1"/>
  <c r="F1998" i="21"/>
  <c r="I1999" i="21" l="1"/>
  <c r="D2000" i="21"/>
  <c r="I2000" i="21" s="1"/>
  <c r="F1999" i="21"/>
  <c r="H2000" i="21" l="1"/>
  <c r="C2001" i="21" s="1"/>
  <c r="D2001" i="21" s="1"/>
  <c r="I2001" i="21" s="1"/>
  <c r="F2000" i="21"/>
  <c r="H2001" i="21" l="1"/>
  <c r="C2002" i="21" s="1"/>
  <c r="D2002" i="21" s="1"/>
  <c r="F2001" i="21"/>
  <c r="I2002" i="21" l="1"/>
  <c r="H2002" i="21"/>
  <c r="C2003" i="21" s="1"/>
  <c r="D2003" i="21" s="1"/>
  <c r="I2003" i="21" s="1"/>
  <c r="F2002" i="21"/>
  <c r="H2003" i="21" l="1"/>
  <c r="C2004" i="21" s="1"/>
  <c r="D2004" i="21" s="1"/>
  <c r="H2004" i="21" s="1"/>
  <c r="C2005" i="21" s="1"/>
  <c r="F2003" i="21"/>
  <c r="I2004" i="21" l="1"/>
  <c r="D2005" i="21"/>
  <c r="I2005" i="21" s="1"/>
  <c r="F2004" i="21"/>
  <c r="H2005" i="21" l="1"/>
  <c r="C2006" i="21" s="1"/>
  <c r="D2006" i="21" s="1"/>
  <c r="I2006" i="21" s="1"/>
  <c r="F2005" i="21"/>
  <c r="H2006" i="21" l="1"/>
  <c r="C2007" i="21" s="1"/>
  <c r="D2007" i="21" s="1"/>
  <c r="I2007" i="21" s="1"/>
  <c r="F2006" i="21"/>
  <c r="H2007" i="21" l="1"/>
  <c r="C2008" i="21" s="1"/>
  <c r="D2008" i="21" s="1"/>
  <c r="F2007" i="21"/>
  <c r="F2008" i="21" l="1"/>
  <c r="H2008" i="21"/>
  <c r="C2009" i="21" s="1"/>
  <c r="I2008" i="21"/>
  <c r="D2009" i="21" l="1"/>
  <c r="F2009" i="21" l="1"/>
  <c r="I2009" i="21"/>
  <c r="H2009" i="21"/>
  <c r="C2010" i="21" s="1"/>
  <c r="D2010" i="21" l="1"/>
  <c r="I2010" i="21" s="1"/>
  <c r="F2010" i="21" l="1"/>
  <c r="H2010" i="21"/>
  <c r="C2011" i="21" s="1"/>
  <c r="D2011" i="21" l="1"/>
  <c r="F2011" i="21" l="1"/>
  <c r="H2011" i="21"/>
  <c r="C2012" i="21" s="1"/>
  <c r="I2011" i="21"/>
  <c r="D2012" i="21" l="1"/>
  <c r="I2012" i="21" s="1"/>
  <c r="H2012" i="21" l="1"/>
  <c r="C2013" i="21" s="1"/>
  <c r="F2012" i="21"/>
  <c r="D2013" i="21" l="1"/>
  <c r="H2013" i="21" s="1"/>
  <c r="C2014" i="21" s="1"/>
  <c r="D2014" i="21" l="1"/>
  <c r="F2014" i="21" s="1"/>
  <c r="I2013" i="21"/>
  <c r="F2013" i="21"/>
  <c r="H2014" i="21" l="1"/>
  <c r="C2015" i="21" s="1"/>
  <c r="I2014" i="21"/>
  <c r="D2015" i="21" l="1"/>
  <c r="I2015" i="21" s="1"/>
  <c r="H2015" i="21" l="1"/>
  <c r="C2016" i="21" s="1"/>
  <c r="D2016" i="21" s="1"/>
  <c r="F2016" i="21" s="1"/>
  <c r="F2015" i="21"/>
  <c r="H2016" i="21" l="1"/>
  <c r="C2017" i="21" s="1"/>
  <c r="I2016" i="21"/>
  <c r="D2017" i="21" l="1"/>
  <c r="H2017" i="21" s="1"/>
  <c r="C2018" i="21" s="1"/>
  <c r="D2018" i="21" l="1"/>
  <c r="I2018" i="21" s="1"/>
  <c r="I2017" i="21"/>
  <c r="F2017" i="21"/>
  <c r="H2018" i="21" l="1"/>
  <c r="C2019" i="21" s="1"/>
  <c r="D2019" i="21" s="1"/>
  <c r="I2019" i="21" s="1"/>
  <c r="F2018" i="21"/>
  <c r="H2019" i="21" l="1"/>
  <c r="C2020" i="21" s="1"/>
  <c r="F2019" i="21"/>
  <c r="D2020" i="21" l="1"/>
  <c r="H2020" i="21" s="1"/>
  <c r="C2021" i="21" s="1"/>
  <c r="I2020" i="21" l="1"/>
  <c r="D2021" i="21"/>
  <c r="I2021" i="21" s="1"/>
  <c r="F2020" i="21"/>
  <c r="H2021" i="21" l="1"/>
  <c r="C2022" i="21" s="1"/>
  <c r="F2021" i="21"/>
  <c r="D2022" i="21" l="1"/>
  <c r="I2022" i="21" s="1"/>
  <c r="H2022" i="21" l="1"/>
  <c r="C2023" i="21" s="1"/>
  <c r="F2022" i="21"/>
  <c r="D2023" i="21" l="1"/>
  <c r="I2023" i="21" s="1"/>
  <c r="H2023" i="21" l="1"/>
  <c r="C2024" i="21" s="1"/>
  <c r="D2024" i="21" s="1"/>
  <c r="F2023" i="21"/>
  <c r="F2024" i="21" l="1"/>
  <c r="I2024" i="21"/>
  <c r="H2024" i="21"/>
  <c r="C2025" i="21" s="1"/>
  <c r="D2025" i="21" l="1"/>
  <c r="F2025" i="21" l="1"/>
  <c r="H2025" i="21"/>
  <c r="C2026" i="21" s="1"/>
  <c r="I2025" i="21"/>
  <c r="D2026" i="21" l="1"/>
  <c r="F2026" i="21" l="1"/>
  <c r="I2026" i="21"/>
  <c r="H2026" i="21"/>
  <c r="C2027" i="21" s="1"/>
  <c r="D2027" i="21" l="1"/>
  <c r="I2027" i="21" s="1"/>
  <c r="H2027" i="21" l="1"/>
  <c r="C2028" i="21" s="1"/>
  <c r="D2028" i="21" s="1"/>
  <c r="H2028" i="21" s="1"/>
  <c r="C2029" i="21" s="1"/>
  <c r="F2027" i="21"/>
  <c r="I2028" i="21" l="1"/>
  <c r="D2029" i="21"/>
  <c r="H2029" i="21" s="1"/>
  <c r="C2030" i="21" s="1"/>
  <c r="F2028" i="21"/>
  <c r="D2030" i="21" l="1"/>
  <c r="I2030" i="21" s="1"/>
  <c r="I2029" i="21"/>
  <c r="F2029" i="21"/>
  <c r="H2030" i="21" l="1"/>
  <c r="C2031" i="21" s="1"/>
  <c r="F2030" i="21"/>
  <c r="D2031" i="21" l="1"/>
  <c r="H2031" i="21" s="1"/>
  <c r="C2032" i="21" s="1"/>
  <c r="D2032" i="21" l="1"/>
  <c r="H2032" i="21" s="1"/>
  <c r="C2033" i="21" s="1"/>
  <c r="I2031" i="21"/>
  <c r="F2031" i="21"/>
  <c r="I2032" i="21" l="1"/>
  <c r="D2033" i="21"/>
  <c r="H2033" i="21" s="1"/>
  <c r="C2034" i="21" s="1"/>
  <c r="F2032" i="21"/>
  <c r="D2034" i="21" l="1"/>
  <c r="I2034" i="21" s="1"/>
  <c r="I2033" i="21"/>
  <c r="F2033" i="21"/>
  <c r="H2034" i="21" l="1"/>
  <c r="C2035" i="21" s="1"/>
  <c r="F2034" i="21"/>
  <c r="D2035" i="21" l="1"/>
  <c r="H2035" i="21" s="1"/>
  <c r="C2036" i="21" s="1"/>
  <c r="I2035" i="21" l="1"/>
  <c r="D2036" i="21"/>
  <c r="F2036" i="21" s="1"/>
  <c r="F2035" i="21"/>
  <c r="I2036" i="21" l="1"/>
  <c r="H2036" i="21"/>
  <c r="C2037" i="21" s="1"/>
  <c r="D2037" i="21" s="1"/>
  <c r="I2037" i="21" s="1"/>
  <c r="H2037" i="21" l="1"/>
  <c r="C2038" i="21" s="1"/>
  <c r="D2038" i="21" s="1"/>
  <c r="F2038" i="21" s="1"/>
  <c r="F2037" i="21"/>
  <c r="H2038" i="21" l="1"/>
  <c r="C2039" i="21" s="1"/>
  <c r="D2039" i="21" s="1"/>
  <c r="H2039" i="21" s="1"/>
  <c r="C2040" i="21" s="1"/>
  <c r="I2038" i="21"/>
  <c r="I2039" i="21" l="1"/>
  <c r="D2040" i="21"/>
  <c r="F2040" i="21" s="1"/>
  <c r="F2039" i="21"/>
  <c r="H2040" i="21" l="1"/>
  <c r="C2041" i="21" s="1"/>
  <c r="D2041" i="21" s="1"/>
  <c r="I2041" i="21" s="1"/>
  <c r="I2040" i="21"/>
  <c r="H2041" i="21" l="1"/>
  <c r="C2042" i="21" s="1"/>
  <c r="D2042" i="21" s="1"/>
  <c r="F2042" i="21" s="1"/>
  <c r="F2041" i="21"/>
  <c r="H2042" i="21" l="1"/>
  <c r="C2043" i="21" s="1"/>
  <c r="I2042" i="21"/>
  <c r="D2043" i="21" l="1"/>
  <c r="I2043" i="21" s="1"/>
  <c r="H2043" i="21" l="1"/>
  <c r="C2044" i="21" s="1"/>
  <c r="F2043" i="21"/>
  <c r="D2044" i="21" l="1"/>
  <c r="I2044" i="21" s="1"/>
  <c r="H2044" i="21" l="1"/>
  <c r="C2045" i="21" s="1"/>
  <c r="F2044" i="21"/>
  <c r="D2045" i="21" l="1"/>
  <c r="H2045" i="21" s="1"/>
  <c r="C2046" i="21" s="1"/>
  <c r="I2045" i="21" l="1"/>
  <c r="D2046" i="21"/>
  <c r="F2046" i="21" s="1"/>
  <c r="F2045" i="21"/>
  <c r="H2046" i="21" l="1"/>
  <c r="C2047" i="21" s="1"/>
  <c r="I2046" i="21"/>
  <c r="D2047" i="21" l="1"/>
  <c r="I2047" i="21" s="1"/>
  <c r="H2047" i="21" l="1"/>
  <c r="C2048" i="21" s="1"/>
  <c r="F2047" i="21"/>
  <c r="D2048" i="21" l="1"/>
  <c r="H2048" i="21" s="1"/>
  <c r="C2049" i="21" s="1"/>
  <c r="I2048" i="21" l="1"/>
  <c r="D2049" i="21"/>
  <c r="I2049" i="21" s="1"/>
  <c r="F2048" i="21"/>
  <c r="H2049" i="21" l="1"/>
  <c r="C2050" i="21" s="1"/>
  <c r="D2050" i="21" s="1"/>
  <c r="F2049" i="21"/>
  <c r="H2050" i="21" l="1"/>
  <c r="C2051" i="21" s="1"/>
  <c r="D2051" i="21" s="1"/>
  <c r="I2050" i="21"/>
  <c r="F2050" i="21"/>
  <c r="I2051" i="21" l="1"/>
  <c r="H2051" i="21"/>
  <c r="C2052" i="21" s="1"/>
  <c r="D2052" i="21" s="1"/>
  <c r="H2052" i="21" s="1"/>
  <c r="C2053" i="21" s="1"/>
  <c r="F2051" i="21"/>
  <c r="D2053" i="21" l="1"/>
  <c r="I2053" i="21" s="1"/>
  <c r="F2052" i="21"/>
  <c r="I2052" i="21"/>
  <c r="H2053" i="21" l="1"/>
  <c r="C2054" i="21" s="1"/>
  <c r="D2054" i="21" s="1"/>
  <c r="F2053" i="21"/>
  <c r="I2054" i="21" l="1"/>
  <c r="H2054" i="21"/>
  <c r="C2055" i="21" s="1"/>
  <c r="D2055" i="21" s="1"/>
  <c r="F2054" i="21"/>
  <c r="I2055" i="21" l="1"/>
  <c r="H2055" i="21"/>
  <c r="C2056" i="21" s="1"/>
  <c r="D2056" i="21" s="1"/>
  <c r="F2055" i="21"/>
  <c r="I2056" i="21" l="1"/>
  <c r="F2056" i="21"/>
  <c r="H2056" i="21"/>
  <c r="C2057" i="21" s="1"/>
  <c r="D2057" i="21" l="1"/>
  <c r="H2057" i="21" s="1"/>
  <c r="C2058" i="21" s="1"/>
  <c r="I2057" i="21" l="1"/>
  <c r="D2058" i="21"/>
  <c r="F2058" i="21" s="1"/>
  <c r="F2057" i="21"/>
  <c r="H2058" i="21" l="1"/>
  <c r="C2059" i="21" s="1"/>
  <c r="D2059" i="21" s="1"/>
  <c r="H2059" i="21" s="1"/>
  <c r="C2060" i="21" s="1"/>
  <c r="I2058" i="21"/>
  <c r="I2059" i="21" l="1"/>
  <c r="D2060" i="21"/>
  <c r="F2060" i="21" s="1"/>
  <c r="F2059" i="21"/>
  <c r="I2060" i="21" l="1"/>
  <c r="H2060" i="21"/>
  <c r="C2061" i="21" s="1"/>
  <c r="D2061" i="21" s="1"/>
  <c r="I2061" i="21" l="1"/>
  <c r="F2061" i="21"/>
  <c r="H2061" i="21"/>
  <c r="C2062" i="21" s="1"/>
  <c r="D2062" i="21" l="1"/>
  <c r="H2062" i="21" s="1"/>
  <c r="C2063" i="21" s="1"/>
  <c r="D2063" i="21" l="1"/>
  <c r="F2063" i="21" s="1"/>
  <c r="F2062" i="21"/>
  <c r="I2062" i="21"/>
  <c r="I2063" i="21" l="1"/>
  <c r="H2063" i="21"/>
  <c r="C2064" i="21" s="1"/>
  <c r="D2064" i="21" s="1"/>
  <c r="I2064" i="21" l="1"/>
  <c r="H2064" i="21"/>
  <c r="C2065" i="21" s="1"/>
  <c r="D2065" i="21" s="1"/>
  <c r="F2065" i="21" s="1"/>
  <c r="F2064" i="21"/>
  <c r="H2065" i="21" l="1"/>
  <c r="C2066" i="21" s="1"/>
  <c r="D2066" i="21" s="1"/>
  <c r="I2066" i="21" s="1"/>
  <c r="I2065" i="21"/>
  <c r="H2066" i="21" l="1"/>
  <c r="C2067" i="21" s="1"/>
  <c r="F2066" i="21"/>
  <c r="D2067" i="21" l="1"/>
  <c r="I2067" i="21" s="1"/>
  <c r="H2067" i="21" l="1"/>
  <c r="C2068" i="21" s="1"/>
  <c r="D2068" i="21" s="1"/>
  <c r="I2068" i="21" s="1"/>
  <c r="F2067" i="21"/>
  <c r="H2068" i="21" l="1"/>
  <c r="C2069" i="21" s="1"/>
  <c r="D2069" i="21" s="1"/>
  <c r="F2068" i="21"/>
  <c r="I2069" i="21" l="1"/>
  <c r="H2069" i="21"/>
  <c r="C2070" i="21" s="1"/>
  <c r="D2070" i="21" s="1"/>
  <c r="I2070" i="21" s="1"/>
  <c r="F2069" i="21"/>
  <c r="H2070" i="21" l="1"/>
  <c r="C2071" i="21" s="1"/>
  <c r="D2071" i="21" s="1"/>
  <c r="F2070" i="21"/>
  <c r="I2071" i="21" l="1"/>
  <c r="H2071" i="21"/>
  <c r="C2072" i="21" s="1"/>
  <c r="D2072" i="21" s="1"/>
  <c r="H2072" i="21" s="1"/>
  <c r="C2073" i="21" s="1"/>
  <c r="F2071" i="21"/>
  <c r="D2073" i="21" l="1"/>
  <c r="I2073" i="21" s="1"/>
  <c r="F2072" i="21"/>
  <c r="I2072" i="21"/>
  <c r="H2073" i="21" l="1"/>
  <c r="C2074" i="21" s="1"/>
  <c r="D2074" i="21" s="1"/>
  <c r="I2074" i="21" s="1"/>
  <c r="F2073" i="21"/>
  <c r="H2074" i="21" l="1"/>
  <c r="C2075" i="21" s="1"/>
  <c r="D2075" i="21" s="1"/>
  <c r="I2075" i="21" s="1"/>
  <c r="F2074" i="21"/>
  <c r="H2075" i="21" l="1"/>
  <c r="C2076" i="21" s="1"/>
  <c r="D2076" i="21" s="1"/>
  <c r="I2076" i="21" s="1"/>
  <c r="F2075" i="21"/>
  <c r="H2076" i="21" l="1"/>
  <c r="C2077" i="21" s="1"/>
  <c r="D2077" i="21" s="1"/>
  <c r="F2076" i="21"/>
  <c r="I2077" i="21" l="1"/>
  <c r="F2077" i="21"/>
  <c r="H2077" i="21"/>
  <c r="C2078" i="21" s="1"/>
  <c r="D2078" i="21" l="1"/>
  <c r="I2078" i="21" s="1"/>
  <c r="H2078" i="21" l="1"/>
  <c r="C2079" i="21" s="1"/>
  <c r="D2079" i="21" s="1"/>
  <c r="I2079" i="21" s="1"/>
  <c r="F2078" i="21"/>
  <c r="H2079" i="21" l="1"/>
  <c r="C2080" i="21" s="1"/>
  <c r="D2080" i="21" s="1"/>
  <c r="H2080" i="21" s="1"/>
  <c r="C2081" i="21" s="1"/>
  <c r="F2079" i="21"/>
  <c r="D2081" i="21" l="1"/>
  <c r="I2081" i="21" s="1"/>
  <c r="F2080" i="21"/>
  <c r="I2080" i="21"/>
  <c r="H2081" i="21" l="1"/>
  <c r="C2082" i="21" s="1"/>
  <c r="D2082" i="21" s="1"/>
  <c r="F2081" i="21"/>
  <c r="H2082" i="21" l="1"/>
  <c r="C2083" i="21" s="1"/>
  <c r="D2083" i="21" s="1"/>
  <c r="I2083" i="21" s="1"/>
  <c r="I2082" i="21"/>
  <c r="F2082" i="21"/>
  <c r="H2083" i="21" l="1"/>
  <c r="C2084" i="21" s="1"/>
  <c r="F2083" i="21"/>
  <c r="D2084" i="21" l="1"/>
  <c r="I2084" i="21" s="1"/>
  <c r="H2084" i="21" l="1"/>
  <c r="C2085" i="21" s="1"/>
  <c r="F2084" i="21"/>
  <c r="D2085" i="21" l="1"/>
  <c r="I2085" i="21" s="1"/>
  <c r="H2085" i="21" l="1"/>
  <c r="C2086" i="21" s="1"/>
  <c r="F2085" i="21"/>
  <c r="D2086" i="21" l="1"/>
  <c r="I2086" i="21" s="1"/>
  <c r="H2086" i="21" l="1"/>
  <c r="C2087" i="21" s="1"/>
  <c r="D2087" i="21" s="1"/>
  <c r="F2087" i="21" s="1"/>
  <c r="F2086" i="21"/>
  <c r="H2087" i="21" l="1"/>
  <c r="C2088" i="21" s="1"/>
  <c r="D2088" i="21" s="1"/>
  <c r="H2088" i="21" s="1"/>
  <c r="C2089" i="21" s="1"/>
  <c r="I2087" i="21"/>
  <c r="I2088" i="21" l="1"/>
  <c r="D2089" i="21"/>
  <c r="F2089" i="21" s="1"/>
  <c r="F2088" i="21"/>
  <c r="I2089" i="21" l="1"/>
  <c r="H2089" i="21"/>
  <c r="C2090" i="21" s="1"/>
  <c r="D2090" i="21" s="1"/>
  <c r="I2090" i="21" s="1"/>
  <c r="H2090" i="21" l="1"/>
  <c r="C2091" i="21" s="1"/>
  <c r="D2091" i="21" s="1"/>
  <c r="F2091" i="21" s="1"/>
  <c r="F2090" i="21"/>
  <c r="I2091" i="21" l="1"/>
  <c r="H2091" i="21"/>
  <c r="C2092" i="21" s="1"/>
  <c r="D2092" i="21" s="1"/>
  <c r="H2092" i="21" s="1"/>
  <c r="C2093" i="21" s="1"/>
  <c r="I2092" i="21" l="1"/>
  <c r="D2093" i="21"/>
  <c r="F2093" i="21" s="1"/>
  <c r="F2092" i="21"/>
  <c r="H2093" i="21" l="1"/>
  <c r="C2094" i="21" s="1"/>
  <c r="D2094" i="21" s="1"/>
  <c r="I2094" i="21" s="1"/>
  <c r="I2093" i="21"/>
  <c r="H2094" i="21" l="1"/>
  <c r="C2095" i="21" s="1"/>
  <c r="D2095" i="21" s="1"/>
  <c r="F2095" i="21" s="1"/>
  <c r="F2094" i="21"/>
  <c r="I2095" i="21" l="1"/>
  <c r="H2095" i="21"/>
  <c r="C2096" i="21" s="1"/>
  <c r="D2096" i="21" s="1"/>
  <c r="H2096" i="21" s="1"/>
  <c r="C2097" i="21" s="1"/>
  <c r="I2096" i="21" l="1"/>
  <c r="D2097" i="21"/>
  <c r="F2097" i="21" s="1"/>
  <c r="F2096" i="21"/>
  <c r="H2097" i="21" l="1"/>
  <c r="C2098" i="21" s="1"/>
  <c r="D2098" i="21" s="1"/>
  <c r="I2097" i="21"/>
  <c r="I2098" i="21" l="1"/>
  <c r="H2098" i="21"/>
  <c r="C2099" i="21" s="1"/>
  <c r="D2099" i="21" s="1"/>
  <c r="F2099" i="21" s="1"/>
  <c r="F2098" i="21"/>
  <c r="I2099" i="21" l="1"/>
  <c r="H2099" i="21"/>
  <c r="C2100" i="21" s="1"/>
  <c r="D2100" i="21" l="1"/>
  <c r="I2100" i="21" s="1"/>
  <c r="F2100" i="21"/>
  <c r="H2100" i="21" l="1"/>
  <c r="C2101" i="21" s="1"/>
  <c r="D2101" i="21" s="1"/>
  <c r="I2101" i="21" s="1"/>
  <c r="H2101" i="21" l="1"/>
  <c r="C2102" i="21" s="1"/>
  <c r="F2101" i="21"/>
  <c r="D2102" i="21" l="1"/>
  <c r="I2102" i="21" s="1"/>
  <c r="H2102" i="21" l="1"/>
  <c r="C2103" i="21" s="1"/>
  <c r="D2103" i="21" s="1"/>
  <c r="H2103" i="21" s="1"/>
  <c r="C2104" i="21" s="1"/>
  <c r="F2102" i="21"/>
  <c r="I2103" i="21" l="1"/>
  <c r="D2104" i="21"/>
  <c r="I2104" i="21" s="1"/>
  <c r="F2103" i="21"/>
  <c r="H2104" i="21" l="1"/>
  <c r="C2105" i="21" s="1"/>
  <c r="D2105" i="21" s="1"/>
  <c r="F2104" i="21"/>
  <c r="I2105" i="21" l="1"/>
  <c r="H2105" i="21"/>
  <c r="C2106" i="21" s="1"/>
  <c r="D2106" i="21" s="1"/>
  <c r="I2106" i="21" s="1"/>
  <c r="F2105" i="21"/>
  <c r="H2106" i="21" l="1"/>
  <c r="C2107" i="21" s="1"/>
  <c r="F2106" i="21"/>
  <c r="D2107" i="21" l="1"/>
  <c r="I2107" i="21" s="1"/>
  <c r="H2107" i="21" l="1"/>
  <c r="C2108" i="21" s="1"/>
  <c r="F2107" i="21"/>
  <c r="D2108" i="21" l="1"/>
  <c r="H2108" i="21" s="1"/>
  <c r="C2109" i="21" s="1"/>
  <c r="I2108" i="21" l="1"/>
  <c r="F2108" i="21"/>
  <c r="D2109" i="21"/>
  <c r="F2109" i="21" s="1"/>
  <c r="H2109" i="21" l="1"/>
  <c r="C2110" i="21" s="1"/>
  <c r="I2109" i="21"/>
  <c r="D2110" i="21" l="1"/>
  <c r="I2110" i="21" s="1"/>
  <c r="H2110" i="21" l="1"/>
  <c r="C2111" i="21" s="1"/>
  <c r="F2110" i="21"/>
  <c r="D2111" i="21" l="1"/>
  <c r="I2111" i="21" s="1"/>
  <c r="H2111" i="21" l="1"/>
  <c r="C2112" i="21" s="1"/>
  <c r="F2111" i="21"/>
  <c r="D2112" i="21" l="1"/>
  <c r="H2112" i="21" s="1"/>
  <c r="C2113" i="21" s="1"/>
  <c r="I2112" i="21" l="1"/>
  <c r="D2113" i="21"/>
  <c r="I2113" i="21" s="1"/>
  <c r="F2112" i="21"/>
  <c r="H2113" i="21" l="1"/>
  <c r="C2114" i="21" s="1"/>
  <c r="F2113" i="21"/>
  <c r="D2114" i="21" l="1"/>
  <c r="I2114" i="21" s="1"/>
  <c r="H2114" i="21" l="1"/>
  <c r="C2115" i="21" s="1"/>
  <c r="D2115" i="21" s="1"/>
  <c r="F2115" i="21" s="1"/>
  <c r="F2114" i="21"/>
  <c r="I2115" i="21" l="1"/>
  <c r="H2115" i="21"/>
  <c r="C2116" i="21" s="1"/>
  <c r="D2116" i="21" s="1"/>
  <c r="H2116" i="21" l="1"/>
  <c r="C2117" i="21" s="1"/>
  <c r="D2117" i="21" s="1"/>
  <c r="F2117" i="21" s="1"/>
  <c r="F2116" i="21"/>
  <c r="I2116" i="21"/>
  <c r="H2117" i="21" l="1"/>
  <c r="C2118" i="21" s="1"/>
  <c r="I2117" i="21"/>
  <c r="D2118" i="21" l="1"/>
  <c r="I2118" i="21" s="1"/>
  <c r="F2118" i="21" l="1"/>
  <c r="H2118" i="21"/>
  <c r="C2119" i="21" s="1"/>
  <c r="D2119" i="21" l="1"/>
  <c r="F2119" i="21" s="1"/>
  <c r="H2119" i="21" l="1"/>
  <c r="C2120" i="21" s="1"/>
  <c r="I2119" i="21"/>
  <c r="D2120" i="21" l="1"/>
  <c r="I2120" i="21" s="1"/>
  <c r="F2120" i="21" l="1"/>
  <c r="H2120" i="21"/>
  <c r="C2121" i="21" s="1"/>
  <c r="D2121" i="21" l="1"/>
  <c r="F2121" i="21" l="1"/>
  <c r="H2121" i="21"/>
  <c r="C2122" i="21" s="1"/>
  <c r="I2121" i="21"/>
  <c r="D2122" i="21" l="1"/>
  <c r="H2122" i="21" s="1"/>
  <c r="C2123" i="21" s="1"/>
  <c r="I2122" i="21" l="1"/>
  <c r="D2123" i="21"/>
  <c r="I2123" i="21" s="1"/>
  <c r="F2123" i="21"/>
  <c r="F2122" i="21"/>
  <c r="H2123" i="21" l="1"/>
  <c r="C2124" i="21" s="1"/>
  <c r="D2124" i="21" s="1"/>
  <c r="H2124" i="21" l="1"/>
  <c r="C2125" i="21" s="1"/>
  <c r="D2125" i="21" s="1"/>
  <c r="I2125" i="21" s="1"/>
  <c r="F2124" i="21"/>
  <c r="I2124" i="21"/>
  <c r="H2125" i="21" l="1"/>
  <c r="C2126" i="21" s="1"/>
  <c r="F2125" i="21"/>
  <c r="D2126" i="21" l="1"/>
  <c r="F2126" i="21" l="1"/>
  <c r="I2126" i="21"/>
  <c r="H2126" i="21"/>
  <c r="C2127" i="21" s="1"/>
  <c r="D2127" i="21" l="1"/>
  <c r="I2127" i="21" s="1"/>
  <c r="H2127" i="21" l="1"/>
  <c r="C2128" i="21" s="1"/>
  <c r="D2128" i="21" s="1"/>
  <c r="F2127" i="21"/>
  <c r="I2128" i="21" l="1"/>
  <c r="F2128" i="21"/>
  <c r="H2128" i="21"/>
  <c r="C2129" i="21" s="1"/>
  <c r="D2129" i="21" s="1"/>
  <c r="H2129" i="21" l="1"/>
  <c r="C2130" i="21" s="1"/>
  <c r="F2129" i="21"/>
  <c r="I2129" i="21"/>
  <c r="D2130" i="21" l="1"/>
  <c r="H2130" i="21" s="1"/>
  <c r="C2131" i="21" s="1"/>
  <c r="D2131" i="21" l="1"/>
  <c r="H2131" i="21" s="1"/>
  <c r="C2132" i="21" s="1"/>
  <c r="I2130" i="21"/>
  <c r="F2130" i="21"/>
  <c r="F2131" i="21" l="1"/>
  <c r="D2132" i="21"/>
  <c r="I2131" i="21"/>
  <c r="H2132" i="21" l="1"/>
  <c r="C2133" i="21" s="1"/>
  <c r="F2132" i="21"/>
  <c r="I2132" i="21"/>
  <c r="D2133" i="21" l="1"/>
  <c r="I2133" i="21" s="1"/>
  <c r="H2133" i="21" l="1"/>
  <c r="C2134" i="21" s="1"/>
  <c r="F2133" i="21"/>
  <c r="D2134" i="21" l="1"/>
  <c r="I2134" i="21" l="1"/>
  <c r="F2134" i="21"/>
  <c r="H2134" i="21"/>
  <c r="C2135" i="21" s="1"/>
  <c r="D2135" i="21" l="1"/>
  <c r="I2135" i="21" s="1"/>
  <c r="F2135" i="21" l="1"/>
  <c r="H2135" i="21"/>
  <c r="C2136" i="21" s="1"/>
  <c r="D2136" i="21" l="1"/>
  <c r="H2136" i="21" s="1"/>
  <c r="C2137" i="21" s="1"/>
  <c r="I2136" i="21" l="1"/>
  <c r="D2137" i="21"/>
  <c r="I2137" i="21" s="1"/>
  <c r="F2136" i="21"/>
  <c r="F2137" i="21"/>
  <c r="H2137" i="21" l="1"/>
  <c r="C2138" i="21" s="1"/>
  <c r="D2138" i="21" s="1"/>
  <c r="H2138" i="21" l="1"/>
  <c r="C2139" i="21" s="1"/>
  <c r="D2139" i="21" s="1"/>
  <c r="I2138" i="21"/>
  <c r="F2138" i="21"/>
  <c r="I2139" i="21" l="1"/>
  <c r="F2139" i="21"/>
  <c r="H2139" i="21"/>
  <c r="C2140" i="21" s="1"/>
  <c r="D2140" i="21" s="1"/>
  <c r="H2140" i="21" s="1"/>
  <c r="C2141" i="21" s="1"/>
  <c r="D2141" i="21" l="1"/>
  <c r="I2141" i="21" s="1"/>
  <c r="I2140" i="21"/>
  <c r="F2140" i="21"/>
  <c r="F2141" i="21" l="1"/>
  <c r="H2141" i="21"/>
  <c r="C2142" i="21" s="1"/>
  <c r="D2142" i="21" s="1"/>
  <c r="H2142" i="21" l="1"/>
  <c r="C2143" i="21" s="1"/>
  <c r="D2143" i="21" s="1"/>
  <c r="I2142" i="21"/>
  <c r="F2142" i="21"/>
  <c r="I2143" i="21" l="1"/>
  <c r="F2143" i="21"/>
  <c r="H2143" i="21"/>
  <c r="C2144" i="21" s="1"/>
  <c r="D2144" i="21" s="1"/>
  <c r="H2144" i="21" s="1"/>
  <c r="C2145" i="21" s="1"/>
  <c r="D2145" i="21" s="1"/>
  <c r="F2145" i="21" s="1"/>
  <c r="F2144" i="21" l="1"/>
  <c r="H2145" i="21"/>
  <c r="C2146" i="21" s="1"/>
  <c r="D2146" i="21" s="1"/>
  <c r="H2146" i="21" s="1"/>
  <c r="C2147" i="21" s="1"/>
  <c r="I2144" i="21"/>
  <c r="I2145" i="21"/>
  <c r="D2147" i="21" l="1"/>
  <c r="F2147" i="21" s="1"/>
  <c r="I2146" i="21"/>
  <c r="F2146" i="21"/>
  <c r="I2147" i="21" l="1"/>
  <c r="H2147" i="21"/>
  <c r="C2148" i="21" s="1"/>
  <c r="D2148" i="21" l="1"/>
  <c r="H2148" i="21" s="1"/>
  <c r="C2149" i="21" s="1"/>
  <c r="I2148" i="21" l="1"/>
  <c r="D2149" i="21"/>
  <c r="I2149" i="21" s="1"/>
  <c r="F2148" i="21"/>
  <c r="H2149" i="21" l="1"/>
  <c r="C2150" i="21" s="1"/>
  <c r="F2149" i="21"/>
  <c r="D2150" i="21" l="1"/>
  <c r="I2150" i="21" s="1"/>
  <c r="H2150" i="21" l="1"/>
  <c r="C2151" i="21" s="1"/>
  <c r="F2150" i="21"/>
  <c r="D2151" i="21" l="1"/>
  <c r="I2151" i="21" s="1"/>
  <c r="F2151" i="21" l="1"/>
  <c r="H2151" i="21"/>
  <c r="C2152" i="21" s="1"/>
  <c r="D2152" i="21" l="1"/>
  <c r="H2152" i="21" s="1"/>
  <c r="C2153" i="21" s="1"/>
  <c r="I2152" i="21" l="1"/>
  <c r="D2153" i="21"/>
  <c r="F2153" i="21" s="1"/>
  <c r="F2152" i="21"/>
  <c r="H2153" i="21" l="1"/>
  <c r="C2154" i="21" s="1"/>
  <c r="D2154" i="21" s="1"/>
  <c r="I2154" i="21" s="1"/>
  <c r="I2153" i="21"/>
  <c r="H2154" i="21" l="1"/>
  <c r="C2155" i="21" s="1"/>
  <c r="D2155" i="21" s="1"/>
  <c r="F2155" i="21" s="1"/>
  <c r="F2154" i="21"/>
  <c r="I2155" i="21" l="1"/>
  <c r="H2155" i="21"/>
  <c r="C2156" i="21" s="1"/>
  <c r="D2156" i="21" l="1"/>
  <c r="F2156" i="21" s="1"/>
  <c r="H2156" i="21" l="1"/>
  <c r="C2157" i="21" s="1"/>
  <c r="I2156" i="21"/>
  <c r="D2157" i="21" l="1"/>
  <c r="F2157" i="21" s="1"/>
  <c r="H2157" i="21" l="1"/>
  <c r="C2158" i="21" s="1"/>
  <c r="D2158" i="21" s="1"/>
  <c r="F2158" i="21" s="1"/>
  <c r="I2157" i="21"/>
  <c r="I2158" i="21" l="1"/>
  <c r="H2158" i="21"/>
  <c r="C2159" i="21" s="1"/>
  <c r="D2159" i="21" l="1"/>
  <c r="F2159" i="21" s="1"/>
  <c r="H2159" i="21" l="1"/>
  <c r="C2160" i="21" s="1"/>
  <c r="D2160" i="21" s="1"/>
  <c r="F2160" i="21" s="1"/>
  <c r="I2159" i="21"/>
  <c r="I2160" i="21" l="1"/>
  <c r="H2160" i="21"/>
  <c r="C2161" i="21" s="1"/>
  <c r="D2161" i="21" l="1"/>
  <c r="F2161" i="21" s="1"/>
  <c r="H2161" i="21" l="1"/>
  <c r="C2162" i="21" s="1"/>
  <c r="D2162" i="21" s="1"/>
  <c r="F2162" i="21" s="1"/>
  <c r="I2161" i="21"/>
  <c r="H2162" i="21" l="1"/>
  <c r="C2163" i="21" s="1"/>
  <c r="D2163" i="21" s="1"/>
  <c r="F2163" i="21" s="1"/>
  <c r="I2162" i="21"/>
  <c r="H2163" i="21" l="1"/>
  <c r="C2164" i="21" s="1"/>
  <c r="D2164" i="21" s="1"/>
  <c r="F2164" i="21" s="1"/>
  <c r="I2163" i="21"/>
  <c r="H2164" i="21" l="1"/>
  <c r="C2165" i="21" s="1"/>
  <c r="D2165" i="21" s="1"/>
  <c r="F2165" i="21" s="1"/>
  <c r="I2164" i="21"/>
  <c r="H2165" i="21" l="1"/>
  <c r="C2166" i="21" s="1"/>
  <c r="I2165" i="21"/>
  <c r="D2166" i="21" l="1"/>
  <c r="F2166" i="21" s="1"/>
  <c r="H2166" i="21" l="1"/>
  <c r="C2167" i="21" s="1"/>
  <c r="D2167" i="21" s="1"/>
  <c r="F2167" i="21" s="1"/>
  <c r="I2166" i="21"/>
  <c r="I2167" i="21" l="1"/>
  <c r="H2167" i="21"/>
  <c r="C2168" i="21" s="1"/>
  <c r="D2168" i="21" s="1"/>
  <c r="F2168" i="21" s="1"/>
  <c r="H2168" i="21" l="1"/>
  <c r="C2169" i="21" s="1"/>
  <c r="D2169" i="21" s="1"/>
  <c r="F2169" i="21" s="1"/>
  <c r="I2168" i="21"/>
  <c r="H2169" i="21" l="1"/>
  <c r="C2170" i="21" s="1"/>
  <c r="D2170" i="21" s="1"/>
  <c r="F2170" i="21" s="1"/>
  <c r="I2169" i="21"/>
  <c r="H2170" i="21" l="1"/>
  <c r="C2171" i="21" s="1"/>
  <c r="D2171" i="21" s="1"/>
  <c r="I2170" i="21"/>
  <c r="F2171" i="21" l="1"/>
  <c r="H2171" i="21"/>
  <c r="C2172" i="21" s="1"/>
  <c r="D2172" i="21" s="1"/>
  <c r="F2172" i="21" s="1"/>
  <c r="I2171" i="21"/>
  <c r="H2172" i="21" l="1"/>
  <c r="C2173" i="21" s="1"/>
  <c r="D2173" i="21" s="1"/>
  <c r="F2173" i="21" s="1"/>
  <c r="I2172" i="21"/>
  <c r="H2173" i="21" l="1"/>
  <c r="C2174" i="21" s="1"/>
  <c r="D2174" i="21" s="1"/>
  <c r="F2174" i="21" s="1"/>
  <c r="I2173" i="21"/>
  <c r="H2174" i="21" l="1"/>
  <c r="C2175" i="21" s="1"/>
  <c r="D2175" i="21" s="1"/>
  <c r="I2174" i="21"/>
  <c r="F2175" i="21" l="1"/>
  <c r="H2175" i="21"/>
  <c r="C2176" i="21" s="1"/>
  <c r="D2176" i="21" s="1"/>
  <c r="I2175" i="21"/>
  <c r="F2176" i="21" l="1"/>
  <c r="H2176" i="21"/>
  <c r="C2177" i="21" s="1"/>
  <c r="D2177" i="21" s="1"/>
  <c r="F2177" i="21" s="1"/>
  <c r="I2176" i="21"/>
  <c r="H2177" i="21" l="1"/>
  <c r="C2178" i="21" s="1"/>
  <c r="D2178" i="21" s="1"/>
  <c r="I2178" i="21" s="1"/>
  <c r="I2177" i="21"/>
  <c r="H2178" i="21" l="1"/>
  <c r="C2179" i="21" s="1"/>
  <c r="F2178" i="21"/>
  <c r="D2179" i="21" l="1"/>
  <c r="F2179" i="21" s="1"/>
  <c r="H2179" i="21" l="1"/>
  <c r="C2180" i="21" s="1"/>
  <c r="I2179" i="21"/>
  <c r="D2180" i="21" l="1"/>
  <c r="F2180" i="21" s="1"/>
  <c r="I2180" i="21" l="1"/>
  <c r="H2180" i="21"/>
  <c r="H21" i="19" l="1"/>
  <c r="F22" i="19"/>
  <c r="H53" i="18" s="1"/>
  <c r="F28" i="19" s="1"/>
  <c r="J23" i="19"/>
  <c r="C35" i="18"/>
  <c r="C38" i="18" s="1"/>
  <c r="D38" i="18" s="1"/>
  <c r="N5" i="29" l="1"/>
  <c r="N4" i="29"/>
  <c r="C24" i="20"/>
  <c r="C25" i="20" s="1"/>
  <c r="H35" i="18"/>
  <c r="I35" i="18" s="1"/>
  <c r="C40" i="18"/>
  <c r="D40" i="18" s="1"/>
  <c r="C39" i="18"/>
  <c r="D42" i="20"/>
  <c r="D35" i="18"/>
  <c r="C42" i="20" s="1"/>
  <c r="C45" i="20" s="1"/>
  <c r="C46" i="20" s="1"/>
  <c r="C41" i="18"/>
  <c r="H23" i="19"/>
  <c r="I13" i="19" s="1"/>
  <c r="H27" i="19"/>
  <c r="F27" i="19" s="1"/>
  <c r="F41" i="19" s="1"/>
  <c r="D39" i="18" l="1"/>
  <c r="C65" i="18"/>
  <c r="H40" i="18"/>
  <c r="I40" i="18" s="1"/>
  <c r="I14" i="19"/>
  <c r="I15" i="19"/>
  <c r="I16" i="19"/>
  <c r="C45" i="18"/>
  <c r="D45" i="20"/>
  <c r="D46" i="20" s="1"/>
  <c r="D41" i="18"/>
  <c r="H51" i="18" l="1"/>
  <c r="D65" i="18"/>
  <c r="H54" i="18"/>
  <c r="D45" i="18"/>
  <c r="D46" i="18" s="1"/>
  <c r="C46" i="18"/>
  <c r="C47" i="18" s="1"/>
  <c r="I10" i="22" l="1"/>
  <c r="I58" i="18"/>
  <c r="C22" i="20"/>
  <c r="I57" i="18"/>
  <c r="H64" i="18"/>
  <c r="I60" i="18" s="1"/>
  <c r="H65" i="18"/>
  <c r="F30" i="19"/>
  <c r="C32" i="19"/>
  <c r="F21" i="19" l="1"/>
  <c r="L5" i="29" s="1"/>
  <c r="M5" i="29" s="1"/>
  <c r="C26" i="20"/>
  <c r="I65" i="18"/>
  <c r="G38" i="20"/>
  <c r="G39" i="20"/>
  <c r="I56" i="18"/>
  <c r="I6" i="22"/>
  <c r="H32" i="19"/>
  <c r="J34" i="19" s="1"/>
  <c r="I9" i="22"/>
  <c r="Q42" i="22"/>
  <c r="I59" i="18"/>
  <c r="C4" i="22"/>
  <c r="I8" i="22"/>
  <c r="M978" i="22" l="1"/>
  <c r="M990" i="22"/>
  <c r="M1002" i="22"/>
  <c r="M1014" i="22"/>
  <c r="M1026" i="22"/>
  <c r="M1016" i="22"/>
  <c r="M1029" i="22"/>
  <c r="M994" i="22"/>
  <c r="M1030" i="22"/>
  <c r="M979" i="22"/>
  <c r="M991" i="22"/>
  <c r="M1003" i="22"/>
  <c r="M1015" i="22"/>
  <c r="M1027" i="22"/>
  <c r="M980" i="22"/>
  <c r="M1004" i="22"/>
  <c r="M1028" i="22"/>
  <c r="M981" i="22"/>
  <c r="M993" i="22"/>
  <c r="M1005" i="22"/>
  <c r="M1017" i="22"/>
  <c r="M1006" i="22"/>
  <c r="M992" i="22"/>
  <c r="M1012" i="22"/>
  <c r="M1024" i="22"/>
  <c r="M1013" i="22"/>
  <c r="M982" i="22"/>
  <c r="M1018" i="22"/>
  <c r="M983" i="22"/>
  <c r="M995" i="22"/>
  <c r="M1007" i="22"/>
  <c r="M1019" i="22"/>
  <c r="M1031" i="22"/>
  <c r="M1009" i="22"/>
  <c r="M984" i="22"/>
  <c r="M996" i="22"/>
  <c r="M1008" i="22"/>
  <c r="M1020" i="22"/>
  <c r="M1032" i="22"/>
  <c r="M999" i="22"/>
  <c r="M1023" i="22"/>
  <c r="M1036" i="22"/>
  <c r="M1025" i="22"/>
  <c r="Q7" i="22" a="1"/>
  <c r="Q7" i="22" s="1"/>
  <c r="F43" i="22" s="1"/>
  <c r="M985" i="22"/>
  <c r="M997" i="22"/>
  <c r="M1021" i="22"/>
  <c r="M1033" i="22"/>
  <c r="M1000" i="22"/>
  <c r="M986" i="22"/>
  <c r="M998" i="22"/>
  <c r="M1010" i="22"/>
  <c r="M1022" i="22"/>
  <c r="M1034" i="22"/>
  <c r="M987" i="22"/>
  <c r="M1011" i="22"/>
  <c r="M1035" i="22"/>
  <c r="M988" i="22"/>
  <c r="M1001" i="22"/>
  <c r="M989" i="22"/>
  <c r="L3" i="22"/>
  <c r="Q5" i="22"/>
  <c r="Q11" i="22" a="1"/>
  <c r="Q11" i="22" s="1"/>
  <c r="Q29" i="22" a="1"/>
  <c r="Q29" i="22" s="1"/>
  <c r="Q12" i="22" a="1"/>
  <c r="Q12" i="22" s="1"/>
  <c r="F199" i="22" s="1"/>
  <c r="Q20" i="22" a="1"/>
  <c r="Q20" i="22" s="1"/>
  <c r="Q30" i="22" a="1"/>
  <c r="Q30" i="22" s="1"/>
  <c r="Q21" i="22" a="1"/>
  <c r="Q21" i="22" s="1"/>
  <c r="Q13" i="22" a="1"/>
  <c r="Q13" i="22" s="1"/>
  <c r="Q22" i="22" a="1"/>
  <c r="Q22" i="22" s="1"/>
  <c r="Q14" i="22" a="1"/>
  <c r="Q14" i="22" s="1"/>
  <c r="Q23" i="22" a="1"/>
  <c r="Q23" i="22" s="1"/>
  <c r="Q15" i="22" a="1"/>
  <c r="Q15" i="22" s="1"/>
  <c r="Q24" i="22" a="1"/>
  <c r="Q24" i="22" s="1"/>
  <c r="Q16" i="22" a="1"/>
  <c r="Q16" i="22" s="1"/>
  <c r="Q25" i="22" a="1"/>
  <c r="Q25" i="22" s="1"/>
  <c r="Q6" i="22"/>
  <c r="U6" i="22" s="1"/>
  <c r="Y6" i="22" s="1"/>
  <c r="Q26" i="22" a="1"/>
  <c r="Q26" i="22" s="1"/>
  <c r="Q8" i="22" a="1"/>
  <c r="Q8" i="22" s="1"/>
  <c r="F76" i="22" s="1"/>
  <c r="Q17" i="22" a="1"/>
  <c r="Q17" i="22" s="1"/>
  <c r="Q9" i="22" a="1"/>
  <c r="Q9" i="22" s="1"/>
  <c r="Q18" i="22" a="1"/>
  <c r="Q18" i="22" s="1"/>
  <c r="Q27" i="22" a="1"/>
  <c r="Q27" i="22" s="1"/>
  <c r="Q10" i="22" a="1"/>
  <c r="Q10" i="22" s="1"/>
  <c r="F137" i="22" s="1"/>
  <c r="Q19" i="22" a="1"/>
  <c r="Q19" i="22" s="1"/>
  <c r="Q28" i="22" a="1"/>
  <c r="Q28" i="22" s="1"/>
  <c r="F23" i="19"/>
  <c r="AC4" i="22"/>
  <c r="AC6" i="22"/>
  <c r="AC11" i="22"/>
  <c r="C15" i="22"/>
  <c r="Q4" i="22" s="1"/>
  <c r="D5" i="22"/>
  <c r="H67" i="18"/>
  <c r="H61" i="18"/>
  <c r="G31" i="20"/>
  <c r="I2" i="22"/>
  <c r="F165" i="22" l="1"/>
  <c r="F168" i="22"/>
  <c r="F104" i="22"/>
  <c r="F107" i="22"/>
  <c r="K15" i="22"/>
  <c r="K556" i="22"/>
  <c r="K700" i="22"/>
  <c r="K844" i="22"/>
  <c r="K988" i="22"/>
  <c r="K449" i="22"/>
  <c r="K593" i="22"/>
  <c r="K737" i="22"/>
  <c r="K881" i="22"/>
  <c r="K1025" i="22"/>
  <c r="K510" i="22"/>
  <c r="K654" i="22"/>
  <c r="K798" i="22"/>
  <c r="K942" i="22"/>
  <c r="K823" i="22"/>
  <c r="K992" i="22"/>
  <c r="K487" i="22"/>
  <c r="K631" i="22"/>
  <c r="K787" i="22"/>
  <c r="K495" i="22"/>
  <c r="K536" i="22"/>
  <c r="K680" i="22"/>
  <c r="K824" i="22"/>
  <c r="K980" i="22"/>
  <c r="K501" i="22"/>
  <c r="K645" i="22"/>
  <c r="K789" i="22"/>
  <c r="K933" i="22"/>
  <c r="K1019" i="22"/>
  <c r="K831" i="22"/>
  <c r="K538" i="22"/>
  <c r="K682" i="22"/>
  <c r="K826" i="22"/>
  <c r="K970" i="22"/>
  <c r="K578" i="22"/>
  <c r="K651" i="22"/>
  <c r="K503" i="22"/>
  <c r="K647" i="22"/>
  <c r="K791" i="22"/>
  <c r="K935" i="22"/>
  <c r="K483" i="22"/>
  <c r="K516" i="22"/>
  <c r="K660" i="22"/>
  <c r="K804" i="22"/>
  <c r="K948" i="22"/>
  <c r="K638" i="22"/>
  <c r="K879" i="22"/>
  <c r="K553" i="22"/>
  <c r="K697" i="22"/>
  <c r="K841" i="22"/>
  <c r="K985" i="22"/>
  <c r="K590" i="22"/>
  <c r="K555" i="22"/>
  <c r="K54" i="22"/>
  <c r="K198" i="22"/>
  <c r="K342" i="22"/>
  <c r="K79" i="22"/>
  <c r="K223" i="22"/>
  <c r="K367" i="22"/>
  <c r="K322" i="22"/>
  <c r="K152" i="22"/>
  <c r="K296" i="22"/>
  <c r="K33" i="22"/>
  <c r="K177" i="22"/>
  <c r="K321" i="22"/>
  <c r="K70" i="22"/>
  <c r="K262" i="22"/>
  <c r="K143" i="22"/>
  <c r="K287" i="22"/>
  <c r="K37" i="22"/>
  <c r="K337" i="22"/>
  <c r="K230" i="22"/>
  <c r="K48" i="22"/>
  <c r="K192" i="22"/>
  <c r="K336" i="22"/>
  <c r="K109" i="22"/>
  <c r="K397" i="22"/>
  <c r="K266" i="22"/>
  <c r="K341" i="22"/>
  <c r="K413" i="22"/>
  <c r="K76" i="22"/>
  <c r="K77" i="22"/>
  <c r="K244" i="22"/>
  <c r="K317" i="22"/>
  <c r="K424" i="22"/>
  <c r="K568" i="22"/>
  <c r="K712" i="22"/>
  <c r="K856" i="22"/>
  <c r="K1000" i="22"/>
  <c r="K461" i="22"/>
  <c r="K605" i="22"/>
  <c r="K749" i="22"/>
  <c r="K893" i="22"/>
  <c r="K1049" i="22"/>
  <c r="K522" i="22"/>
  <c r="K666" i="22"/>
  <c r="K810" i="22"/>
  <c r="K954" i="22"/>
  <c r="K847" i="22"/>
  <c r="K1028" i="22"/>
  <c r="K499" i="22"/>
  <c r="K643" i="22"/>
  <c r="K811" i="22"/>
  <c r="K783" i="22"/>
  <c r="K548" i="22"/>
  <c r="K692" i="22"/>
  <c r="K836" i="22"/>
  <c r="K1004" i="22"/>
  <c r="K513" i="22"/>
  <c r="K657" i="22"/>
  <c r="K801" i="22"/>
  <c r="K945" i="22"/>
  <c r="K1055" i="22"/>
  <c r="K927" i="22"/>
  <c r="K550" i="22"/>
  <c r="K694" i="22"/>
  <c r="K838" i="22"/>
  <c r="K982" i="22"/>
  <c r="K614" i="22"/>
  <c r="K687" i="22"/>
  <c r="K515" i="22"/>
  <c r="K659" i="22"/>
  <c r="K803" i="22"/>
  <c r="K947" i="22"/>
  <c r="K639" i="22"/>
  <c r="K528" i="22"/>
  <c r="K672" i="22"/>
  <c r="K816" i="22"/>
  <c r="K960" i="22"/>
  <c r="K674" i="22"/>
  <c r="K963" i="22"/>
  <c r="K565" i="22"/>
  <c r="K709" i="22"/>
  <c r="K853" i="22"/>
  <c r="K997" i="22"/>
  <c r="K626" i="22"/>
  <c r="K579" i="22"/>
  <c r="K66" i="22"/>
  <c r="K210" i="22"/>
  <c r="K354" i="22"/>
  <c r="K91" i="22"/>
  <c r="K235" i="22"/>
  <c r="K379" i="22"/>
  <c r="K20" i="22"/>
  <c r="K164" i="22"/>
  <c r="K308" i="22"/>
  <c r="K45" i="22"/>
  <c r="K189" i="22"/>
  <c r="K333" i="22"/>
  <c r="K82" i="22"/>
  <c r="K286" i="22"/>
  <c r="K155" i="22"/>
  <c r="K299" i="22"/>
  <c r="K73" i="22"/>
  <c r="K361" i="22"/>
  <c r="K254" i="22"/>
  <c r="K60" i="22"/>
  <c r="K204" i="22"/>
  <c r="K348" i="22"/>
  <c r="K133" i="22"/>
  <c r="K421" i="22"/>
  <c r="K290" i="22"/>
  <c r="K377" i="22"/>
  <c r="K27" i="22"/>
  <c r="K124" i="22"/>
  <c r="K125" i="22"/>
  <c r="K401" i="22"/>
  <c r="K358" i="22"/>
  <c r="K40" i="22"/>
  <c r="K436" i="22"/>
  <c r="K580" i="22"/>
  <c r="K724" i="22"/>
  <c r="K868" i="22"/>
  <c r="K1012" i="22"/>
  <c r="K473" i="22"/>
  <c r="K617" i="22"/>
  <c r="K761" i="22"/>
  <c r="K905" i="22"/>
  <c r="K543" i="22"/>
  <c r="K534" i="22"/>
  <c r="K678" i="22"/>
  <c r="K822" i="22"/>
  <c r="K966" i="22"/>
  <c r="K871" i="22"/>
  <c r="K1052" i="22"/>
  <c r="K511" i="22"/>
  <c r="K655" i="22"/>
  <c r="K835" i="22"/>
  <c r="K975" i="22"/>
  <c r="K560" i="22"/>
  <c r="K704" i="22"/>
  <c r="K848" i="22"/>
  <c r="K1040" i="22"/>
  <c r="K525" i="22"/>
  <c r="K669" i="22"/>
  <c r="K813" i="22"/>
  <c r="K957" i="22"/>
  <c r="K470" i="22"/>
  <c r="K1047" i="22"/>
  <c r="K562" i="22"/>
  <c r="K706" i="22"/>
  <c r="K850" i="22"/>
  <c r="K994" i="22"/>
  <c r="K650" i="22"/>
  <c r="K723" i="22"/>
  <c r="K527" i="22"/>
  <c r="K671" i="22"/>
  <c r="K815" i="22"/>
  <c r="K959" i="22"/>
  <c r="K735" i="22"/>
  <c r="K540" i="22"/>
  <c r="K684" i="22"/>
  <c r="K828" i="22"/>
  <c r="K972" i="22"/>
  <c r="K734" i="22"/>
  <c r="K433" i="22"/>
  <c r="K577" i="22"/>
  <c r="K721" i="22"/>
  <c r="K865" i="22"/>
  <c r="K1009" i="22"/>
  <c r="K662" i="22"/>
  <c r="K615" i="22"/>
  <c r="K78" i="22"/>
  <c r="K222" i="22"/>
  <c r="K366" i="22"/>
  <c r="K103" i="22"/>
  <c r="K247" i="22"/>
  <c r="K391" i="22"/>
  <c r="K32" i="22"/>
  <c r="K176" i="22"/>
  <c r="K320" i="22"/>
  <c r="K57" i="22"/>
  <c r="K201" i="22"/>
  <c r="K345" i="22"/>
  <c r="K94" i="22"/>
  <c r="K23" i="22"/>
  <c r="K167" i="22"/>
  <c r="K311" i="22"/>
  <c r="K97" i="22"/>
  <c r="K385" i="22"/>
  <c r="K278" i="22"/>
  <c r="K72" i="22"/>
  <c r="K216" i="22"/>
  <c r="K360" i="22"/>
  <c r="K448" i="22"/>
  <c r="K628" i="22"/>
  <c r="K808" i="22"/>
  <c r="K1024" i="22"/>
  <c r="K521" i="22"/>
  <c r="K701" i="22"/>
  <c r="K917" i="22"/>
  <c r="K438" i="22"/>
  <c r="K618" i="22"/>
  <c r="K834" i="22"/>
  <c r="K1014" i="22"/>
  <c r="K1039" i="22"/>
  <c r="K523" i="22"/>
  <c r="K703" i="22"/>
  <c r="K1003" i="22"/>
  <c r="K572" i="22"/>
  <c r="K752" i="22"/>
  <c r="K932" i="22"/>
  <c r="K537" i="22"/>
  <c r="K717" i="22"/>
  <c r="K897" i="22"/>
  <c r="K686" i="22"/>
  <c r="K466" i="22"/>
  <c r="K646" i="22"/>
  <c r="K862" i="22"/>
  <c r="K1042" i="22"/>
  <c r="K447" i="22"/>
  <c r="K539" i="22"/>
  <c r="K719" i="22"/>
  <c r="K899" i="22"/>
  <c r="K855" i="22"/>
  <c r="K588" i="22"/>
  <c r="K768" i="22"/>
  <c r="K984" i="22"/>
  <c r="K974" i="22"/>
  <c r="K517" i="22"/>
  <c r="K733" i="22"/>
  <c r="K913" i="22"/>
  <c r="K518" i="22"/>
  <c r="K663" i="22"/>
  <c r="K126" i="22"/>
  <c r="K306" i="22"/>
  <c r="K115" i="22"/>
  <c r="K295" i="22"/>
  <c r="K250" i="22"/>
  <c r="K188" i="22"/>
  <c r="K368" i="22"/>
  <c r="K141" i="22"/>
  <c r="K357" i="22"/>
  <c r="K154" i="22"/>
  <c r="K107" i="22"/>
  <c r="K323" i="22"/>
  <c r="K193" i="22"/>
  <c r="K158" i="22"/>
  <c r="K84" i="22"/>
  <c r="K264" i="22"/>
  <c r="K49" i="22"/>
  <c r="K373" i="22"/>
  <c r="K338" i="22"/>
  <c r="K113" i="22"/>
  <c r="K310" i="22"/>
  <c r="K63" i="22"/>
  <c r="K196" i="22"/>
  <c r="K394" i="22"/>
  <c r="K184" i="22"/>
  <c r="K89" i="22"/>
  <c r="K147" i="22"/>
  <c r="K182" i="22"/>
  <c r="K53" i="22"/>
  <c r="K137" i="22"/>
  <c r="K472" i="22"/>
  <c r="K832" i="22"/>
  <c r="K1048" i="22"/>
  <c r="K545" i="22"/>
  <c r="K725" i="22"/>
  <c r="K941" i="22"/>
  <c r="K462" i="22"/>
  <c r="K642" i="22"/>
  <c r="K858" i="22"/>
  <c r="K1038" i="22"/>
  <c r="K956" i="22"/>
  <c r="K547" i="22"/>
  <c r="K739" i="22"/>
  <c r="K1016" i="22"/>
  <c r="K596" i="22"/>
  <c r="K460" i="22"/>
  <c r="K640" i="22"/>
  <c r="K820" i="22"/>
  <c r="K1036" i="22"/>
  <c r="K533" i="22"/>
  <c r="K713" i="22"/>
  <c r="K929" i="22"/>
  <c r="K450" i="22"/>
  <c r="K630" i="22"/>
  <c r="K846" i="22"/>
  <c r="K1026" i="22"/>
  <c r="K1051" i="22"/>
  <c r="K535" i="22"/>
  <c r="K715" i="22"/>
  <c r="K1027" i="22"/>
  <c r="K584" i="22"/>
  <c r="K764" i="22"/>
  <c r="K944" i="22"/>
  <c r="K549" i="22"/>
  <c r="K729" i="22"/>
  <c r="K909" i="22"/>
  <c r="K770" i="22"/>
  <c r="K478" i="22"/>
  <c r="K658" i="22"/>
  <c r="K874" i="22"/>
  <c r="K1054" i="22"/>
  <c r="K567" i="22"/>
  <c r="K551" i="22"/>
  <c r="K731" i="22"/>
  <c r="K911" i="22"/>
  <c r="K951" i="22"/>
  <c r="K600" i="22"/>
  <c r="K780" i="22"/>
  <c r="K996" i="22"/>
  <c r="K1034" i="22"/>
  <c r="K529" i="22"/>
  <c r="K745" i="22"/>
  <c r="K925" i="22"/>
  <c r="K530" i="22"/>
  <c r="K699" i="22"/>
  <c r="K138" i="22"/>
  <c r="K318" i="22"/>
  <c r="K127" i="22"/>
  <c r="K307" i="22"/>
  <c r="K274" i="22"/>
  <c r="K200" i="22"/>
  <c r="K380" i="22"/>
  <c r="K153" i="22"/>
  <c r="K369" i="22"/>
  <c r="K166" i="22"/>
  <c r="K119" i="22"/>
  <c r="K335" i="22"/>
  <c r="K217" i="22"/>
  <c r="K96" i="22"/>
  <c r="K276" i="22"/>
  <c r="K61" i="22"/>
  <c r="K26" i="22"/>
  <c r="K362" i="22"/>
  <c r="K161" i="22"/>
  <c r="K351" i="22"/>
  <c r="K411" i="22"/>
  <c r="K233" i="22"/>
  <c r="K232" i="22"/>
  <c r="K195" i="22"/>
  <c r="K652" i="22"/>
  <c r="K508" i="22"/>
  <c r="K688" i="22"/>
  <c r="K904" i="22"/>
  <c r="K807" i="22"/>
  <c r="K581" i="22"/>
  <c r="K797" i="22"/>
  <c r="K977" i="22"/>
  <c r="K498" i="22"/>
  <c r="K714" i="22"/>
  <c r="K894" i="22"/>
  <c r="K799" i="22"/>
  <c r="K903" i="22"/>
  <c r="K583" i="22"/>
  <c r="K775" i="22"/>
  <c r="K452" i="22"/>
  <c r="K632" i="22"/>
  <c r="K812" i="22"/>
  <c r="K987" i="22"/>
  <c r="K597" i="22"/>
  <c r="K777" i="22"/>
  <c r="K993" i="22"/>
  <c r="K1010" i="22"/>
  <c r="K526" i="22"/>
  <c r="K742" i="22"/>
  <c r="K922" i="22"/>
  <c r="K542" i="22"/>
  <c r="K939" i="22"/>
  <c r="K599" i="22"/>
  <c r="K779" i="22"/>
  <c r="K1043" i="22"/>
  <c r="K468" i="22"/>
  <c r="K648" i="22"/>
  <c r="K864" i="22"/>
  <c r="K1044" i="22"/>
  <c r="K759" i="22"/>
  <c r="K613" i="22"/>
  <c r="K793" i="22"/>
  <c r="K973" i="22"/>
  <c r="K746" i="22"/>
  <c r="K1035" i="22"/>
  <c r="K186" i="22"/>
  <c r="K402" i="22"/>
  <c r="K175" i="22"/>
  <c r="K355" i="22"/>
  <c r="K68" i="22"/>
  <c r="K248" i="22"/>
  <c r="K21" i="22"/>
  <c r="K237" i="22"/>
  <c r="K417" i="22"/>
  <c r="K238" i="22"/>
  <c r="K203" i="22"/>
  <c r="K383" i="22"/>
  <c r="K313" i="22"/>
  <c r="K350" i="22"/>
  <c r="K144" i="22"/>
  <c r="K324" i="22"/>
  <c r="K205" i="22"/>
  <c r="K122" i="22"/>
  <c r="K160" i="22"/>
  <c r="K346" i="22"/>
  <c r="K172" i="22"/>
  <c r="K269" i="22"/>
  <c r="K39" i="22"/>
  <c r="K370" i="22"/>
  <c r="K365" i="22"/>
  <c r="K148" i="22"/>
  <c r="K484" i="22"/>
  <c r="K760" i="22"/>
  <c r="K1037" i="22"/>
  <c r="K653" i="22"/>
  <c r="K953" i="22"/>
  <c r="K570" i="22"/>
  <c r="K870" i="22"/>
  <c r="K943" i="22"/>
  <c r="K559" i="22"/>
  <c r="K907" i="22"/>
  <c r="K608" i="22"/>
  <c r="K872" i="22"/>
  <c r="K477" i="22"/>
  <c r="K753" i="22"/>
  <c r="K1017" i="22"/>
  <c r="K442" i="22"/>
  <c r="K718" i="22"/>
  <c r="K946" i="22"/>
  <c r="K938" i="22"/>
  <c r="K575" i="22"/>
  <c r="K839" i="22"/>
  <c r="K986" i="22"/>
  <c r="K624" i="22"/>
  <c r="K888" i="22"/>
  <c r="K866" i="22"/>
  <c r="K589" i="22"/>
  <c r="K817" i="22"/>
  <c r="K482" i="22"/>
  <c r="K867" i="22"/>
  <c r="K246" i="22"/>
  <c r="K55" i="22"/>
  <c r="K331" i="22"/>
  <c r="K92" i="22"/>
  <c r="K344" i="22"/>
  <c r="K213" i="22"/>
  <c r="K46" i="22"/>
  <c r="K83" i="22"/>
  <c r="K359" i="22"/>
  <c r="K38" i="22"/>
  <c r="K24" i="22"/>
  <c r="K300" i="22"/>
  <c r="K253" i="22"/>
  <c r="K242" i="22"/>
  <c r="K257" i="22"/>
  <c r="K268" i="22"/>
  <c r="K328" i="22"/>
  <c r="K400" i="22"/>
  <c r="K334" i="22"/>
  <c r="K51" i="22"/>
  <c r="K104" i="22"/>
  <c r="K371" i="22"/>
  <c r="K36" i="22"/>
  <c r="K277" i="22"/>
  <c r="K305" i="22"/>
  <c r="K291" i="22"/>
  <c r="K197" i="22"/>
  <c r="K520" i="22"/>
  <c r="K999" i="22"/>
  <c r="K677" i="22"/>
  <c r="K989" i="22"/>
  <c r="K906" i="22"/>
  <c r="K991" i="22"/>
  <c r="K955" i="22"/>
  <c r="K896" i="22"/>
  <c r="K825" i="22"/>
  <c r="K490" i="22"/>
  <c r="K1006" i="22"/>
  <c r="K611" i="22"/>
  <c r="K432" i="22"/>
  <c r="K912" i="22"/>
  <c r="K625" i="22"/>
  <c r="K566" i="22"/>
  <c r="K270" i="22"/>
  <c r="K139" i="22"/>
  <c r="K116" i="22"/>
  <c r="K249" i="22"/>
  <c r="K131" i="22"/>
  <c r="K395" i="22"/>
  <c r="K108" i="22"/>
  <c r="K372" i="22"/>
  <c r="K301" i="22"/>
  <c r="K382" i="22"/>
  <c r="K352" i="22"/>
  <c r="K406" i="22"/>
  <c r="K375" i="22"/>
  <c r="K329" i="22"/>
  <c r="K532" i="22"/>
  <c r="K796" i="22"/>
  <c r="K425" i="22"/>
  <c r="K689" i="22"/>
  <c r="K1001" i="22"/>
  <c r="K606" i="22"/>
  <c r="K918" i="22"/>
  <c r="K607" i="22"/>
  <c r="K979" i="22"/>
  <c r="K656" i="22"/>
  <c r="K908" i="22"/>
  <c r="K573" i="22"/>
  <c r="K837" i="22"/>
  <c r="K1053" i="22"/>
  <c r="K502" i="22"/>
  <c r="K766" i="22"/>
  <c r="K1018" i="22"/>
  <c r="K795" i="22"/>
  <c r="K623" i="22"/>
  <c r="K875" i="22"/>
  <c r="K444" i="22"/>
  <c r="K708" i="22"/>
  <c r="K924" i="22"/>
  <c r="K637" i="22"/>
  <c r="K889" i="22"/>
  <c r="K698" i="22"/>
  <c r="K496" i="22"/>
  <c r="K772" i="22"/>
  <c r="K519" i="22"/>
  <c r="K665" i="22"/>
  <c r="K965" i="22"/>
  <c r="K582" i="22"/>
  <c r="K882" i="22"/>
  <c r="K967" i="22"/>
  <c r="K571" i="22"/>
  <c r="K931" i="22"/>
  <c r="K620" i="22"/>
  <c r="K884" i="22"/>
  <c r="K489" i="22"/>
  <c r="K765" i="22"/>
  <c r="K1029" i="22"/>
  <c r="K454" i="22"/>
  <c r="K730" i="22"/>
  <c r="K958" i="22"/>
  <c r="K998" i="22"/>
  <c r="K587" i="22"/>
  <c r="K851" i="22"/>
  <c r="K1046" i="22"/>
  <c r="K636" i="22"/>
  <c r="K900" i="22"/>
  <c r="K926" i="22"/>
  <c r="K601" i="22"/>
  <c r="K829" i="22"/>
  <c r="K506" i="22"/>
  <c r="K915" i="22"/>
  <c r="K258" i="22"/>
  <c r="K67" i="22"/>
  <c r="K343" i="22"/>
  <c r="K356" i="22"/>
  <c r="K225" i="22"/>
  <c r="K58" i="22"/>
  <c r="K95" i="22"/>
  <c r="K62" i="22"/>
  <c r="K312" i="22"/>
  <c r="K314" i="22"/>
  <c r="K315" i="22"/>
  <c r="K52" i="22"/>
  <c r="K99" i="22"/>
  <c r="K784" i="22"/>
  <c r="K594" i="22"/>
  <c r="K595" i="22"/>
  <c r="K644" i="22"/>
  <c r="K561" i="22"/>
  <c r="K1041" i="22"/>
  <c r="K754" i="22"/>
  <c r="K591" i="22"/>
  <c r="K863" i="22"/>
  <c r="K696" i="22"/>
  <c r="K471" i="22"/>
  <c r="K877" i="22"/>
  <c r="K18" i="22"/>
  <c r="K403" i="22"/>
  <c r="K392" i="22"/>
  <c r="K106" i="22"/>
  <c r="K86" i="22"/>
  <c r="K16" i="22"/>
  <c r="K245" i="22"/>
  <c r="K1015" i="22"/>
  <c r="K592" i="22"/>
  <c r="K892" i="22"/>
  <c r="K485" i="22"/>
  <c r="K785" i="22"/>
  <c r="K843" i="22"/>
  <c r="K702" i="22"/>
  <c r="K978" i="22"/>
  <c r="K747" i="22"/>
  <c r="K667" i="22"/>
  <c r="K440" i="22"/>
  <c r="K716" i="22"/>
  <c r="K968" i="22"/>
  <c r="K609" i="22"/>
  <c r="K861" i="22"/>
  <c r="K830" i="22"/>
  <c r="K574" i="22"/>
  <c r="K790" i="22"/>
  <c r="K971" i="22"/>
  <c r="K431" i="22"/>
  <c r="K683" i="22"/>
  <c r="K923" i="22"/>
  <c r="K480" i="22"/>
  <c r="K732" i="22"/>
  <c r="K1008" i="22"/>
  <c r="K445" i="22"/>
  <c r="K661" i="22"/>
  <c r="K937" i="22"/>
  <c r="K794" i="22"/>
  <c r="K90" i="22"/>
  <c r="K330" i="22"/>
  <c r="K187" i="22"/>
  <c r="K142" i="22"/>
  <c r="K212" i="22"/>
  <c r="K69" i="22"/>
  <c r="K285" i="22"/>
  <c r="K178" i="22"/>
  <c r="K215" i="22"/>
  <c r="K121" i="22"/>
  <c r="K206" i="22"/>
  <c r="K156" i="22"/>
  <c r="K408" i="22"/>
  <c r="K50" i="22"/>
  <c r="K208" i="22"/>
  <c r="K171" i="22"/>
  <c r="K29" i="22"/>
  <c r="K87" i="22"/>
  <c r="K340" i="22"/>
  <c r="K185" i="22"/>
  <c r="K604" i="22"/>
  <c r="K916" i="22"/>
  <c r="K497" i="22"/>
  <c r="K809" i="22"/>
  <c r="K1011" i="22"/>
  <c r="K726" i="22"/>
  <c r="K990" i="22"/>
  <c r="K1023" i="22"/>
  <c r="K679" i="22"/>
  <c r="K464" i="22"/>
  <c r="K728" i="22"/>
  <c r="K531" i="22"/>
  <c r="K621" i="22"/>
  <c r="K873" i="22"/>
  <c r="K890" i="22"/>
  <c r="K586" i="22"/>
  <c r="K802" i="22"/>
  <c r="K1031" i="22"/>
  <c r="K443" i="22"/>
  <c r="K695" i="22"/>
  <c r="K995" i="22"/>
  <c r="K492" i="22"/>
  <c r="K744" i="22"/>
  <c r="K1020" i="22"/>
  <c r="K457" i="22"/>
  <c r="K673" i="22"/>
  <c r="K949" i="22"/>
  <c r="K842" i="22"/>
  <c r="K102" i="22"/>
  <c r="K378" i="22"/>
  <c r="K199" i="22"/>
  <c r="K190" i="22"/>
  <c r="K224" i="22"/>
  <c r="K81" i="22"/>
  <c r="K297" i="22"/>
  <c r="K202" i="22"/>
  <c r="K227" i="22"/>
  <c r="K544" i="22"/>
  <c r="K437" i="22"/>
  <c r="K1013" i="22"/>
  <c r="K930" i="22"/>
  <c r="K619" i="22"/>
  <c r="K668" i="22"/>
  <c r="K585" i="22"/>
  <c r="K983" i="22"/>
  <c r="K778" i="22"/>
  <c r="K891" i="22"/>
  <c r="K887" i="22"/>
  <c r="K720" i="22"/>
  <c r="K603" i="22"/>
  <c r="K805" i="22"/>
  <c r="K771" i="22"/>
  <c r="K19" i="22"/>
  <c r="K226" i="22"/>
  <c r="K404" i="22"/>
  <c r="K405" i="22"/>
  <c r="K251" i="22"/>
  <c r="K110" i="22"/>
  <c r="K228" i="22"/>
  <c r="K325" i="22"/>
  <c r="K412" i="22"/>
  <c r="K387" i="22"/>
  <c r="K231" i="22"/>
  <c r="K255" i="22"/>
  <c r="K664" i="22"/>
  <c r="K474" i="22"/>
  <c r="K1050" i="22"/>
  <c r="K751" i="22"/>
  <c r="K776" i="22"/>
  <c r="K681" i="22"/>
  <c r="K459" i="22"/>
  <c r="K886" i="22"/>
  <c r="K494" i="22"/>
  <c r="K792" i="22"/>
  <c r="K469" i="22"/>
  <c r="K42" i="22"/>
  <c r="K43" i="22"/>
  <c r="K44" i="22"/>
  <c r="K118" i="22"/>
  <c r="K275" i="22"/>
  <c r="K252" i="22"/>
  <c r="K74" i="22"/>
  <c r="K173" i="22"/>
  <c r="K389" i="22"/>
  <c r="K845" i="22"/>
  <c r="K451" i="22"/>
  <c r="K441" i="22"/>
  <c r="K969" i="22"/>
  <c r="K782" i="22"/>
  <c r="K755" i="22"/>
  <c r="K554" i="22"/>
  <c r="K294" i="22"/>
  <c r="K272" i="22"/>
  <c r="K265" i="22"/>
  <c r="K112" i="22"/>
  <c r="K363" i="22"/>
  <c r="K964" i="22"/>
  <c r="K463" i="22"/>
  <c r="K453" i="22"/>
  <c r="K634" i="22"/>
  <c r="K767" i="22"/>
  <c r="K602" i="22"/>
  <c r="K1022" i="22"/>
  <c r="K415" i="22"/>
  <c r="K191" i="22"/>
  <c r="K168" i="22"/>
  <c r="K256" i="22"/>
  <c r="K135" i="22"/>
  <c r="K869" i="22"/>
  <c r="K475" i="22"/>
  <c r="K524" i="22"/>
  <c r="K465" i="22"/>
  <c r="K670" i="22"/>
  <c r="K827" i="22"/>
  <c r="K806" i="22"/>
  <c r="K435" i="22"/>
  <c r="K34" i="22"/>
  <c r="K393" i="22"/>
  <c r="K239" i="22"/>
  <c r="K229" i="22"/>
  <c r="K183" i="22"/>
  <c r="K616" i="22"/>
  <c r="K509" i="22"/>
  <c r="K426" i="22"/>
  <c r="K1002" i="22"/>
  <c r="K691" i="22"/>
  <c r="K740" i="22"/>
  <c r="K633" i="22"/>
  <c r="K950" i="22"/>
  <c r="K814" i="22"/>
  <c r="K455" i="22"/>
  <c r="K1007" i="22"/>
  <c r="K756" i="22"/>
  <c r="K675" i="22"/>
  <c r="K901" i="22"/>
  <c r="K30" i="22"/>
  <c r="K31" i="22"/>
  <c r="K298" i="22"/>
  <c r="K416" i="22"/>
  <c r="K22" i="22"/>
  <c r="K263" i="22"/>
  <c r="K134" i="22"/>
  <c r="K240" i="22"/>
  <c r="K349" i="22"/>
  <c r="K17" i="22"/>
  <c r="K423" i="22"/>
  <c r="K279" i="22"/>
  <c r="K41" i="22"/>
  <c r="K557" i="22"/>
  <c r="K467" i="22"/>
  <c r="K961" i="22"/>
  <c r="K93" i="22"/>
  <c r="K302" i="22"/>
  <c r="K65" i="22"/>
  <c r="K281" i="22"/>
  <c r="K676" i="22"/>
  <c r="K569" i="22"/>
  <c r="K486" i="22"/>
  <c r="K727" i="22"/>
  <c r="K763" i="22"/>
  <c r="K788" i="22"/>
  <c r="K693" i="22"/>
  <c r="K627" i="22"/>
  <c r="K898" i="22"/>
  <c r="K479" i="22"/>
  <c r="K758" i="22"/>
  <c r="K840" i="22"/>
  <c r="K481" i="22"/>
  <c r="K1021" i="22"/>
  <c r="K114" i="22"/>
  <c r="K151" i="22"/>
  <c r="K56" i="22"/>
  <c r="K105" i="22"/>
  <c r="K130" i="22"/>
  <c r="K347" i="22"/>
  <c r="K326" i="22"/>
  <c r="K288" i="22"/>
  <c r="K98" i="22"/>
  <c r="K209" i="22"/>
  <c r="K221" i="22"/>
  <c r="K243" i="22"/>
  <c r="K364" i="22"/>
  <c r="K736" i="22"/>
  <c r="K629" i="22"/>
  <c r="K546" i="22"/>
  <c r="K895" i="22"/>
  <c r="K859" i="22"/>
  <c r="K800" i="22"/>
  <c r="K705" i="22"/>
  <c r="K711" i="22"/>
  <c r="K910" i="22"/>
  <c r="K491" i="22"/>
  <c r="K854" i="22"/>
  <c r="K852" i="22"/>
  <c r="K493" i="22"/>
  <c r="K1033" i="22"/>
  <c r="K150" i="22"/>
  <c r="K163" i="22"/>
  <c r="K80" i="22"/>
  <c r="K117" i="22"/>
  <c r="K214" i="22"/>
  <c r="K407" i="22"/>
  <c r="K374" i="22"/>
  <c r="K384" i="22"/>
  <c r="K146" i="22"/>
  <c r="K75" i="22"/>
  <c r="K316" i="22"/>
  <c r="K293" i="22"/>
  <c r="K292" i="22"/>
  <c r="K952" i="22"/>
  <c r="K500" i="22"/>
  <c r="K622" i="22"/>
  <c r="K564" i="22"/>
  <c r="K962" i="22"/>
  <c r="K319" i="22"/>
  <c r="K179" i="22"/>
  <c r="K132" i="22"/>
  <c r="K418" i="22"/>
  <c r="K207" i="22"/>
  <c r="K857" i="22"/>
  <c r="K774" i="22"/>
  <c r="K512" i="22"/>
  <c r="K981" i="22"/>
  <c r="K818" i="22"/>
  <c r="K576" i="22"/>
  <c r="K769" i="22"/>
  <c r="K390" i="22"/>
  <c r="K284" i="22"/>
  <c r="K289" i="22"/>
  <c r="K181" i="22"/>
  <c r="K28" i="22"/>
  <c r="K976" i="22"/>
  <c r="K1005" i="22"/>
  <c r="K612" i="22"/>
  <c r="K414" i="22"/>
  <c r="K409" i="22"/>
  <c r="K304" i="22"/>
  <c r="K100" i="22"/>
  <c r="K748" i="22"/>
  <c r="K641" i="22"/>
  <c r="K558" i="22"/>
  <c r="K919" i="22"/>
  <c r="K883" i="22"/>
  <c r="K860" i="22"/>
  <c r="K741" i="22"/>
  <c r="K430" i="22"/>
  <c r="K934" i="22"/>
  <c r="K563" i="22"/>
  <c r="K914" i="22"/>
  <c r="K876" i="22"/>
  <c r="K505" i="22"/>
  <c r="K1045" i="22"/>
  <c r="K162" i="22"/>
  <c r="K211" i="22"/>
  <c r="K128" i="22"/>
  <c r="K129" i="22"/>
  <c r="K35" i="22"/>
  <c r="K419" i="22"/>
  <c r="K398" i="22"/>
  <c r="K396" i="22"/>
  <c r="K170" i="22"/>
  <c r="K123" i="22"/>
  <c r="K353" i="22"/>
  <c r="K111" i="22"/>
  <c r="K101" i="22"/>
  <c r="K880" i="22"/>
  <c r="K773" i="22"/>
  <c r="K690" i="22"/>
  <c r="K507" i="22"/>
  <c r="K428" i="22"/>
  <c r="K920" i="22"/>
  <c r="K849" i="22"/>
  <c r="K514" i="22"/>
  <c r="K1030" i="22"/>
  <c r="K635" i="22"/>
  <c r="K456" i="22"/>
  <c r="K936" i="22"/>
  <c r="K541" i="22"/>
  <c r="K434" i="22"/>
  <c r="K174" i="22"/>
  <c r="K259" i="22"/>
  <c r="K140" i="22"/>
  <c r="K165" i="22"/>
  <c r="K47" i="22"/>
  <c r="K145" i="22"/>
  <c r="K410" i="22"/>
  <c r="K420" i="22"/>
  <c r="K194" i="22"/>
  <c r="K219" i="22"/>
  <c r="K388" i="22"/>
  <c r="K88" i="22"/>
  <c r="K339" i="22"/>
  <c r="K928" i="22"/>
  <c r="K821" i="22"/>
  <c r="K738" i="22"/>
  <c r="K427" i="22"/>
  <c r="K476" i="22"/>
  <c r="K819" i="22"/>
  <c r="K885" i="22"/>
  <c r="K598" i="22"/>
  <c r="K458" i="22"/>
  <c r="K707" i="22"/>
  <c r="K504" i="22"/>
  <c r="K1032" i="22"/>
  <c r="K649" i="22"/>
  <c r="K722" i="22"/>
  <c r="K234" i="22"/>
  <c r="K271" i="22"/>
  <c r="K236" i="22"/>
  <c r="K261" i="22"/>
  <c r="K59" i="22"/>
  <c r="K169" i="22"/>
  <c r="K422" i="22"/>
  <c r="K25" i="22"/>
  <c r="K218" i="22"/>
  <c r="K267" i="22"/>
  <c r="K327" i="22"/>
  <c r="K136" i="22"/>
  <c r="K303" i="22"/>
  <c r="K940" i="22"/>
  <c r="K833" i="22"/>
  <c r="K750" i="22"/>
  <c r="K439" i="22"/>
  <c r="K488" i="22"/>
  <c r="K429" i="22"/>
  <c r="K921" i="22"/>
  <c r="K610" i="22"/>
  <c r="K710" i="22"/>
  <c r="K743" i="22"/>
  <c r="K552" i="22"/>
  <c r="K446" i="22"/>
  <c r="K685" i="22"/>
  <c r="K902" i="22"/>
  <c r="K282" i="22"/>
  <c r="K283" i="22"/>
  <c r="K260" i="22"/>
  <c r="K273" i="22"/>
  <c r="K71" i="22"/>
  <c r="K241" i="22"/>
  <c r="K120" i="22"/>
  <c r="K85" i="22"/>
  <c r="K64" i="22"/>
  <c r="K386" i="22"/>
  <c r="K159" i="22"/>
  <c r="K280" i="22"/>
  <c r="K149" i="22"/>
  <c r="K762" i="22"/>
  <c r="K757" i="22"/>
  <c r="K309" i="22"/>
  <c r="K157" i="22"/>
  <c r="K376" i="22"/>
  <c r="K381" i="22"/>
  <c r="K399" i="22"/>
  <c r="K786" i="22"/>
  <c r="K878" i="22"/>
  <c r="K781" i="22"/>
  <c r="K332" i="22"/>
  <c r="K180" i="22"/>
  <c r="K220" i="22"/>
  <c r="AC10" i="22"/>
  <c r="AC2" i="22" s="1"/>
  <c r="F46" i="22"/>
  <c r="F105" i="22"/>
  <c r="F166" i="22"/>
  <c r="F196" i="22"/>
  <c r="F135" i="22"/>
  <c r="F74" i="22"/>
  <c r="H69" i="18"/>
  <c r="H70" i="18" s="1"/>
  <c r="H37" i="18"/>
  <c r="H68" i="18"/>
  <c r="H66" i="18" s="1"/>
  <c r="C27" i="20" s="1"/>
  <c r="U5" i="22"/>
  <c r="Y5" i="22" s="1"/>
  <c r="AC24" i="22"/>
  <c r="V31" i="22" s="1"/>
  <c r="D15" i="22"/>
  <c r="Q37" i="22" l="1"/>
  <c r="Z24" i="22" s="1"/>
  <c r="V30" i="22" s="1"/>
  <c r="U4" i="22"/>
  <c r="Y4" i="22" s="1"/>
  <c r="Q148" i="22"/>
  <c r="H42" i="18"/>
  <c r="I37" i="18"/>
  <c r="H41" i="18"/>
  <c r="I41" i="18" s="1"/>
  <c r="Q39" i="22"/>
  <c r="Q41" i="22"/>
  <c r="S24" i="22"/>
  <c r="G15" i="22"/>
  <c r="N15" i="22"/>
  <c r="L15" i="22"/>
  <c r="M15" i="22" s="1"/>
  <c r="H15" i="22" l="1"/>
  <c r="Q47" i="22"/>
  <c r="H46" i="18"/>
  <c r="I42" i="18"/>
  <c r="V32" i="22"/>
  <c r="U50" i="22"/>
  <c r="G7" i="21" s="1"/>
  <c r="L23" i="21" s="1"/>
  <c r="C64" i="20" s="1"/>
  <c r="H47" i="18" l="1"/>
  <c r="I46" i="18"/>
  <c r="I47" i="18" s="1"/>
  <c r="J15" i="22"/>
  <c r="Q38" i="22" s="1"/>
  <c r="C16" i="22"/>
  <c r="D16" i="22" s="1"/>
  <c r="U17" i="22" l="1"/>
  <c r="L16" i="22"/>
  <c r="M16" i="22" s="1"/>
  <c r="N16" i="22"/>
  <c r="G16" i="22"/>
  <c r="H16" i="22" s="1"/>
  <c r="J16" i="22" s="1"/>
  <c r="P51" i="22"/>
  <c r="B8" i="21" s="1"/>
  <c r="M22" i="21" s="1"/>
  <c r="D63" i="20" s="1"/>
  <c r="V24" i="22"/>
  <c r="T17" i="22"/>
  <c r="X30" i="22"/>
  <c r="H48" i="18"/>
  <c r="G37" i="20"/>
  <c r="U18" i="22" l="1"/>
  <c r="AK24" i="22" s="1"/>
  <c r="C17" i="22"/>
  <c r="F12" i="21"/>
  <c r="F3" i="21" s="1"/>
  <c r="M18" i="21" s="1"/>
  <c r="D59" i="20" s="1"/>
  <c r="D17" i="22" l="1"/>
  <c r="L17" i="22" s="1"/>
  <c r="M17" i="22" s="1"/>
  <c r="I6" i="21"/>
  <c r="G12" i="21"/>
  <c r="F4" i="21"/>
  <c r="G17" i="22" l="1"/>
  <c r="H17" i="22" s="1"/>
  <c r="C18" i="22" s="1"/>
  <c r="N17" i="22"/>
  <c r="J17" i="22" l="1"/>
  <c r="D18" i="22"/>
  <c r="G18" i="22" s="1"/>
  <c r="N18" i="22" l="1"/>
  <c r="L18" i="22"/>
  <c r="M18" i="22" s="1"/>
  <c r="H18" i="22"/>
  <c r="J18" i="22" l="1"/>
  <c r="C19" i="22"/>
  <c r="D19" i="22" l="1"/>
  <c r="G19" i="22" s="1"/>
  <c r="L19" i="22" l="1"/>
  <c r="M19" i="22" s="1"/>
  <c r="N19" i="22"/>
  <c r="H19" i="22"/>
  <c r="J19" i="22" l="1"/>
  <c r="C20" i="22"/>
  <c r="D20" i="22" l="1"/>
  <c r="L20" i="22" s="1"/>
  <c r="N20" i="22" l="1"/>
  <c r="G20" i="22"/>
  <c r="H20" i="22" s="1"/>
  <c r="M20" i="22"/>
  <c r="C21" i="22" l="1"/>
  <c r="J20" i="22"/>
  <c r="D21" i="22" l="1"/>
  <c r="N21" i="22" s="1"/>
  <c r="G21" i="22" l="1"/>
  <c r="H21" i="22" s="1"/>
  <c r="L21" i="22"/>
  <c r="M21" i="22" s="1"/>
  <c r="C22" i="22" l="1"/>
  <c r="J21" i="22"/>
  <c r="D22" i="22" l="1"/>
  <c r="L22" i="22" s="1"/>
  <c r="N22" i="22" l="1"/>
  <c r="G22" i="22"/>
  <c r="H22" i="22" s="1"/>
  <c r="M22" i="22"/>
  <c r="C23" i="22" l="1"/>
  <c r="J22" i="22"/>
  <c r="D23" i="22" l="1"/>
  <c r="L23" i="22" s="1"/>
  <c r="G23" i="22" l="1"/>
  <c r="H23" i="22" s="1"/>
  <c r="N23" i="22"/>
  <c r="M23" i="22"/>
  <c r="C24" i="22" l="1"/>
  <c r="J23" i="22"/>
  <c r="D24" i="22" l="1"/>
  <c r="N24" i="22" s="1"/>
  <c r="G24" i="22" l="1"/>
  <c r="H24" i="22" s="1"/>
  <c r="L24" i="22"/>
  <c r="M24" i="22" s="1"/>
  <c r="C25" i="22" l="1"/>
  <c r="J24" i="22"/>
  <c r="D25" i="22" l="1"/>
  <c r="N25" i="22" s="1"/>
  <c r="L25" i="22" l="1"/>
  <c r="M25" i="22" s="1"/>
  <c r="G25" i="22"/>
  <c r="H25" i="22" s="1"/>
  <c r="J25" i="22" l="1"/>
  <c r="C26" i="22"/>
  <c r="D26" i="22" l="1"/>
  <c r="G26" i="22" s="1"/>
  <c r="L26" i="22" l="1"/>
  <c r="M26" i="22" s="1"/>
  <c r="N26" i="22"/>
  <c r="H26" i="22"/>
  <c r="C27" i="22" l="1"/>
  <c r="J26" i="22"/>
  <c r="D27" i="22" l="1"/>
  <c r="N27" i="22" s="1"/>
  <c r="L27" i="22" l="1"/>
  <c r="M27" i="22" s="1"/>
  <c r="G27" i="22"/>
  <c r="H27" i="22" s="1"/>
  <c r="C28" i="22" l="1"/>
  <c r="J27" i="22"/>
  <c r="D28" i="22" l="1"/>
  <c r="L28" i="22" s="1"/>
  <c r="N28" i="22" l="1"/>
  <c r="G28" i="22"/>
  <c r="H28" i="22" s="1"/>
  <c r="M28" i="22"/>
  <c r="C29" i="22" l="1"/>
  <c r="J28" i="22"/>
  <c r="D29" i="22" l="1"/>
  <c r="N29" i="22" s="1"/>
  <c r="L29" i="22" l="1"/>
  <c r="M29" i="22" s="1"/>
  <c r="G29" i="22"/>
  <c r="H29" i="22" s="1"/>
  <c r="C30" i="22" l="1"/>
  <c r="J29" i="22"/>
  <c r="D30" i="22" l="1"/>
  <c r="L30" i="22" s="1"/>
  <c r="G30" i="22" l="1"/>
  <c r="H30" i="22" s="1"/>
  <c r="N30" i="22"/>
  <c r="M30" i="22"/>
  <c r="J30" i="22" l="1"/>
  <c r="C31" i="22"/>
  <c r="D31" i="22" l="1"/>
  <c r="G31" i="22" s="1"/>
  <c r="L31" i="22" l="1"/>
  <c r="M31" i="22" s="1"/>
  <c r="N31" i="22"/>
  <c r="H31" i="22"/>
  <c r="J31" i="22" l="1"/>
  <c r="C32" i="22"/>
  <c r="D32" i="22" l="1"/>
  <c r="L32" i="22" s="1"/>
  <c r="G32" i="22" l="1"/>
  <c r="H32" i="22" s="1"/>
  <c r="N32" i="22"/>
  <c r="M32" i="22"/>
  <c r="C33" i="22" l="1"/>
  <c r="J32" i="22"/>
  <c r="D33" i="22" l="1"/>
  <c r="G33" i="22" s="1"/>
  <c r="N33" i="22" l="1"/>
  <c r="L33" i="22"/>
  <c r="M33" i="22" s="1"/>
  <c r="H33" i="22"/>
  <c r="C34" i="22" l="1"/>
  <c r="J33" i="22"/>
  <c r="D34" i="22" l="1"/>
  <c r="L34" i="22" s="1"/>
  <c r="G34" i="22" l="1"/>
  <c r="H34" i="22" s="1"/>
  <c r="N34" i="22"/>
  <c r="M34" i="22"/>
  <c r="J34" i="22" l="1"/>
  <c r="C35" i="22"/>
  <c r="D35" i="22" l="1"/>
  <c r="N35" i="22" s="1"/>
  <c r="G35" i="22" l="1"/>
  <c r="H35" i="22" s="1"/>
  <c r="L35" i="22"/>
  <c r="M35" i="22" s="1"/>
  <c r="J35" i="22" l="1"/>
  <c r="C36" i="22"/>
  <c r="D36" i="22" l="1"/>
  <c r="L36" i="22" s="1"/>
  <c r="G36" i="22" l="1"/>
  <c r="H36" i="22" s="1"/>
  <c r="N36" i="22"/>
  <c r="M36" i="22"/>
  <c r="C37" i="22" l="1"/>
  <c r="J36" i="22"/>
  <c r="D37" i="22" l="1"/>
  <c r="L37" i="22" s="1"/>
  <c r="N37" i="22" l="1"/>
  <c r="G37" i="22"/>
  <c r="H37" i="22" s="1"/>
  <c r="M37" i="22"/>
  <c r="C38" i="22" l="1"/>
  <c r="J37" i="22"/>
  <c r="D38" i="22" l="1"/>
  <c r="L38" i="22" s="1"/>
  <c r="G38" i="22" l="1"/>
  <c r="H38" i="22" s="1"/>
  <c r="N38" i="22"/>
  <c r="M38" i="22"/>
  <c r="C39" i="22" l="1"/>
  <c r="J38" i="22"/>
  <c r="D39" i="22" l="1"/>
  <c r="G39" i="22" s="1"/>
  <c r="N39" i="22" l="1"/>
  <c r="L39" i="22"/>
  <c r="M39" i="22" s="1"/>
  <c r="H39" i="22"/>
  <c r="C40" i="22" l="1"/>
  <c r="J39" i="22"/>
  <c r="D40" i="22" l="1"/>
  <c r="N40" i="22" s="1"/>
  <c r="G40" i="22" l="1"/>
  <c r="H40" i="22" s="1"/>
  <c r="L40" i="22"/>
  <c r="M40" i="22" s="1"/>
  <c r="C41" i="22" l="1"/>
  <c r="J40" i="22"/>
  <c r="D41" i="22" l="1"/>
  <c r="G41" i="22" s="1"/>
  <c r="N41" i="22" l="1"/>
  <c r="L41" i="22"/>
  <c r="M41" i="22" s="1"/>
  <c r="H41" i="22"/>
  <c r="C42" i="22" l="1"/>
  <c r="J41" i="22"/>
  <c r="D42" i="22" l="1"/>
  <c r="N42" i="22" s="1"/>
  <c r="L42" i="22" l="1"/>
  <c r="M42" i="22" s="1"/>
  <c r="G42" i="22"/>
  <c r="H42" i="22" s="1"/>
  <c r="C43" i="22" l="1"/>
  <c r="J42" i="22"/>
  <c r="D43" i="22" l="1"/>
  <c r="G43" i="22" s="1"/>
  <c r="N43" i="22" l="1"/>
  <c r="L43" i="22"/>
  <c r="M43" i="22" s="1"/>
  <c r="H43" i="22"/>
  <c r="J43" i="22" l="1"/>
  <c r="C44" i="22"/>
  <c r="D44" i="22" l="1"/>
  <c r="N44" i="22" s="1"/>
  <c r="L44" i="22" l="1"/>
  <c r="M44" i="22" s="1"/>
  <c r="G44" i="22"/>
  <c r="H44" i="22" s="1"/>
  <c r="J44" i="22" l="1"/>
  <c r="C45" i="22"/>
  <c r="D45" i="22" l="1"/>
  <c r="G45" i="22" s="1"/>
  <c r="N45" i="22" l="1"/>
  <c r="L45" i="22"/>
  <c r="M45" i="22" s="1"/>
  <c r="H45" i="22"/>
  <c r="J45" i="22" l="1"/>
  <c r="C46" i="22"/>
  <c r="D46" i="22" l="1"/>
  <c r="N46" i="22" s="1"/>
  <c r="G46" i="22" l="1"/>
  <c r="H46" i="22" s="1"/>
  <c r="L46" i="22"/>
  <c r="M46" i="22" s="1"/>
  <c r="C47" i="22" l="1"/>
  <c r="J46" i="22"/>
  <c r="D47" i="22" l="1"/>
  <c r="G47" i="22" s="1"/>
  <c r="N47" i="22" l="1"/>
  <c r="L47" i="22"/>
  <c r="M47" i="22" s="1"/>
  <c r="H47" i="22"/>
  <c r="C48" i="22" l="1"/>
  <c r="J47" i="22"/>
  <c r="D48" i="22" l="1"/>
  <c r="N48" i="22" s="1"/>
  <c r="G48" i="22" l="1"/>
  <c r="H48" i="22" s="1"/>
  <c r="L48" i="22"/>
  <c r="M48" i="22" s="1"/>
  <c r="C49" i="22" l="1"/>
  <c r="J48" i="22"/>
  <c r="D49" i="22" l="1"/>
  <c r="G49" i="22" s="1"/>
  <c r="N49" i="22" l="1"/>
  <c r="L49" i="22"/>
  <c r="M49" i="22" s="1"/>
  <c r="H49" i="22"/>
  <c r="C50" i="22" l="1"/>
  <c r="J49" i="22"/>
  <c r="D50" i="22" l="1"/>
  <c r="N50" i="22" s="1"/>
  <c r="G50" i="22" l="1"/>
  <c r="H50" i="22" s="1"/>
  <c r="L50" i="22"/>
  <c r="M50" i="22" s="1"/>
  <c r="C51" i="22" l="1"/>
  <c r="J50" i="22"/>
  <c r="D51" i="22" l="1"/>
  <c r="G51" i="22" s="1"/>
  <c r="N51" i="22" l="1"/>
  <c r="L51" i="22"/>
  <c r="M51" i="22" s="1"/>
  <c r="H51" i="22"/>
  <c r="J51" i="22" l="1"/>
  <c r="C52" i="22"/>
  <c r="D52" i="22" l="1"/>
  <c r="N52" i="22" s="1"/>
  <c r="G52" i="22" l="1"/>
  <c r="H52" i="22" s="1"/>
  <c r="L52" i="22"/>
  <c r="M52" i="22" s="1"/>
  <c r="J52" i="22" l="1"/>
  <c r="C53" i="22"/>
  <c r="D53" i="22" l="1"/>
  <c r="G53" i="22" s="1"/>
  <c r="N53" i="22" l="1"/>
  <c r="L53" i="22"/>
  <c r="M53" i="22" s="1"/>
  <c r="H53" i="22"/>
  <c r="J53" i="22" l="1"/>
  <c r="C54" i="22"/>
  <c r="D54" i="22" l="1"/>
  <c r="N54" i="22" s="1"/>
  <c r="G54" i="22" l="1"/>
  <c r="H54" i="22" s="1"/>
  <c r="L54" i="22"/>
  <c r="M54" i="22" s="1"/>
  <c r="C55" i="22" l="1"/>
  <c r="J54" i="22"/>
  <c r="D55" i="22" l="1"/>
  <c r="G55" i="22" s="1"/>
  <c r="N55" i="22" l="1"/>
  <c r="L55" i="22"/>
  <c r="M55" i="22" s="1"/>
  <c r="H55" i="22"/>
  <c r="C56" i="22" l="1"/>
  <c r="J55" i="22"/>
  <c r="D56" i="22" l="1"/>
  <c r="N56" i="22" s="1"/>
  <c r="G56" i="22" l="1"/>
  <c r="H56" i="22" s="1"/>
  <c r="L56" i="22"/>
  <c r="M56" i="22" s="1"/>
  <c r="C57" i="22" l="1"/>
  <c r="J56" i="22"/>
  <c r="D57" i="22" l="1"/>
  <c r="G57" i="22" s="1"/>
  <c r="N57" i="22" l="1"/>
  <c r="L57" i="22"/>
  <c r="M57" i="22" s="1"/>
  <c r="H57" i="22"/>
  <c r="C58" i="22" l="1"/>
  <c r="J57" i="22"/>
  <c r="D58" i="22" l="1"/>
  <c r="N58" i="22" s="1"/>
  <c r="G58" i="22" l="1"/>
  <c r="H58" i="22" s="1"/>
  <c r="L58" i="22"/>
  <c r="M58" i="22" s="1"/>
  <c r="C59" i="22" l="1"/>
  <c r="J58" i="22"/>
  <c r="D59" i="22" l="1"/>
  <c r="G59" i="22" s="1"/>
  <c r="N59" i="22" l="1"/>
  <c r="L59" i="22"/>
  <c r="M59" i="22" s="1"/>
  <c r="H59" i="22"/>
  <c r="J59" i="22" l="1"/>
  <c r="C60" i="22"/>
  <c r="D60" i="22" l="1"/>
  <c r="N60" i="22" s="1"/>
  <c r="L60" i="22" l="1"/>
  <c r="M60" i="22" s="1"/>
  <c r="G60" i="22"/>
  <c r="H60" i="22" s="1"/>
  <c r="J60" i="22" l="1"/>
  <c r="C61" i="22"/>
  <c r="D61" i="22" l="1"/>
  <c r="G61" i="22" s="1"/>
  <c r="N61" i="22" l="1"/>
  <c r="L61" i="22"/>
  <c r="M61" i="22" s="1"/>
  <c r="H61" i="22"/>
  <c r="J61" i="22" l="1"/>
  <c r="C62" i="22"/>
  <c r="D62" i="22" l="1"/>
  <c r="N62" i="22" s="1"/>
  <c r="G62" i="22" l="1"/>
  <c r="H62" i="22" s="1"/>
  <c r="L62" i="22"/>
  <c r="M62" i="22" s="1"/>
  <c r="C63" i="22" l="1"/>
  <c r="J62" i="22"/>
  <c r="D63" i="22" l="1"/>
  <c r="G63" i="22" s="1"/>
  <c r="N63" i="22" l="1"/>
  <c r="L63" i="22"/>
  <c r="M63" i="22" s="1"/>
  <c r="H63" i="22"/>
  <c r="C64" i="22" l="1"/>
  <c r="J63" i="22"/>
  <c r="D64" i="22" l="1"/>
  <c r="N64" i="22" s="1"/>
  <c r="G64" i="22" l="1"/>
  <c r="H64" i="22" s="1"/>
  <c r="L64" i="22"/>
  <c r="M64" i="22" s="1"/>
  <c r="C65" i="22" l="1"/>
  <c r="J64" i="22"/>
  <c r="D65" i="22" l="1"/>
  <c r="G65" i="22" s="1"/>
  <c r="N65" i="22" l="1"/>
  <c r="L65" i="22"/>
  <c r="M65" i="22" s="1"/>
  <c r="H65" i="22"/>
  <c r="C66" i="22" l="1"/>
  <c r="J65" i="22"/>
  <c r="D66" i="22" l="1"/>
  <c r="N66" i="22" s="1"/>
  <c r="L66" i="22" l="1"/>
  <c r="M66" i="22" s="1"/>
  <c r="G66" i="22"/>
  <c r="H66" i="22" s="1"/>
  <c r="C67" i="22" l="1"/>
  <c r="J66" i="22"/>
  <c r="D67" i="22" l="1"/>
  <c r="G67" i="22" s="1"/>
  <c r="N67" i="22" l="1"/>
  <c r="L67" i="22"/>
  <c r="M67" i="22" s="1"/>
  <c r="H67" i="22"/>
  <c r="J67" i="22" l="1"/>
  <c r="C68" i="22"/>
  <c r="D68" i="22" l="1"/>
  <c r="N68" i="22" s="1"/>
  <c r="L68" i="22" l="1"/>
  <c r="M68" i="22" s="1"/>
  <c r="G68" i="22"/>
  <c r="H68" i="22" s="1"/>
  <c r="J68" i="22" l="1"/>
  <c r="C69" i="22"/>
  <c r="D69" i="22" l="1"/>
  <c r="G69" i="22" s="1"/>
  <c r="N69" i="22" l="1"/>
  <c r="L69" i="22"/>
  <c r="M69" i="22" s="1"/>
  <c r="H69" i="22"/>
  <c r="J69" i="22" l="1"/>
  <c r="C70" i="22"/>
  <c r="D70" i="22" l="1"/>
  <c r="N70" i="22" s="1"/>
  <c r="G70" i="22" l="1"/>
  <c r="H70" i="22" s="1"/>
  <c r="L70" i="22"/>
  <c r="M70" i="22" s="1"/>
  <c r="C71" i="22" l="1"/>
  <c r="J70" i="22"/>
  <c r="D71" i="22" l="1"/>
  <c r="L71" i="22" s="1"/>
  <c r="N71" i="22" l="1"/>
  <c r="G71" i="22"/>
  <c r="H71" i="22" s="1"/>
  <c r="M71" i="22"/>
  <c r="C72" i="22" l="1"/>
  <c r="J71" i="22"/>
  <c r="D72" i="22" l="1"/>
  <c r="N72" i="22" s="1"/>
  <c r="G72" i="22" l="1"/>
  <c r="H72" i="22" s="1"/>
  <c r="L72" i="22"/>
  <c r="M72" i="22" s="1"/>
  <c r="C73" i="22" l="1"/>
  <c r="J72" i="22"/>
  <c r="D73" i="22" l="1"/>
  <c r="G73" i="22" s="1"/>
  <c r="N73" i="22" l="1"/>
  <c r="L73" i="22"/>
  <c r="M73" i="22" s="1"/>
  <c r="H73" i="22"/>
  <c r="C74" i="22" l="1"/>
  <c r="J73" i="22"/>
  <c r="D74" i="22" l="1"/>
  <c r="N74" i="22" s="1"/>
  <c r="G74" i="22" l="1"/>
  <c r="H74" i="22" s="1"/>
  <c r="L74" i="22"/>
  <c r="M74" i="22" s="1"/>
  <c r="C75" i="22" l="1"/>
  <c r="J74" i="22"/>
  <c r="D75" i="22" l="1"/>
  <c r="G75" i="22" s="1"/>
  <c r="N75" i="22" l="1"/>
  <c r="L75" i="22"/>
  <c r="M75" i="22" s="1"/>
  <c r="H75" i="22"/>
  <c r="J75" i="22" l="1"/>
  <c r="C76" i="22"/>
  <c r="D76" i="22" l="1"/>
  <c r="N76" i="22" s="1"/>
  <c r="G76" i="22" l="1"/>
  <c r="H76" i="22" s="1"/>
  <c r="L76" i="22"/>
  <c r="M76" i="22" s="1"/>
  <c r="J76" i="22" l="1"/>
  <c r="C77" i="22"/>
  <c r="D77" i="22" l="1"/>
  <c r="G77" i="22" s="1"/>
  <c r="N77" i="22" l="1"/>
  <c r="L77" i="22"/>
  <c r="M77" i="22" s="1"/>
  <c r="H77" i="22"/>
  <c r="J77" i="22" l="1"/>
  <c r="C78" i="22"/>
  <c r="D78" i="22" l="1"/>
  <c r="N78" i="22" s="1"/>
  <c r="L78" i="22" l="1"/>
  <c r="M78" i="22" s="1"/>
  <c r="G78" i="22"/>
  <c r="H78" i="22" s="1"/>
  <c r="C79" i="22" l="1"/>
  <c r="J78" i="22"/>
  <c r="D79" i="22" l="1"/>
  <c r="G79" i="22" s="1"/>
  <c r="N79" i="22" l="1"/>
  <c r="L79" i="22"/>
  <c r="M79" i="22" s="1"/>
  <c r="H79" i="22"/>
  <c r="C80" i="22" l="1"/>
  <c r="J79" i="22"/>
  <c r="D80" i="22" l="1"/>
  <c r="N80" i="22" s="1"/>
  <c r="G80" i="22" l="1"/>
  <c r="H80" i="22" s="1"/>
  <c r="L80" i="22"/>
  <c r="M80" i="22" s="1"/>
  <c r="C81" i="22" l="1"/>
  <c r="J80" i="22"/>
  <c r="D81" i="22" l="1"/>
  <c r="G81" i="22" s="1"/>
  <c r="L81" i="22" l="1"/>
  <c r="M81" i="22" s="1"/>
  <c r="N81" i="22"/>
  <c r="H81" i="22"/>
  <c r="C82" i="22" l="1"/>
  <c r="J81" i="22"/>
  <c r="D82" i="22" l="1"/>
  <c r="L82" i="22" s="1"/>
  <c r="G82" i="22" l="1"/>
  <c r="H82" i="22" s="1"/>
  <c r="N82" i="22"/>
  <c r="M82" i="22"/>
  <c r="C83" i="22" l="1"/>
  <c r="J82" i="22"/>
  <c r="D83" i="22" l="1"/>
  <c r="N83" i="22" s="1"/>
  <c r="L83" i="22" l="1"/>
  <c r="M83" i="22" s="1"/>
  <c r="G83" i="22"/>
  <c r="H83" i="22" s="1"/>
  <c r="J83" i="22" l="1"/>
  <c r="C84" i="22"/>
  <c r="D84" i="22" l="1"/>
  <c r="L84" i="22" s="1"/>
  <c r="N84" i="22" l="1"/>
  <c r="G84" i="22"/>
  <c r="H84" i="22" s="1"/>
  <c r="M84" i="22"/>
  <c r="J84" i="22" l="1"/>
  <c r="C85" i="22"/>
  <c r="D85" i="22" l="1"/>
  <c r="G85" i="22" s="1"/>
  <c r="L85" i="22" l="1"/>
  <c r="M85" i="22" s="1"/>
  <c r="N85" i="22"/>
  <c r="H85" i="22"/>
  <c r="J85" i="22" l="1"/>
  <c r="C86" i="22"/>
  <c r="D86" i="22" l="1"/>
  <c r="L86" i="22" s="1"/>
  <c r="G86" i="22" l="1"/>
  <c r="H86" i="22" s="1"/>
  <c r="N86" i="22"/>
  <c r="M86" i="22"/>
  <c r="C87" i="22" l="1"/>
  <c r="J86" i="22"/>
  <c r="D87" i="22" l="1"/>
  <c r="G87" i="22" s="1"/>
  <c r="L87" i="22" l="1"/>
  <c r="M87" i="22" s="1"/>
  <c r="N87" i="22"/>
  <c r="H87" i="22"/>
  <c r="C88" i="22" l="1"/>
  <c r="J87" i="22"/>
  <c r="D88" i="22" l="1"/>
  <c r="L88" i="22" s="1"/>
  <c r="G88" i="22" l="1"/>
  <c r="H88" i="22" s="1"/>
  <c r="N88" i="22"/>
  <c r="M88" i="22"/>
  <c r="C89" i="22" l="1"/>
  <c r="J88" i="22"/>
  <c r="D89" i="22" l="1"/>
  <c r="G89" i="22" s="1"/>
  <c r="L89" i="22" l="1"/>
  <c r="M89" i="22" s="1"/>
  <c r="N89" i="22"/>
  <c r="H89" i="22"/>
  <c r="C90" i="22" l="1"/>
  <c r="J89" i="22"/>
  <c r="D90" i="22" l="1"/>
  <c r="L90" i="22" s="1"/>
  <c r="G90" i="22" l="1"/>
  <c r="H90" i="22" s="1"/>
  <c r="N90" i="22"/>
  <c r="M90" i="22"/>
  <c r="C91" i="22" l="1"/>
  <c r="J90" i="22"/>
  <c r="D91" i="22" l="1"/>
  <c r="G91" i="22" s="1"/>
  <c r="L91" i="22" l="1"/>
  <c r="M91" i="22" s="1"/>
  <c r="N91" i="22"/>
  <c r="H91" i="22"/>
  <c r="J91" i="22" l="1"/>
  <c r="C92" i="22"/>
  <c r="D92" i="22" l="1"/>
  <c r="L92" i="22" s="1"/>
  <c r="G92" i="22" l="1"/>
  <c r="H92" i="22" s="1"/>
  <c r="N92" i="22"/>
  <c r="M92" i="22"/>
  <c r="J92" i="22" l="1"/>
  <c r="C93" i="22"/>
  <c r="D93" i="22" l="1"/>
  <c r="G93" i="22" s="1"/>
  <c r="L93" i="22" l="1"/>
  <c r="M93" i="22" s="1"/>
  <c r="N93" i="22"/>
  <c r="H93" i="22"/>
  <c r="J93" i="22" l="1"/>
  <c r="C94" i="22"/>
  <c r="D94" i="22" l="1"/>
  <c r="L94" i="22" s="1"/>
  <c r="G94" i="22" l="1"/>
  <c r="H94" i="22" s="1"/>
  <c r="N94" i="22"/>
  <c r="M94" i="22"/>
  <c r="J94" i="22" l="1"/>
  <c r="C95" i="22"/>
  <c r="D95" i="22" l="1"/>
  <c r="G95" i="22" s="1"/>
  <c r="L95" i="22" l="1"/>
  <c r="M95" i="22" s="1"/>
  <c r="N95" i="22"/>
  <c r="H95" i="22"/>
  <c r="C96" i="22" l="1"/>
  <c r="J95" i="22"/>
  <c r="D96" i="22" l="1"/>
  <c r="L96" i="22" s="1"/>
  <c r="G96" i="22" l="1"/>
  <c r="H96" i="22" s="1"/>
  <c r="N96" i="22"/>
  <c r="M96" i="22"/>
  <c r="C97" i="22" l="1"/>
  <c r="J96" i="22"/>
  <c r="D97" i="22" l="1"/>
  <c r="G97" i="22" s="1"/>
  <c r="L97" i="22" l="1"/>
  <c r="M97" i="22" s="1"/>
  <c r="N97" i="22"/>
  <c r="H97" i="22"/>
  <c r="C98" i="22" l="1"/>
  <c r="J97" i="22"/>
  <c r="D98" i="22" l="1"/>
  <c r="L98" i="22" s="1"/>
  <c r="G98" i="22" l="1"/>
  <c r="H98" i="22" s="1"/>
  <c r="N98" i="22"/>
  <c r="M98" i="22"/>
  <c r="C99" i="22" l="1"/>
  <c r="J98" i="22"/>
  <c r="D99" i="22" l="1"/>
  <c r="G99" i="22" s="1"/>
  <c r="L99" i="22" l="1"/>
  <c r="M99" i="22" s="1"/>
  <c r="N99" i="22"/>
  <c r="H99" i="22"/>
  <c r="J99" i="22" l="1"/>
  <c r="C100" i="22"/>
  <c r="D100" i="22" l="1"/>
  <c r="L100" i="22" s="1"/>
  <c r="G100" i="22" l="1"/>
  <c r="H100" i="22" s="1"/>
  <c r="N100" i="22"/>
  <c r="M100" i="22"/>
  <c r="J100" i="22" l="1"/>
  <c r="C101" i="22"/>
  <c r="D101" i="22" l="1"/>
  <c r="G101" i="22" s="1"/>
  <c r="L101" i="22" l="1"/>
  <c r="M101" i="22" s="1"/>
  <c r="N101" i="22"/>
  <c r="H101" i="22"/>
  <c r="J101" i="22" l="1"/>
  <c r="C102" i="22"/>
  <c r="D102" i="22" l="1"/>
  <c r="L102" i="22" s="1"/>
  <c r="G102" i="22" l="1"/>
  <c r="H102" i="22" s="1"/>
  <c r="N102" i="22"/>
  <c r="M102" i="22"/>
  <c r="J102" i="22" l="1"/>
  <c r="C103" i="22"/>
  <c r="D103" i="22" l="1"/>
  <c r="G103" i="22" s="1"/>
  <c r="L103" i="22" l="1"/>
  <c r="M103" i="22" s="1"/>
  <c r="N103" i="22"/>
  <c r="H103" i="22"/>
  <c r="C104" i="22" l="1"/>
  <c r="J103" i="22"/>
  <c r="D104" i="22" l="1"/>
  <c r="L104" i="22" s="1"/>
  <c r="G104" i="22" l="1"/>
  <c r="H104" i="22" s="1"/>
  <c r="N104" i="22"/>
  <c r="M104" i="22"/>
  <c r="C105" i="22" l="1"/>
  <c r="J104" i="22"/>
  <c r="D105" i="22" l="1"/>
  <c r="G105" i="22" s="1"/>
  <c r="L105" i="22" l="1"/>
  <c r="M105" i="22" s="1"/>
  <c r="N105" i="22"/>
  <c r="H105" i="22"/>
  <c r="C106" i="22" l="1"/>
  <c r="J105" i="22"/>
  <c r="D106" i="22" l="1"/>
  <c r="L106" i="22" s="1"/>
  <c r="G106" i="22" l="1"/>
  <c r="H106" i="22" s="1"/>
  <c r="N106" i="22"/>
  <c r="M106" i="22"/>
  <c r="C107" i="22" l="1"/>
  <c r="J106" i="22"/>
  <c r="D107" i="22" l="1"/>
  <c r="N107" i="22" s="1"/>
  <c r="L107" i="22" l="1"/>
  <c r="M107" i="22" s="1"/>
  <c r="G107" i="22"/>
  <c r="H107" i="22" s="1"/>
  <c r="C108" i="22" l="1"/>
  <c r="J107" i="22"/>
  <c r="D108" i="22" l="1"/>
  <c r="G108" i="22" s="1"/>
  <c r="N108" i="22" l="1"/>
  <c r="L108" i="22"/>
  <c r="M108" i="22" s="1"/>
  <c r="H108" i="22"/>
  <c r="J108" i="22" l="1"/>
  <c r="C109" i="22"/>
  <c r="D109" i="22" l="1"/>
  <c r="G109" i="22" s="1"/>
  <c r="L109" i="22" l="1"/>
  <c r="M109" i="22" s="1"/>
  <c r="N109" i="22"/>
  <c r="H109" i="22"/>
  <c r="J109" i="22" l="1"/>
  <c r="C110" i="22"/>
  <c r="D110" i="22" l="1"/>
  <c r="L110" i="22" s="1"/>
  <c r="G110" i="22" l="1"/>
  <c r="H110" i="22" s="1"/>
  <c r="N110" i="22"/>
  <c r="M110" i="22"/>
  <c r="J110" i="22" l="1"/>
  <c r="C111" i="22"/>
  <c r="D111" i="22" l="1"/>
  <c r="G111" i="22" s="1"/>
  <c r="L111" i="22" l="1"/>
  <c r="M111" i="22" s="1"/>
  <c r="N111" i="22"/>
  <c r="H111" i="22"/>
  <c r="C112" i="22" l="1"/>
  <c r="J111" i="22"/>
  <c r="D112" i="22" l="1"/>
  <c r="L112" i="22" s="1"/>
  <c r="G112" i="22" l="1"/>
  <c r="H112" i="22" s="1"/>
  <c r="N112" i="22"/>
  <c r="M112" i="22"/>
  <c r="C113" i="22" l="1"/>
  <c r="J112" i="22"/>
  <c r="D113" i="22" l="1"/>
  <c r="G113" i="22" s="1"/>
  <c r="L113" i="22" l="1"/>
  <c r="M113" i="22" s="1"/>
  <c r="N113" i="22"/>
  <c r="H113" i="22"/>
  <c r="C114" i="22" l="1"/>
  <c r="J113" i="22"/>
  <c r="D114" i="22" l="1"/>
  <c r="N114" i="22" s="1"/>
  <c r="G114" i="22" l="1"/>
  <c r="H114" i="22" s="1"/>
  <c r="L114" i="22"/>
  <c r="M114" i="22" s="1"/>
  <c r="C115" i="22" l="1"/>
  <c r="J114" i="22"/>
  <c r="D115" i="22" l="1"/>
  <c r="G115" i="22" s="1"/>
  <c r="N115" i="22" l="1"/>
  <c r="L115" i="22"/>
  <c r="M115" i="22" s="1"/>
  <c r="H115" i="22"/>
  <c r="C116" i="22" l="1"/>
  <c r="J115" i="22"/>
  <c r="D116" i="22" l="1"/>
  <c r="G116" i="22" s="1"/>
  <c r="N116" i="22" l="1"/>
  <c r="L116" i="22"/>
  <c r="M116" i="22" s="1"/>
  <c r="H116" i="22"/>
  <c r="J116" i="22" l="1"/>
  <c r="C117" i="22"/>
  <c r="D117" i="22" l="1"/>
  <c r="G117" i="22" s="1"/>
  <c r="L117" i="22" l="1"/>
  <c r="M117" i="22" s="1"/>
  <c r="N117" i="22"/>
  <c r="H117" i="22"/>
  <c r="J117" i="22" l="1"/>
  <c r="C118" i="22"/>
  <c r="D118" i="22" l="1"/>
  <c r="L118" i="22" s="1"/>
  <c r="G118" i="22" l="1"/>
  <c r="H118" i="22" s="1"/>
  <c r="N118" i="22"/>
  <c r="M118" i="22"/>
  <c r="J118" i="22" l="1"/>
  <c r="C119" i="22"/>
  <c r="D119" i="22" l="1"/>
  <c r="G119" i="22" s="1"/>
  <c r="L119" i="22" l="1"/>
  <c r="M119" i="22" s="1"/>
  <c r="N119" i="22"/>
  <c r="H119" i="22"/>
  <c r="C120" i="22" l="1"/>
  <c r="J119" i="22"/>
  <c r="D120" i="22" l="1"/>
  <c r="L120" i="22" s="1"/>
  <c r="N120" i="22" l="1"/>
  <c r="G120" i="22"/>
  <c r="H120" i="22" s="1"/>
  <c r="M120" i="22"/>
  <c r="C121" i="22" l="1"/>
  <c r="J120" i="22"/>
  <c r="D121" i="22" l="1"/>
  <c r="G121" i="22" s="1"/>
  <c r="L121" i="22" l="1"/>
  <c r="M121" i="22" s="1"/>
  <c r="N121" i="22"/>
  <c r="H121" i="22"/>
  <c r="C122" i="22" l="1"/>
  <c r="J121" i="22"/>
  <c r="D122" i="22" l="1"/>
  <c r="L122" i="22" s="1"/>
  <c r="G122" i="22" l="1"/>
  <c r="H122" i="22" s="1"/>
  <c r="N122" i="22"/>
  <c r="M122" i="22"/>
  <c r="C123" i="22" l="1"/>
  <c r="J122" i="22"/>
  <c r="D123" i="22" l="1"/>
  <c r="G123" i="22" s="1"/>
  <c r="L123" i="22" l="1"/>
  <c r="M123" i="22" s="1"/>
  <c r="N123" i="22"/>
  <c r="H123" i="22"/>
  <c r="J123" i="22" l="1"/>
  <c r="C124" i="22"/>
  <c r="D124" i="22" l="1"/>
  <c r="L124" i="22" s="1"/>
  <c r="G124" i="22" l="1"/>
  <c r="H124" i="22" s="1"/>
  <c r="N124" i="22"/>
  <c r="M124" i="22"/>
  <c r="J124" i="22" l="1"/>
  <c r="C125" i="22"/>
  <c r="D125" i="22" l="1"/>
  <c r="N125" i="22" s="1"/>
  <c r="L125" i="22" l="1"/>
  <c r="M125" i="22" s="1"/>
  <c r="G125" i="22"/>
  <c r="H125" i="22" s="1"/>
  <c r="J125" i="22" l="1"/>
  <c r="C126" i="22"/>
  <c r="D126" i="22" l="1"/>
  <c r="N126" i="22" s="1"/>
  <c r="G126" i="22" l="1"/>
  <c r="H126" i="22" s="1"/>
  <c r="L126" i="22"/>
  <c r="M126" i="22" s="1"/>
  <c r="J126" i="22" l="1"/>
  <c r="C127" i="22"/>
  <c r="D127" i="22" l="1"/>
  <c r="G127" i="22" s="1"/>
  <c r="L127" i="22" l="1"/>
  <c r="M127" i="22" s="1"/>
  <c r="N127" i="22"/>
  <c r="H127" i="22"/>
  <c r="C128" i="22" l="1"/>
  <c r="J127" i="22"/>
  <c r="D128" i="22" l="1"/>
  <c r="L128" i="22" s="1"/>
  <c r="N128" i="22" l="1"/>
  <c r="G128" i="22"/>
  <c r="H128" i="22" s="1"/>
  <c r="M128" i="22"/>
  <c r="C129" i="22" l="1"/>
  <c r="J128" i="22"/>
  <c r="D129" i="22" l="1"/>
  <c r="G129" i="22" s="1"/>
  <c r="L129" i="22" l="1"/>
  <c r="M129" i="22" s="1"/>
  <c r="N129" i="22"/>
  <c r="H129" i="22"/>
  <c r="C130" i="22" l="1"/>
  <c r="J129" i="22"/>
  <c r="D130" i="22" l="1"/>
  <c r="L130" i="22" s="1"/>
  <c r="N130" i="22" l="1"/>
  <c r="G130" i="22"/>
  <c r="H130" i="22" s="1"/>
  <c r="M130" i="22"/>
  <c r="C131" i="22" l="1"/>
  <c r="J130" i="22"/>
  <c r="D131" i="22" l="1"/>
  <c r="G131" i="22" s="1"/>
  <c r="L131" i="22" l="1"/>
  <c r="M131" i="22" s="1"/>
  <c r="N131" i="22"/>
  <c r="H131" i="22"/>
  <c r="C132" i="22" l="1"/>
  <c r="J131" i="22"/>
  <c r="D132" i="22" l="1"/>
  <c r="L132" i="22" s="1"/>
  <c r="G132" i="22" l="1"/>
  <c r="H132" i="22" s="1"/>
  <c r="N132" i="22"/>
  <c r="M132" i="22"/>
  <c r="J132" i="22" l="1"/>
  <c r="C133" i="22"/>
  <c r="D133" i="22" l="1"/>
  <c r="G133" i="22" s="1"/>
  <c r="L133" i="22" l="1"/>
  <c r="M133" i="22" s="1"/>
  <c r="N133" i="22"/>
  <c r="H133" i="22"/>
  <c r="J133" i="22" l="1"/>
  <c r="C134" i="22"/>
  <c r="D134" i="22" l="1"/>
  <c r="L134" i="22" s="1"/>
  <c r="G134" i="22" l="1"/>
  <c r="H134" i="22" s="1"/>
  <c r="N134" i="22"/>
  <c r="M134" i="22"/>
  <c r="J134" i="22" l="1"/>
  <c r="C135" i="22"/>
  <c r="D135" i="22" l="1"/>
  <c r="G135" i="22" s="1"/>
  <c r="L135" i="22" l="1"/>
  <c r="M135" i="22" s="1"/>
  <c r="N135" i="22"/>
  <c r="H135" i="22"/>
  <c r="C136" i="22" l="1"/>
  <c r="J135" i="22"/>
  <c r="D136" i="22" l="1"/>
  <c r="L136" i="22" s="1"/>
  <c r="G136" i="22" l="1"/>
  <c r="H136" i="22" s="1"/>
  <c r="N136" i="22"/>
  <c r="M136" i="22"/>
  <c r="C137" i="22" l="1"/>
  <c r="J136" i="22"/>
  <c r="D137" i="22" l="1"/>
  <c r="G137" i="22" s="1"/>
  <c r="L137" i="22" l="1"/>
  <c r="M137" i="22" s="1"/>
  <c r="N137" i="22"/>
  <c r="H137" i="22"/>
  <c r="C138" i="22" l="1"/>
  <c r="J137" i="22"/>
  <c r="Q149" i="22"/>
  <c r="D138" i="22" l="1"/>
  <c r="L138" i="22" s="1"/>
  <c r="G138" i="22" l="1"/>
  <c r="H138" i="22" s="1"/>
  <c r="N138" i="22"/>
  <c r="M138" i="22"/>
  <c r="J138" i="22" l="1"/>
  <c r="C139" i="22"/>
  <c r="D139" i="22" l="1"/>
  <c r="N139" i="22" s="1"/>
  <c r="L139" i="22" l="1"/>
  <c r="M139" i="22" s="1"/>
  <c r="G139" i="22"/>
  <c r="H139" i="22" s="1"/>
  <c r="J139" i="22" l="1"/>
  <c r="C140" i="22"/>
  <c r="D140" i="22" l="1"/>
  <c r="L140" i="22" s="1"/>
  <c r="G140" i="22" l="1"/>
  <c r="H140" i="22" s="1"/>
  <c r="N140" i="22"/>
  <c r="M140" i="22"/>
  <c r="J140" i="22" l="1"/>
  <c r="C141" i="22"/>
  <c r="D141" i="22" l="1"/>
  <c r="N141" i="22" s="1"/>
  <c r="G141" i="22" l="1"/>
  <c r="H141" i="22" s="1"/>
  <c r="L141" i="22"/>
  <c r="M141" i="22" s="1"/>
  <c r="J141" i="22" l="1"/>
  <c r="C142" i="22"/>
  <c r="D142" i="22" l="1"/>
  <c r="L142" i="22" s="1"/>
  <c r="G142" i="22" l="1"/>
  <c r="H142" i="22" s="1"/>
  <c r="N142" i="22"/>
  <c r="M142" i="22"/>
  <c r="J142" i="22" l="1"/>
  <c r="C143" i="22"/>
  <c r="D143" i="22" l="1"/>
  <c r="G143" i="22" s="1"/>
  <c r="L143" i="22" l="1"/>
  <c r="M143" i="22" s="1"/>
  <c r="N143" i="22"/>
  <c r="H143" i="22"/>
  <c r="C144" i="22" l="1"/>
  <c r="J143" i="22"/>
  <c r="D144" i="22" l="1"/>
  <c r="N144" i="22" s="1"/>
  <c r="G144" i="22" l="1"/>
  <c r="H144" i="22" s="1"/>
  <c r="L144" i="22"/>
  <c r="M144" i="22" s="1"/>
  <c r="C145" i="22" l="1"/>
  <c r="J144" i="22"/>
  <c r="D145" i="22" l="1"/>
  <c r="G145" i="22" s="1"/>
  <c r="L145" i="22" l="1"/>
  <c r="M145" i="22" s="1"/>
  <c r="N145" i="22"/>
  <c r="H145" i="22"/>
  <c r="C146" i="22" l="1"/>
  <c r="J145" i="22"/>
  <c r="D146" i="22" l="1"/>
  <c r="L146" i="22" s="1"/>
  <c r="N146" i="22" l="1"/>
  <c r="G146" i="22"/>
  <c r="H146" i="22" s="1"/>
  <c r="M146" i="22"/>
  <c r="J146" i="22" l="1"/>
  <c r="C147" i="22"/>
  <c r="D147" i="22" l="1"/>
  <c r="G147" i="22" s="1"/>
  <c r="N147" i="22" l="1"/>
  <c r="L147" i="22"/>
  <c r="M147" i="22" s="1"/>
  <c r="H147" i="22"/>
  <c r="J147" i="22" l="1"/>
  <c r="C148" i="22"/>
  <c r="D148" i="22" l="1"/>
  <c r="L148" i="22" s="1"/>
  <c r="G148" i="22" l="1"/>
  <c r="H148" i="22" s="1"/>
  <c r="N148" i="22"/>
  <c r="M148" i="22"/>
  <c r="J148" i="22" l="1"/>
  <c r="C149" i="22"/>
  <c r="D149" i="22" l="1"/>
  <c r="G149" i="22" s="1"/>
  <c r="L149" i="22" l="1"/>
  <c r="M149" i="22" s="1"/>
  <c r="N149" i="22"/>
  <c r="H149" i="22"/>
  <c r="C150" i="22" l="1"/>
  <c r="J149" i="22"/>
  <c r="D150" i="22" l="1"/>
  <c r="N150" i="22" s="1"/>
  <c r="G150" i="22" l="1"/>
  <c r="H150" i="22" s="1"/>
  <c r="L150" i="22"/>
  <c r="M150" i="22" s="1"/>
  <c r="C151" i="22" l="1"/>
  <c r="J150" i="22"/>
  <c r="D151" i="22" l="1"/>
  <c r="N151" i="22" s="1"/>
  <c r="G151" i="22" l="1"/>
  <c r="H151" i="22" s="1"/>
  <c r="L151" i="22"/>
  <c r="M151" i="22" s="1"/>
  <c r="C152" i="22" l="1"/>
  <c r="J151" i="22"/>
  <c r="D152" i="22" l="1"/>
  <c r="L152" i="22" s="1"/>
  <c r="G152" i="22" l="1"/>
  <c r="H152" i="22" s="1"/>
  <c r="N152" i="22"/>
  <c r="M152" i="22"/>
  <c r="J152" i="22" l="1"/>
  <c r="C153" i="22"/>
  <c r="D153" i="22" l="1"/>
  <c r="G153" i="22" s="1"/>
  <c r="L153" i="22" l="1"/>
  <c r="M153" i="22" s="1"/>
  <c r="N153" i="22"/>
  <c r="H153" i="22"/>
  <c r="J153" i="22" l="1"/>
  <c r="C154" i="22"/>
  <c r="D154" i="22" l="1"/>
  <c r="L154" i="22" s="1"/>
  <c r="N154" i="22" l="1"/>
  <c r="G154" i="22"/>
  <c r="H154" i="22" s="1"/>
  <c r="M154" i="22"/>
  <c r="J154" i="22" l="1"/>
  <c r="C155" i="22"/>
  <c r="D155" i="22" l="1"/>
  <c r="G155" i="22" s="1"/>
  <c r="L155" i="22" l="1"/>
  <c r="M155" i="22" s="1"/>
  <c r="N155" i="22"/>
  <c r="H155" i="22"/>
  <c r="J155" i="22" l="1"/>
  <c r="C156" i="22"/>
  <c r="D156" i="22" l="1"/>
  <c r="L156" i="22" s="1"/>
  <c r="N156" i="22" l="1"/>
  <c r="G156" i="22"/>
  <c r="H156" i="22" s="1"/>
  <c r="M156" i="22"/>
  <c r="C157" i="22" l="1"/>
  <c r="J156" i="22"/>
  <c r="D157" i="22" l="1"/>
  <c r="L157" i="22" s="1"/>
  <c r="N157" i="22" l="1"/>
  <c r="G157" i="22"/>
  <c r="H157" i="22" s="1"/>
  <c r="M157" i="22"/>
  <c r="C158" i="22" l="1"/>
  <c r="J157" i="22"/>
  <c r="D158" i="22" l="1"/>
  <c r="L158" i="22" s="1"/>
  <c r="N158" i="22" l="1"/>
  <c r="G158" i="22"/>
  <c r="H158" i="22" s="1"/>
  <c r="M158" i="22"/>
  <c r="C159" i="22" l="1"/>
  <c r="J158" i="22"/>
  <c r="D159" i="22" l="1"/>
  <c r="G159" i="22" s="1"/>
  <c r="L159" i="22" l="1"/>
  <c r="M159" i="22" s="1"/>
  <c r="N159" i="22"/>
  <c r="H159" i="22"/>
  <c r="C160" i="22" l="1"/>
  <c r="J159" i="22"/>
  <c r="D160" i="22" l="1"/>
  <c r="L160" i="22" s="1"/>
  <c r="G160" i="22" l="1"/>
  <c r="H160" i="22" s="1"/>
  <c r="N160" i="22"/>
  <c r="M160" i="22"/>
  <c r="J160" i="22" l="1"/>
  <c r="C161" i="22"/>
  <c r="D161" i="22" l="1"/>
  <c r="N161" i="22" s="1"/>
  <c r="L161" i="22" l="1"/>
  <c r="M161" i="22" s="1"/>
  <c r="G161" i="22"/>
  <c r="H161" i="22" s="1"/>
  <c r="J161" i="22" l="1"/>
  <c r="C162" i="22"/>
  <c r="D162" i="22" l="1"/>
  <c r="L162" i="22" s="1"/>
  <c r="G162" i="22" l="1"/>
  <c r="H162" i="22" s="1"/>
  <c r="N162" i="22"/>
  <c r="M162" i="22"/>
  <c r="J162" i="22" l="1"/>
  <c r="C163" i="22"/>
  <c r="D163" i="22" l="1"/>
  <c r="G163" i="22" s="1"/>
  <c r="L163" i="22" l="1"/>
  <c r="M163" i="22" s="1"/>
  <c r="N163" i="22"/>
  <c r="H163" i="22"/>
  <c r="J163" i="22" l="1"/>
  <c r="C164" i="22"/>
  <c r="D164" i="22" l="1"/>
  <c r="L164" i="22" s="1"/>
  <c r="N164" i="22" l="1"/>
  <c r="G164" i="22"/>
  <c r="H164" i="22" s="1"/>
  <c r="M164" i="22"/>
  <c r="C165" i="22" l="1"/>
  <c r="J164" i="22"/>
  <c r="D165" i="22" l="1"/>
  <c r="N165" i="22" s="1"/>
  <c r="L165" i="22" l="1"/>
  <c r="M165" i="22" s="1"/>
  <c r="G165" i="22"/>
  <c r="H165" i="22" s="1"/>
  <c r="C166" i="22" l="1"/>
  <c r="J165" i="22"/>
  <c r="D166" i="22" l="1"/>
  <c r="L166" i="22" s="1"/>
  <c r="G166" i="22" l="1"/>
  <c r="H166" i="22" s="1"/>
  <c r="N166" i="22"/>
  <c r="M166" i="22"/>
  <c r="C167" i="22" l="1"/>
  <c r="J166" i="22"/>
  <c r="D167" i="22" l="1"/>
  <c r="G167" i="22" s="1"/>
  <c r="L167" i="22" l="1"/>
  <c r="M167" i="22" s="1"/>
  <c r="N167" i="22"/>
  <c r="H167" i="22"/>
  <c r="C168" i="22" l="1"/>
  <c r="J167" i="22"/>
  <c r="D168" i="22" l="1"/>
  <c r="L168" i="22" s="1"/>
  <c r="G168" i="22" l="1"/>
  <c r="H168" i="22" s="1"/>
  <c r="N168" i="22"/>
  <c r="M168" i="22"/>
  <c r="J168" i="22" l="1"/>
  <c r="C169" i="22"/>
  <c r="D169" i="22" l="1"/>
  <c r="N169" i="22" s="1"/>
  <c r="L169" i="22" l="1"/>
  <c r="M169" i="22" s="1"/>
  <c r="G169" i="22"/>
  <c r="H169" i="22" s="1"/>
  <c r="J169" i="22" l="1"/>
  <c r="C170" i="22"/>
  <c r="D170" i="22" l="1"/>
  <c r="L170" i="22" s="1"/>
  <c r="G170" i="22" l="1"/>
  <c r="H170" i="22" s="1"/>
  <c r="N170" i="22"/>
  <c r="M170" i="22"/>
  <c r="J170" i="22" l="1"/>
  <c r="C171" i="22"/>
  <c r="D171" i="22" l="1"/>
  <c r="G171" i="22" s="1"/>
  <c r="L171" i="22" l="1"/>
  <c r="M171" i="22" s="1"/>
  <c r="N171" i="22"/>
  <c r="H171" i="22"/>
  <c r="J171" i="22" l="1"/>
  <c r="C172" i="22"/>
  <c r="D172" i="22" l="1"/>
  <c r="L172" i="22" s="1"/>
  <c r="N172" i="22" l="1"/>
  <c r="G172" i="22"/>
  <c r="H172" i="22" s="1"/>
  <c r="M172" i="22"/>
  <c r="C173" i="22" l="1"/>
  <c r="J172" i="22"/>
  <c r="D173" i="22" l="1"/>
  <c r="G173" i="22" s="1"/>
  <c r="L173" i="22" l="1"/>
  <c r="M173" i="22" s="1"/>
  <c r="N173" i="22"/>
  <c r="H173" i="22"/>
  <c r="C174" i="22" l="1"/>
  <c r="J173" i="22"/>
  <c r="D174" i="22" l="1"/>
  <c r="L174" i="22" s="1"/>
  <c r="G174" i="22" l="1"/>
  <c r="H174" i="22" s="1"/>
  <c r="N174" i="22"/>
  <c r="M174" i="22"/>
  <c r="C175" i="22" l="1"/>
  <c r="J174" i="22"/>
  <c r="D175" i="22" l="1"/>
  <c r="G175" i="22" s="1"/>
  <c r="L175" i="22" l="1"/>
  <c r="M175" i="22" s="1"/>
  <c r="N175" i="22"/>
  <c r="H175" i="22"/>
  <c r="C176" i="22" l="1"/>
  <c r="J175" i="22"/>
  <c r="D176" i="22" l="1"/>
  <c r="L176" i="22" s="1"/>
  <c r="N176" i="22" l="1"/>
  <c r="G176" i="22"/>
  <c r="H176" i="22" s="1"/>
  <c r="M176" i="22"/>
  <c r="J176" i="22" l="1"/>
  <c r="C177" i="22"/>
  <c r="D177" i="22" l="1"/>
  <c r="G177" i="22" s="1"/>
  <c r="L177" i="22" l="1"/>
  <c r="M177" i="22" s="1"/>
  <c r="N177" i="22"/>
  <c r="H177" i="22"/>
  <c r="J177" i="22" l="1"/>
  <c r="C178" i="22"/>
  <c r="D178" i="22" l="1"/>
  <c r="L178" i="22" s="1"/>
  <c r="G178" i="22" l="1"/>
  <c r="H178" i="22" s="1"/>
  <c r="N178" i="22"/>
  <c r="M178" i="22"/>
  <c r="J178" i="22" l="1"/>
  <c r="C179" i="22"/>
  <c r="D179" i="22" l="1"/>
  <c r="G179" i="22" s="1"/>
  <c r="L179" i="22" l="1"/>
  <c r="M179" i="22" s="1"/>
  <c r="N179" i="22"/>
  <c r="H179" i="22"/>
  <c r="J179" i="22" l="1"/>
  <c r="C180" i="22"/>
  <c r="D180" i="22" l="1"/>
  <c r="L180" i="22" s="1"/>
  <c r="G180" i="22" l="1"/>
  <c r="H180" i="22" s="1"/>
  <c r="N180" i="22"/>
  <c r="M180" i="22"/>
  <c r="C181" i="22" l="1"/>
  <c r="J180" i="22"/>
  <c r="D181" i="22" l="1"/>
  <c r="G181" i="22" s="1"/>
  <c r="L181" i="22" l="1"/>
  <c r="M181" i="22" s="1"/>
  <c r="N181" i="22"/>
  <c r="H181" i="22"/>
  <c r="C182" i="22" l="1"/>
  <c r="J181" i="22"/>
  <c r="D182" i="22" l="1"/>
  <c r="N182" i="22" s="1"/>
  <c r="L182" i="22" l="1"/>
  <c r="M182" i="22" s="1"/>
  <c r="G182" i="22"/>
  <c r="H182" i="22" s="1"/>
  <c r="C183" i="22" l="1"/>
  <c r="J182" i="22"/>
  <c r="D183" i="22" l="1"/>
  <c r="N183" i="22" s="1"/>
  <c r="G183" i="22" l="1"/>
  <c r="H183" i="22" s="1"/>
  <c r="L183" i="22"/>
  <c r="M183" i="22" s="1"/>
  <c r="C184" i="22" l="1"/>
  <c r="J183" i="22"/>
  <c r="D184" i="22" l="1"/>
  <c r="L184" i="22" s="1"/>
  <c r="G184" i="22" l="1"/>
  <c r="H184" i="22" s="1"/>
  <c r="N184" i="22"/>
  <c r="M184" i="22"/>
  <c r="C185" i="22" l="1"/>
  <c r="J184" i="22"/>
  <c r="D185" i="22" l="1"/>
  <c r="G185" i="22" s="1"/>
  <c r="N185" i="22" l="1"/>
  <c r="L185" i="22"/>
  <c r="M185" i="22" s="1"/>
  <c r="H185" i="22"/>
  <c r="J185" i="22" l="1"/>
  <c r="C186" i="22"/>
  <c r="D186" i="22" l="1"/>
  <c r="L186" i="22" s="1"/>
  <c r="G186" i="22" l="1"/>
  <c r="H186" i="22" s="1"/>
  <c r="N186" i="22"/>
  <c r="M186" i="22"/>
  <c r="J186" i="22" l="1"/>
  <c r="C187" i="22"/>
  <c r="D187" i="22" l="1"/>
  <c r="G187" i="22" s="1"/>
  <c r="L187" i="22" l="1"/>
  <c r="M187" i="22" s="1"/>
  <c r="N187" i="22"/>
  <c r="H187" i="22"/>
  <c r="J187" i="22" l="1"/>
  <c r="C188" i="22"/>
  <c r="D188" i="22" l="1"/>
  <c r="N188" i="22" s="1"/>
  <c r="G188" i="22" l="1"/>
  <c r="H188" i="22" s="1"/>
  <c r="L188" i="22"/>
  <c r="M188" i="22" s="1"/>
  <c r="C189" i="22" l="1"/>
  <c r="J188" i="22"/>
  <c r="D189" i="22" l="1"/>
  <c r="G189" i="22" s="1"/>
  <c r="L189" i="22" l="1"/>
  <c r="M189" i="22" s="1"/>
  <c r="N189" i="22"/>
  <c r="H189" i="22"/>
  <c r="C190" i="22" l="1"/>
  <c r="J189" i="22"/>
  <c r="D190" i="22" l="1"/>
  <c r="L190" i="22" s="1"/>
  <c r="G190" i="22" l="1"/>
  <c r="H190" i="22" s="1"/>
  <c r="N190" i="22"/>
  <c r="M190" i="22"/>
  <c r="C191" i="22" l="1"/>
  <c r="J190" i="22"/>
  <c r="D191" i="22" l="1"/>
  <c r="G191" i="22" s="1"/>
  <c r="L191" i="22" l="1"/>
  <c r="M191" i="22" s="1"/>
  <c r="N191" i="22"/>
  <c r="H191" i="22"/>
  <c r="C192" i="22" l="1"/>
  <c r="J191" i="22"/>
  <c r="D192" i="22" l="1"/>
  <c r="L192" i="22" s="1"/>
  <c r="G192" i="22" l="1"/>
  <c r="H192" i="22" s="1"/>
  <c r="N192" i="22"/>
  <c r="M192" i="22"/>
  <c r="J192" i="22" l="1"/>
  <c r="C193" i="22"/>
  <c r="D193" i="22" l="1"/>
  <c r="G193" i="22" s="1"/>
  <c r="L193" i="22" l="1"/>
  <c r="M193" i="22" s="1"/>
  <c r="N193" i="22"/>
  <c r="H193" i="22"/>
  <c r="J193" i="22" l="1"/>
  <c r="C194" i="22"/>
  <c r="D194" i="22" l="1"/>
  <c r="L194" i="22" s="1"/>
  <c r="G194" i="22" l="1"/>
  <c r="H194" i="22" s="1"/>
  <c r="N194" i="22"/>
  <c r="M194" i="22"/>
  <c r="J194" i="22" l="1"/>
  <c r="C195" i="22"/>
  <c r="D195" i="22" l="1"/>
  <c r="G195" i="22" s="1"/>
  <c r="L195" i="22" l="1"/>
  <c r="M195" i="22" s="1"/>
  <c r="N195" i="22"/>
  <c r="H195" i="22"/>
  <c r="J195" i="22" l="1"/>
  <c r="C196" i="22"/>
  <c r="D196" i="22" l="1"/>
  <c r="L196" i="22" s="1"/>
  <c r="G196" i="22" l="1"/>
  <c r="H196" i="22" s="1"/>
  <c r="N196" i="22"/>
  <c r="M196" i="22"/>
  <c r="C197" i="22" l="1"/>
  <c r="J196" i="22"/>
  <c r="D197" i="22" l="1"/>
  <c r="G197" i="22" s="1"/>
  <c r="L197" i="22" l="1"/>
  <c r="M197" i="22" s="1"/>
  <c r="N197" i="22"/>
  <c r="H197" i="22"/>
  <c r="C198" i="22" l="1"/>
  <c r="J197" i="22"/>
  <c r="D198" i="22" l="1"/>
  <c r="L198" i="22" s="1"/>
  <c r="G198" i="22" l="1"/>
  <c r="H198" i="22" s="1"/>
  <c r="N198" i="22"/>
  <c r="M198" i="22"/>
  <c r="C199" i="22" l="1"/>
  <c r="J198" i="22"/>
  <c r="D199" i="22" l="1"/>
  <c r="G199" i="22" s="1"/>
  <c r="L199" i="22" l="1"/>
  <c r="M199" i="22" s="1"/>
  <c r="N199" i="22"/>
  <c r="H199" i="22"/>
  <c r="C200" i="22" l="1"/>
  <c r="J199" i="22"/>
  <c r="D200" i="22" l="1"/>
  <c r="L200" i="22" s="1"/>
  <c r="G200" i="22" l="1"/>
  <c r="H200" i="22" s="1"/>
  <c r="N200" i="22"/>
  <c r="M200" i="22"/>
  <c r="C201" i="22" l="1"/>
  <c r="J200" i="22"/>
  <c r="D201" i="22" l="1"/>
  <c r="G201" i="22" s="1"/>
  <c r="L201" i="22" l="1"/>
  <c r="M201" i="22" s="1"/>
  <c r="N201" i="22"/>
  <c r="H201" i="22"/>
  <c r="J201" i="22" l="1"/>
  <c r="C202" i="22"/>
  <c r="D202" i="22" l="1"/>
  <c r="L202" i="22" s="1"/>
  <c r="G202" i="22" l="1"/>
  <c r="H202" i="22" s="1"/>
  <c r="N202" i="22"/>
  <c r="M202" i="22"/>
  <c r="J202" i="22" l="1"/>
  <c r="C203" i="22"/>
  <c r="D203" i="22" l="1"/>
  <c r="G203" i="22" s="1"/>
  <c r="L203" i="22" l="1"/>
  <c r="M203" i="22" s="1"/>
  <c r="N203" i="22"/>
  <c r="H203" i="22"/>
  <c r="J203" i="22" l="1"/>
  <c r="C204" i="22"/>
  <c r="D204" i="22" l="1"/>
  <c r="L204" i="22" s="1"/>
  <c r="G204" i="22" l="1"/>
  <c r="H204" i="22" s="1"/>
  <c r="N204" i="22"/>
  <c r="M204" i="22"/>
  <c r="C205" i="22" l="1"/>
  <c r="J204" i="22"/>
  <c r="D205" i="22" l="1"/>
  <c r="G205" i="22" s="1"/>
  <c r="L205" i="22" l="1"/>
  <c r="M205" i="22" s="1"/>
  <c r="N205" i="22"/>
  <c r="H205" i="22"/>
  <c r="C206" i="22" l="1"/>
  <c r="J205" i="22"/>
  <c r="D206" i="22" l="1"/>
  <c r="L206" i="22" s="1"/>
  <c r="G206" i="22" l="1"/>
  <c r="H206" i="22" s="1"/>
  <c r="N206" i="22"/>
  <c r="M206" i="22"/>
  <c r="C207" i="22" l="1"/>
  <c r="J206" i="22"/>
  <c r="D207" i="22" l="1"/>
  <c r="G207" i="22" s="1"/>
  <c r="L207" i="22" l="1"/>
  <c r="M207" i="22" s="1"/>
  <c r="N207" i="22"/>
  <c r="H207" i="22"/>
  <c r="C208" i="22" l="1"/>
  <c r="J207" i="22"/>
  <c r="D208" i="22" l="1"/>
  <c r="L208" i="22" s="1"/>
  <c r="G208" i="22" l="1"/>
  <c r="H208" i="22" s="1"/>
  <c r="N208" i="22"/>
  <c r="M208" i="22"/>
  <c r="J208" i="22" l="1"/>
  <c r="C209" i="22"/>
  <c r="D209" i="22" l="1"/>
  <c r="G209" i="22" s="1"/>
  <c r="L209" i="22" l="1"/>
  <c r="M209" i="22" s="1"/>
  <c r="N209" i="22"/>
  <c r="H209" i="22"/>
  <c r="J209" i="22" l="1"/>
  <c r="C210" i="22"/>
  <c r="D210" i="22" l="1"/>
  <c r="L210" i="22" s="1"/>
  <c r="N210" i="22" l="1"/>
  <c r="G210" i="22"/>
  <c r="H210" i="22" s="1"/>
  <c r="M210" i="22"/>
  <c r="J210" i="22" l="1"/>
  <c r="C211" i="22"/>
  <c r="D211" i="22" l="1"/>
  <c r="G211" i="22" s="1"/>
  <c r="L211" i="22" l="1"/>
  <c r="M211" i="22" s="1"/>
  <c r="N211" i="22"/>
  <c r="H211" i="22"/>
  <c r="J211" i="22" l="1"/>
  <c r="C212" i="22"/>
  <c r="D212" i="22" l="1"/>
  <c r="L212" i="22" s="1"/>
  <c r="N212" i="22" l="1"/>
  <c r="G212" i="22"/>
  <c r="H212" i="22" s="1"/>
  <c r="M212" i="22"/>
  <c r="C213" i="22" l="1"/>
  <c r="J212" i="22"/>
  <c r="D213" i="22" l="1"/>
  <c r="G213" i="22" s="1"/>
  <c r="L213" i="22" l="1"/>
  <c r="M213" i="22" s="1"/>
  <c r="N213" i="22"/>
  <c r="H213" i="22"/>
  <c r="C214" i="22" l="1"/>
  <c r="J213" i="22"/>
  <c r="D214" i="22" l="1"/>
  <c r="L214" i="22" s="1"/>
  <c r="G214" i="22" l="1"/>
  <c r="H214" i="22" s="1"/>
  <c r="N214" i="22"/>
  <c r="M214" i="22"/>
  <c r="C215" i="22" l="1"/>
  <c r="J214" i="22"/>
  <c r="D215" i="22" l="1"/>
  <c r="G215" i="22" s="1"/>
  <c r="L215" i="22" l="1"/>
  <c r="M215" i="22" s="1"/>
  <c r="N215" i="22"/>
  <c r="H215" i="22"/>
  <c r="J215" i="22" l="1"/>
  <c r="C216" i="22"/>
  <c r="D216" i="22" l="1"/>
  <c r="L216" i="22" s="1"/>
  <c r="G216" i="22" l="1"/>
  <c r="H216" i="22" s="1"/>
  <c r="N216" i="22"/>
  <c r="M216" i="22"/>
  <c r="J216" i="22" l="1"/>
  <c r="C217" i="22"/>
  <c r="D217" i="22" l="1"/>
  <c r="G217" i="22" s="1"/>
  <c r="L217" i="22" l="1"/>
  <c r="M217" i="22" s="1"/>
  <c r="N217" i="22"/>
  <c r="H217" i="22"/>
  <c r="J217" i="22" l="1"/>
  <c r="C218" i="22"/>
  <c r="D218" i="22" l="1"/>
  <c r="L218" i="22" s="1"/>
  <c r="G218" i="22" l="1"/>
  <c r="H218" i="22" s="1"/>
  <c r="N218" i="22"/>
  <c r="M218" i="22"/>
  <c r="J218" i="22" l="1"/>
  <c r="C219" i="22"/>
  <c r="D219" i="22" l="1"/>
  <c r="G219" i="22" s="1"/>
  <c r="L219" i="22" l="1"/>
  <c r="M219" i="22" s="1"/>
  <c r="N219" i="22"/>
  <c r="H219" i="22"/>
  <c r="J219" i="22" l="1"/>
  <c r="C220" i="22"/>
  <c r="D220" i="22" l="1"/>
  <c r="L220" i="22" s="1"/>
  <c r="G220" i="22" l="1"/>
  <c r="H220" i="22" s="1"/>
  <c r="N220" i="22"/>
  <c r="M220" i="22"/>
  <c r="C221" i="22" l="1"/>
  <c r="J220" i="22"/>
  <c r="D221" i="22" l="1"/>
  <c r="G221" i="22" s="1"/>
  <c r="L221" i="22" l="1"/>
  <c r="M221" i="22" s="1"/>
  <c r="N221" i="22"/>
  <c r="H221" i="22"/>
  <c r="C222" i="22" l="1"/>
  <c r="J221" i="22"/>
  <c r="D222" i="22" l="1"/>
  <c r="L222" i="22" s="1"/>
  <c r="N222" i="22" l="1"/>
  <c r="G222" i="22"/>
  <c r="H222" i="22" s="1"/>
  <c r="M222" i="22"/>
  <c r="C223" i="22" l="1"/>
  <c r="J222" i="22"/>
  <c r="D223" i="22" l="1"/>
  <c r="G223" i="22" s="1"/>
  <c r="L223" i="22" l="1"/>
  <c r="M223" i="22" s="1"/>
  <c r="N223" i="22"/>
  <c r="H223" i="22"/>
  <c r="J223" i="22" l="1"/>
  <c r="C224" i="22"/>
  <c r="D224" i="22" l="1"/>
  <c r="L224" i="22" s="1"/>
  <c r="N224" i="22" l="1"/>
  <c r="G224" i="22"/>
  <c r="H224" i="22" s="1"/>
  <c r="M224" i="22"/>
  <c r="J224" i="22" l="1"/>
  <c r="C225" i="22"/>
  <c r="D225" i="22" l="1"/>
  <c r="G225" i="22" s="1"/>
  <c r="N225" i="22" l="1"/>
  <c r="L225" i="22"/>
  <c r="M225" i="22" s="1"/>
  <c r="H225" i="22"/>
  <c r="J225" i="22" l="1"/>
  <c r="C226" i="22"/>
  <c r="D226" i="22" l="1"/>
  <c r="L226" i="22" s="1"/>
  <c r="G226" i="22" l="1"/>
  <c r="H226" i="22" s="1"/>
  <c r="N226" i="22"/>
  <c r="M226" i="22"/>
  <c r="J226" i="22" l="1"/>
  <c r="C227" i="22"/>
  <c r="D227" i="22" l="1"/>
  <c r="G227" i="22" s="1"/>
  <c r="L227" i="22" l="1"/>
  <c r="M227" i="22" s="1"/>
  <c r="N227" i="22"/>
  <c r="H227" i="22"/>
  <c r="J227" i="22" l="1"/>
  <c r="C228" i="22"/>
  <c r="D228" i="22" l="1"/>
  <c r="L228" i="22" s="1"/>
  <c r="G228" i="22" l="1"/>
  <c r="H228" i="22" s="1"/>
  <c r="N228" i="22"/>
  <c r="M228" i="22"/>
  <c r="C229" i="22" l="1"/>
  <c r="J228" i="22"/>
  <c r="D229" i="22" l="1"/>
  <c r="G229" i="22" s="1"/>
  <c r="L229" i="22" l="1"/>
  <c r="M229" i="22" s="1"/>
  <c r="N229" i="22"/>
  <c r="H229" i="22"/>
  <c r="C230" i="22" l="1"/>
  <c r="J229" i="22"/>
  <c r="D230" i="22" l="1"/>
  <c r="L230" i="22" s="1"/>
  <c r="G230" i="22" l="1"/>
  <c r="H230" i="22" s="1"/>
  <c r="N230" i="22"/>
  <c r="M230" i="22"/>
  <c r="C231" i="22" l="1"/>
  <c r="J230" i="22"/>
  <c r="D231" i="22" l="1"/>
  <c r="G231" i="22" s="1"/>
  <c r="N231" i="22" l="1"/>
  <c r="L231" i="22"/>
  <c r="M231" i="22" s="1"/>
  <c r="H231" i="22"/>
  <c r="J231" i="22" l="1"/>
  <c r="C232" i="22"/>
  <c r="D232" i="22" l="1"/>
  <c r="L232" i="22" s="1"/>
  <c r="G232" i="22" l="1"/>
  <c r="H232" i="22" s="1"/>
  <c r="N232" i="22"/>
  <c r="M232" i="22"/>
  <c r="J232" i="22" l="1"/>
  <c r="C233" i="22"/>
  <c r="D233" i="22" l="1"/>
  <c r="G233" i="22" s="1"/>
  <c r="L233" i="22" l="1"/>
  <c r="M233" i="22" s="1"/>
  <c r="N233" i="22"/>
  <c r="H233" i="22"/>
  <c r="J233" i="22" l="1"/>
  <c r="C234" i="22"/>
  <c r="D234" i="22" l="1"/>
  <c r="L234" i="22" s="1"/>
  <c r="N234" i="22" l="1"/>
  <c r="G234" i="22"/>
  <c r="H234" i="22" s="1"/>
  <c r="M234" i="22"/>
  <c r="J234" i="22" l="1"/>
  <c r="C235" i="22"/>
  <c r="D235" i="22" l="1"/>
  <c r="G235" i="22" s="1"/>
  <c r="L235" i="22" l="1"/>
  <c r="M235" i="22" s="1"/>
  <c r="N235" i="22"/>
  <c r="H235" i="22"/>
  <c r="J235" i="22" l="1"/>
  <c r="C236" i="22"/>
  <c r="D236" i="22" l="1"/>
  <c r="L236" i="22" s="1"/>
  <c r="G236" i="22" l="1"/>
  <c r="H236" i="22" s="1"/>
  <c r="N236" i="22"/>
  <c r="M236" i="22"/>
  <c r="C237" i="22" l="1"/>
  <c r="J236" i="22"/>
  <c r="D237" i="22" l="1"/>
  <c r="N237" i="22" s="1"/>
  <c r="L237" i="22" l="1"/>
  <c r="M237" i="22" s="1"/>
  <c r="G237" i="22"/>
  <c r="H237" i="22" s="1"/>
  <c r="C238" i="22" l="1"/>
  <c r="J237" i="22"/>
  <c r="D238" i="22" l="1"/>
  <c r="N238" i="22" s="1"/>
  <c r="L238" i="22" l="1"/>
  <c r="M238" i="22" s="1"/>
  <c r="G238" i="22"/>
  <c r="H238" i="22" s="1"/>
  <c r="C239" i="22" l="1"/>
  <c r="J238" i="22"/>
  <c r="D239" i="22" l="1"/>
  <c r="G239" i="22" s="1"/>
  <c r="L239" i="22" l="1"/>
  <c r="M239" i="22" s="1"/>
  <c r="N239" i="22"/>
  <c r="H239" i="22"/>
  <c r="J239" i="22" l="1"/>
  <c r="C240" i="22"/>
  <c r="D240" i="22" l="1"/>
  <c r="L240" i="22" s="1"/>
  <c r="G240" i="22" l="1"/>
  <c r="H240" i="22" s="1"/>
  <c r="N240" i="22"/>
  <c r="M240" i="22"/>
  <c r="J240" i="22" l="1"/>
  <c r="C241" i="22"/>
  <c r="D241" i="22" l="1"/>
  <c r="G241" i="22" s="1"/>
  <c r="L241" i="22" l="1"/>
  <c r="M241" i="22" s="1"/>
  <c r="N241" i="22"/>
  <c r="H241" i="22"/>
  <c r="J241" i="22" l="1"/>
  <c r="C242" i="22"/>
  <c r="D242" i="22" l="1"/>
  <c r="N242" i="22" s="1"/>
  <c r="G242" i="22" l="1"/>
  <c r="H242" i="22" s="1"/>
  <c r="L242" i="22"/>
  <c r="M242" i="22" s="1"/>
  <c r="J242" i="22" l="1"/>
  <c r="C243" i="22"/>
  <c r="D243" i="22" l="1"/>
  <c r="G243" i="22" s="1"/>
  <c r="N243" i="22" l="1"/>
  <c r="L243" i="22"/>
  <c r="M243" i="22" s="1"/>
  <c r="H243" i="22"/>
  <c r="J243" i="22" l="1"/>
  <c r="C244" i="22"/>
  <c r="D244" i="22" l="1"/>
  <c r="N244" i="22" s="1"/>
  <c r="L244" i="22" l="1"/>
  <c r="M244" i="22" s="1"/>
  <c r="G244" i="22"/>
  <c r="H244" i="22" s="1"/>
  <c r="C245" i="22" l="1"/>
  <c r="J244" i="22"/>
  <c r="D245" i="22" l="1"/>
  <c r="N245" i="22" s="1"/>
  <c r="G245" i="22" l="1"/>
  <c r="H245" i="22" s="1"/>
  <c r="L245" i="22"/>
  <c r="M245" i="22" s="1"/>
  <c r="C246" i="22" l="1"/>
  <c r="J245" i="22"/>
  <c r="D246" i="22" l="1"/>
  <c r="L246" i="22" s="1"/>
  <c r="G246" i="22" l="1"/>
  <c r="H246" i="22" s="1"/>
  <c r="N246" i="22"/>
  <c r="M246" i="22"/>
  <c r="C247" i="22" l="1"/>
  <c r="J246" i="22"/>
  <c r="D247" i="22" l="1"/>
  <c r="G247" i="22" s="1"/>
  <c r="L247" i="22" l="1"/>
  <c r="M247" i="22" s="1"/>
  <c r="N247" i="22"/>
  <c r="H247" i="22"/>
  <c r="J247" i="22" l="1"/>
  <c r="C248" i="22"/>
  <c r="D248" i="22" l="1"/>
  <c r="L248" i="22" s="1"/>
  <c r="G248" i="22" l="1"/>
  <c r="H248" i="22" s="1"/>
  <c r="N248" i="22"/>
  <c r="M248" i="22"/>
  <c r="J248" i="22" l="1"/>
  <c r="C249" i="22"/>
  <c r="D249" i="22" l="1"/>
  <c r="G249" i="22" s="1"/>
  <c r="L249" i="22" l="1"/>
  <c r="M249" i="22" s="1"/>
  <c r="N249" i="22"/>
  <c r="H249" i="22"/>
  <c r="J249" i="22" l="1"/>
  <c r="C250" i="22"/>
  <c r="D250" i="22" l="1"/>
  <c r="L250" i="22" s="1"/>
  <c r="G250" i="22" l="1"/>
  <c r="H250" i="22" s="1"/>
  <c r="N250" i="22"/>
  <c r="M250" i="22"/>
  <c r="J250" i="22" l="1"/>
  <c r="C251" i="22"/>
  <c r="D251" i="22" l="1"/>
  <c r="G251" i="22" s="1"/>
  <c r="L251" i="22" l="1"/>
  <c r="M251" i="22" s="1"/>
  <c r="N251" i="22"/>
  <c r="H251" i="22"/>
  <c r="J251" i="22" l="1"/>
  <c r="C252" i="22"/>
  <c r="D252" i="22" l="1"/>
  <c r="N252" i="22" s="1"/>
  <c r="G252" i="22" l="1"/>
  <c r="H252" i="22" s="1"/>
  <c r="L252" i="22"/>
  <c r="M252" i="22" s="1"/>
  <c r="C253" i="22" l="1"/>
  <c r="J252" i="22"/>
  <c r="D253" i="22" l="1"/>
  <c r="G253" i="22" s="1"/>
  <c r="L253" i="22" l="1"/>
  <c r="M253" i="22" s="1"/>
  <c r="N253" i="22"/>
  <c r="H253" i="22"/>
  <c r="C254" i="22" l="1"/>
  <c r="J253" i="22"/>
  <c r="D254" i="22" l="1"/>
  <c r="N254" i="22" s="1"/>
  <c r="G254" i="22" l="1"/>
  <c r="H254" i="22" s="1"/>
  <c r="L254" i="22"/>
  <c r="M254" i="22" s="1"/>
  <c r="C255" i="22" l="1"/>
  <c r="J254" i="22"/>
  <c r="D255" i="22" l="1"/>
  <c r="G255" i="22" s="1"/>
  <c r="N255" i="22" l="1"/>
  <c r="L255" i="22"/>
  <c r="M255" i="22" s="1"/>
  <c r="H255" i="22"/>
  <c r="J255" i="22" l="1"/>
  <c r="C256" i="22"/>
  <c r="D256" i="22" l="1"/>
  <c r="G256" i="22" s="1"/>
  <c r="N256" i="22" l="1"/>
  <c r="L256" i="22"/>
  <c r="M256" i="22" s="1"/>
  <c r="H256" i="22"/>
  <c r="J256" i="22" l="1"/>
  <c r="C257" i="22"/>
  <c r="D257" i="22" l="1"/>
  <c r="G257" i="22" s="1"/>
  <c r="N257" i="22" l="1"/>
  <c r="L257" i="22"/>
  <c r="M257" i="22" s="1"/>
  <c r="H257" i="22"/>
  <c r="J257" i="22" l="1"/>
  <c r="C258" i="22"/>
  <c r="D258" i="22" l="1"/>
  <c r="N258" i="22" s="1"/>
  <c r="G258" i="22" l="1"/>
  <c r="H258" i="22" s="1"/>
  <c r="L258" i="22"/>
  <c r="M258" i="22" s="1"/>
  <c r="J258" i="22" l="1"/>
  <c r="C259" i="22"/>
  <c r="D259" i="22" l="1"/>
  <c r="G259" i="22" s="1"/>
  <c r="N259" i="22" l="1"/>
  <c r="L259" i="22"/>
  <c r="M259" i="22" s="1"/>
  <c r="H259" i="22"/>
  <c r="J259" i="22" l="1"/>
  <c r="C260" i="22"/>
  <c r="D260" i="22" l="1"/>
  <c r="N260" i="22" s="1"/>
  <c r="G260" i="22" l="1"/>
  <c r="H260" i="22" s="1"/>
  <c r="L260" i="22"/>
  <c r="M260" i="22" s="1"/>
  <c r="C261" i="22" l="1"/>
  <c r="J260" i="22"/>
  <c r="D261" i="22" l="1"/>
  <c r="G261" i="22" s="1"/>
  <c r="N261" i="22" l="1"/>
  <c r="L261" i="22"/>
  <c r="M261" i="22" s="1"/>
  <c r="H261" i="22"/>
  <c r="C262" i="22" l="1"/>
  <c r="J261" i="22"/>
  <c r="D262" i="22" l="1"/>
  <c r="N262" i="22" s="1"/>
  <c r="G262" i="22" l="1"/>
  <c r="H262" i="22" s="1"/>
  <c r="L262" i="22"/>
  <c r="M262" i="22" s="1"/>
  <c r="C263" i="22" l="1"/>
  <c r="J262" i="22"/>
  <c r="D263" i="22" l="1"/>
  <c r="G263" i="22" s="1"/>
  <c r="N263" i="22" l="1"/>
  <c r="L263" i="22"/>
  <c r="M263" i="22" s="1"/>
  <c r="H263" i="22"/>
  <c r="J263" i="22" l="1"/>
  <c r="C264" i="22"/>
  <c r="D264" i="22" l="1"/>
  <c r="N264" i="22" s="1"/>
  <c r="G264" i="22" l="1"/>
  <c r="H264" i="22" s="1"/>
  <c r="L264" i="22"/>
  <c r="M264" i="22" s="1"/>
  <c r="J264" i="22" l="1"/>
  <c r="C265" i="22"/>
  <c r="D265" i="22" l="1"/>
  <c r="G265" i="22" s="1"/>
  <c r="N265" i="22" l="1"/>
  <c r="L265" i="22"/>
  <c r="M265" i="22" s="1"/>
  <c r="H265" i="22"/>
  <c r="J265" i="22" l="1"/>
  <c r="C266" i="22"/>
  <c r="D266" i="22" l="1"/>
  <c r="N266" i="22" s="1"/>
  <c r="G266" i="22" l="1"/>
  <c r="H266" i="22" s="1"/>
  <c r="L266" i="22"/>
  <c r="M266" i="22" s="1"/>
  <c r="J266" i="22" l="1"/>
  <c r="C267" i="22"/>
  <c r="D267" i="22" l="1"/>
  <c r="G267" i="22" s="1"/>
  <c r="N267" i="22" l="1"/>
  <c r="L267" i="22"/>
  <c r="M267" i="22" s="1"/>
  <c r="H267" i="22"/>
  <c r="J267" i="22" l="1"/>
  <c r="C268" i="22"/>
  <c r="D268" i="22" l="1"/>
  <c r="N268" i="22" s="1"/>
  <c r="G268" i="22" l="1"/>
  <c r="H268" i="22" s="1"/>
  <c r="L268" i="22"/>
  <c r="M268" i="22" s="1"/>
  <c r="J268" i="22" l="1"/>
  <c r="C269" i="22"/>
  <c r="D269" i="22" l="1"/>
  <c r="G269" i="22" s="1"/>
  <c r="N269" i="22" l="1"/>
  <c r="L269" i="22"/>
  <c r="M269" i="22" s="1"/>
  <c r="H269" i="22"/>
  <c r="J269" i="22" l="1"/>
  <c r="C270" i="22"/>
  <c r="D270" i="22" l="1"/>
  <c r="N270" i="22" s="1"/>
  <c r="L270" i="22" l="1"/>
  <c r="M270" i="22" s="1"/>
  <c r="G270" i="22"/>
  <c r="H270" i="22" s="1"/>
  <c r="C271" i="22" l="1"/>
  <c r="J270" i="22"/>
  <c r="D271" i="22" l="1"/>
  <c r="G271" i="22" s="1"/>
  <c r="N271" i="22" l="1"/>
  <c r="L271" i="22"/>
  <c r="M271" i="22" s="1"/>
  <c r="H271" i="22"/>
  <c r="C272" i="22" l="1"/>
  <c r="J271" i="22"/>
  <c r="D272" i="22" l="1"/>
  <c r="N272" i="22" s="1"/>
  <c r="G272" i="22" l="1"/>
  <c r="H272" i="22" s="1"/>
  <c r="L272" i="22"/>
  <c r="M272" i="22" s="1"/>
  <c r="C273" i="22" l="1"/>
  <c r="J272" i="22"/>
  <c r="D273" i="22" l="1"/>
  <c r="G273" i="22" s="1"/>
  <c r="N273" i="22" l="1"/>
  <c r="L273" i="22"/>
  <c r="M273" i="22" s="1"/>
  <c r="H273" i="22"/>
  <c r="C274" i="22" l="1"/>
  <c r="J273" i="22"/>
  <c r="D274" i="22" l="1"/>
  <c r="N274" i="22" s="1"/>
  <c r="G274" i="22" l="1"/>
  <c r="H274" i="22" s="1"/>
  <c r="L274" i="22"/>
  <c r="M274" i="22" s="1"/>
  <c r="C275" i="22" l="1"/>
  <c r="J274" i="22"/>
  <c r="D275" i="22" l="1"/>
  <c r="G275" i="22" s="1"/>
  <c r="N275" i="22" l="1"/>
  <c r="L275" i="22"/>
  <c r="M275" i="22" s="1"/>
  <c r="H275" i="22"/>
  <c r="J275" i="22" l="1"/>
  <c r="C276" i="22"/>
  <c r="D276" i="22" l="1"/>
  <c r="N276" i="22" s="1"/>
  <c r="G276" i="22" l="1"/>
  <c r="H276" i="22" s="1"/>
  <c r="L276" i="22"/>
  <c r="M276" i="22" s="1"/>
  <c r="J276" i="22" l="1"/>
  <c r="C277" i="22"/>
  <c r="D277" i="22" l="1"/>
  <c r="G277" i="22" s="1"/>
  <c r="L277" i="22" l="1"/>
  <c r="M277" i="22" s="1"/>
  <c r="N277" i="22"/>
  <c r="H277" i="22"/>
  <c r="J277" i="22" l="1"/>
  <c r="C278" i="22"/>
  <c r="D278" i="22" l="1"/>
  <c r="N278" i="22" s="1"/>
  <c r="G278" i="22" l="1"/>
  <c r="H278" i="22" s="1"/>
  <c r="L278" i="22"/>
  <c r="M278" i="22" s="1"/>
  <c r="C279" i="22" l="1"/>
  <c r="J278" i="22"/>
  <c r="D279" i="22" l="1"/>
  <c r="G279" i="22" s="1"/>
  <c r="N279" i="22" l="1"/>
  <c r="L279" i="22"/>
  <c r="M279" i="22" s="1"/>
  <c r="H279" i="22"/>
  <c r="C280" i="22" l="1"/>
  <c r="J279" i="22"/>
  <c r="D280" i="22" l="1"/>
  <c r="N280" i="22" s="1"/>
  <c r="G280" i="22" l="1"/>
  <c r="H280" i="22" s="1"/>
  <c r="L280" i="22"/>
  <c r="M280" i="22" s="1"/>
  <c r="C281" i="22" l="1"/>
  <c r="J280" i="22"/>
  <c r="D281" i="22" l="1"/>
  <c r="G281" i="22" s="1"/>
  <c r="N281" i="22" l="1"/>
  <c r="L281" i="22"/>
  <c r="M281" i="22" s="1"/>
  <c r="H281" i="22"/>
  <c r="C282" i="22" l="1"/>
  <c r="J281" i="22"/>
  <c r="D282" i="22" l="1"/>
  <c r="N282" i="22" s="1"/>
  <c r="G282" i="22" l="1"/>
  <c r="H282" i="22" s="1"/>
  <c r="L282" i="22"/>
  <c r="M282" i="22" s="1"/>
  <c r="C283" i="22" l="1"/>
  <c r="J282" i="22"/>
  <c r="D283" i="22" l="1"/>
  <c r="G283" i="22" s="1"/>
  <c r="N283" i="22" l="1"/>
  <c r="L283" i="22"/>
  <c r="M283" i="22" s="1"/>
  <c r="H283" i="22"/>
  <c r="J283" i="22" l="1"/>
  <c r="C284" i="22"/>
  <c r="D284" i="22" l="1"/>
  <c r="N284" i="22" s="1"/>
  <c r="G284" i="22" l="1"/>
  <c r="H284" i="22" s="1"/>
  <c r="L284" i="22"/>
  <c r="M284" i="22" s="1"/>
  <c r="J284" i="22" l="1"/>
  <c r="C285" i="22"/>
  <c r="D285" i="22" l="1"/>
  <c r="L285" i="22" s="1"/>
  <c r="G285" i="22" l="1"/>
  <c r="H285" i="22" s="1"/>
  <c r="N285" i="22"/>
  <c r="M285" i="22"/>
  <c r="J285" i="22" l="1"/>
  <c r="C286" i="22"/>
  <c r="D286" i="22" l="1"/>
  <c r="N286" i="22" s="1"/>
  <c r="G286" i="22" l="1"/>
  <c r="H286" i="22" s="1"/>
  <c r="L286" i="22"/>
  <c r="M286" i="22" s="1"/>
  <c r="C287" i="22" l="1"/>
  <c r="J286" i="22"/>
  <c r="D287" i="22" l="1"/>
  <c r="N287" i="22" s="1"/>
  <c r="L287" i="22" l="1"/>
  <c r="M287" i="22" s="1"/>
  <c r="G287" i="22"/>
  <c r="H287" i="22" s="1"/>
  <c r="C288" i="22" l="1"/>
  <c r="J287" i="22"/>
  <c r="D288" i="22" l="1"/>
  <c r="N288" i="22" s="1"/>
  <c r="G288" i="22" l="1"/>
  <c r="H288" i="22" s="1"/>
  <c r="L288" i="22"/>
  <c r="M288" i="22" s="1"/>
  <c r="C289" i="22" l="1"/>
  <c r="J288" i="22"/>
  <c r="D289" i="22" l="1"/>
  <c r="G289" i="22" s="1"/>
  <c r="N289" i="22" l="1"/>
  <c r="L289" i="22"/>
  <c r="M289" i="22" s="1"/>
  <c r="H289" i="22"/>
  <c r="C290" i="22" l="1"/>
  <c r="J289" i="22"/>
  <c r="D290" i="22" l="1"/>
  <c r="N290" i="22" s="1"/>
  <c r="G290" i="22" l="1"/>
  <c r="H290" i="22" s="1"/>
  <c r="L290" i="22"/>
  <c r="M290" i="22" s="1"/>
  <c r="C291" i="22" l="1"/>
  <c r="J290" i="22"/>
  <c r="D291" i="22" l="1"/>
  <c r="G291" i="22" s="1"/>
  <c r="N291" i="22" l="1"/>
  <c r="L291" i="22"/>
  <c r="M291" i="22" s="1"/>
  <c r="H291" i="22"/>
  <c r="J291" i="22" l="1"/>
  <c r="C292" i="22"/>
  <c r="D292" i="22" l="1"/>
  <c r="L292" i="22" s="1"/>
  <c r="N292" i="22" l="1"/>
  <c r="G292" i="22"/>
  <c r="H292" i="22" s="1"/>
  <c r="M292" i="22"/>
  <c r="J292" i="22" l="1"/>
  <c r="C293" i="22"/>
  <c r="D293" i="22" l="1"/>
  <c r="G293" i="22" s="1"/>
  <c r="N293" i="22" l="1"/>
  <c r="L293" i="22"/>
  <c r="M293" i="22" s="1"/>
  <c r="H293" i="22"/>
  <c r="J293" i="22" l="1"/>
  <c r="C294" i="22"/>
  <c r="D294" i="22" l="1"/>
  <c r="L294" i="22" s="1"/>
  <c r="G294" i="22" l="1"/>
  <c r="H294" i="22" s="1"/>
  <c r="N294" i="22"/>
  <c r="M294" i="22"/>
  <c r="C295" i="22" l="1"/>
  <c r="J294" i="22"/>
  <c r="D295" i="22" l="1"/>
  <c r="N295" i="22" s="1"/>
  <c r="G295" i="22" l="1"/>
  <c r="H295" i="22" s="1"/>
  <c r="L295" i="22"/>
  <c r="M295" i="22" s="1"/>
  <c r="C296" i="22" l="1"/>
  <c r="J295" i="22"/>
  <c r="D296" i="22" l="1"/>
  <c r="N296" i="22" s="1"/>
  <c r="G296" i="22" l="1"/>
  <c r="H296" i="22" s="1"/>
  <c r="L296" i="22"/>
  <c r="M296" i="22" s="1"/>
  <c r="C297" i="22" l="1"/>
  <c r="J296" i="22"/>
  <c r="D297" i="22" l="1"/>
  <c r="G297" i="22" s="1"/>
  <c r="L297" i="22" l="1"/>
  <c r="M297" i="22" s="1"/>
  <c r="N297" i="22"/>
  <c r="H297" i="22"/>
  <c r="C298" i="22" l="1"/>
  <c r="J297" i="22"/>
  <c r="D298" i="22" l="1"/>
  <c r="L298" i="22" s="1"/>
  <c r="G298" i="22" l="1"/>
  <c r="H298" i="22" s="1"/>
  <c r="N298" i="22"/>
  <c r="M298" i="22"/>
  <c r="C299" i="22" l="1"/>
  <c r="J298" i="22"/>
  <c r="D299" i="22" l="1"/>
  <c r="G299" i="22" s="1"/>
  <c r="L299" i="22" l="1"/>
  <c r="M299" i="22" s="1"/>
  <c r="N299" i="22"/>
  <c r="H299" i="22"/>
  <c r="J299" i="22" l="1"/>
  <c r="C300" i="22"/>
  <c r="D300" i="22" l="1"/>
  <c r="L300" i="22" s="1"/>
  <c r="N300" i="22" l="1"/>
  <c r="G300" i="22"/>
  <c r="H300" i="22" s="1"/>
  <c r="M300" i="22"/>
  <c r="J300" i="22" l="1"/>
  <c r="C301" i="22"/>
  <c r="D301" i="22" l="1"/>
  <c r="G301" i="22" s="1"/>
  <c r="L301" i="22" l="1"/>
  <c r="M301" i="22" s="1"/>
  <c r="N301" i="22"/>
  <c r="H301" i="22"/>
  <c r="J301" i="22" l="1"/>
  <c r="C302" i="22"/>
  <c r="D302" i="22" l="1"/>
  <c r="L302" i="22" s="1"/>
  <c r="G302" i="22" l="1"/>
  <c r="H302" i="22" s="1"/>
  <c r="N302" i="22"/>
  <c r="M302" i="22"/>
  <c r="C303" i="22" l="1"/>
  <c r="J302" i="22"/>
  <c r="D303" i="22" l="1"/>
  <c r="L303" i="22" s="1"/>
  <c r="N303" i="22" l="1"/>
  <c r="G303" i="22"/>
  <c r="H303" i="22" s="1"/>
  <c r="M303" i="22"/>
  <c r="C304" i="22" l="1"/>
  <c r="J303" i="22"/>
  <c r="D304" i="22" l="1"/>
  <c r="L304" i="22" s="1"/>
  <c r="N304" i="22" l="1"/>
  <c r="G304" i="22"/>
  <c r="H304" i="22" s="1"/>
  <c r="M304" i="22"/>
  <c r="C305" i="22" l="1"/>
  <c r="J304" i="22"/>
  <c r="D305" i="22" l="1"/>
  <c r="G305" i="22" s="1"/>
  <c r="L305" i="22" l="1"/>
  <c r="M305" i="22" s="1"/>
  <c r="N305" i="22"/>
  <c r="H305" i="22"/>
  <c r="C306" i="22" l="1"/>
  <c r="J305" i="22"/>
  <c r="D306" i="22" l="1"/>
  <c r="L306" i="22" s="1"/>
  <c r="G306" i="22" l="1"/>
  <c r="H306" i="22" s="1"/>
  <c r="N306" i="22"/>
  <c r="M306" i="22"/>
  <c r="C307" i="22" l="1"/>
  <c r="J306" i="22"/>
  <c r="D307" i="22" l="1"/>
  <c r="N307" i="22" s="1"/>
  <c r="L307" i="22" l="1"/>
  <c r="M307" i="22" s="1"/>
  <c r="G307" i="22"/>
  <c r="H307" i="22" s="1"/>
  <c r="G61" i="20"/>
  <c r="G63" i="20" s="1"/>
  <c r="J307" i="22" l="1"/>
  <c r="C308" i="22"/>
  <c r="D308" i="22" l="1"/>
  <c r="L308" i="22" s="1"/>
  <c r="G308" i="22" l="1"/>
  <c r="H308" i="22" s="1"/>
  <c r="N308" i="22"/>
  <c r="M308" i="22"/>
  <c r="J308" i="22" l="1"/>
  <c r="C309" i="22"/>
  <c r="D309" i="22" l="1"/>
  <c r="G309" i="22" s="1"/>
  <c r="L309" i="22" l="1"/>
  <c r="M309" i="22" s="1"/>
  <c r="N309" i="22"/>
  <c r="H309" i="22"/>
  <c r="J309" i="22" l="1"/>
  <c r="C310" i="22"/>
  <c r="D310" i="22" l="1"/>
  <c r="L310" i="22" s="1"/>
  <c r="G310" i="22" l="1"/>
  <c r="H310" i="22" s="1"/>
  <c r="N310" i="22"/>
  <c r="M310" i="22"/>
  <c r="C311" i="22" l="1"/>
  <c r="J310" i="22"/>
  <c r="D311" i="22" l="1"/>
  <c r="G311" i="22" s="1"/>
  <c r="L311" i="22" l="1"/>
  <c r="M311" i="22" s="1"/>
  <c r="N311" i="22"/>
  <c r="H311" i="22"/>
  <c r="C312" i="22" l="1"/>
  <c r="J311" i="22"/>
  <c r="D312" i="22" l="1"/>
  <c r="L312" i="22" s="1"/>
  <c r="G312" i="22" l="1"/>
  <c r="H312" i="22" s="1"/>
  <c r="N312" i="22"/>
  <c r="M312" i="22"/>
  <c r="C313" i="22" l="1"/>
  <c r="J312" i="22"/>
  <c r="D313" i="22" l="1"/>
  <c r="G313" i="22" s="1"/>
  <c r="L313" i="22" l="1"/>
  <c r="M313" i="22" s="1"/>
  <c r="N313" i="22"/>
  <c r="H313" i="22"/>
  <c r="C314" i="22" l="1"/>
  <c r="J313" i="22"/>
  <c r="D314" i="22" l="1"/>
  <c r="G314" i="22" s="1"/>
  <c r="N314" i="22" l="1"/>
  <c r="L314" i="22"/>
  <c r="M314" i="22" s="1"/>
  <c r="H314" i="22"/>
  <c r="C315" i="22" l="1"/>
  <c r="J314" i="22"/>
  <c r="D315" i="22" l="1"/>
  <c r="G315" i="22" s="1"/>
  <c r="L315" i="22" l="1"/>
  <c r="M315" i="22" s="1"/>
  <c r="N315" i="22"/>
  <c r="H315" i="22"/>
  <c r="J315" i="22" l="1"/>
  <c r="C316" i="22"/>
  <c r="D316" i="22" l="1"/>
  <c r="L316" i="22" s="1"/>
  <c r="G316" i="22" l="1"/>
  <c r="H316" i="22" s="1"/>
  <c r="N316" i="22"/>
  <c r="M316" i="22"/>
  <c r="J316" i="22" l="1"/>
  <c r="C317" i="22"/>
  <c r="D317" i="22" l="1"/>
  <c r="G317" i="22" s="1"/>
  <c r="L317" i="22" l="1"/>
  <c r="M317" i="22" s="1"/>
  <c r="N317" i="22"/>
  <c r="H317" i="22"/>
  <c r="J317" i="22" l="1"/>
  <c r="C318" i="22"/>
  <c r="D318" i="22" l="1"/>
  <c r="L318" i="22" s="1"/>
  <c r="G318" i="22" l="1"/>
  <c r="H318" i="22" s="1"/>
  <c r="N318" i="22"/>
  <c r="M318" i="22"/>
  <c r="C319" i="22" l="1"/>
  <c r="J318" i="22"/>
  <c r="D319" i="22" l="1"/>
  <c r="G319" i="22" s="1"/>
  <c r="L319" i="22" l="1"/>
  <c r="M319" i="22" s="1"/>
  <c r="N319" i="22"/>
  <c r="H319" i="22"/>
  <c r="C320" i="22" l="1"/>
  <c r="J319" i="22"/>
  <c r="D320" i="22" l="1"/>
  <c r="G320" i="22" s="1"/>
  <c r="N320" i="22" l="1"/>
  <c r="L320" i="22"/>
  <c r="M320" i="22" s="1"/>
  <c r="H320" i="22"/>
  <c r="C321" i="22" l="1"/>
  <c r="J320" i="22"/>
  <c r="D321" i="22" l="1"/>
  <c r="G321" i="22" s="1"/>
  <c r="L321" i="22" l="1"/>
  <c r="M321" i="22" s="1"/>
  <c r="N321" i="22"/>
  <c r="H321" i="22"/>
  <c r="C322" i="22" l="1"/>
  <c r="J321" i="22"/>
  <c r="D322" i="22" l="1"/>
  <c r="G322" i="22" s="1"/>
  <c r="N322" i="22" l="1"/>
  <c r="L322" i="22"/>
  <c r="M322" i="22" s="1"/>
  <c r="H322" i="22"/>
  <c r="C323" i="22" l="1"/>
  <c r="J322" i="22"/>
  <c r="D323" i="22" l="1"/>
  <c r="N323" i="22" s="1"/>
  <c r="L323" i="22" l="1"/>
  <c r="M323" i="22" s="1"/>
  <c r="G323" i="22"/>
  <c r="H323" i="22" s="1"/>
  <c r="J323" i="22" l="1"/>
  <c r="C324" i="22"/>
  <c r="D324" i="22" l="1"/>
  <c r="L324" i="22" s="1"/>
  <c r="G324" i="22" l="1"/>
  <c r="H324" i="22" s="1"/>
  <c r="N324" i="22"/>
  <c r="M324" i="22"/>
  <c r="J324" i="22" l="1"/>
  <c r="C325" i="22"/>
  <c r="D325" i="22" l="1"/>
  <c r="G325" i="22" s="1"/>
  <c r="L325" i="22" l="1"/>
  <c r="M325" i="22" s="1"/>
  <c r="N325" i="22"/>
  <c r="H325" i="22"/>
  <c r="J325" i="22" l="1"/>
  <c r="C326" i="22"/>
  <c r="D326" i="22" l="1"/>
  <c r="L326" i="22" s="1"/>
  <c r="G326" i="22" l="1"/>
  <c r="H326" i="22" s="1"/>
  <c r="N326" i="22"/>
  <c r="M326" i="22"/>
  <c r="C327" i="22" l="1"/>
  <c r="J326" i="22"/>
  <c r="D327" i="22" l="1"/>
  <c r="G327" i="22" s="1"/>
  <c r="L327" i="22" l="1"/>
  <c r="M327" i="22" s="1"/>
  <c r="N327" i="22"/>
  <c r="H327" i="22"/>
  <c r="C328" i="22" l="1"/>
  <c r="J327" i="22"/>
  <c r="D328" i="22" l="1"/>
  <c r="G328" i="22" s="1"/>
  <c r="N328" i="22" l="1"/>
  <c r="L328" i="22"/>
  <c r="M328" i="22" s="1"/>
  <c r="H328" i="22"/>
  <c r="C329" i="22" l="1"/>
  <c r="J328" i="22"/>
  <c r="D329" i="22" l="1"/>
  <c r="N329" i="22" s="1"/>
  <c r="L329" i="22" l="1"/>
  <c r="M329" i="22" s="1"/>
  <c r="G329" i="22"/>
  <c r="H329" i="22" s="1"/>
  <c r="C330" i="22" l="1"/>
  <c r="J329" i="22"/>
  <c r="D330" i="22" l="1"/>
  <c r="L330" i="22" s="1"/>
  <c r="N330" i="22" l="1"/>
  <c r="G330" i="22"/>
  <c r="H330" i="22" s="1"/>
  <c r="M330" i="22"/>
  <c r="C331" i="22" l="1"/>
  <c r="J330" i="22"/>
  <c r="D331" i="22" l="1"/>
  <c r="G331" i="22" s="1"/>
  <c r="L331" i="22" l="1"/>
  <c r="M331" i="22" s="1"/>
  <c r="N331" i="22"/>
  <c r="H331" i="22"/>
  <c r="J331" i="22" l="1"/>
  <c r="C332" i="22"/>
  <c r="D332" i="22" l="1"/>
  <c r="N332" i="22" s="1"/>
  <c r="G332" i="22" l="1"/>
  <c r="H332" i="22" s="1"/>
  <c r="L332" i="22"/>
  <c r="M332" i="22" s="1"/>
  <c r="J332" i="22" l="1"/>
  <c r="C333" i="22"/>
  <c r="D333" i="22" l="1"/>
  <c r="G333" i="22" s="1"/>
  <c r="L333" i="22" l="1"/>
  <c r="M333" i="22" s="1"/>
  <c r="N333" i="22"/>
  <c r="H333" i="22"/>
  <c r="J333" i="22" l="1"/>
  <c r="C334" i="22"/>
  <c r="D334" i="22" l="1"/>
  <c r="L334" i="22" s="1"/>
  <c r="G334" i="22" l="1"/>
  <c r="H334" i="22" s="1"/>
  <c r="N334" i="22"/>
  <c r="M334" i="22"/>
  <c r="C335" i="22" l="1"/>
  <c r="J334" i="22"/>
  <c r="D335" i="22" l="1"/>
  <c r="G335" i="22" s="1"/>
  <c r="L335" i="22" l="1"/>
  <c r="M335" i="22" s="1"/>
  <c r="N335" i="22"/>
  <c r="H335" i="22"/>
  <c r="C336" i="22" l="1"/>
  <c r="J335" i="22"/>
  <c r="D336" i="22" l="1"/>
  <c r="L336" i="22" s="1"/>
  <c r="G336" i="22" l="1"/>
  <c r="H336" i="22" s="1"/>
  <c r="N336" i="22"/>
  <c r="M336" i="22"/>
  <c r="C337" i="22" l="1"/>
  <c r="J336" i="22"/>
  <c r="D337" i="22" l="1"/>
  <c r="G337" i="22" s="1"/>
  <c r="N337" i="22" l="1"/>
  <c r="L337" i="22"/>
  <c r="M337" i="22" s="1"/>
  <c r="H337" i="22"/>
  <c r="C338" i="22" l="1"/>
  <c r="J337" i="22"/>
  <c r="D338" i="22" l="1"/>
  <c r="L338" i="22" s="1"/>
  <c r="G338" i="22" l="1"/>
  <c r="H338" i="22" s="1"/>
  <c r="N338" i="22"/>
  <c r="M338" i="22"/>
  <c r="C339" i="22" l="1"/>
  <c r="J338" i="22"/>
  <c r="D339" i="22" l="1"/>
  <c r="G339" i="22" s="1"/>
  <c r="N339" i="22" l="1"/>
  <c r="L339" i="22"/>
  <c r="M339" i="22" s="1"/>
  <c r="H339" i="22"/>
  <c r="J339" i="22" l="1"/>
  <c r="C340" i="22"/>
  <c r="D340" i="22" l="1"/>
  <c r="L340" i="22" s="1"/>
  <c r="G340" i="22" l="1"/>
  <c r="H340" i="22" s="1"/>
  <c r="N340" i="22"/>
  <c r="M340" i="22"/>
  <c r="J340" i="22" l="1"/>
  <c r="C341" i="22"/>
  <c r="D341" i="22" l="1"/>
  <c r="G341" i="22" s="1"/>
  <c r="L341" i="22" l="1"/>
  <c r="M341" i="22" s="1"/>
  <c r="N341" i="22"/>
  <c r="H341" i="22"/>
  <c r="J341" i="22" l="1"/>
  <c r="C342" i="22"/>
  <c r="D342" i="22" l="1"/>
  <c r="L342" i="22" s="1"/>
  <c r="G342" i="22" l="1"/>
  <c r="H342" i="22" s="1"/>
  <c r="N342" i="22"/>
  <c r="M342" i="22"/>
  <c r="C343" i="22" l="1"/>
  <c r="J342" i="22"/>
  <c r="D343" i="22" l="1"/>
  <c r="G343" i="22" s="1"/>
  <c r="N343" i="22" l="1"/>
  <c r="L343" i="22"/>
  <c r="M343" i="22" s="1"/>
  <c r="H343" i="22"/>
  <c r="C344" i="22" l="1"/>
  <c r="J343" i="22"/>
  <c r="D344" i="22" l="1"/>
  <c r="L344" i="22" s="1"/>
  <c r="G344" i="22" l="1"/>
  <c r="H344" i="22" s="1"/>
  <c r="N344" i="22"/>
  <c r="M344" i="22"/>
  <c r="C345" i="22" l="1"/>
  <c r="J344" i="22"/>
  <c r="D345" i="22" l="1"/>
  <c r="G345" i="22" s="1"/>
  <c r="L345" i="22" l="1"/>
  <c r="M345" i="22" s="1"/>
  <c r="N345" i="22"/>
  <c r="H345" i="22"/>
  <c r="C346" i="22" l="1"/>
  <c r="J345" i="22"/>
  <c r="D346" i="22" l="1"/>
  <c r="L346" i="22" s="1"/>
  <c r="G346" i="22" l="1"/>
  <c r="H346" i="22" s="1"/>
  <c r="N346" i="22"/>
  <c r="M346" i="22"/>
  <c r="C347" i="22" l="1"/>
  <c r="J346" i="22"/>
  <c r="D347" i="22" l="1"/>
  <c r="G347" i="22" s="1"/>
  <c r="L347" i="22" l="1"/>
  <c r="M347" i="22" s="1"/>
  <c r="N347" i="22"/>
  <c r="H347" i="22"/>
  <c r="J347" i="22" l="1"/>
  <c r="C348" i="22"/>
  <c r="D348" i="22" l="1"/>
  <c r="L348" i="22" s="1"/>
  <c r="G348" i="22" l="1"/>
  <c r="H348" i="22" s="1"/>
  <c r="N348" i="22"/>
  <c r="M348" i="22"/>
  <c r="J348" i="22" l="1"/>
  <c r="C349" i="22"/>
  <c r="D349" i="22" l="1"/>
  <c r="G349" i="22" s="1"/>
  <c r="L349" i="22" l="1"/>
  <c r="M349" i="22" s="1"/>
  <c r="N349" i="22"/>
  <c r="H349" i="22"/>
  <c r="J349" i="22" l="1"/>
  <c r="C350" i="22"/>
  <c r="D350" i="22" l="1"/>
  <c r="L350" i="22" s="1"/>
  <c r="G350" i="22" l="1"/>
  <c r="H350" i="22" s="1"/>
  <c r="N350" i="22"/>
  <c r="M350" i="22"/>
  <c r="C351" i="22" l="1"/>
  <c r="J350" i="22"/>
  <c r="D351" i="22" l="1"/>
  <c r="G351" i="22" s="1"/>
  <c r="L351" i="22" l="1"/>
  <c r="M351" i="22" s="1"/>
  <c r="N351" i="22"/>
  <c r="H351" i="22"/>
  <c r="C352" i="22" l="1"/>
  <c r="J351" i="22"/>
  <c r="D352" i="22" l="1"/>
  <c r="L352" i="22" s="1"/>
  <c r="G352" i="22" l="1"/>
  <c r="H352" i="22" s="1"/>
  <c r="N352" i="22"/>
  <c r="M352" i="22"/>
  <c r="C353" i="22" l="1"/>
  <c r="J352" i="22"/>
  <c r="D353" i="22" l="1"/>
  <c r="G353" i="22" s="1"/>
  <c r="L353" i="22" l="1"/>
  <c r="M353" i="22" s="1"/>
  <c r="N353" i="22"/>
  <c r="H353" i="22"/>
  <c r="C354" i="22" l="1"/>
  <c r="J353" i="22"/>
  <c r="D354" i="22" l="1"/>
  <c r="N354" i="22" s="1"/>
  <c r="G354" i="22" l="1"/>
  <c r="H354" i="22" s="1"/>
  <c r="L354" i="22"/>
  <c r="M354" i="22" s="1"/>
  <c r="C355" i="22" l="1"/>
  <c r="J354" i="22"/>
  <c r="D355" i="22" l="1"/>
  <c r="G355" i="22" s="1"/>
  <c r="N355" i="22" l="1"/>
  <c r="L355" i="22"/>
  <c r="M355" i="22" s="1"/>
  <c r="H355" i="22"/>
  <c r="J355" i="22" l="1"/>
  <c r="C356" i="22"/>
  <c r="D356" i="22" l="1"/>
  <c r="L356" i="22" s="1"/>
  <c r="G356" i="22" l="1"/>
  <c r="H356" i="22" s="1"/>
  <c r="N356" i="22"/>
  <c r="M356" i="22"/>
  <c r="J356" i="22" l="1"/>
  <c r="C357" i="22"/>
  <c r="D357" i="22" l="1"/>
  <c r="G357" i="22" s="1"/>
  <c r="L357" i="22" l="1"/>
  <c r="M357" i="22" s="1"/>
  <c r="N357" i="22"/>
  <c r="H357" i="22"/>
  <c r="J357" i="22" l="1"/>
  <c r="C358" i="22"/>
  <c r="D358" i="22" l="1"/>
  <c r="L358" i="22" s="1"/>
  <c r="G358" i="22" l="1"/>
  <c r="H358" i="22" s="1"/>
  <c r="N358" i="22"/>
  <c r="M358" i="22"/>
  <c r="C359" i="22" l="1"/>
  <c r="J358" i="22"/>
  <c r="D359" i="22" l="1"/>
  <c r="G359" i="22" s="1"/>
  <c r="L359" i="22" l="1"/>
  <c r="M359" i="22" s="1"/>
  <c r="N359" i="22"/>
  <c r="H359" i="22"/>
  <c r="C360" i="22" l="1"/>
  <c r="J359" i="22"/>
  <c r="D360" i="22" l="1"/>
  <c r="L360" i="22" s="1"/>
  <c r="G360" i="22" l="1"/>
  <c r="H360" i="22" s="1"/>
  <c r="N360" i="22"/>
  <c r="M360" i="22"/>
  <c r="C361" i="22" l="1"/>
  <c r="J360" i="22"/>
  <c r="D361" i="22" l="1"/>
  <c r="G361" i="22" s="1"/>
  <c r="L361" i="22" l="1"/>
  <c r="M361" i="22" s="1"/>
  <c r="N361" i="22"/>
  <c r="H361" i="22"/>
  <c r="C362" i="22" l="1"/>
  <c r="J361" i="22"/>
  <c r="D362" i="22" l="1"/>
  <c r="L362" i="22" s="1"/>
  <c r="G362" i="22" l="1"/>
  <c r="H362" i="22" s="1"/>
  <c r="N362" i="22"/>
  <c r="M362" i="22"/>
  <c r="C363" i="22" l="1"/>
  <c r="J362" i="22"/>
  <c r="D363" i="22" l="1"/>
  <c r="G363" i="22" s="1"/>
  <c r="L363" i="22" l="1"/>
  <c r="M363" i="22" s="1"/>
  <c r="N363" i="22"/>
  <c r="H363" i="22"/>
  <c r="J363" i="22" l="1"/>
  <c r="C364" i="22"/>
  <c r="D364" i="22" l="1"/>
  <c r="L364" i="22" s="1"/>
  <c r="G364" i="22" l="1"/>
  <c r="H364" i="22" s="1"/>
  <c r="N364" i="22"/>
  <c r="M364" i="22"/>
  <c r="J364" i="22" l="1"/>
  <c r="C365" i="22"/>
  <c r="D365" i="22" l="1"/>
  <c r="G365" i="22" s="1"/>
  <c r="L365" i="22" l="1"/>
  <c r="M365" i="22" s="1"/>
  <c r="N365" i="22"/>
  <c r="H365" i="22"/>
  <c r="J365" i="22" l="1"/>
  <c r="C366" i="22"/>
  <c r="D366" i="22" l="1"/>
  <c r="N366" i="22" s="1"/>
  <c r="L366" i="22" l="1"/>
  <c r="M366" i="22" s="1"/>
  <c r="G366" i="22"/>
  <c r="H366" i="22" s="1"/>
  <c r="C367" i="22" l="1"/>
  <c r="J366" i="22"/>
  <c r="D367" i="22" l="1"/>
  <c r="G367" i="22" s="1"/>
  <c r="L367" i="22" l="1"/>
  <c r="M367" i="22" s="1"/>
  <c r="N367" i="22"/>
  <c r="H367" i="22"/>
  <c r="C368" i="22" l="1"/>
  <c r="J367" i="22"/>
  <c r="D368" i="22" l="1"/>
  <c r="L368" i="22" s="1"/>
  <c r="G368" i="22" l="1"/>
  <c r="H368" i="22" s="1"/>
  <c r="N368" i="22"/>
  <c r="M368" i="22"/>
  <c r="C369" i="22" l="1"/>
  <c r="J368" i="22"/>
  <c r="D369" i="22" l="1"/>
  <c r="L369" i="22" s="1"/>
  <c r="N369" i="22" l="1"/>
  <c r="G369" i="22"/>
  <c r="H369" i="22" s="1"/>
  <c r="M369" i="22"/>
  <c r="C370" i="22" l="1"/>
  <c r="J369" i="22"/>
  <c r="D370" i="22" l="1"/>
  <c r="L370" i="22" s="1"/>
  <c r="G370" i="22" l="1"/>
  <c r="H370" i="22" s="1"/>
  <c r="N370" i="22"/>
  <c r="M370" i="22"/>
  <c r="C371" i="22" l="1"/>
  <c r="J370" i="22"/>
  <c r="D371" i="22" l="1"/>
  <c r="L371" i="22" s="1"/>
  <c r="N371" i="22" l="1"/>
  <c r="G371" i="22"/>
  <c r="H371" i="22" s="1"/>
  <c r="M371" i="22"/>
  <c r="J371" i="22" l="1"/>
  <c r="C372" i="22"/>
  <c r="D372" i="22" l="1"/>
  <c r="L372" i="22" s="1"/>
  <c r="G372" i="22" l="1"/>
  <c r="H372" i="22" s="1"/>
  <c r="N372" i="22"/>
  <c r="M372" i="22"/>
  <c r="J372" i="22" l="1"/>
  <c r="C373" i="22"/>
  <c r="D373" i="22" l="1"/>
  <c r="G373" i="22" s="1"/>
  <c r="L373" i="22" l="1"/>
  <c r="M373" i="22" s="1"/>
  <c r="N373" i="22"/>
  <c r="H373" i="22"/>
  <c r="J373" i="22" l="1"/>
  <c r="C374" i="22"/>
  <c r="D374" i="22" l="1"/>
  <c r="L374" i="22" s="1"/>
  <c r="N374" i="22" l="1"/>
  <c r="G374" i="22"/>
  <c r="H374" i="22" s="1"/>
  <c r="M374" i="22"/>
  <c r="C375" i="22" l="1"/>
  <c r="J374" i="22"/>
  <c r="D375" i="22" l="1"/>
  <c r="L375" i="22" s="1"/>
  <c r="N375" i="22" l="1"/>
  <c r="G375" i="22"/>
  <c r="H375" i="22" s="1"/>
  <c r="M375" i="22"/>
  <c r="C376" i="22" l="1"/>
  <c r="J375" i="22"/>
  <c r="D376" i="22" l="1"/>
  <c r="N376" i="22" s="1"/>
  <c r="L376" i="22" l="1"/>
  <c r="M376" i="22" s="1"/>
  <c r="G376" i="22"/>
  <c r="H376" i="22" s="1"/>
  <c r="C377" i="22" l="1"/>
  <c r="J376" i="22"/>
  <c r="D377" i="22" l="1"/>
  <c r="L377" i="22" s="1"/>
  <c r="N377" i="22" l="1"/>
  <c r="G377" i="22"/>
  <c r="H377" i="22" s="1"/>
  <c r="M377" i="22"/>
  <c r="C378" i="22" l="1"/>
  <c r="J377" i="22"/>
  <c r="D378" i="22" l="1"/>
  <c r="G378" i="22" s="1"/>
  <c r="N378" i="22" l="1"/>
  <c r="L378" i="22"/>
  <c r="M378" i="22" s="1"/>
  <c r="H378" i="22"/>
  <c r="J378" i="22" l="1"/>
  <c r="C379" i="22"/>
  <c r="D379" i="22" l="1"/>
  <c r="N379" i="22" s="1"/>
  <c r="G379" i="22" l="1"/>
  <c r="H379" i="22" s="1"/>
  <c r="L379" i="22"/>
  <c r="M379" i="22" s="1"/>
  <c r="J379" i="22" l="1"/>
  <c r="C380" i="22"/>
  <c r="D380" i="22" l="1"/>
  <c r="G380" i="22" s="1"/>
  <c r="L380" i="22" l="1"/>
  <c r="N380" i="22"/>
  <c r="Q31" i="22" s="1"/>
  <c r="F492" i="22"/>
  <c r="F493" i="22"/>
  <c r="F494" i="22"/>
  <c r="F495" i="22"/>
  <c r="F496" i="22"/>
  <c r="F497" i="22"/>
  <c r="F498" i="22"/>
  <c r="F499" i="22"/>
  <c r="F500" i="22"/>
  <c r="F501" i="22"/>
  <c r="F502" i="22"/>
  <c r="F503" i="22"/>
  <c r="F504" i="22"/>
  <c r="F505" i="22"/>
  <c r="F506" i="22"/>
  <c r="F507" i="22"/>
  <c r="F508" i="22"/>
  <c r="F509" i="22"/>
  <c r="F510" i="22"/>
  <c r="F511" i="22"/>
  <c r="F512" i="22"/>
  <c r="F513" i="22"/>
  <c r="F514" i="22"/>
  <c r="F515" i="22"/>
  <c r="F516" i="22"/>
  <c r="F517" i="22"/>
  <c r="F518" i="22"/>
  <c r="F519" i="22"/>
  <c r="F520" i="22"/>
  <c r="F521" i="22"/>
  <c r="F522" i="22"/>
  <c r="F523" i="22"/>
  <c r="F524" i="22"/>
  <c r="F525" i="22"/>
  <c r="F526" i="22"/>
  <c r="F527" i="22"/>
  <c r="F528" i="22"/>
  <c r="F529" i="22"/>
  <c r="F530" i="22"/>
  <c r="F531" i="22"/>
  <c r="F532" i="22"/>
  <c r="F533" i="22"/>
  <c r="F534" i="22"/>
  <c r="F535" i="22"/>
  <c r="F536" i="22"/>
  <c r="F537" i="22"/>
  <c r="F538" i="22"/>
  <c r="F539" i="22"/>
  <c r="F540" i="22"/>
  <c r="F541" i="22"/>
  <c r="F542" i="22"/>
  <c r="F543" i="22"/>
  <c r="F544" i="22"/>
  <c r="F545" i="22"/>
  <c r="F546" i="22"/>
  <c r="F547" i="22"/>
  <c r="F548" i="22"/>
  <c r="F549" i="22"/>
  <c r="F550" i="22"/>
  <c r="F551" i="22"/>
  <c r="F552" i="22"/>
  <c r="F553" i="22"/>
  <c r="F554" i="22"/>
  <c r="F555" i="22"/>
  <c r="F556" i="22"/>
  <c r="F557" i="22"/>
  <c r="F558" i="22"/>
  <c r="F559" i="22"/>
  <c r="F560" i="22"/>
  <c r="F561" i="22"/>
  <c r="F562" i="22"/>
  <c r="F563" i="22"/>
  <c r="F564" i="22"/>
  <c r="F565" i="22"/>
  <c r="F566" i="22"/>
  <c r="F567" i="22"/>
  <c r="F568" i="22"/>
  <c r="F569" i="22"/>
  <c r="F570" i="22"/>
  <c r="F571" i="22"/>
  <c r="F572" i="22"/>
  <c r="F573" i="22"/>
  <c r="F574" i="22"/>
  <c r="F575" i="22"/>
  <c r="F576" i="22"/>
  <c r="F577" i="22"/>
  <c r="F578" i="22"/>
  <c r="F579" i="22"/>
  <c r="F580" i="22"/>
  <c r="F581" i="22"/>
  <c r="F582" i="22"/>
  <c r="F583" i="22"/>
  <c r="F584" i="22"/>
  <c r="F585" i="22"/>
  <c r="F586" i="22"/>
  <c r="F587" i="22"/>
  <c r="F588" i="22"/>
  <c r="F589" i="22"/>
  <c r="F590" i="22"/>
  <c r="F591" i="22"/>
  <c r="F592" i="22"/>
  <c r="F593" i="22"/>
  <c r="F594" i="22"/>
  <c r="F595" i="22"/>
  <c r="F596" i="22"/>
  <c r="F597" i="22"/>
  <c r="F598" i="22"/>
  <c r="F599" i="22"/>
  <c r="F600" i="22"/>
  <c r="F601" i="22"/>
  <c r="F602" i="22"/>
  <c r="F603" i="22"/>
  <c r="F604" i="22"/>
  <c r="F605" i="22"/>
  <c r="F606" i="22"/>
  <c r="F607" i="22"/>
  <c r="F608" i="22"/>
  <c r="F609" i="22"/>
  <c r="F610" i="22"/>
  <c r="F611" i="22"/>
  <c r="F612" i="22"/>
  <c r="F613" i="22"/>
  <c r="F614" i="22"/>
  <c r="F615" i="22"/>
  <c r="F616" i="22"/>
  <c r="F617" i="22"/>
  <c r="F618" i="22"/>
  <c r="F619" i="22"/>
  <c r="F620" i="22"/>
  <c r="F621" i="22"/>
  <c r="F622" i="22"/>
  <c r="F623" i="22"/>
  <c r="F624" i="22"/>
  <c r="F625" i="22"/>
  <c r="F626" i="22"/>
  <c r="F627" i="22"/>
  <c r="F628" i="22"/>
  <c r="F629" i="22"/>
  <c r="F630" i="22"/>
  <c r="F631" i="22"/>
  <c r="F632" i="22"/>
  <c r="F633" i="22"/>
  <c r="F634" i="22"/>
  <c r="F635" i="22"/>
  <c r="F636" i="22"/>
  <c r="F637" i="22"/>
  <c r="F638" i="22"/>
  <c r="F639" i="22"/>
  <c r="F640" i="22"/>
  <c r="F641" i="22"/>
  <c r="F642" i="22"/>
  <c r="F643" i="22"/>
  <c r="F644" i="22"/>
  <c r="F645" i="22"/>
  <c r="F646" i="22"/>
  <c r="F647" i="22"/>
  <c r="F648" i="22"/>
  <c r="F649" i="22"/>
  <c r="F650" i="22"/>
  <c r="F651" i="22"/>
  <c r="F652" i="22"/>
  <c r="F653" i="22"/>
  <c r="F654" i="22"/>
  <c r="F655" i="22"/>
  <c r="F656" i="22"/>
  <c r="F657" i="22"/>
  <c r="F658" i="22"/>
  <c r="F659" i="22"/>
  <c r="F660" i="22"/>
  <c r="F661" i="22"/>
  <c r="F662" i="22"/>
  <c r="F663" i="22"/>
  <c r="F664" i="22"/>
  <c r="F665" i="22"/>
  <c r="F666" i="22"/>
  <c r="F667" i="22"/>
  <c r="F668" i="22"/>
  <c r="F669" i="22"/>
  <c r="F670" i="22"/>
  <c r="F671" i="22"/>
  <c r="F672" i="22"/>
  <c r="F673" i="22"/>
  <c r="F674" i="22"/>
  <c r="F675" i="22"/>
  <c r="F676" i="22"/>
  <c r="F677" i="22"/>
  <c r="F678" i="22"/>
  <c r="F679" i="22"/>
  <c r="F680" i="22"/>
  <c r="F681" i="22"/>
  <c r="F682" i="22"/>
  <c r="F683" i="22"/>
  <c r="F684" i="22"/>
  <c r="F685" i="22"/>
  <c r="F686" i="22"/>
  <c r="F687" i="22"/>
  <c r="F688" i="22"/>
  <c r="F689" i="22"/>
  <c r="F690" i="22"/>
  <c r="F691" i="22"/>
  <c r="F692" i="22"/>
  <c r="F693" i="22"/>
  <c r="F694" i="22"/>
  <c r="F695" i="22"/>
  <c r="F696" i="22"/>
  <c r="F697" i="22"/>
  <c r="F698" i="22"/>
  <c r="F699" i="22"/>
  <c r="F700" i="22"/>
  <c r="F701" i="22"/>
  <c r="F702" i="22"/>
  <c r="F703" i="22"/>
  <c r="F704" i="22"/>
  <c r="F705" i="22"/>
  <c r="F706" i="22"/>
  <c r="F707" i="22"/>
  <c r="F708" i="22"/>
  <c r="F709" i="22"/>
  <c r="F710" i="22"/>
  <c r="F711" i="22"/>
  <c r="F712" i="22"/>
  <c r="F713" i="22"/>
  <c r="F714" i="22"/>
  <c r="F715" i="22"/>
  <c r="F716" i="22"/>
  <c r="F717" i="22"/>
  <c r="F718" i="22"/>
  <c r="F719" i="22"/>
  <c r="F720" i="22"/>
  <c r="F721" i="22"/>
  <c r="F722" i="22"/>
  <c r="F723" i="22"/>
  <c r="F724" i="22"/>
  <c r="F725" i="22"/>
  <c r="F726" i="22"/>
  <c r="F727" i="22"/>
  <c r="F728" i="22"/>
  <c r="F729" i="22"/>
  <c r="F730" i="22"/>
  <c r="F731" i="22"/>
  <c r="F732" i="22"/>
  <c r="F733" i="22"/>
  <c r="F734" i="22"/>
  <c r="F735" i="22"/>
  <c r="F736" i="22"/>
  <c r="F737" i="22"/>
  <c r="F738" i="22"/>
  <c r="F739" i="22"/>
  <c r="F740" i="22"/>
  <c r="F741" i="22"/>
  <c r="F742" i="22"/>
  <c r="F743" i="22"/>
  <c r="F744" i="22"/>
  <c r="F745" i="22"/>
  <c r="F746" i="22"/>
  <c r="F747" i="22"/>
  <c r="F748" i="22"/>
  <c r="F749" i="22"/>
  <c r="F750" i="22"/>
  <c r="F751" i="22"/>
  <c r="F752" i="22"/>
  <c r="F753" i="22"/>
  <c r="F754" i="22"/>
  <c r="F755" i="22"/>
  <c r="F756" i="22"/>
  <c r="F757" i="22"/>
  <c r="F758" i="22"/>
  <c r="F759" i="22"/>
  <c r="F760" i="22"/>
  <c r="F761" i="22"/>
  <c r="F762" i="22"/>
  <c r="F763" i="22"/>
  <c r="F764" i="22"/>
  <c r="F765" i="22"/>
  <c r="F766" i="22"/>
  <c r="F767" i="22"/>
  <c r="F768" i="22"/>
  <c r="F769" i="22"/>
  <c r="F770" i="22"/>
  <c r="F771" i="22"/>
  <c r="F772" i="22"/>
  <c r="F773" i="22"/>
  <c r="F774" i="22"/>
  <c r="F775" i="22"/>
  <c r="F776" i="22"/>
  <c r="F777" i="22"/>
  <c r="F778" i="22"/>
  <c r="F779" i="22"/>
  <c r="F780" i="22"/>
  <c r="F781" i="22"/>
  <c r="F782" i="22"/>
  <c r="F783" i="22"/>
  <c r="F784" i="22"/>
  <c r="F785" i="22"/>
  <c r="F786" i="22"/>
  <c r="F787" i="22"/>
  <c r="F788" i="22"/>
  <c r="F789" i="22"/>
  <c r="F790" i="22"/>
  <c r="F791" i="22"/>
  <c r="F792" i="22"/>
  <c r="F793" i="22"/>
  <c r="F794" i="22"/>
  <c r="F795" i="22"/>
  <c r="F796" i="22"/>
  <c r="F797" i="22"/>
  <c r="F798" i="22"/>
  <c r="F799" i="22"/>
  <c r="F800" i="22"/>
  <c r="F801" i="22"/>
  <c r="F802" i="22"/>
  <c r="F803" i="22"/>
  <c r="F804" i="22"/>
  <c r="F805" i="22"/>
  <c r="F806" i="22"/>
  <c r="F807" i="22"/>
  <c r="F808" i="22"/>
  <c r="F809" i="22"/>
  <c r="F810" i="22"/>
  <c r="F811" i="22"/>
  <c r="F812" i="22"/>
  <c r="F813" i="22"/>
  <c r="F814" i="22"/>
  <c r="F815" i="22"/>
  <c r="F816" i="22"/>
  <c r="F817" i="22"/>
  <c r="F818" i="22"/>
  <c r="F819" i="22"/>
  <c r="F820" i="22"/>
  <c r="F821" i="22"/>
  <c r="F822" i="22"/>
  <c r="F823" i="22"/>
  <c r="F824" i="22"/>
  <c r="F825" i="22"/>
  <c r="F826" i="22"/>
  <c r="F827" i="22"/>
  <c r="F828" i="22"/>
  <c r="F829" i="22"/>
  <c r="F830" i="22"/>
  <c r="F831" i="22"/>
  <c r="F832" i="22"/>
  <c r="F833" i="22"/>
  <c r="F834" i="22"/>
  <c r="F835" i="22"/>
  <c r="F836" i="22"/>
  <c r="F837" i="22"/>
  <c r="F838" i="22"/>
  <c r="F839" i="22"/>
  <c r="F840" i="22"/>
  <c r="F841" i="22"/>
  <c r="F842" i="22"/>
  <c r="F843" i="22"/>
  <c r="F844" i="22"/>
  <c r="F845" i="22"/>
  <c r="F846" i="22"/>
  <c r="F847" i="22"/>
  <c r="F848" i="22"/>
  <c r="F849" i="22"/>
  <c r="F850" i="22"/>
  <c r="F851" i="22"/>
  <c r="F852" i="22"/>
  <c r="F853" i="22"/>
  <c r="F854" i="22"/>
  <c r="F855" i="22"/>
  <c r="F856" i="22"/>
  <c r="F857" i="22"/>
  <c r="F858" i="22"/>
  <c r="F859" i="22"/>
  <c r="F860" i="22"/>
  <c r="F861" i="22"/>
  <c r="F862" i="22"/>
  <c r="F863" i="22"/>
  <c r="F864" i="22"/>
  <c r="F865" i="22"/>
  <c r="F866" i="22"/>
  <c r="F867" i="22"/>
  <c r="F868" i="22"/>
  <c r="F869" i="22"/>
  <c r="F870" i="22"/>
  <c r="F871" i="22"/>
  <c r="F872" i="22"/>
  <c r="F873" i="22"/>
  <c r="F874" i="22"/>
  <c r="F875" i="22"/>
  <c r="F876" i="22"/>
  <c r="F877" i="22"/>
  <c r="F878" i="22"/>
  <c r="F879" i="22"/>
  <c r="F880" i="22"/>
  <c r="F881" i="22"/>
  <c r="F882" i="22"/>
  <c r="F883" i="22"/>
  <c r="F884" i="22"/>
  <c r="F885" i="22"/>
  <c r="F886" i="22"/>
  <c r="F887" i="22"/>
  <c r="F888" i="22"/>
  <c r="F889" i="22"/>
  <c r="F890" i="22"/>
  <c r="F891" i="22"/>
  <c r="F892" i="22"/>
  <c r="F893" i="22"/>
  <c r="F894" i="22"/>
  <c r="F895" i="22"/>
  <c r="F896" i="22"/>
  <c r="F897" i="22"/>
  <c r="F898" i="22"/>
  <c r="F899" i="22"/>
  <c r="F900" i="22"/>
  <c r="F901" i="22"/>
  <c r="F902" i="22"/>
  <c r="F903" i="22"/>
  <c r="F904" i="22"/>
  <c r="F905" i="22"/>
  <c r="F906" i="22"/>
  <c r="F907" i="22"/>
  <c r="F908" i="22"/>
  <c r="F909" i="22"/>
  <c r="F910" i="22"/>
  <c r="F911" i="22"/>
  <c r="F912" i="22"/>
  <c r="F913" i="22"/>
  <c r="F914" i="22"/>
  <c r="F915" i="22"/>
  <c r="F916" i="22"/>
  <c r="F917" i="22"/>
  <c r="F918" i="22"/>
  <c r="F919" i="22"/>
  <c r="F920" i="22"/>
  <c r="F921" i="22"/>
  <c r="F922" i="22"/>
  <c r="F923" i="22"/>
  <c r="F924" i="22"/>
  <c r="F925" i="22"/>
  <c r="F926" i="22"/>
  <c r="F927" i="22"/>
  <c r="F928" i="22"/>
  <c r="F929" i="22"/>
  <c r="F930" i="22"/>
  <c r="F931" i="22"/>
  <c r="F932" i="22"/>
  <c r="F933" i="22"/>
  <c r="F934" i="22"/>
  <c r="F935" i="22"/>
  <c r="F936" i="22"/>
  <c r="F937" i="22"/>
  <c r="F938" i="22"/>
  <c r="F939" i="22"/>
  <c r="F940" i="22"/>
  <c r="F941" i="22"/>
  <c r="F942" i="22"/>
  <c r="F943" i="22"/>
  <c r="F944" i="22"/>
  <c r="F945" i="22"/>
  <c r="F946" i="22"/>
  <c r="F947" i="22"/>
  <c r="F948" i="22"/>
  <c r="F949" i="22"/>
  <c r="F950" i="22"/>
  <c r="F951" i="22"/>
  <c r="F952" i="22"/>
  <c r="F953" i="22"/>
  <c r="F954" i="22"/>
  <c r="F955" i="22"/>
  <c r="F956" i="22"/>
  <c r="F957" i="22"/>
  <c r="F958" i="22"/>
  <c r="F959" i="22"/>
  <c r="F960" i="22"/>
  <c r="F961" i="22"/>
  <c r="F962" i="22"/>
  <c r="F963" i="22"/>
  <c r="F964" i="22"/>
  <c r="F965" i="22"/>
  <c r="F966" i="22"/>
  <c r="F967" i="22"/>
  <c r="F968" i="22"/>
  <c r="F969" i="22"/>
  <c r="F970" i="22"/>
  <c r="F971" i="22"/>
  <c r="F972" i="22"/>
  <c r="F973" i="22"/>
  <c r="F974" i="22"/>
  <c r="F975" i="22"/>
  <c r="F976" i="22"/>
  <c r="F977" i="22"/>
  <c r="F978" i="22"/>
  <c r="F979" i="22"/>
  <c r="F980" i="22"/>
  <c r="F981" i="22"/>
  <c r="F982" i="22"/>
  <c r="F983" i="22"/>
  <c r="F984" i="22"/>
  <c r="F985" i="22"/>
  <c r="F986" i="22"/>
  <c r="F987" i="22"/>
  <c r="F988" i="22"/>
  <c r="F989" i="22"/>
  <c r="F990" i="22"/>
  <c r="F991" i="22"/>
  <c r="F992" i="22"/>
  <c r="F993" i="22"/>
  <c r="F994" i="22"/>
  <c r="F995" i="22"/>
  <c r="F996" i="22"/>
  <c r="F997" i="22"/>
  <c r="F998" i="22"/>
  <c r="F999" i="22"/>
  <c r="F1000" i="22"/>
  <c r="F1001" i="22"/>
  <c r="F1002" i="22"/>
  <c r="F1003" i="22"/>
  <c r="F1004" i="22"/>
  <c r="F1005" i="22"/>
  <c r="F1006" i="22"/>
  <c r="F1007" i="22"/>
  <c r="F1008" i="22"/>
  <c r="F1009" i="22"/>
  <c r="F1010" i="22"/>
  <c r="F1011" i="22"/>
  <c r="F1012" i="22"/>
  <c r="F1013" i="22"/>
  <c r="F1014" i="22"/>
  <c r="F1015" i="22"/>
  <c r="F1016" i="22"/>
  <c r="F1017" i="22"/>
  <c r="F1018" i="22"/>
  <c r="F1019" i="22"/>
  <c r="F1020" i="22"/>
  <c r="F1021" i="22"/>
  <c r="F1022" i="22"/>
  <c r="F1023" i="22"/>
  <c r="F1024" i="22"/>
  <c r="F1025" i="22"/>
  <c r="F1026" i="22"/>
  <c r="F1027" i="22"/>
  <c r="F1028" i="22"/>
  <c r="F1029" i="22"/>
  <c r="F1030" i="22"/>
  <c r="F1031" i="22"/>
  <c r="F1032" i="22"/>
  <c r="F1033" i="22"/>
  <c r="F1034" i="22"/>
  <c r="F1035" i="22"/>
  <c r="F1036" i="22"/>
  <c r="F1037" i="22"/>
  <c r="F1038" i="22"/>
  <c r="F1039" i="22"/>
  <c r="F1040" i="22"/>
  <c r="F1041" i="22"/>
  <c r="F1042" i="22"/>
  <c r="F1043" i="22"/>
  <c r="F1044" i="22"/>
  <c r="F1045" i="22"/>
  <c r="F1046" i="22"/>
  <c r="F1047" i="22"/>
  <c r="F1048" i="22"/>
  <c r="F1049" i="22"/>
  <c r="F1050" i="22"/>
  <c r="F1051" i="22"/>
  <c r="F1052" i="22"/>
  <c r="F1053" i="22"/>
  <c r="F1054" i="22"/>
  <c r="F1055" i="22"/>
  <c r="F1056" i="22"/>
  <c r="F1057" i="22"/>
  <c r="F1058" i="22"/>
  <c r="F1059" i="22"/>
  <c r="F1060" i="22"/>
  <c r="F1061" i="22"/>
  <c r="F1062" i="22"/>
  <c r="F1063" i="22"/>
  <c r="F1064" i="22"/>
  <c r="F1065" i="22"/>
  <c r="F1066" i="22"/>
  <c r="F1067" i="22"/>
  <c r="F1068" i="22"/>
  <c r="F1069" i="22"/>
  <c r="F1070" i="22"/>
  <c r="F1071" i="22"/>
  <c r="F1072" i="22"/>
  <c r="F1073" i="22"/>
  <c r="F1074" i="22"/>
  <c r="F1075" i="22"/>
  <c r="F1076" i="22"/>
  <c r="F1077" i="22"/>
  <c r="F1078" i="22"/>
  <c r="F1079" i="22"/>
  <c r="F1080" i="22"/>
  <c r="F1081" i="22"/>
  <c r="F1082" i="22"/>
  <c r="F1083" i="22"/>
  <c r="F1084" i="22"/>
  <c r="F1085" i="22"/>
  <c r="F1086" i="22"/>
  <c r="F1087" i="22"/>
  <c r="F1088" i="22"/>
  <c r="F1089" i="22"/>
  <c r="F1090" i="22"/>
  <c r="F1091" i="22"/>
  <c r="F1092" i="22"/>
  <c r="F1093" i="22"/>
  <c r="F1094" i="22"/>
  <c r="F1095" i="22"/>
  <c r="F1096" i="22"/>
  <c r="F1097" i="22"/>
  <c r="F1098" i="22"/>
  <c r="F1099" i="22"/>
  <c r="F1100" i="22"/>
  <c r="F1101" i="22"/>
  <c r="F1102" i="22"/>
  <c r="F1103" i="22"/>
  <c r="F1104" i="22"/>
  <c r="F1105" i="22"/>
  <c r="F1106" i="22"/>
  <c r="F1107" i="22"/>
  <c r="F1108" i="22"/>
  <c r="F1109" i="22"/>
  <c r="F1110" i="22"/>
  <c r="F1111" i="22"/>
  <c r="F1112" i="22"/>
  <c r="F1113" i="22"/>
  <c r="F1114" i="22"/>
  <c r="F1115" i="22"/>
  <c r="F1116" i="22"/>
  <c r="F1117" i="22"/>
  <c r="F1118" i="22"/>
  <c r="F1119" i="22"/>
  <c r="F1120" i="22"/>
  <c r="F1121" i="22"/>
  <c r="F1122" i="22"/>
  <c r="F1123" i="22"/>
  <c r="F1124" i="22"/>
  <c r="F1125" i="22"/>
  <c r="F1126" i="22"/>
  <c r="F1127" i="22"/>
  <c r="F1128" i="22"/>
  <c r="F1129" i="22"/>
  <c r="F1130" i="22"/>
  <c r="F1131" i="22"/>
  <c r="F1132" i="22"/>
  <c r="F1133" i="22"/>
  <c r="F1134" i="22"/>
  <c r="F1135" i="22"/>
  <c r="F1136" i="22"/>
  <c r="F1137" i="22"/>
  <c r="F1138" i="22"/>
  <c r="F1139" i="22"/>
  <c r="F1140" i="22"/>
  <c r="F1141" i="22"/>
  <c r="F1142" i="22"/>
  <c r="F1143" i="22"/>
  <c r="F1144" i="22"/>
  <c r="F1145" i="22"/>
  <c r="F1146" i="22"/>
  <c r="F1147" i="22"/>
  <c r="F1148" i="22"/>
  <c r="F1149" i="22"/>
  <c r="F1150" i="22"/>
  <c r="F1151" i="22"/>
  <c r="F1152" i="22"/>
  <c r="F1153" i="22"/>
  <c r="F1154" i="22"/>
  <c r="F1155" i="22"/>
  <c r="F1156" i="22"/>
  <c r="F1157" i="22"/>
  <c r="F1158" i="22"/>
  <c r="F1159" i="22"/>
  <c r="F1160" i="22"/>
  <c r="F1161" i="22"/>
  <c r="F1162" i="22"/>
  <c r="F1163" i="22"/>
  <c r="F1164" i="22"/>
  <c r="F1165" i="22"/>
  <c r="F1166" i="22"/>
  <c r="F1167" i="22"/>
  <c r="F1168" i="22"/>
  <c r="F1169" i="22"/>
  <c r="F1170" i="22"/>
  <c r="F1171" i="22"/>
  <c r="F1172" i="22"/>
  <c r="F1173" i="22"/>
  <c r="F1174" i="22"/>
  <c r="F1175" i="22"/>
  <c r="F1176" i="22"/>
  <c r="F1177" i="22"/>
  <c r="F1178" i="22"/>
  <c r="F1179" i="22"/>
  <c r="F1180" i="22"/>
  <c r="F1181" i="22"/>
  <c r="F1182" i="22"/>
  <c r="F1183" i="22"/>
  <c r="F1184" i="22"/>
  <c r="F1185" i="22"/>
  <c r="F1186" i="22"/>
  <c r="F1187" i="22"/>
  <c r="F1188" i="22"/>
  <c r="F1189" i="22"/>
  <c r="F1190" i="22"/>
  <c r="F1191" i="22"/>
  <c r="F1192" i="22"/>
  <c r="F1193" i="22"/>
  <c r="F1194" i="22"/>
  <c r="F1195" i="22"/>
  <c r="F1196" i="22"/>
  <c r="F1197" i="22"/>
  <c r="F1198" i="22"/>
  <c r="F1199" i="22"/>
  <c r="F1200" i="22"/>
  <c r="F1201" i="22"/>
  <c r="F1202" i="22"/>
  <c r="F1203" i="22"/>
  <c r="F1204" i="22"/>
  <c r="F1205" i="22"/>
  <c r="F1206" i="22"/>
  <c r="F1207" i="22"/>
  <c r="F1208" i="22"/>
  <c r="F1209" i="22"/>
  <c r="F1210" i="22"/>
  <c r="F1211" i="22"/>
  <c r="F1212" i="22"/>
  <c r="F1213" i="22"/>
  <c r="F1214" i="22"/>
  <c r="F1215" i="22"/>
  <c r="F1216" i="22"/>
  <c r="F1217" i="22"/>
  <c r="F1218" i="22"/>
  <c r="F1219" i="22"/>
  <c r="F1220" i="22"/>
  <c r="F1221" i="22"/>
  <c r="F1222" i="22"/>
  <c r="F1223" i="22"/>
  <c r="F1224" i="22"/>
  <c r="F1225" i="22"/>
  <c r="F1226" i="22"/>
  <c r="F1227" i="22"/>
  <c r="F1228" i="22"/>
  <c r="F1229" i="22"/>
  <c r="F1230" i="22"/>
  <c r="F1231" i="22"/>
  <c r="F1232" i="22"/>
  <c r="F1233" i="22"/>
  <c r="F1234" i="22"/>
  <c r="F1235" i="22"/>
  <c r="F1236" i="22"/>
  <c r="F1237" i="22"/>
  <c r="F1238" i="22"/>
  <c r="F1239" i="22"/>
  <c r="F1240" i="22"/>
  <c r="F1241" i="22"/>
  <c r="F1242" i="22"/>
  <c r="F1243" i="22"/>
  <c r="F1244" i="22"/>
  <c r="F1245" i="22"/>
  <c r="F1246" i="22"/>
  <c r="F1247" i="22"/>
  <c r="F1248" i="22"/>
  <c r="F1249" i="22"/>
  <c r="F1250" i="22"/>
  <c r="F1251" i="22"/>
  <c r="F1252" i="22"/>
  <c r="F1253" i="22"/>
  <c r="F1254" i="22"/>
  <c r="F1255" i="22"/>
  <c r="F1256" i="22"/>
  <c r="F1257" i="22"/>
  <c r="F1258" i="22"/>
  <c r="F1259" i="22"/>
  <c r="F1260" i="22"/>
  <c r="F1261" i="22"/>
  <c r="F1262" i="22"/>
  <c r="F1263" i="22"/>
  <c r="F1264" i="22"/>
  <c r="F1265" i="22"/>
  <c r="F1266" i="22"/>
  <c r="F1267" i="22"/>
  <c r="F1268" i="22"/>
  <c r="F1269" i="22"/>
  <c r="F1270" i="22"/>
  <c r="F1271" i="22"/>
  <c r="F1272" i="22"/>
  <c r="F1273" i="22"/>
  <c r="F1274" i="22"/>
  <c r="F1275" i="22"/>
  <c r="F1276" i="22"/>
  <c r="F1277" i="22"/>
  <c r="F1278" i="22"/>
  <c r="F1279" i="22"/>
  <c r="F1280" i="22"/>
  <c r="F1281" i="22"/>
  <c r="F1282" i="22"/>
  <c r="F1283" i="22"/>
  <c r="F1284" i="22"/>
  <c r="F1285" i="22"/>
  <c r="F1286" i="22"/>
  <c r="F1287" i="22"/>
  <c r="F1288" i="22"/>
  <c r="F1289" i="22"/>
  <c r="F1290" i="22"/>
  <c r="F1291" i="22"/>
  <c r="F1292" i="22"/>
  <c r="F1293" i="22"/>
  <c r="F1294" i="22"/>
  <c r="F1295" i="22"/>
  <c r="F1296" i="22"/>
  <c r="F1297" i="22"/>
  <c r="F1298" i="22"/>
  <c r="F1299" i="22"/>
  <c r="F1300" i="22"/>
  <c r="F1301" i="22"/>
  <c r="F1302" i="22"/>
  <c r="F1303" i="22"/>
  <c r="F1304" i="22"/>
  <c r="F1305" i="22"/>
  <c r="F1306" i="22"/>
  <c r="F1307" i="22"/>
  <c r="F1308" i="22"/>
  <c r="F1309" i="22"/>
  <c r="F1310" i="22"/>
  <c r="F1311" i="22"/>
  <c r="F1312" i="22"/>
  <c r="F1313" i="22"/>
  <c r="F1314" i="22"/>
  <c r="F1315" i="22"/>
  <c r="F1316" i="22"/>
  <c r="F1317" i="22"/>
  <c r="F1318" i="22"/>
  <c r="F1319" i="22"/>
  <c r="F1320" i="22"/>
  <c r="F1321" i="22"/>
  <c r="F1322" i="22"/>
  <c r="F1323" i="22"/>
  <c r="F1324" i="22"/>
  <c r="F1325" i="22"/>
  <c r="F1326" i="22"/>
  <c r="F1327" i="22"/>
  <c r="F1328" i="22"/>
  <c r="F1329" i="22"/>
  <c r="F1330" i="22"/>
  <c r="F1331" i="22"/>
  <c r="F1332" i="22"/>
  <c r="F1333" i="22"/>
  <c r="F1334" i="22"/>
  <c r="F1335" i="22"/>
  <c r="F1336" i="22"/>
  <c r="F1337" i="22"/>
  <c r="F1338" i="22"/>
  <c r="F1339" i="22"/>
  <c r="F1340" i="22"/>
  <c r="F1341" i="22"/>
  <c r="F1342" i="22"/>
  <c r="F1343" i="22"/>
  <c r="F1344" i="22"/>
  <c r="F1345" i="22"/>
  <c r="F1346" i="22"/>
  <c r="F1347" i="22"/>
  <c r="F1348" i="22"/>
  <c r="F1349" i="22"/>
  <c r="F1350" i="22"/>
  <c r="F1351" i="22"/>
  <c r="F1352" i="22"/>
  <c r="F1353" i="22"/>
  <c r="F1354" i="22"/>
  <c r="F1355" i="22"/>
  <c r="F1356" i="22"/>
  <c r="F1357" i="22"/>
  <c r="F1358" i="22"/>
  <c r="F1359" i="22"/>
  <c r="F1360" i="22"/>
  <c r="F1361" i="22"/>
  <c r="F1362" i="22"/>
  <c r="F1363" i="22"/>
  <c r="F1364" i="22"/>
  <c r="F1365" i="22"/>
  <c r="F1366" i="22"/>
  <c r="F1367" i="22"/>
  <c r="F1368" i="22"/>
  <c r="F1369" i="22"/>
  <c r="F1370" i="22"/>
  <c r="F1371" i="22"/>
  <c r="F1372" i="22"/>
  <c r="F1373" i="22"/>
  <c r="F1374" i="22"/>
  <c r="F1375" i="22"/>
  <c r="F1376" i="22"/>
  <c r="F1377" i="22"/>
  <c r="F1378" i="22"/>
  <c r="F1379" i="22"/>
  <c r="F1380" i="22"/>
  <c r="F1381" i="22"/>
  <c r="F1382" i="22"/>
  <c r="F1383" i="22"/>
  <c r="F1384" i="22"/>
  <c r="F1385" i="22"/>
  <c r="F1386" i="22"/>
  <c r="F1387" i="22"/>
  <c r="F1388" i="22"/>
  <c r="F1389" i="22"/>
  <c r="F1390" i="22"/>
  <c r="F1391" i="22"/>
  <c r="F1392" i="22"/>
  <c r="F1393" i="22"/>
  <c r="F1394" i="22"/>
  <c r="F1395" i="22"/>
  <c r="F1396" i="22"/>
  <c r="F1397" i="22"/>
  <c r="F1398" i="22"/>
  <c r="F1399" i="22"/>
  <c r="F1400" i="22"/>
  <c r="F1401" i="22"/>
  <c r="F1402" i="22"/>
  <c r="F1403" i="22"/>
  <c r="F1404" i="22"/>
  <c r="F1405" i="22"/>
  <c r="F1406" i="22"/>
  <c r="F1407" i="22"/>
  <c r="F1408" i="22"/>
  <c r="F1409" i="22"/>
  <c r="F1410" i="22"/>
  <c r="F1411" i="22"/>
  <c r="F1412" i="22"/>
  <c r="F1413" i="22"/>
  <c r="F1414" i="22"/>
  <c r="F1415" i="22"/>
  <c r="F1416" i="22"/>
  <c r="F1417" i="22"/>
  <c r="F1418" i="22"/>
  <c r="F1419" i="22"/>
  <c r="F1420" i="22"/>
  <c r="F1421" i="22"/>
  <c r="F1422" i="22"/>
  <c r="F1423" i="22"/>
  <c r="F1424" i="22"/>
  <c r="F1425" i="22"/>
  <c r="F1426" i="22"/>
  <c r="F1427" i="22"/>
  <c r="F1428" i="22"/>
  <c r="F1429" i="22"/>
  <c r="F1430" i="22"/>
  <c r="F1431" i="22"/>
  <c r="F1432" i="22"/>
  <c r="F1433" i="22"/>
  <c r="F1434" i="22"/>
  <c r="F1435" i="22"/>
  <c r="F1436" i="22"/>
  <c r="F1437" i="22"/>
  <c r="F1438" i="22"/>
  <c r="F1439" i="22"/>
  <c r="F1440" i="22"/>
  <c r="F1441" i="22"/>
  <c r="F1442" i="22"/>
  <c r="F1443" i="22"/>
  <c r="F1444" i="22"/>
  <c r="F1445" i="22"/>
  <c r="F1446" i="22"/>
  <c r="F1447" i="22"/>
  <c r="F1448" i="22"/>
  <c r="F1449" i="22"/>
  <c r="F1450" i="22"/>
  <c r="F1451" i="22"/>
  <c r="F1452" i="22"/>
  <c r="F1453" i="22"/>
  <c r="F1454" i="22"/>
  <c r="F1455" i="22"/>
  <c r="F1456" i="22"/>
  <c r="F1457" i="22"/>
  <c r="F1458" i="22"/>
  <c r="F1459" i="22"/>
  <c r="F1460" i="22"/>
  <c r="F1461" i="22"/>
  <c r="F1462" i="22"/>
  <c r="F1463" i="22"/>
  <c r="F1464" i="22"/>
  <c r="F1465" i="22"/>
  <c r="F1466" i="22"/>
  <c r="F1467" i="22"/>
  <c r="F1468" i="22"/>
  <c r="F1469" i="22"/>
  <c r="F1470" i="22"/>
  <c r="F1471" i="22"/>
  <c r="F1472" i="22"/>
  <c r="F1473" i="22"/>
  <c r="F1474" i="22"/>
  <c r="F1475" i="22"/>
  <c r="F1476" i="22"/>
  <c r="F1477" i="22"/>
  <c r="F1478" i="22"/>
  <c r="F1479" i="22"/>
  <c r="F1480" i="22"/>
  <c r="F1481" i="22"/>
  <c r="F1482" i="22"/>
  <c r="F1483" i="22"/>
  <c r="F1484" i="22"/>
  <c r="F1485" i="22"/>
  <c r="F1486" i="22"/>
  <c r="F1487" i="22"/>
  <c r="F1488" i="22"/>
  <c r="F1489" i="22"/>
  <c r="F1490" i="22"/>
  <c r="F1491" i="22"/>
  <c r="F1492" i="22"/>
  <c r="F1493" i="22"/>
  <c r="F1494" i="22"/>
  <c r="F1495" i="22"/>
  <c r="F1496" i="22"/>
  <c r="F1497" i="22"/>
  <c r="F1498" i="22"/>
  <c r="F1499" i="22"/>
  <c r="F1500" i="22"/>
  <c r="F1501" i="22"/>
  <c r="F1502" i="22"/>
  <c r="F1503" i="22"/>
  <c r="F1504" i="22"/>
  <c r="F1505" i="22"/>
  <c r="F1506" i="22"/>
  <c r="F1507" i="22"/>
  <c r="F1508" i="22"/>
  <c r="F1509" i="22"/>
  <c r="F1510" i="22"/>
  <c r="F1511" i="22"/>
  <c r="F1512" i="22"/>
  <c r="F1513" i="22"/>
  <c r="F1514" i="22"/>
  <c r="F1515" i="22"/>
  <c r="F1516" i="22"/>
  <c r="F1517" i="22"/>
  <c r="F1518" i="22"/>
  <c r="F1519" i="22"/>
  <c r="F1520" i="22"/>
  <c r="F1521" i="22"/>
  <c r="F1522" i="22"/>
  <c r="F1523" i="22"/>
  <c r="F1524" i="22"/>
  <c r="F1525" i="22"/>
  <c r="F1526" i="22"/>
  <c r="F1527" i="22"/>
  <c r="F1528" i="22"/>
  <c r="F1529" i="22"/>
  <c r="F1530" i="22"/>
  <c r="F1531" i="22"/>
  <c r="F1532" i="22"/>
  <c r="F1533" i="22"/>
  <c r="F1534" i="22"/>
  <c r="F1535" i="22"/>
  <c r="F1536" i="22"/>
  <c r="F1537" i="22"/>
  <c r="F1538" i="22"/>
  <c r="F1539" i="22"/>
  <c r="F1540" i="22"/>
  <c r="F1541" i="22"/>
  <c r="F1542" i="22"/>
  <c r="F1543" i="22"/>
  <c r="F1544" i="22"/>
  <c r="F1545" i="22"/>
  <c r="F1546" i="22"/>
  <c r="F1547" i="22"/>
  <c r="F1548" i="22"/>
  <c r="F1549" i="22"/>
  <c r="F1550" i="22"/>
  <c r="F1551" i="22"/>
  <c r="F1552" i="22"/>
  <c r="F1553" i="22"/>
  <c r="F1554" i="22"/>
  <c r="F1555" i="22"/>
  <c r="F1556" i="22"/>
  <c r="F1557" i="22"/>
  <c r="F1558" i="22"/>
  <c r="F1559" i="22"/>
  <c r="F1560" i="22"/>
  <c r="F1561" i="22"/>
  <c r="F1562" i="22"/>
  <c r="F1563" i="22"/>
  <c r="F1564" i="22"/>
  <c r="F1565" i="22"/>
  <c r="F1566" i="22"/>
  <c r="F1567" i="22"/>
  <c r="F1568" i="22"/>
  <c r="F1569" i="22"/>
  <c r="F1570" i="22"/>
  <c r="F1571" i="22"/>
  <c r="F1572" i="22"/>
  <c r="F1573" i="22"/>
  <c r="F1574" i="22"/>
  <c r="F1575" i="22"/>
  <c r="F1576" i="22"/>
  <c r="F1577" i="22"/>
  <c r="F1578" i="22"/>
  <c r="F1579" i="22"/>
  <c r="F1580" i="22"/>
  <c r="F1581" i="22"/>
  <c r="F1582" i="22"/>
  <c r="F1583" i="22"/>
  <c r="F1584" i="22"/>
  <c r="F1585" i="22"/>
  <c r="F1586" i="22"/>
  <c r="F1587" i="22"/>
  <c r="F1588" i="22"/>
  <c r="F1589" i="22"/>
  <c r="F1590" i="22"/>
  <c r="F1591" i="22"/>
  <c r="F1592" i="22"/>
  <c r="F1593" i="22"/>
  <c r="F1594" i="22"/>
  <c r="F1595" i="22"/>
  <c r="F1596" i="22"/>
  <c r="F1597" i="22"/>
  <c r="F1598" i="22"/>
  <c r="F1599" i="22"/>
  <c r="F1600" i="22"/>
  <c r="F1601" i="22"/>
  <c r="F1602" i="22"/>
  <c r="F1603" i="22"/>
  <c r="F1604" i="22"/>
  <c r="F1605" i="22"/>
  <c r="F1606" i="22"/>
  <c r="F1607" i="22"/>
  <c r="F1608" i="22"/>
  <c r="F1609" i="22"/>
  <c r="F1610" i="22"/>
  <c r="F1611" i="22"/>
  <c r="F1612" i="22"/>
  <c r="F1613" i="22"/>
  <c r="F1614" i="22"/>
  <c r="F1615" i="22"/>
  <c r="F1616" i="22"/>
  <c r="F1617" i="22"/>
  <c r="F1618" i="22"/>
  <c r="F1619" i="22"/>
  <c r="F1620" i="22"/>
  <c r="F1621" i="22"/>
  <c r="F1622" i="22"/>
  <c r="F1623" i="22"/>
  <c r="F1624" i="22"/>
  <c r="F1625" i="22"/>
  <c r="F1626" i="22"/>
  <c r="F1627" i="22"/>
  <c r="F1628" i="22"/>
  <c r="F1629" i="22"/>
  <c r="F1630" i="22"/>
  <c r="F1631" i="22"/>
  <c r="F1632" i="22"/>
  <c r="F1633" i="22"/>
  <c r="F1634" i="22"/>
  <c r="F1635" i="22"/>
  <c r="F1636" i="22"/>
  <c r="F1637" i="22"/>
  <c r="F1638" i="22"/>
  <c r="F1639" i="22"/>
  <c r="F1640" i="22"/>
  <c r="F1641" i="22"/>
  <c r="F1642" i="22"/>
  <c r="F1643" i="22"/>
  <c r="F1644" i="22"/>
  <c r="F1645" i="22"/>
  <c r="F1646" i="22"/>
  <c r="F1647" i="22"/>
  <c r="F1648" i="22"/>
  <c r="F1649" i="22"/>
  <c r="F1650" i="22"/>
  <c r="F1651" i="22"/>
  <c r="F1652" i="22"/>
  <c r="F1653" i="22"/>
  <c r="F1654" i="22"/>
  <c r="F1655" i="22"/>
  <c r="F1656" i="22"/>
  <c r="F1657" i="22"/>
  <c r="F1658" i="22"/>
  <c r="F1659" i="22"/>
  <c r="F1660" i="22"/>
  <c r="F1661" i="22"/>
  <c r="F1662" i="22"/>
  <c r="F1663" i="22"/>
  <c r="F1664" i="22"/>
  <c r="F1665" i="22"/>
  <c r="F1666" i="22"/>
  <c r="F1667" i="22"/>
  <c r="F1668" i="22"/>
  <c r="F1669" i="22"/>
  <c r="F1670" i="22"/>
  <c r="F1671" i="22"/>
  <c r="F1672" i="22"/>
  <c r="F1673" i="22"/>
  <c r="F1674" i="22"/>
  <c r="F1675" i="22"/>
  <c r="F1676" i="22"/>
  <c r="F1677" i="22"/>
  <c r="F1678" i="22"/>
  <c r="F1679" i="22"/>
  <c r="F1680" i="22"/>
  <c r="F1681" i="22"/>
  <c r="F1682" i="22"/>
  <c r="F1683" i="22"/>
  <c r="F1684" i="22"/>
  <c r="F1685" i="22"/>
  <c r="F1686" i="22"/>
  <c r="F1687" i="22"/>
  <c r="F1688" i="22"/>
  <c r="F1689" i="22"/>
  <c r="F1690" i="22"/>
  <c r="F1691" i="22"/>
  <c r="F1692" i="22"/>
  <c r="F1693" i="22"/>
  <c r="F1694" i="22"/>
  <c r="F1695" i="22"/>
  <c r="F1696" i="22"/>
  <c r="F1697" i="22"/>
  <c r="F1698" i="22"/>
  <c r="F1699" i="22"/>
  <c r="F1700" i="22"/>
  <c r="F1701" i="22"/>
  <c r="F1702" i="22"/>
  <c r="F1703" i="22"/>
  <c r="F1704" i="22"/>
  <c r="F1705" i="22"/>
  <c r="F1706" i="22"/>
  <c r="F1707" i="22"/>
  <c r="F1708" i="22"/>
  <c r="F1709" i="22"/>
  <c r="F1710" i="22"/>
  <c r="F1711" i="22"/>
  <c r="F1712" i="22"/>
  <c r="F1713" i="22"/>
  <c r="F1714" i="22"/>
  <c r="F1715" i="22"/>
  <c r="F1716" i="22"/>
  <c r="F1717" i="22"/>
  <c r="F1718" i="22"/>
  <c r="F1719" i="22"/>
  <c r="F1720" i="22"/>
  <c r="F1721" i="22"/>
  <c r="F1722" i="22"/>
  <c r="F1723" i="22"/>
  <c r="F1724" i="22"/>
  <c r="F1725" i="22"/>
  <c r="F1726" i="22"/>
  <c r="F1727" i="22"/>
  <c r="F1728" i="22"/>
  <c r="F1729" i="22"/>
  <c r="F1730" i="22"/>
  <c r="F1731" i="22"/>
  <c r="F1732" i="22"/>
  <c r="F1733" i="22"/>
  <c r="F1734" i="22"/>
  <c r="F1735" i="22"/>
  <c r="F1736" i="22"/>
  <c r="F1737" i="22"/>
  <c r="F1738" i="22"/>
  <c r="F1739" i="22"/>
  <c r="F1740" i="22"/>
  <c r="F1741" i="22"/>
  <c r="F1742" i="22"/>
  <c r="F1743" i="22"/>
  <c r="F1744" i="22"/>
  <c r="F1745" i="22"/>
  <c r="F1746" i="22"/>
  <c r="F1747" i="22"/>
  <c r="F1748" i="22"/>
  <c r="F1749" i="22"/>
  <c r="F1750" i="22"/>
  <c r="F1751" i="22"/>
  <c r="F1752" i="22"/>
  <c r="F1753" i="22"/>
  <c r="F1754" i="22"/>
  <c r="F1755" i="22"/>
  <c r="F1756" i="22"/>
  <c r="F1757" i="22"/>
  <c r="F1758" i="22"/>
  <c r="F1759" i="22"/>
  <c r="F1760" i="22"/>
  <c r="F1761" i="22"/>
  <c r="F1762" i="22"/>
  <c r="F1763" i="22"/>
  <c r="F1764" i="22"/>
  <c r="F1765" i="22"/>
  <c r="F1766" i="22"/>
  <c r="F1767" i="22"/>
  <c r="F1768" i="22"/>
  <c r="F1769" i="22"/>
  <c r="F1770" i="22"/>
  <c r="F1771" i="22"/>
  <c r="F1772" i="22"/>
  <c r="F1773" i="22"/>
  <c r="F1774" i="22"/>
  <c r="F1775" i="22"/>
  <c r="F1776" i="22"/>
  <c r="F1777" i="22"/>
  <c r="F1778" i="22"/>
  <c r="F1779" i="22"/>
  <c r="F1780" i="22"/>
  <c r="F1781" i="22"/>
  <c r="F1782" i="22"/>
  <c r="F1783" i="22"/>
  <c r="F1784" i="22"/>
  <c r="F1785" i="22"/>
  <c r="F1786" i="22"/>
  <c r="F1787" i="22"/>
  <c r="F1788" i="22"/>
  <c r="F1789" i="22"/>
  <c r="F1790" i="22"/>
  <c r="F1791" i="22"/>
  <c r="F1792" i="22"/>
  <c r="F1793" i="22"/>
  <c r="F1794" i="22"/>
  <c r="F1795" i="22"/>
  <c r="F1796" i="22"/>
  <c r="F1797" i="22"/>
  <c r="F1798" i="22"/>
  <c r="F1799" i="22"/>
  <c r="F1800" i="22"/>
  <c r="F1801" i="22"/>
  <c r="F1802" i="22"/>
  <c r="F1803" i="22"/>
  <c r="F1804" i="22"/>
  <c r="F1805" i="22"/>
  <c r="F1806" i="22"/>
  <c r="F1807" i="22"/>
  <c r="F1808" i="22"/>
  <c r="F1809" i="22"/>
  <c r="F1810" i="22"/>
  <c r="F1811" i="22"/>
  <c r="F1812" i="22"/>
  <c r="F1813" i="22"/>
  <c r="F1814" i="22"/>
  <c r="F1815" i="22"/>
  <c r="F1816" i="22"/>
  <c r="F1817" i="22"/>
  <c r="F1818" i="22"/>
  <c r="F1819" i="22"/>
  <c r="F1820" i="22"/>
  <c r="F1821" i="22"/>
  <c r="F1822" i="22"/>
  <c r="F1823" i="22"/>
  <c r="F1824" i="22"/>
  <c r="F1825" i="22"/>
  <c r="F1826" i="22"/>
  <c r="F1827" i="22"/>
  <c r="F1828" i="22"/>
  <c r="F1829" i="22"/>
  <c r="F1830" i="22"/>
  <c r="F1831" i="22"/>
  <c r="F1832" i="22"/>
  <c r="F1833" i="22"/>
  <c r="F1834" i="22"/>
  <c r="F1835" i="22"/>
  <c r="F1836" i="22"/>
  <c r="F1837" i="22"/>
  <c r="F1838" i="22"/>
  <c r="F1839" i="22"/>
  <c r="F1840" i="22"/>
  <c r="F1841" i="22"/>
  <c r="F1842" i="22"/>
  <c r="F1843" i="22"/>
  <c r="F1844" i="22"/>
  <c r="F1845" i="22"/>
  <c r="F1846" i="22"/>
  <c r="F1847" i="22"/>
  <c r="F1848" i="22"/>
  <c r="F1849" i="22"/>
  <c r="F1850" i="22"/>
  <c r="F1851" i="22"/>
  <c r="F1852" i="22"/>
  <c r="F1853" i="22"/>
  <c r="F1854" i="22"/>
  <c r="F1855" i="22"/>
  <c r="F1856" i="22"/>
  <c r="F1857" i="22"/>
  <c r="F1858" i="22"/>
  <c r="F1859" i="22"/>
  <c r="F1860" i="22"/>
  <c r="F1861" i="22"/>
  <c r="F1862" i="22"/>
  <c r="F1863" i="22"/>
  <c r="F1864" i="22"/>
  <c r="F1865" i="22"/>
  <c r="F1866" i="22"/>
  <c r="F1867" i="22"/>
  <c r="F1868" i="22"/>
  <c r="F1869" i="22"/>
  <c r="F1870" i="22"/>
  <c r="F1871" i="22"/>
  <c r="F1872" i="22"/>
  <c r="F1873" i="22"/>
  <c r="F1874" i="22"/>
  <c r="F1875" i="22"/>
  <c r="F1876" i="22"/>
  <c r="F1877" i="22"/>
  <c r="F1878" i="22"/>
  <c r="F1879" i="22"/>
  <c r="F1880" i="22"/>
  <c r="F1881" i="22"/>
  <c r="F1882" i="22"/>
  <c r="F1883" i="22"/>
  <c r="F1884" i="22"/>
  <c r="F1885" i="22"/>
  <c r="F1886" i="22"/>
  <c r="F1887" i="22"/>
  <c r="F1888" i="22"/>
  <c r="F1889" i="22"/>
  <c r="F1890" i="22"/>
  <c r="F1891" i="22"/>
  <c r="F1892" i="22"/>
  <c r="F1893" i="22"/>
  <c r="F1894" i="22"/>
  <c r="F1895" i="22"/>
  <c r="F1896" i="22"/>
  <c r="F1897" i="22"/>
  <c r="F1898" i="22"/>
  <c r="F1899" i="22"/>
  <c r="F1900" i="22"/>
  <c r="F1901" i="22"/>
  <c r="F1902" i="22"/>
  <c r="F1903" i="22"/>
  <c r="F1904" i="22"/>
  <c r="F1905" i="22"/>
  <c r="F1906" i="22"/>
  <c r="F1907" i="22"/>
  <c r="F1908" i="22"/>
  <c r="F1909" i="22"/>
  <c r="F1910" i="22"/>
  <c r="F1911" i="22"/>
  <c r="F1912" i="22"/>
  <c r="F1913" i="22"/>
  <c r="F1914" i="22"/>
  <c r="F1915" i="22"/>
  <c r="F1916" i="22"/>
  <c r="F1917" i="22"/>
  <c r="F1918" i="22"/>
  <c r="F1919" i="22"/>
  <c r="F1920" i="22"/>
  <c r="F1921" i="22"/>
  <c r="F1922" i="22"/>
  <c r="F1923" i="22"/>
  <c r="F1924" i="22"/>
  <c r="F1925" i="22"/>
  <c r="F1926" i="22"/>
  <c r="F1927" i="22"/>
  <c r="F1928" i="22"/>
  <c r="F1929" i="22"/>
  <c r="F1930" i="22"/>
  <c r="F1931" i="22"/>
  <c r="F1932" i="22"/>
  <c r="F1933" i="22"/>
  <c r="F1934" i="22"/>
  <c r="F1935" i="22"/>
  <c r="F1936" i="22"/>
  <c r="F1937" i="22"/>
  <c r="F1938" i="22"/>
  <c r="F1939" i="22"/>
  <c r="F1940" i="22"/>
  <c r="F1941" i="22"/>
  <c r="F1942" i="22"/>
  <c r="F1943" i="22"/>
  <c r="F1944" i="22"/>
  <c r="F1945" i="22"/>
  <c r="F1946" i="22"/>
  <c r="F1947" i="22"/>
  <c r="F1948" i="22"/>
  <c r="F1949" i="22"/>
  <c r="F1950" i="22"/>
  <c r="F1951" i="22"/>
  <c r="F1952" i="22"/>
  <c r="F1953" i="22"/>
  <c r="F1954" i="22"/>
  <c r="F1955" i="22"/>
  <c r="F1956" i="22"/>
  <c r="F1957" i="22"/>
  <c r="F1958" i="22"/>
  <c r="F1959" i="22"/>
  <c r="F1960" i="22"/>
  <c r="F1961" i="22"/>
  <c r="F1962" i="22"/>
  <c r="F1963" i="22"/>
  <c r="F1964" i="22"/>
  <c r="F1965" i="22"/>
  <c r="F1966" i="22"/>
  <c r="F1967" i="22"/>
  <c r="F1968" i="22"/>
  <c r="F1969" i="22"/>
  <c r="F1970" i="22"/>
  <c r="F1971" i="22"/>
  <c r="F1972" i="22"/>
  <c r="F1973" i="22"/>
  <c r="F1974" i="22"/>
  <c r="F1975" i="22"/>
  <c r="F1976" i="22"/>
  <c r="F1977" i="22"/>
  <c r="F1978" i="22"/>
  <c r="F1979" i="22"/>
  <c r="F1980" i="22"/>
  <c r="F1981" i="22"/>
  <c r="F1982" i="22"/>
  <c r="F1983" i="22"/>
  <c r="F1984" i="22"/>
  <c r="F1985" i="22"/>
  <c r="F1986" i="22"/>
  <c r="F1987" i="22"/>
  <c r="F1988" i="22"/>
  <c r="F1989" i="22"/>
  <c r="F1990" i="22"/>
  <c r="F1991" i="22"/>
  <c r="F1992" i="22"/>
  <c r="F1993" i="22"/>
  <c r="F1994" i="22"/>
  <c r="F1995" i="22"/>
  <c r="F1996" i="22"/>
  <c r="F1997" i="22"/>
  <c r="F1998" i="22"/>
  <c r="F1999" i="22"/>
  <c r="F2000" i="22"/>
  <c r="F2001" i="22"/>
  <c r="F2002" i="22"/>
  <c r="F2003" i="22"/>
  <c r="F2004" i="22"/>
  <c r="F2005" i="22"/>
  <c r="F2006" i="22"/>
  <c r="F2007" i="22"/>
  <c r="F2008" i="22"/>
  <c r="F2009" i="22"/>
  <c r="F2010" i="22"/>
  <c r="F2011" i="22"/>
  <c r="F2012" i="22"/>
  <c r="F2013" i="22"/>
  <c r="F2014" i="22"/>
  <c r="F2015" i="22"/>
  <c r="F2016" i="22"/>
  <c r="F2017" i="22"/>
  <c r="F2018" i="22"/>
  <c r="F2019" i="22"/>
  <c r="F2020" i="22"/>
  <c r="F2021" i="22"/>
  <c r="F2022" i="22"/>
  <c r="F2023" i="22"/>
  <c r="F2024" i="22"/>
  <c r="F2025" i="22"/>
  <c r="F2026" i="22"/>
  <c r="F2027" i="22"/>
  <c r="F2028" i="22"/>
  <c r="F2029" i="22"/>
  <c r="F2030" i="22"/>
  <c r="F2031" i="22"/>
  <c r="F2032" i="22"/>
  <c r="F2033" i="22"/>
  <c r="F2034" i="22"/>
  <c r="F2035" i="22"/>
  <c r="F2036" i="22"/>
  <c r="F2037" i="22"/>
  <c r="F2038" i="22"/>
  <c r="F2039" i="22"/>
  <c r="F2040" i="22"/>
  <c r="F2041" i="22"/>
  <c r="F2042" i="22"/>
  <c r="F2043" i="22"/>
  <c r="F2044" i="22"/>
  <c r="F2045" i="22"/>
  <c r="F2046" i="22"/>
  <c r="F2047" i="22"/>
  <c r="F2048" i="22"/>
  <c r="F2049" i="22"/>
  <c r="F2050" i="22"/>
  <c r="F2051" i="22"/>
  <c r="F2052" i="22"/>
  <c r="F2053" i="22"/>
  <c r="F2054" i="22"/>
  <c r="F2055" i="22"/>
  <c r="F2056" i="22"/>
  <c r="F2057" i="22"/>
  <c r="F2058" i="22"/>
  <c r="F2059" i="22"/>
  <c r="F2060" i="22"/>
  <c r="F2061" i="22"/>
  <c r="F2062" i="22"/>
  <c r="F2063" i="22"/>
  <c r="F2064" i="22"/>
  <c r="F2065" i="22"/>
  <c r="F2066" i="22"/>
  <c r="F2067" i="22"/>
  <c r="F2068" i="22"/>
  <c r="F2069" i="22"/>
  <c r="F2070" i="22"/>
  <c r="F2071" i="22"/>
  <c r="F2072" i="22"/>
  <c r="F2073" i="22"/>
  <c r="F2074" i="22"/>
  <c r="F2075" i="22"/>
  <c r="F2076" i="22"/>
  <c r="F2077" i="22"/>
  <c r="F2078" i="22"/>
  <c r="F2079" i="22"/>
  <c r="F2080" i="22"/>
  <c r="F2081" i="22"/>
  <c r="F2082" i="22"/>
  <c r="F2083" i="22"/>
  <c r="F2084" i="22"/>
  <c r="F2085" i="22"/>
  <c r="F2086" i="22"/>
  <c r="F2087" i="22"/>
  <c r="F2088" i="22"/>
  <c r="F2089" i="22"/>
  <c r="F2090" i="22"/>
  <c r="F2091" i="22"/>
  <c r="F2092" i="22"/>
  <c r="F2093" i="22"/>
  <c r="F2094" i="22"/>
  <c r="F2095" i="22"/>
  <c r="F2096" i="22"/>
  <c r="F2097" i="22"/>
  <c r="F2098" i="22"/>
  <c r="F2099" i="22"/>
  <c r="F2100" i="22"/>
  <c r="F2101" i="22"/>
  <c r="F2102" i="22"/>
  <c r="F2103" i="22"/>
  <c r="F2104" i="22"/>
  <c r="F2105" i="22"/>
  <c r="F2106" i="22"/>
  <c r="F2107" i="22"/>
  <c r="F2108" i="22"/>
  <c r="F2109" i="22"/>
  <c r="F2110" i="22"/>
  <c r="F2111" i="22"/>
  <c r="F2112" i="22"/>
  <c r="F2113" i="22"/>
  <c r="F2114" i="22"/>
  <c r="F2115" i="22"/>
  <c r="F2116" i="22"/>
  <c r="F2117" i="22"/>
  <c r="F2118" i="22"/>
  <c r="F2119" i="22"/>
  <c r="F2120" i="22"/>
  <c r="F2121" i="22"/>
  <c r="F2122" i="22"/>
  <c r="F2123" i="22"/>
  <c r="F2124" i="22"/>
  <c r="F2125" i="22"/>
  <c r="F2126" i="22"/>
  <c r="F2127" i="22"/>
  <c r="F2128" i="22"/>
  <c r="F2129" i="22"/>
  <c r="F2130" i="22"/>
  <c r="F2131" i="22"/>
  <c r="F2132" i="22"/>
  <c r="F2133" i="22"/>
  <c r="F2134" i="22"/>
  <c r="F2135" i="22"/>
  <c r="F2136" i="22"/>
  <c r="F2137" i="22"/>
  <c r="F2138" i="22"/>
  <c r="F2139" i="22"/>
  <c r="F2140" i="22"/>
  <c r="F2141" i="22"/>
  <c r="F2142" i="22"/>
  <c r="F2143" i="22"/>
  <c r="F2144" i="22"/>
  <c r="F2145" i="22"/>
  <c r="F2146" i="22"/>
  <c r="F2147" i="22"/>
  <c r="F2148" i="22"/>
  <c r="F2149" i="22"/>
  <c r="F2150" i="22"/>
  <c r="F2151" i="22"/>
  <c r="F2152" i="22"/>
  <c r="F2153" i="22"/>
  <c r="F2154" i="22"/>
  <c r="F2155" i="22"/>
  <c r="F2156" i="22"/>
  <c r="F2157" i="22"/>
  <c r="F2158" i="22"/>
  <c r="F2159" i="22"/>
  <c r="F2160" i="22"/>
  <c r="F2161" i="22"/>
  <c r="F2162" i="22"/>
  <c r="F2163" i="22"/>
  <c r="F2164" i="22"/>
  <c r="F2165" i="22"/>
  <c r="F2166" i="22"/>
  <c r="F2167" i="22"/>
  <c r="F2168" i="22"/>
  <c r="F2169" i="22"/>
  <c r="F2170" i="22"/>
  <c r="F2171" i="22"/>
  <c r="F2172" i="22"/>
  <c r="F2173" i="22"/>
  <c r="F2174" i="22"/>
  <c r="F2175" i="22"/>
  <c r="F2176" i="22"/>
  <c r="F2177" i="22"/>
  <c r="F2178" i="22"/>
  <c r="F2179" i="22"/>
  <c r="F2180" i="22"/>
  <c r="F2181" i="22"/>
  <c r="F2182" i="22"/>
  <c r="F2183" i="22"/>
  <c r="F2184" i="22"/>
  <c r="F2185" i="22"/>
  <c r="F2186" i="22"/>
  <c r="F2187" i="22"/>
  <c r="Z18" i="22"/>
  <c r="H380" i="22"/>
  <c r="M380" i="22" l="1"/>
  <c r="Q33" i="22"/>
  <c r="AJ24" i="22" s="1"/>
  <c r="Y17" i="22"/>
  <c r="J380" i="22"/>
  <c r="C381" i="22"/>
  <c r="Q32" i="22" l="1"/>
  <c r="Q43" i="22" s="1"/>
  <c r="D381" i="22"/>
  <c r="N381" i="22" s="1"/>
  <c r="Q51" i="22"/>
  <c r="C8" i="21" s="1"/>
  <c r="F13" i="21" s="1"/>
  <c r="G13" i="21" s="1"/>
  <c r="J3" i="21" s="1"/>
  <c r="W24" i="22"/>
  <c r="G34" i="20"/>
  <c r="G35" i="20" s="1"/>
  <c r="Y18" i="22"/>
  <c r="Q45" i="22" l="1"/>
  <c r="AH24" i="22" s="1"/>
  <c r="Y24" i="22"/>
  <c r="G381" i="22"/>
  <c r="H381" i="22" s="1"/>
  <c r="C382" i="22" s="1"/>
  <c r="L381" i="22"/>
  <c r="M381" i="22" s="1"/>
  <c r="Q46" i="22"/>
  <c r="AI24" i="22" s="1"/>
  <c r="X28" i="22"/>
  <c r="Q44" i="22"/>
  <c r="AD24" i="22" s="1"/>
  <c r="AE24" i="22"/>
  <c r="AB24" i="22" s="1"/>
  <c r="AL24" i="22"/>
  <c r="G30" i="20"/>
  <c r="J381" i="22" l="1"/>
  <c r="AC5" i="22"/>
  <c r="AD5" i="22" s="1"/>
  <c r="AF24" i="22"/>
  <c r="X29" i="22" s="1"/>
  <c r="AG24" i="22"/>
  <c r="D382" i="22"/>
  <c r="G382" i="22" l="1"/>
  <c r="H382" i="22" s="1"/>
  <c r="J382" i="22" s="1"/>
  <c r="N382" i="22"/>
  <c r="L382" i="22"/>
  <c r="M382" i="22" s="1"/>
  <c r="C383" i="22" l="1"/>
  <c r="D383" i="22" s="1"/>
  <c r="G383" i="22" s="1"/>
  <c r="H383" i="22" s="1"/>
  <c r="N383" i="22" l="1"/>
  <c r="L383" i="22"/>
  <c r="M383" i="22" s="1"/>
  <c r="J383" i="22"/>
  <c r="C384" i="22"/>
  <c r="D384" i="22" l="1"/>
  <c r="G384" i="22" s="1"/>
  <c r="H384" i="22" s="1"/>
  <c r="N384" i="22" l="1"/>
  <c r="L384" i="22"/>
  <c r="M384" i="22" s="1"/>
  <c r="J384" i="22"/>
  <c r="C385" i="22"/>
  <c r="D385" i="22" l="1"/>
  <c r="G385" i="22" s="1"/>
  <c r="H385" i="22" s="1"/>
  <c r="N385" i="22" l="1"/>
  <c r="L385" i="22"/>
  <c r="M385" i="22" s="1"/>
  <c r="J385" i="22"/>
  <c r="C386" i="22"/>
  <c r="D386" i="22" l="1"/>
  <c r="G386" i="22" s="1"/>
  <c r="H386" i="22" s="1"/>
  <c r="N386" i="22" l="1"/>
  <c r="L386" i="22"/>
  <c r="M386" i="22" s="1"/>
  <c r="J386" i="22"/>
  <c r="C387" i="22"/>
  <c r="D387" i="22" l="1"/>
  <c r="G387" i="22" s="1"/>
  <c r="H387" i="22" s="1"/>
  <c r="N387" i="22" l="1"/>
  <c r="L387" i="22"/>
  <c r="M387" i="22" s="1"/>
  <c r="J387" i="22"/>
  <c r="C388" i="22"/>
  <c r="D388" i="22" l="1"/>
  <c r="G388" i="22" s="1"/>
  <c r="H388" i="22" s="1"/>
  <c r="N388" i="22" l="1"/>
  <c r="L388" i="22"/>
  <c r="M388" i="22" s="1"/>
  <c r="C389" i="22"/>
  <c r="J388" i="22"/>
  <c r="D389" i="22" l="1"/>
  <c r="G389" i="22" s="1"/>
  <c r="H389" i="22" s="1"/>
  <c r="N389" i="22" l="1"/>
  <c r="L389" i="22"/>
  <c r="M389" i="22" s="1"/>
  <c r="J389" i="22"/>
  <c r="C390" i="22"/>
  <c r="D390" i="22" l="1"/>
  <c r="G390" i="22" s="1"/>
  <c r="H390" i="22" s="1"/>
  <c r="N390" i="22" l="1"/>
  <c r="L390" i="22"/>
  <c r="M390" i="22" s="1"/>
  <c r="C391" i="22"/>
  <c r="J390" i="22"/>
  <c r="D391" i="22" l="1"/>
  <c r="G391" i="22" s="1"/>
  <c r="H391" i="22" s="1"/>
  <c r="N391" i="22" l="1"/>
  <c r="L391" i="22"/>
  <c r="M391" i="22" s="1"/>
  <c r="J391" i="22"/>
  <c r="C392" i="22"/>
  <c r="D392" i="22" l="1"/>
  <c r="G392" i="22" s="1"/>
  <c r="H392" i="22" s="1"/>
  <c r="N392" i="22" l="1"/>
  <c r="L392" i="22"/>
  <c r="M392" i="22" s="1"/>
  <c r="J392" i="22"/>
  <c r="C393" i="22"/>
  <c r="D393" i="22" l="1"/>
  <c r="G393" i="22" s="1"/>
  <c r="H393" i="22" s="1"/>
  <c r="N393" i="22" l="1"/>
  <c r="L393" i="22"/>
  <c r="M393" i="22" s="1"/>
  <c r="J393" i="22"/>
  <c r="C394" i="22"/>
  <c r="D394" i="22" l="1"/>
  <c r="G394" i="22" s="1"/>
  <c r="H394" i="22" s="1"/>
  <c r="N394" i="22" l="1"/>
  <c r="L394" i="22"/>
  <c r="M394" i="22" s="1"/>
  <c r="J394" i="22"/>
  <c r="C395" i="22"/>
  <c r="D395" i="22" l="1"/>
  <c r="G395" i="22" s="1"/>
  <c r="H395" i="22" s="1"/>
  <c r="N395" i="22" l="1"/>
  <c r="L395" i="22"/>
  <c r="M395" i="22" s="1"/>
  <c r="J395" i="22"/>
  <c r="C396" i="22"/>
  <c r="D396" i="22" l="1"/>
  <c r="G396" i="22" s="1"/>
  <c r="H396" i="22" s="1"/>
  <c r="N396" i="22" l="1"/>
  <c r="L396" i="22"/>
  <c r="M396" i="22" s="1"/>
  <c r="C397" i="22"/>
  <c r="J396" i="22"/>
  <c r="D397" i="22" l="1"/>
  <c r="G397" i="22" s="1"/>
  <c r="H397" i="22" s="1"/>
  <c r="N397" i="22" l="1"/>
  <c r="L397" i="22"/>
  <c r="M397" i="22" s="1"/>
  <c r="J397" i="22"/>
  <c r="C398" i="22"/>
  <c r="D398" i="22" l="1"/>
  <c r="G398" i="22" s="1"/>
  <c r="H398" i="22" s="1"/>
  <c r="N398" i="22" l="1"/>
  <c r="L398" i="22"/>
  <c r="M398" i="22" s="1"/>
  <c r="C399" i="22"/>
  <c r="J398" i="22"/>
  <c r="D399" i="22" l="1"/>
  <c r="G399" i="22" s="1"/>
  <c r="H399" i="22" s="1"/>
  <c r="N399" i="22" l="1"/>
  <c r="L399" i="22"/>
  <c r="M399" i="22" s="1"/>
  <c r="C400" i="22"/>
  <c r="J399" i="22"/>
  <c r="D400" i="22" l="1"/>
  <c r="G400" i="22" s="1"/>
  <c r="H400" i="22" s="1"/>
  <c r="N400" i="22" l="1"/>
  <c r="L400" i="22"/>
  <c r="M400" i="22" s="1"/>
  <c r="J400" i="22"/>
  <c r="C401" i="22"/>
  <c r="D401" i="22" l="1"/>
  <c r="G401" i="22" s="1"/>
  <c r="H401" i="22" s="1"/>
  <c r="N401" i="22" l="1"/>
  <c r="L401" i="22"/>
  <c r="M401" i="22" s="1"/>
  <c r="J401" i="22"/>
  <c r="C402" i="22"/>
  <c r="D402" i="22" l="1"/>
  <c r="G402" i="22" s="1"/>
  <c r="H402" i="22" s="1"/>
  <c r="N402" i="22" l="1"/>
  <c r="L402" i="22"/>
  <c r="M402" i="22" s="1"/>
  <c r="J402" i="22"/>
  <c r="C403" i="22"/>
  <c r="D403" i="22" l="1"/>
  <c r="G403" i="22" s="1"/>
  <c r="H403" i="22" s="1"/>
  <c r="N403" i="22" l="1"/>
  <c r="L403" i="22"/>
  <c r="M403" i="22" s="1"/>
  <c r="J403" i="22"/>
  <c r="C404" i="22"/>
  <c r="D404" i="22" l="1"/>
  <c r="G404" i="22" s="1"/>
  <c r="H404" i="22" s="1"/>
  <c r="N404" i="22" l="1"/>
  <c r="L404" i="22"/>
  <c r="M404" i="22" s="1"/>
  <c r="C405" i="22"/>
  <c r="J404" i="22"/>
  <c r="D405" i="22" l="1"/>
  <c r="G405" i="22" s="1"/>
  <c r="H405" i="22" s="1"/>
  <c r="N405" i="22" l="1"/>
  <c r="L405" i="22"/>
  <c r="M405" i="22" s="1"/>
  <c r="J405" i="22"/>
  <c r="C406" i="22"/>
  <c r="D406" i="22" l="1"/>
  <c r="G406" i="22" s="1"/>
  <c r="H406" i="22" s="1"/>
  <c r="N406" i="22" l="1"/>
  <c r="L406" i="22"/>
  <c r="M406" i="22" s="1"/>
  <c r="C407" i="22"/>
  <c r="J406" i="22"/>
  <c r="D407" i="22" l="1"/>
  <c r="N407" i="22" s="1"/>
  <c r="G407" i="22" l="1"/>
  <c r="H407" i="22" s="1"/>
  <c r="J407" i="22" s="1"/>
  <c r="L407" i="22"/>
  <c r="M407" i="22" s="1"/>
  <c r="C408" i="22" l="1"/>
  <c r="D408" i="22" s="1"/>
  <c r="G408" i="22" l="1"/>
  <c r="H408" i="22" s="1"/>
  <c r="J408" i="22" s="1"/>
  <c r="N408" i="22"/>
  <c r="L408" i="22"/>
  <c r="M408" i="22" s="1"/>
  <c r="C409" i="22" l="1"/>
  <c r="D409" i="22" s="1"/>
  <c r="G409" i="22" s="1"/>
  <c r="H409" i="22" s="1"/>
  <c r="N409" i="22" l="1"/>
  <c r="L409" i="22"/>
  <c r="M409" i="22" s="1"/>
  <c r="J409" i="22"/>
  <c r="C410" i="22"/>
  <c r="D410" i="22" l="1"/>
  <c r="G410" i="22" s="1"/>
  <c r="H410" i="22" s="1"/>
  <c r="N410" i="22" l="1"/>
  <c r="L410" i="22"/>
  <c r="M410" i="22" s="1"/>
  <c r="J410" i="22"/>
  <c r="C411" i="22"/>
  <c r="D411" i="22" l="1"/>
  <c r="G411" i="22" s="1"/>
  <c r="H411" i="22" s="1"/>
  <c r="N411" i="22" l="1"/>
  <c r="L411" i="22"/>
  <c r="M411" i="22" s="1"/>
  <c r="J411" i="22"/>
  <c r="C412" i="22"/>
  <c r="D412" i="22" l="1"/>
  <c r="G412" i="22" s="1"/>
  <c r="H412" i="22" s="1"/>
  <c r="N412" i="22" l="1"/>
  <c r="L412" i="22"/>
  <c r="M412" i="22" s="1"/>
  <c r="C413" i="22"/>
  <c r="J412" i="22"/>
  <c r="D413" i="22" l="1"/>
  <c r="G413" i="22" s="1"/>
  <c r="H413" i="22" s="1"/>
  <c r="N413" i="22" l="1"/>
  <c r="L413" i="22"/>
  <c r="M413" i="22" s="1"/>
  <c r="J413" i="22"/>
  <c r="C414" i="22"/>
  <c r="D414" i="22" l="1"/>
  <c r="N414" i="22" s="1"/>
  <c r="G414" i="22" l="1"/>
  <c r="H414" i="22" s="1"/>
  <c r="C415" i="22" s="1"/>
  <c r="L414" i="22"/>
  <c r="M414" i="22" s="1"/>
  <c r="J414" i="22" l="1"/>
  <c r="D415" i="22"/>
  <c r="G415" i="22" l="1"/>
  <c r="H415" i="22" s="1"/>
  <c r="J415" i="22" s="1"/>
  <c r="N415" i="22"/>
  <c r="L415" i="22"/>
  <c r="M415" i="22" s="1"/>
  <c r="C416" i="22" l="1"/>
  <c r="D416" i="22" s="1"/>
  <c r="N416" i="22" s="1"/>
  <c r="G416" i="22" l="1"/>
  <c r="H416" i="22" s="1"/>
  <c r="J416" i="22" s="1"/>
  <c r="L416" i="22"/>
  <c r="M416" i="22" s="1"/>
  <c r="C417" i="22" l="1"/>
  <c r="D417" i="22" s="1"/>
  <c r="G417" i="22" l="1"/>
  <c r="H417" i="22" s="1"/>
  <c r="J417" i="22" s="1"/>
  <c r="N417" i="22"/>
  <c r="L417" i="22"/>
  <c r="M417" i="22" s="1"/>
  <c r="C418" i="22" l="1"/>
  <c r="D418" i="22" s="1"/>
  <c r="G418" i="22" s="1"/>
  <c r="H418" i="22" s="1"/>
  <c r="N418" i="22" l="1"/>
  <c r="L418" i="22"/>
  <c r="M418" i="22" s="1"/>
  <c r="J418" i="22"/>
  <c r="C419" i="22"/>
  <c r="D419" i="22" l="1"/>
  <c r="G419" i="22" s="1"/>
  <c r="H419" i="22" s="1"/>
  <c r="N419" i="22" l="1"/>
  <c r="L419" i="22"/>
  <c r="M419" i="22" s="1"/>
  <c r="J419" i="22"/>
  <c r="C420" i="22"/>
  <c r="D420" i="22" l="1"/>
  <c r="G420" i="22" s="1"/>
  <c r="H420" i="22" s="1"/>
  <c r="N420" i="22" l="1"/>
  <c r="L420" i="22"/>
  <c r="M420" i="22" s="1"/>
  <c r="C421" i="22"/>
  <c r="J420" i="22"/>
  <c r="D421" i="22" l="1"/>
  <c r="G421" i="22" s="1"/>
  <c r="H421" i="22" s="1"/>
  <c r="N421" i="22" l="1"/>
  <c r="L421" i="22"/>
  <c r="M421" i="22" s="1"/>
  <c r="J421" i="22"/>
  <c r="C422" i="22"/>
  <c r="D422" i="22" l="1"/>
  <c r="G422" i="22" s="1"/>
  <c r="H422" i="22" s="1"/>
  <c r="N422" i="22" l="1"/>
  <c r="L422" i="22"/>
  <c r="M422" i="22" s="1"/>
  <c r="C423" i="22"/>
  <c r="J422" i="22"/>
  <c r="D423" i="22" l="1"/>
  <c r="G423" i="22" s="1"/>
  <c r="H423" i="22" s="1"/>
  <c r="N423" i="22" l="1"/>
  <c r="L423" i="22"/>
  <c r="M423" i="22" s="1"/>
  <c r="J423" i="22"/>
  <c r="C424" i="22"/>
  <c r="D424" i="22" l="1"/>
  <c r="G424" i="22" s="1"/>
  <c r="H424" i="22" s="1"/>
  <c r="N424" i="22" l="1"/>
  <c r="L424" i="22"/>
  <c r="M424" i="22" s="1"/>
  <c r="J424" i="22"/>
  <c r="C425" i="22"/>
  <c r="D425" i="22" l="1"/>
  <c r="G425" i="22" s="1"/>
  <c r="H425" i="22" s="1"/>
  <c r="N425" i="22" l="1"/>
  <c r="L425" i="22"/>
  <c r="M425" i="22" s="1"/>
  <c r="J425" i="22"/>
  <c r="C426" i="22"/>
  <c r="D426" i="22" l="1"/>
  <c r="G426" i="22" s="1"/>
  <c r="H426" i="22" s="1"/>
  <c r="N426" i="22" l="1"/>
  <c r="L426" i="22"/>
  <c r="M426" i="22" s="1"/>
  <c r="J426" i="22"/>
  <c r="C427" i="22"/>
  <c r="D427" i="22" l="1"/>
  <c r="G427" i="22" s="1"/>
  <c r="H427" i="22" s="1"/>
  <c r="N427" i="22" l="1"/>
  <c r="L427" i="22"/>
  <c r="M427" i="22" s="1"/>
  <c r="J427" i="22"/>
  <c r="C428" i="22"/>
  <c r="D428" i="22" l="1"/>
  <c r="G428" i="22" s="1"/>
  <c r="H428" i="22" s="1"/>
  <c r="N428" i="22" l="1"/>
  <c r="L428" i="22"/>
  <c r="M428" i="22" s="1"/>
  <c r="C429" i="22"/>
  <c r="J428" i="22"/>
  <c r="D429" i="22" l="1"/>
  <c r="G429" i="22" s="1"/>
  <c r="H429" i="22" s="1"/>
  <c r="N429" i="22" l="1"/>
  <c r="L429" i="22"/>
  <c r="M429" i="22" s="1"/>
  <c r="J429" i="22"/>
  <c r="C430" i="22"/>
  <c r="D430" i="22" l="1"/>
  <c r="G430" i="22" s="1"/>
  <c r="H430" i="22" s="1"/>
  <c r="N430" i="22" l="1"/>
  <c r="L430" i="22"/>
  <c r="M430" i="22" s="1"/>
  <c r="C431" i="22"/>
  <c r="J430" i="22"/>
  <c r="D431" i="22" l="1"/>
  <c r="G431" i="22" s="1"/>
  <c r="H431" i="22" s="1"/>
  <c r="N431" i="22" l="1"/>
  <c r="L431" i="22"/>
  <c r="M431" i="22" s="1"/>
  <c r="J431" i="22"/>
  <c r="C432" i="22"/>
  <c r="D432" i="22" l="1"/>
  <c r="G432" i="22" s="1"/>
  <c r="H432" i="22" s="1"/>
  <c r="N432" i="22" l="1"/>
  <c r="L432" i="22"/>
  <c r="M432" i="22" s="1"/>
  <c r="J432" i="22"/>
  <c r="C433" i="22"/>
  <c r="D433" i="22" l="1"/>
  <c r="G433" i="22" s="1"/>
  <c r="H433" i="22" s="1"/>
  <c r="N433" i="22" l="1"/>
  <c r="L433" i="22"/>
  <c r="M433" i="22" s="1"/>
  <c r="J433" i="22"/>
  <c r="C434" i="22"/>
  <c r="D434" i="22" l="1"/>
  <c r="G434" i="22" s="1"/>
  <c r="H434" i="22" s="1"/>
  <c r="N434" i="22" l="1"/>
  <c r="L434" i="22"/>
  <c r="M434" i="22" s="1"/>
  <c r="J434" i="22"/>
  <c r="C435" i="22"/>
  <c r="D435" i="22" l="1"/>
  <c r="G435" i="22" s="1"/>
  <c r="H435" i="22" s="1"/>
  <c r="N435" i="22" l="1"/>
  <c r="L435" i="22"/>
  <c r="M435" i="22" s="1"/>
  <c r="J435" i="22"/>
  <c r="C436" i="22"/>
  <c r="D436" i="22" l="1"/>
  <c r="G436" i="22" s="1"/>
  <c r="H436" i="22" s="1"/>
  <c r="N436" i="22" l="1"/>
  <c r="L436" i="22"/>
  <c r="M436" i="22" s="1"/>
  <c r="C437" i="22"/>
  <c r="J436" i="22"/>
  <c r="D437" i="22" l="1"/>
  <c r="G437" i="22" s="1"/>
  <c r="H437" i="22" s="1"/>
  <c r="N437" i="22" l="1"/>
  <c r="L437" i="22"/>
  <c r="M437" i="22" s="1"/>
  <c r="J437" i="22"/>
  <c r="C438" i="22"/>
  <c r="D438" i="22" l="1"/>
  <c r="G438" i="22" s="1"/>
  <c r="H438" i="22" s="1"/>
  <c r="N438" i="22" l="1"/>
  <c r="L438" i="22"/>
  <c r="M438" i="22" s="1"/>
  <c r="C439" i="22"/>
  <c r="J438" i="22"/>
  <c r="D439" i="22" l="1"/>
  <c r="G439" i="22" s="1"/>
  <c r="H439" i="22" s="1"/>
  <c r="N439" i="22" l="1"/>
  <c r="L439" i="22"/>
  <c r="M439" i="22" s="1"/>
  <c r="C440" i="22"/>
  <c r="J439" i="22"/>
  <c r="D440" i="22" l="1"/>
  <c r="G440" i="22" s="1"/>
  <c r="H440" i="22" s="1"/>
  <c r="N440" i="22" l="1"/>
  <c r="L440" i="22"/>
  <c r="M440" i="22" s="1"/>
  <c r="J440" i="22"/>
  <c r="C441" i="22"/>
  <c r="D441" i="22" l="1"/>
  <c r="G441" i="22" s="1"/>
  <c r="H441" i="22" s="1"/>
  <c r="N441" i="22" l="1"/>
  <c r="L441" i="22"/>
  <c r="M441" i="22" s="1"/>
  <c r="J441" i="22"/>
  <c r="C442" i="22"/>
  <c r="D442" i="22" l="1"/>
  <c r="G442" i="22" s="1"/>
  <c r="H442" i="22" s="1"/>
  <c r="N442" i="22" l="1"/>
  <c r="L442" i="22"/>
  <c r="M442" i="22" s="1"/>
  <c r="J442" i="22"/>
  <c r="C443" i="22"/>
  <c r="D443" i="22" l="1"/>
  <c r="G443" i="22" s="1"/>
  <c r="H443" i="22" s="1"/>
  <c r="N443" i="22" l="1"/>
  <c r="L443" i="22"/>
  <c r="M443" i="22" s="1"/>
  <c r="J443" i="22"/>
  <c r="C444" i="22"/>
  <c r="D444" i="22" l="1"/>
  <c r="G444" i="22" s="1"/>
  <c r="H444" i="22" s="1"/>
  <c r="N444" i="22" l="1"/>
  <c r="L444" i="22"/>
  <c r="M444" i="22" s="1"/>
  <c r="C445" i="22"/>
  <c r="J444" i="22"/>
  <c r="D445" i="22" l="1"/>
  <c r="G445" i="22" s="1"/>
  <c r="H445" i="22" s="1"/>
  <c r="N445" i="22" l="1"/>
  <c r="L445" i="22"/>
  <c r="M445" i="22" s="1"/>
  <c r="J445" i="22"/>
  <c r="C446" i="22"/>
  <c r="D446" i="22" l="1"/>
  <c r="G446" i="22" s="1"/>
  <c r="H446" i="22" s="1"/>
  <c r="N446" i="22" l="1"/>
  <c r="L446" i="22"/>
  <c r="M446" i="22" s="1"/>
  <c r="C447" i="22"/>
  <c r="J446" i="22"/>
  <c r="D447" i="22" l="1"/>
  <c r="G447" i="22" s="1"/>
  <c r="H447" i="22" s="1"/>
  <c r="N447" i="22" l="1"/>
  <c r="L447" i="22"/>
  <c r="M447" i="22" s="1"/>
  <c r="J447" i="22"/>
  <c r="C448" i="22"/>
  <c r="D448" i="22" l="1"/>
  <c r="G448" i="22" s="1"/>
  <c r="H448" i="22" s="1"/>
  <c r="N448" i="22" l="1"/>
  <c r="L448" i="22"/>
  <c r="M448" i="22" s="1"/>
  <c r="J448" i="22"/>
  <c r="C449" i="22"/>
  <c r="D449" i="22" l="1"/>
  <c r="G449" i="22" s="1"/>
  <c r="H449" i="22" s="1"/>
  <c r="N449" i="22" l="1"/>
  <c r="L449" i="22"/>
  <c r="M449" i="22" s="1"/>
  <c r="J449" i="22"/>
  <c r="C450" i="22"/>
  <c r="D450" i="22" l="1"/>
  <c r="G450" i="22" s="1"/>
  <c r="H450" i="22" s="1"/>
  <c r="N450" i="22" l="1"/>
  <c r="L450" i="22"/>
  <c r="M450" i="22" s="1"/>
  <c r="J450" i="22"/>
  <c r="C451" i="22"/>
  <c r="D451" i="22" l="1"/>
  <c r="G451" i="22" s="1"/>
  <c r="H451" i="22" s="1"/>
  <c r="N451" i="22" l="1"/>
  <c r="L451" i="22"/>
  <c r="M451" i="22" s="1"/>
  <c r="J451" i="22"/>
  <c r="C452" i="22"/>
  <c r="D452" i="22" l="1"/>
  <c r="G452" i="22" s="1"/>
  <c r="H452" i="22" s="1"/>
  <c r="N452" i="22" l="1"/>
  <c r="L452" i="22"/>
  <c r="M452" i="22" s="1"/>
  <c r="C453" i="22"/>
  <c r="J452" i="22"/>
  <c r="D453" i="22" l="1"/>
  <c r="G453" i="22" s="1"/>
  <c r="H453" i="22" s="1"/>
  <c r="N453" i="22" l="1"/>
  <c r="L453" i="22"/>
  <c r="M453" i="22" s="1"/>
  <c r="J453" i="22"/>
  <c r="C454" i="22"/>
  <c r="D454" i="22" l="1"/>
  <c r="G454" i="22" s="1"/>
  <c r="H454" i="22" s="1"/>
  <c r="N454" i="22" l="1"/>
  <c r="L454" i="22"/>
  <c r="M454" i="22" s="1"/>
  <c r="C455" i="22"/>
  <c r="J454" i="22"/>
  <c r="D455" i="22" l="1"/>
  <c r="G455" i="22" s="1"/>
  <c r="H455" i="22" s="1"/>
  <c r="N455" i="22" l="1"/>
  <c r="L455" i="22"/>
  <c r="M455" i="22" s="1"/>
  <c r="C456" i="22"/>
  <c r="J455" i="22"/>
  <c r="D456" i="22" l="1"/>
  <c r="G456" i="22" s="1"/>
  <c r="H456" i="22" s="1"/>
  <c r="N456" i="22" l="1"/>
  <c r="L456" i="22"/>
  <c r="M456" i="22" s="1"/>
  <c r="J456" i="22"/>
  <c r="C457" i="22"/>
  <c r="D457" i="22" l="1"/>
  <c r="G457" i="22" s="1"/>
  <c r="H457" i="22" s="1"/>
  <c r="N457" i="22" l="1"/>
  <c r="L457" i="22"/>
  <c r="M457" i="22" s="1"/>
  <c r="J457" i="22"/>
  <c r="C458" i="22"/>
  <c r="D458" i="22" l="1"/>
  <c r="G458" i="22" s="1"/>
  <c r="H458" i="22" s="1"/>
  <c r="N458" i="22" l="1"/>
  <c r="L458" i="22"/>
  <c r="M458" i="22" s="1"/>
  <c r="J458" i="22"/>
  <c r="C459" i="22"/>
  <c r="D459" i="22" l="1"/>
  <c r="G459" i="22" s="1"/>
  <c r="H459" i="22" s="1"/>
  <c r="N459" i="22" l="1"/>
  <c r="L459" i="22"/>
  <c r="M459" i="22" s="1"/>
  <c r="J459" i="22"/>
  <c r="C460" i="22"/>
  <c r="D460" i="22" l="1"/>
  <c r="G460" i="22" s="1"/>
  <c r="H460" i="22" s="1"/>
  <c r="N460" i="22" l="1"/>
  <c r="L460" i="22"/>
  <c r="M460" i="22" s="1"/>
  <c r="C461" i="22"/>
  <c r="J460" i="22"/>
  <c r="D461" i="22" l="1"/>
  <c r="G461" i="22" s="1"/>
  <c r="H461" i="22" s="1"/>
  <c r="N461" i="22" l="1"/>
  <c r="L461" i="22"/>
  <c r="M461" i="22" s="1"/>
  <c r="J461" i="22"/>
  <c r="C462" i="22"/>
  <c r="D462" i="22" l="1"/>
  <c r="G462" i="22" s="1"/>
  <c r="H462" i="22" s="1"/>
  <c r="N462" i="22" l="1"/>
  <c r="L462" i="22"/>
  <c r="M462" i="22" s="1"/>
  <c r="C463" i="22"/>
  <c r="J462" i="22"/>
  <c r="D463" i="22" l="1"/>
  <c r="G463" i="22" s="1"/>
  <c r="H463" i="22" s="1"/>
  <c r="N463" i="22" l="1"/>
  <c r="L463" i="22"/>
  <c r="M463" i="22" s="1"/>
  <c r="J463" i="22"/>
  <c r="C464" i="22"/>
  <c r="D464" i="22" l="1"/>
  <c r="G464" i="22" s="1"/>
  <c r="H464" i="22" s="1"/>
  <c r="N464" i="22" l="1"/>
  <c r="L464" i="22"/>
  <c r="M464" i="22" s="1"/>
  <c r="J464" i="22"/>
  <c r="C465" i="22"/>
  <c r="D465" i="22" l="1"/>
  <c r="G465" i="22" s="1"/>
  <c r="H465" i="22" s="1"/>
  <c r="N465" i="22" l="1"/>
  <c r="L465" i="22"/>
  <c r="M465" i="22" s="1"/>
  <c r="J465" i="22"/>
  <c r="C466" i="22"/>
  <c r="D466" i="22" l="1"/>
  <c r="G466" i="22" l="1"/>
  <c r="H466" i="22" s="1"/>
  <c r="C467" i="22" s="1"/>
  <c r="N466" i="22"/>
  <c r="L466" i="22"/>
  <c r="M466" i="22" s="1"/>
  <c r="J466" i="22" l="1"/>
  <c r="D467" i="22"/>
  <c r="G467" i="22" s="1"/>
  <c r="H467" i="22" s="1"/>
  <c r="N467" i="22" l="1"/>
  <c r="L467" i="22"/>
  <c r="M467" i="22" s="1"/>
  <c r="J467" i="22"/>
  <c r="C468" i="22"/>
  <c r="D468" i="22" l="1"/>
  <c r="G468" i="22" s="1"/>
  <c r="H468" i="22" s="1"/>
  <c r="N468" i="22" l="1"/>
  <c r="L468" i="22"/>
  <c r="M468" i="22" s="1"/>
  <c r="C469" i="22"/>
  <c r="J468" i="22"/>
  <c r="D469" i="22" l="1"/>
  <c r="G469" i="22" s="1"/>
  <c r="H469" i="22" s="1"/>
  <c r="N469" i="22" l="1"/>
  <c r="L469" i="22"/>
  <c r="M469" i="22" s="1"/>
  <c r="J469" i="22"/>
  <c r="C470" i="22"/>
  <c r="D470" i="22" l="1"/>
  <c r="G470" i="22" s="1"/>
  <c r="H470" i="22" s="1"/>
  <c r="N470" i="22" l="1"/>
  <c r="L470" i="22"/>
  <c r="M470" i="22" s="1"/>
  <c r="R51" i="22"/>
  <c r="D8" i="21" s="1"/>
  <c r="F14" i="21" s="1"/>
  <c r="G14" i="21" s="1"/>
  <c r="K3" i="21" s="1"/>
  <c r="C471" i="22"/>
  <c r="J470" i="22"/>
  <c r="D471" i="22" l="1"/>
  <c r="G471" i="22" s="1"/>
  <c r="H471" i="22" s="1"/>
  <c r="N471" i="22" l="1"/>
  <c r="L471" i="22"/>
  <c r="M471" i="22" s="1"/>
  <c r="C472" i="22"/>
  <c r="J471" i="22"/>
  <c r="D472" i="22" l="1"/>
  <c r="G472" i="22" s="1"/>
  <c r="H472" i="22" s="1"/>
  <c r="N472" i="22" l="1"/>
  <c r="L472" i="22"/>
  <c r="M472" i="22" s="1"/>
  <c r="J472" i="22"/>
  <c r="C473" i="22"/>
  <c r="D473" i="22" l="1"/>
  <c r="G473" i="22" s="1"/>
  <c r="H473" i="22" s="1"/>
  <c r="N473" i="22" l="1"/>
  <c r="L473" i="22"/>
  <c r="M473" i="22" s="1"/>
  <c r="J473" i="22"/>
  <c r="C474" i="22"/>
  <c r="D474" i="22" l="1"/>
  <c r="G474" i="22" s="1"/>
  <c r="H474" i="22" s="1"/>
  <c r="N474" i="22" l="1"/>
  <c r="L474" i="22"/>
  <c r="M474" i="22" s="1"/>
  <c r="J474" i="22"/>
  <c r="C475" i="22"/>
  <c r="D475" i="22" l="1"/>
  <c r="G475" i="22" s="1"/>
  <c r="H475" i="22" s="1"/>
  <c r="N475" i="22" l="1"/>
  <c r="L475" i="22"/>
  <c r="M475" i="22" s="1"/>
  <c r="J475" i="22"/>
  <c r="C476" i="22"/>
  <c r="D476" i="22" l="1"/>
  <c r="G476" i="22" s="1"/>
  <c r="H476" i="22" s="1"/>
  <c r="N476" i="22" l="1"/>
  <c r="L476" i="22"/>
  <c r="M476" i="22" s="1"/>
  <c r="C477" i="22"/>
  <c r="J476" i="22"/>
  <c r="D477" i="22" l="1"/>
  <c r="G477" i="22" s="1"/>
  <c r="H477" i="22" s="1"/>
  <c r="N477" i="22" l="1"/>
  <c r="L477" i="22"/>
  <c r="M477" i="22" s="1"/>
  <c r="J477" i="22"/>
  <c r="C478" i="22"/>
  <c r="D478" i="22" l="1"/>
  <c r="G478" i="22" s="1"/>
  <c r="H478" i="22" s="1"/>
  <c r="N478" i="22" l="1"/>
  <c r="L478" i="22"/>
  <c r="M478" i="22" s="1"/>
  <c r="C479" i="22"/>
  <c r="J478" i="22"/>
  <c r="D479" i="22" l="1"/>
  <c r="G479" i="22" s="1"/>
  <c r="H479" i="22" s="1"/>
  <c r="N479" i="22" l="1"/>
  <c r="L479" i="22"/>
  <c r="M479" i="22" s="1"/>
  <c r="J479" i="22"/>
  <c r="C480" i="22"/>
  <c r="D480" i="22" l="1"/>
  <c r="G480" i="22" s="1"/>
  <c r="H480" i="22" s="1"/>
  <c r="N480" i="22" l="1"/>
  <c r="L480" i="22"/>
  <c r="M480" i="22" s="1"/>
  <c r="J480" i="22"/>
  <c r="C481" i="22"/>
  <c r="D481" i="22" l="1"/>
  <c r="G481" i="22" s="1"/>
  <c r="H481" i="22" s="1"/>
  <c r="N481" i="22" l="1"/>
  <c r="L481" i="22"/>
  <c r="M481" i="22" s="1"/>
  <c r="J481" i="22"/>
  <c r="C482" i="22"/>
  <c r="D482" i="22" l="1"/>
  <c r="G482" i="22" s="1"/>
  <c r="H482" i="22" s="1"/>
  <c r="N482" i="22" l="1"/>
  <c r="L482" i="22"/>
  <c r="M482" i="22" s="1"/>
  <c r="J482" i="22"/>
  <c r="C483" i="22"/>
  <c r="D483" i="22" l="1"/>
  <c r="G483" i="22" s="1"/>
  <c r="H483" i="22" s="1"/>
  <c r="N483" i="22" l="1"/>
  <c r="L483" i="22"/>
  <c r="M483" i="22" s="1"/>
  <c r="J483" i="22"/>
  <c r="C484" i="22"/>
  <c r="D484" i="22" l="1"/>
  <c r="G484" i="22" s="1"/>
  <c r="H484" i="22" s="1"/>
  <c r="N484" i="22" l="1"/>
  <c r="L484" i="22"/>
  <c r="M484" i="22" s="1"/>
  <c r="C485" i="22"/>
  <c r="J484" i="22"/>
  <c r="D485" i="22" l="1"/>
  <c r="G485" i="22" s="1"/>
  <c r="H485" i="22" s="1"/>
  <c r="N485" i="22" l="1"/>
  <c r="L485" i="22"/>
  <c r="M485" i="22" s="1"/>
  <c r="J485" i="22"/>
  <c r="C486" i="22"/>
  <c r="D486" i="22" l="1"/>
  <c r="G486" i="22" s="1"/>
  <c r="H486" i="22" s="1"/>
  <c r="N486" i="22" l="1"/>
  <c r="L486" i="22"/>
  <c r="M486" i="22" s="1"/>
  <c r="C487" i="22"/>
  <c r="J486" i="22"/>
  <c r="D487" i="22" l="1"/>
  <c r="G487" i="22" s="1"/>
  <c r="H487" i="22" s="1"/>
  <c r="N487" i="22" l="1"/>
  <c r="L487" i="22"/>
  <c r="M487" i="22" s="1"/>
  <c r="C488" i="22"/>
  <c r="J487" i="22"/>
  <c r="D488" i="22" l="1"/>
  <c r="G488" i="22" s="1"/>
  <c r="H488" i="22" s="1"/>
  <c r="N488" i="22" l="1"/>
  <c r="L488" i="22"/>
  <c r="M488" i="22" s="1"/>
  <c r="J488" i="22"/>
  <c r="C489" i="22"/>
  <c r="D489" i="22" l="1"/>
  <c r="G489" i="22" s="1"/>
  <c r="H489" i="22" s="1"/>
  <c r="N489" i="22" l="1"/>
  <c r="L489" i="22"/>
  <c r="M489" i="22" s="1"/>
  <c r="J489" i="22"/>
  <c r="C490" i="22"/>
  <c r="D490" i="22" l="1"/>
  <c r="G490" i="22" s="1"/>
  <c r="H490" i="22" s="1"/>
  <c r="N490" i="22" l="1"/>
  <c r="L490" i="22"/>
  <c r="M490" i="22" s="1"/>
  <c r="J490" i="22"/>
  <c r="C491" i="22"/>
  <c r="D491" i="22" l="1"/>
  <c r="G491" i="22" s="1"/>
  <c r="H491" i="22" s="1"/>
  <c r="N491" i="22" l="1"/>
  <c r="L491" i="22"/>
  <c r="M491" i="22" s="1"/>
  <c r="J491" i="22"/>
  <c r="C492" i="22"/>
  <c r="D492" i="22" l="1"/>
  <c r="G492" i="22" s="1"/>
  <c r="H492" i="22" s="1"/>
  <c r="N492" i="22" l="1"/>
  <c r="L492" i="22"/>
  <c r="M492" i="22" s="1"/>
  <c r="C493" i="22"/>
  <c r="J492" i="22"/>
  <c r="D493" i="22" l="1"/>
  <c r="G493" i="22" s="1"/>
  <c r="H493" i="22" s="1"/>
  <c r="N493" i="22" l="1"/>
  <c r="L493" i="22"/>
  <c r="M493" i="22" s="1"/>
  <c r="J493" i="22"/>
  <c r="C494" i="22"/>
  <c r="D494" i="22" l="1"/>
  <c r="G494" i="22" s="1"/>
  <c r="H494" i="22" s="1"/>
  <c r="N494" i="22" l="1"/>
  <c r="L494" i="22"/>
  <c r="M494" i="22" s="1"/>
  <c r="C495" i="22"/>
  <c r="J494" i="22"/>
  <c r="D495" i="22" l="1"/>
  <c r="G495" i="22" s="1"/>
  <c r="H495" i="22" s="1"/>
  <c r="N495" i="22" l="1"/>
  <c r="L495" i="22"/>
  <c r="M495" i="22" s="1"/>
  <c r="J495" i="22"/>
  <c r="C496" i="22"/>
  <c r="D496" i="22" l="1"/>
  <c r="G496" i="22" s="1"/>
  <c r="H496" i="22" s="1"/>
  <c r="N496" i="22" l="1"/>
  <c r="L496" i="22"/>
  <c r="M496" i="22" s="1"/>
  <c r="J496" i="22"/>
  <c r="C497" i="22"/>
  <c r="D497" i="22" l="1"/>
  <c r="G497" i="22" s="1"/>
  <c r="H497" i="22" s="1"/>
  <c r="N497" i="22" l="1"/>
  <c r="L497" i="22"/>
  <c r="M497" i="22" s="1"/>
  <c r="J497" i="22"/>
  <c r="C498" i="22"/>
  <c r="D498" i="22" l="1"/>
  <c r="G498" i="22" s="1"/>
  <c r="H498" i="22" s="1"/>
  <c r="N498" i="22" l="1"/>
  <c r="L498" i="22"/>
  <c r="M498" i="22" s="1"/>
  <c r="J498" i="22"/>
  <c r="C499" i="22"/>
  <c r="D499" i="22" l="1"/>
  <c r="G499" i="22" s="1"/>
  <c r="H499" i="22" s="1"/>
  <c r="N499" i="22" l="1"/>
  <c r="L499" i="22"/>
  <c r="M499" i="22" s="1"/>
  <c r="J499" i="22"/>
  <c r="C500" i="22"/>
  <c r="D500" i="22" l="1"/>
  <c r="G500" i="22" s="1"/>
  <c r="H500" i="22" s="1"/>
  <c r="N500" i="22" l="1"/>
  <c r="L500" i="22"/>
  <c r="M500" i="22" s="1"/>
  <c r="C501" i="22"/>
  <c r="J500" i="22"/>
  <c r="D501" i="22" l="1"/>
  <c r="G501" i="22" s="1"/>
  <c r="H501" i="22" s="1"/>
  <c r="N501" i="22" l="1"/>
  <c r="L501" i="22"/>
  <c r="M501" i="22" s="1"/>
  <c r="J501" i="22"/>
  <c r="C502" i="22"/>
  <c r="D502" i="22" l="1"/>
  <c r="G502" i="22" s="1"/>
  <c r="H502" i="22" s="1"/>
  <c r="N502" i="22" l="1"/>
  <c r="L502" i="22"/>
  <c r="M502" i="22" s="1"/>
  <c r="C503" i="22"/>
  <c r="J502" i="22"/>
  <c r="D503" i="22" l="1"/>
  <c r="G503" i="22" s="1"/>
  <c r="H503" i="22" s="1"/>
  <c r="N503" i="22" l="1"/>
  <c r="L503" i="22"/>
  <c r="M503" i="22" s="1"/>
  <c r="C504" i="22"/>
  <c r="J503" i="22"/>
  <c r="D504" i="22" l="1"/>
  <c r="G504" i="22" s="1"/>
  <c r="H504" i="22" s="1"/>
  <c r="N504" i="22" l="1"/>
  <c r="L504" i="22"/>
  <c r="M504" i="22" s="1"/>
  <c r="J504" i="22"/>
  <c r="C505" i="22"/>
  <c r="D505" i="22" l="1"/>
  <c r="G505" i="22" s="1"/>
  <c r="H505" i="22" s="1"/>
  <c r="N505" i="22" l="1"/>
  <c r="L505" i="22"/>
  <c r="M505" i="22" s="1"/>
  <c r="J505" i="22"/>
  <c r="C506" i="22"/>
  <c r="D506" i="22" l="1"/>
  <c r="G506" i="22" s="1"/>
  <c r="H506" i="22" s="1"/>
  <c r="N506" i="22" l="1"/>
  <c r="L506" i="22"/>
  <c r="M506" i="22" s="1"/>
  <c r="J506" i="22"/>
  <c r="C507" i="22"/>
  <c r="D507" i="22" l="1"/>
  <c r="G507" i="22" s="1"/>
  <c r="H507" i="22" s="1"/>
  <c r="N507" i="22" l="1"/>
  <c r="L507" i="22"/>
  <c r="M507" i="22" s="1"/>
  <c r="J507" i="22"/>
  <c r="C508" i="22"/>
  <c r="D508" i="22" l="1"/>
  <c r="G508" i="22" s="1"/>
  <c r="H508" i="22" s="1"/>
  <c r="N508" i="22" l="1"/>
  <c r="L508" i="22"/>
  <c r="M508" i="22" s="1"/>
  <c r="C509" i="22"/>
  <c r="J508" i="22"/>
  <c r="D509" i="22" l="1"/>
  <c r="G509" i="22" s="1"/>
  <c r="H509" i="22" s="1"/>
  <c r="N509" i="22" l="1"/>
  <c r="L509" i="22"/>
  <c r="M509" i="22" s="1"/>
  <c r="J509" i="22"/>
  <c r="C510" i="22"/>
  <c r="D510" i="22" l="1"/>
  <c r="G510" i="22" s="1"/>
  <c r="H510" i="22" s="1"/>
  <c r="N510" i="22" l="1"/>
  <c r="L510" i="22"/>
  <c r="M510" i="22" s="1"/>
  <c r="C511" i="22"/>
  <c r="J510" i="22"/>
  <c r="D511" i="22" l="1"/>
  <c r="G511" i="22" s="1"/>
  <c r="H511" i="22" s="1"/>
  <c r="N511" i="22" l="1"/>
  <c r="L511" i="22"/>
  <c r="M511" i="22" s="1"/>
  <c r="J511" i="22"/>
  <c r="C512" i="22"/>
  <c r="D512" i="22" l="1"/>
  <c r="G512" i="22" s="1"/>
  <c r="H512" i="22" s="1"/>
  <c r="N512" i="22" l="1"/>
  <c r="L512" i="22"/>
  <c r="M512" i="22" s="1"/>
  <c r="J512" i="22"/>
  <c r="C513" i="22"/>
  <c r="D513" i="22" l="1"/>
  <c r="G513" i="22" s="1"/>
  <c r="H513" i="22" s="1"/>
  <c r="N513" i="22" l="1"/>
  <c r="L513" i="22"/>
  <c r="M513" i="22" s="1"/>
  <c r="J513" i="22"/>
  <c r="C514" i="22"/>
  <c r="D514" i="22" l="1"/>
  <c r="G514" i="22" s="1"/>
  <c r="H514" i="22" s="1"/>
  <c r="N514" i="22" l="1"/>
  <c r="L514" i="22"/>
  <c r="M514" i="22" s="1"/>
  <c r="J514" i="22"/>
  <c r="C515" i="22"/>
  <c r="D515" i="22" l="1"/>
  <c r="G515" i="22" s="1"/>
  <c r="H515" i="22" s="1"/>
  <c r="N515" i="22" l="1"/>
  <c r="L515" i="22"/>
  <c r="M515" i="22" s="1"/>
  <c r="J515" i="22"/>
  <c r="C516" i="22"/>
  <c r="D516" i="22" l="1"/>
  <c r="G516" i="22" s="1"/>
  <c r="H516" i="22" s="1"/>
  <c r="N516" i="22" l="1"/>
  <c r="L516" i="22"/>
  <c r="M516" i="22" s="1"/>
  <c r="C517" i="22"/>
  <c r="J516" i="22"/>
  <c r="D517" i="22" l="1"/>
  <c r="G517" i="22" s="1"/>
  <c r="H517" i="22" s="1"/>
  <c r="N517" i="22" l="1"/>
  <c r="L517" i="22"/>
  <c r="M517" i="22" s="1"/>
  <c r="J517" i="22"/>
  <c r="C518" i="22"/>
  <c r="D518" i="22" l="1"/>
  <c r="G518" i="22" s="1"/>
  <c r="H518" i="22" s="1"/>
  <c r="N518" i="22" l="1"/>
  <c r="L518" i="22"/>
  <c r="M518" i="22" s="1"/>
  <c r="C519" i="22"/>
  <c r="J518" i="22"/>
  <c r="D519" i="22" l="1"/>
  <c r="G519" i="22" s="1"/>
  <c r="H519" i="22" s="1"/>
  <c r="N519" i="22" l="1"/>
  <c r="L519" i="22"/>
  <c r="M519" i="22" s="1"/>
  <c r="C520" i="22"/>
  <c r="J519" i="22"/>
  <c r="D520" i="22" l="1"/>
  <c r="G520" i="22" s="1"/>
  <c r="H520" i="22" s="1"/>
  <c r="N520" i="22" l="1"/>
  <c r="L520" i="22"/>
  <c r="M520" i="22" s="1"/>
  <c r="J520" i="22"/>
  <c r="C521" i="22"/>
  <c r="D521" i="22" l="1"/>
  <c r="G521" i="22" s="1"/>
  <c r="H521" i="22" s="1"/>
  <c r="N521" i="22" l="1"/>
  <c r="L521" i="22"/>
  <c r="M521" i="22" s="1"/>
  <c r="J521" i="22"/>
  <c r="C522" i="22"/>
  <c r="D522" i="22" l="1"/>
  <c r="G522" i="22" s="1"/>
  <c r="H522" i="22" s="1"/>
  <c r="N522" i="22" l="1"/>
  <c r="L522" i="22"/>
  <c r="M522" i="22" s="1"/>
  <c r="J522" i="22"/>
  <c r="C523" i="22"/>
  <c r="D523" i="22" l="1"/>
  <c r="G523" i="22" s="1"/>
  <c r="H523" i="22" s="1"/>
  <c r="N523" i="22" l="1"/>
  <c r="L523" i="22"/>
  <c r="M523" i="22" s="1"/>
  <c r="J523" i="22"/>
  <c r="C524" i="22"/>
  <c r="D524" i="22" l="1"/>
  <c r="G524" i="22" s="1"/>
  <c r="H524" i="22" s="1"/>
  <c r="N524" i="22" l="1"/>
  <c r="L524" i="22"/>
  <c r="M524" i="22" s="1"/>
  <c r="C525" i="22"/>
  <c r="J524" i="22"/>
  <c r="D525" i="22" l="1"/>
  <c r="G525" i="22" s="1"/>
  <c r="H525" i="22" s="1"/>
  <c r="N525" i="22" l="1"/>
  <c r="L525" i="22"/>
  <c r="M525" i="22" s="1"/>
  <c r="J525" i="22"/>
  <c r="C526" i="22"/>
  <c r="D526" i="22" l="1"/>
  <c r="G526" i="22" s="1"/>
  <c r="H526" i="22" s="1"/>
  <c r="N526" i="22" l="1"/>
  <c r="L526" i="22"/>
  <c r="M526" i="22" s="1"/>
  <c r="C527" i="22"/>
  <c r="J526" i="22"/>
  <c r="D527" i="22" l="1"/>
  <c r="G527" i="22" s="1"/>
  <c r="H527" i="22" s="1"/>
  <c r="N527" i="22" l="1"/>
  <c r="L527" i="22"/>
  <c r="M527" i="22" s="1"/>
  <c r="J527" i="22"/>
  <c r="C528" i="22"/>
  <c r="D528" i="22" l="1"/>
  <c r="G528" i="22" s="1"/>
  <c r="H528" i="22" s="1"/>
  <c r="N528" i="22" l="1"/>
  <c r="L528" i="22"/>
  <c r="M528" i="22" s="1"/>
  <c r="J528" i="22"/>
  <c r="C529" i="22"/>
  <c r="D529" i="22" l="1"/>
  <c r="G529" i="22" s="1"/>
  <c r="H529" i="22" s="1"/>
  <c r="N529" i="22" l="1"/>
  <c r="L529" i="22"/>
  <c r="M529" i="22" s="1"/>
  <c r="J529" i="22"/>
  <c r="C530" i="22"/>
  <c r="D530" i="22" l="1"/>
  <c r="G530" i="22" s="1"/>
  <c r="H530" i="22" s="1"/>
  <c r="N530" i="22" l="1"/>
  <c r="L530" i="22"/>
  <c r="M530" i="22" s="1"/>
  <c r="J530" i="22"/>
  <c r="C531" i="22"/>
  <c r="D531" i="22" l="1"/>
  <c r="G531" i="22" s="1"/>
  <c r="H531" i="22" s="1"/>
  <c r="N531" i="22" l="1"/>
  <c r="L531" i="22"/>
  <c r="M531" i="22" s="1"/>
  <c r="J531" i="22"/>
  <c r="C532" i="22"/>
  <c r="D532" i="22" l="1"/>
  <c r="G532" i="22" s="1"/>
  <c r="H532" i="22" s="1"/>
  <c r="N532" i="22" l="1"/>
  <c r="L532" i="22"/>
  <c r="M532" i="22" s="1"/>
  <c r="C533" i="22"/>
  <c r="J532" i="22"/>
  <c r="D533" i="22" l="1"/>
  <c r="G533" i="22" s="1"/>
  <c r="H533" i="22" s="1"/>
  <c r="N533" i="22" l="1"/>
  <c r="L533" i="22"/>
  <c r="M533" i="22" s="1"/>
  <c r="J533" i="22"/>
  <c r="C534" i="22"/>
  <c r="D534" i="22" l="1"/>
  <c r="G534" i="22" s="1"/>
  <c r="H534" i="22" s="1"/>
  <c r="N534" i="22" l="1"/>
  <c r="L534" i="22"/>
  <c r="M534" i="22" s="1"/>
  <c r="C535" i="22"/>
  <c r="J534" i="22"/>
  <c r="D535" i="22" l="1"/>
  <c r="G535" i="22" s="1"/>
  <c r="H535" i="22" s="1"/>
  <c r="N535" i="22" l="1"/>
  <c r="L535" i="22"/>
  <c r="M535" i="22" s="1"/>
  <c r="C536" i="22"/>
  <c r="J535" i="22"/>
  <c r="D536" i="22" l="1"/>
  <c r="G536" i="22" s="1"/>
  <c r="H536" i="22" s="1"/>
  <c r="N536" i="22" l="1"/>
  <c r="L536" i="22"/>
  <c r="M536" i="22" s="1"/>
  <c r="J536" i="22"/>
  <c r="C537" i="22"/>
  <c r="D537" i="22" l="1"/>
  <c r="G537" i="22" s="1"/>
  <c r="H537" i="22" s="1"/>
  <c r="N537" i="22" l="1"/>
  <c r="L537" i="22"/>
  <c r="M537" i="22" s="1"/>
  <c r="J537" i="22"/>
  <c r="C538" i="22"/>
  <c r="D538" i="22" l="1"/>
  <c r="G538" i="22" s="1"/>
  <c r="H538" i="22" s="1"/>
  <c r="N538" i="22" l="1"/>
  <c r="L538" i="22"/>
  <c r="M538" i="22" s="1"/>
  <c r="J538" i="22"/>
  <c r="C539" i="22"/>
  <c r="D539" i="22" l="1"/>
  <c r="G539" i="22" s="1"/>
  <c r="H539" i="22" s="1"/>
  <c r="N539" i="22" l="1"/>
  <c r="L539" i="22"/>
  <c r="M539" i="22" s="1"/>
  <c r="J539" i="22"/>
  <c r="C540" i="22"/>
  <c r="D540" i="22" l="1"/>
  <c r="G540" i="22" s="1"/>
  <c r="H540" i="22" s="1"/>
  <c r="N540" i="22" l="1"/>
  <c r="L540" i="22"/>
  <c r="M540" i="22" s="1"/>
  <c r="C541" i="22"/>
  <c r="J540" i="22"/>
  <c r="D541" i="22" l="1"/>
  <c r="G541" i="22" s="1"/>
  <c r="H541" i="22" s="1"/>
  <c r="N541" i="22" l="1"/>
  <c r="L541" i="22"/>
  <c r="M541" i="22" s="1"/>
  <c r="J541" i="22"/>
  <c r="C542" i="22"/>
  <c r="D542" i="22" l="1"/>
  <c r="G542" i="22" s="1"/>
  <c r="H542" i="22" s="1"/>
  <c r="N542" i="22" l="1"/>
  <c r="L542" i="22"/>
  <c r="M542" i="22" s="1"/>
  <c r="C543" i="22"/>
  <c r="J542" i="22"/>
  <c r="D543" i="22" l="1"/>
  <c r="G543" i="22" s="1"/>
  <c r="H543" i="22" s="1"/>
  <c r="N543" i="22" l="1"/>
  <c r="L543" i="22"/>
  <c r="M543" i="22" s="1"/>
  <c r="J543" i="22"/>
  <c r="C544" i="22"/>
  <c r="D544" i="22" l="1"/>
  <c r="G544" i="22" s="1"/>
  <c r="H544" i="22" s="1"/>
  <c r="N544" i="22" l="1"/>
  <c r="L544" i="22"/>
  <c r="M544" i="22" s="1"/>
  <c r="J544" i="22"/>
  <c r="C545" i="22"/>
  <c r="D545" i="22" l="1"/>
  <c r="G545" i="22" s="1"/>
  <c r="H545" i="22" s="1"/>
  <c r="N545" i="22" l="1"/>
  <c r="L545" i="22"/>
  <c r="M545" i="22" s="1"/>
  <c r="J545" i="22"/>
  <c r="C546" i="22"/>
  <c r="D546" i="22" l="1"/>
  <c r="G546" i="22" s="1"/>
  <c r="H546" i="22" s="1"/>
  <c r="N546" i="22" l="1"/>
  <c r="L546" i="22"/>
  <c r="M546" i="22" s="1"/>
  <c r="J546" i="22"/>
  <c r="C547" i="22"/>
  <c r="D547" i="22" l="1"/>
  <c r="G547" i="22" s="1"/>
  <c r="H547" i="22" s="1"/>
  <c r="N547" i="22" l="1"/>
  <c r="L547" i="22"/>
  <c r="M547" i="22" s="1"/>
  <c r="J547" i="22"/>
  <c r="C548" i="22"/>
  <c r="D548" i="22" l="1"/>
  <c r="G548" i="22" s="1"/>
  <c r="H548" i="22" s="1"/>
  <c r="N548" i="22" l="1"/>
  <c r="L548" i="22"/>
  <c r="M548" i="22" s="1"/>
  <c r="C549" i="22"/>
  <c r="J548" i="22"/>
  <c r="D549" i="22" l="1"/>
  <c r="G549" i="22" s="1"/>
  <c r="H549" i="22" s="1"/>
  <c r="N549" i="22" l="1"/>
  <c r="L549" i="22"/>
  <c r="M549" i="22" s="1"/>
  <c r="J549" i="22"/>
  <c r="C550" i="22"/>
  <c r="D550" i="22" l="1"/>
  <c r="G550" i="22" s="1"/>
  <c r="H550" i="22" s="1"/>
  <c r="N550" i="22" l="1"/>
  <c r="L550" i="22"/>
  <c r="M550" i="22" s="1"/>
  <c r="C551" i="22"/>
  <c r="J550" i="22"/>
  <c r="D551" i="22" l="1"/>
  <c r="G551" i="22" s="1"/>
  <c r="H551" i="22" s="1"/>
  <c r="N551" i="22" l="1"/>
  <c r="L551" i="22"/>
  <c r="M551" i="22" s="1"/>
  <c r="C552" i="22"/>
  <c r="J551" i="22"/>
  <c r="D552" i="22" l="1"/>
  <c r="G552" i="22" s="1"/>
  <c r="H552" i="22" s="1"/>
  <c r="N552" i="22" l="1"/>
  <c r="L552" i="22"/>
  <c r="M552" i="22" s="1"/>
  <c r="J552" i="22"/>
  <c r="C553" i="22"/>
  <c r="D553" i="22" l="1"/>
  <c r="G553" i="22" s="1"/>
  <c r="H553" i="22" s="1"/>
  <c r="N553" i="22" l="1"/>
  <c r="L553" i="22"/>
  <c r="M553" i="22" s="1"/>
  <c r="J553" i="22"/>
  <c r="C554" i="22"/>
  <c r="D554" i="22" l="1"/>
  <c r="G554" i="22" s="1"/>
  <c r="H554" i="22" s="1"/>
  <c r="N554" i="22" l="1"/>
  <c r="L554" i="22"/>
  <c r="M554" i="22" s="1"/>
  <c r="J554" i="22"/>
  <c r="C555" i="22"/>
  <c r="D555" i="22" l="1"/>
  <c r="G555" i="22" s="1"/>
  <c r="H555" i="22" s="1"/>
  <c r="N555" i="22" l="1"/>
  <c r="L555" i="22"/>
  <c r="M555" i="22" s="1"/>
  <c r="J555" i="22"/>
  <c r="C556" i="22"/>
  <c r="D556" i="22" l="1"/>
  <c r="G556" i="22" s="1"/>
  <c r="H556" i="22" s="1"/>
  <c r="N556" i="22" l="1"/>
  <c r="L556" i="22"/>
  <c r="M556" i="22" s="1"/>
  <c r="C557" i="22"/>
  <c r="J556" i="22"/>
  <c r="D557" i="22" l="1"/>
  <c r="G557" i="22" s="1"/>
  <c r="H557" i="22" s="1"/>
  <c r="N557" i="22" l="1"/>
  <c r="L557" i="22"/>
  <c r="M557" i="22" s="1"/>
  <c r="J557" i="22"/>
  <c r="C558" i="22"/>
  <c r="D558" i="22" l="1"/>
  <c r="G558" i="22" s="1"/>
  <c r="H558" i="22" s="1"/>
  <c r="N558" i="22" l="1"/>
  <c r="L558" i="22"/>
  <c r="M558" i="22" s="1"/>
  <c r="C559" i="22"/>
  <c r="J558" i="22"/>
  <c r="D559" i="22" l="1"/>
  <c r="G559" i="22" s="1"/>
  <c r="H559" i="22" s="1"/>
  <c r="N559" i="22" l="1"/>
  <c r="L559" i="22"/>
  <c r="M559" i="22" s="1"/>
  <c r="J559" i="22"/>
  <c r="C560" i="22"/>
  <c r="D560" i="22" l="1"/>
  <c r="G560" i="22" s="1"/>
  <c r="H560" i="22" s="1"/>
  <c r="N560" i="22" l="1"/>
  <c r="L560" i="22"/>
  <c r="M560" i="22" s="1"/>
  <c r="S51" i="22"/>
  <c r="E8" i="21" s="1"/>
  <c r="F15" i="21" s="1"/>
  <c r="G15" i="21" s="1"/>
  <c r="L3" i="21" s="1"/>
  <c r="J560" i="22"/>
  <c r="C561" i="22"/>
  <c r="D561" i="22" l="1"/>
  <c r="G561" i="22" s="1"/>
  <c r="H561" i="22" s="1"/>
  <c r="N561" i="22" l="1"/>
  <c r="L561" i="22"/>
  <c r="M561" i="22" s="1"/>
  <c r="J561" i="22"/>
  <c r="C562" i="22"/>
  <c r="D562" i="22" l="1"/>
  <c r="G562" i="22" s="1"/>
  <c r="H562" i="22" s="1"/>
  <c r="N562" i="22" l="1"/>
  <c r="L562" i="22"/>
  <c r="M562" i="22" s="1"/>
  <c r="J562" i="22"/>
  <c r="C563" i="22"/>
  <c r="D563" i="22" l="1"/>
  <c r="G563" i="22" s="1"/>
  <c r="H563" i="22" s="1"/>
  <c r="N563" i="22" l="1"/>
  <c r="L563" i="22"/>
  <c r="M563" i="22" s="1"/>
  <c r="J563" i="22"/>
  <c r="C564" i="22"/>
  <c r="D564" i="22" l="1"/>
  <c r="G564" i="22" s="1"/>
  <c r="H564" i="22" s="1"/>
  <c r="N564" i="22" l="1"/>
  <c r="L564" i="22"/>
  <c r="M564" i="22" s="1"/>
  <c r="C565" i="22"/>
  <c r="J564" i="22"/>
  <c r="D565" i="22" l="1"/>
  <c r="G565" i="22" s="1"/>
  <c r="H565" i="22" s="1"/>
  <c r="N565" i="22" l="1"/>
  <c r="L565" i="22"/>
  <c r="M565" i="22" s="1"/>
  <c r="J565" i="22"/>
  <c r="C566" i="22"/>
  <c r="D566" i="22" l="1"/>
  <c r="G566" i="22" s="1"/>
  <c r="H566" i="22" s="1"/>
  <c r="N566" i="22" l="1"/>
  <c r="L566" i="22"/>
  <c r="M566" i="22" s="1"/>
  <c r="C567" i="22"/>
  <c r="J566" i="22"/>
  <c r="D567" i="22" l="1"/>
  <c r="G567" i="22" s="1"/>
  <c r="H567" i="22" s="1"/>
  <c r="N567" i="22" l="1"/>
  <c r="L567" i="22"/>
  <c r="M567" i="22" s="1"/>
  <c r="C568" i="22"/>
  <c r="J567" i="22"/>
  <c r="D568" i="22" l="1"/>
  <c r="G568" i="22" s="1"/>
  <c r="H568" i="22" s="1"/>
  <c r="N568" i="22" l="1"/>
  <c r="L568" i="22"/>
  <c r="M568" i="22" s="1"/>
  <c r="J568" i="22"/>
  <c r="C569" i="22"/>
  <c r="D569" i="22" l="1"/>
  <c r="G569" i="22" s="1"/>
  <c r="H569" i="22" s="1"/>
  <c r="N569" i="22" l="1"/>
  <c r="L569" i="22"/>
  <c r="M569" i="22" s="1"/>
  <c r="J569" i="22"/>
  <c r="C570" i="22"/>
  <c r="D570" i="22" l="1"/>
  <c r="G570" i="22" s="1"/>
  <c r="H570" i="22" s="1"/>
  <c r="N570" i="22" l="1"/>
  <c r="L570" i="22"/>
  <c r="M570" i="22" s="1"/>
  <c r="C571" i="22"/>
  <c r="J570" i="22"/>
  <c r="D571" i="22" l="1"/>
  <c r="N571" i="22" s="1"/>
  <c r="G571" i="22" l="1"/>
  <c r="H571" i="22" s="1"/>
  <c r="J571" i="22" s="1"/>
  <c r="L571" i="22"/>
  <c r="M571" i="22" s="1"/>
  <c r="C572" i="22" l="1"/>
  <c r="D572" i="22" s="1"/>
  <c r="G572" i="22" l="1"/>
  <c r="H572" i="22" s="1"/>
  <c r="J572" i="22" s="1"/>
  <c r="N572" i="22"/>
  <c r="L572" i="22"/>
  <c r="M572" i="22" s="1"/>
  <c r="C573" i="22" l="1"/>
  <c r="D573" i="22" s="1"/>
  <c r="G573" i="22" s="1"/>
  <c r="H573" i="22" s="1"/>
  <c r="N573" i="22" l="1"/>
  <c r="L573" i="22"/>
  <c r="M573" i="22" s="1"/>
  <c r="J573" i="22"/>
  <c r="C574" i="22"/>
  <c r="D574" i="22" l="1"/>
  <c r="G574" i="22" s="1"/>
  <c r="H574" i="22" s="1"/>
  <c r="N574" i="22" l="1"/>
  <c r="L574" i="22"/>
  <c r="M574" i="22" s="1"/>
  <c r="C575" i="22"/>
  <c r="J574" i="22"/>
  <c r="D575" i="22" l="1"/>
  <c r="G575" i="22" s="1"/>
  <c r="H575" i="22" s="1"/>
  <c r="N575" i="22" l="1"/>
  <c r="L575" i="22"/>
  <c r="M575" i="22" s="1"/>
  <c r="J575" i="22"/>
  <c r="C576" i="22"/>
  <c r="D576" i="22" l="1"/>
  <c r="G576" i="22" s="1"/>
  <c r="H576" i="22" s="1"/>
  <c r="N576" i="22" l="1"/>
  <c r="L576" i="22"/>
  <c r="M576" i="22" s="1"/>
  <c r="J576" i="22"/>
  <c r="C577" i="22"/>
  <c r="D577" i="22" l="1"/>
  <c r="G577" i="22" s="1"/>
  <c r="H577" i="22" s="1"/>
  <c r="N577" i="22" l="1"/>
  <c r="L577" i="22"/>
  <c r="M577" i="22" s="1"/>
  <c r="J577" i="22"/>
  <c r="C578" i="22"/>
  <c r="D578" i="22" l="1"/>
  <c r="G578" i="22" s="1"/>
  <c r="H578" i="22" s="1"/>
  <c r="N578" i="22" l="1"/>
  <c r="L578" i="22"/>
  <c r="M578" i="22" s="1"/>
  <c r="J578" i="22"/>
  <c r="C579" i="22"/>
  <c r="D579" i="22" l="1"/>
  <c r="G579" i="22" s="1"/>
  <c r="H579" i="22" s="1"/>
  <c r="N579" i="22" l="1"/>
  <c r="L579" i="22"/>
  <c r="M579" i="22" s="1"/>
  <c r="J579" i="22"/>
  <c r="C580" i="22"/>
  <c r="D580" i="22" l="1"/>
  <c r="G580" i="22" s="1"/>
  <c r="H580" i="22" s="1"/>
  <c r="N580" i="22" l="1"/>
  <c r="L580" i="22"/>
  <c r="M580" i="22" s="1"/>
  <c r="C581" i="22"/>
  <c r="J580" i="22"/>
  <c r="D581" i="22" l="1"/>
  <c r="G581" i="22" l="1"/>
  <c r="H581" i="22" s="1"/>
  <c r="J581" i="22" s="1"/>
  <c r="N581" i="22"/>
  <c r="L581" i="22"/>
  <c r="M581" i="22" s="1"/>
  <c r="C582" i="22" l="1"/>
  <c r="D582" i="22" s="1"/>
  <c r="G582" i="22" s="1"/>
  <c r="H582" i="22" s="1"/>
  <c r="N582" i="22" l="1"/>
  <c r="L582" i="22"/>
  <c r="M582" i="22" s="1"/>
  <c r="C583" i="22"/>
  <c r="J582" i="22"/>
  <c r="D583" i="22" l="1"/>
  <c r="G583" i="22" l="1"/>
  <c r="H583" i="22" s="1"/>
  <c r="J583" i="22" s="1"/>
  <c r="N583" i="22"/>
  <c r="L583" i="22"/>
  <c r="M583" i="22" s="1"/>
  <c r="C584" i="22" l="1"/>
  <c r="D584" i="22" s="1"/>
  <c r="G584" i="22" s="1"/>
  <c r="H584" i="22" s="1"/>
  <c r="N584" i="22" l="1"/>
  <c r="L584" i="22"/>
  <c r="M584" i="22" s="1"/>
  <c r="J584" i="22"/>
  <c r="C585" i="22"/>
  <c r="D585" i="22" l="1"/>
  <c r="G585" i="22" s="1"/>
  <c r="H585" i="22" s="1"/>
  <c r="N585" i="22" l="1"/>
  <c r="L585" i="22"/>
  <c r="M585" i="22" s="1"/>
  <c r="J585" i="22"/>
  <c r="C586" i="22"/>
  <c r="D586" i="22" l="1"/>
  <c r="G586" i="22" s="1"/>
  <c r="H586" i="22" s="1"/>
  <c r="N586" i="22" l="1"/>
  <c r="L586" i="22"/>
  <c r="M586" i="22" s="1"/>
  <c r="J586" i="22"/>
  <c r="C587" i="22"/>
  <c r="D587" i="22" l="1"/>
  <c r="G587" i="22" s="1"/>
  <c r="H587" i="22" s="1"/>
  <c r="N587" i="22" l="1"/>
  <c r="L587" i="22"/>
  <c r="M587" i="22" s="1"/>
  <c r="J587" i="22"/>
  <c r="C588" i="22"/>
  <c r="D588" i="22" l="1"/>
  <c r="G588" i="22" s="1"/>
  <c r="H588" i="22" s="1"/>
  <c r="N588" i="22" l="1"/>
  <c r="L588" i="22"/>
  <c r="M588" i="22" s="1"/>
  <c r="C589" i="22"/>
  <c r="J588" i="22"/>
  <c r="D589" i="22" l="1"/>
  <c r="G589" i="22" s="1"/>
  <c r="H589" i="22" s="1"/>
  <c r="N589" i="22" l="1"/>
  <c r="L589" i="22"/>
  <c r="M589" i="22" s="1"/>
  <c r="J589" i="22"/>
  <c r="C590" i="22"/>
  <c r="D590" i="22" l="1"/>
  <c r="G590" i="22" l="1"/>
  <c r="H590" i="22" s="1"/>
  <c r="J590" i="22" s="1"/>
  <c r="N590" i="22"/>
  <c r="L590" i="22"/>
  <c r="M590" i="22" s="1"/>
  <c r="C591" i="22" l="1"/>
  <c r="D591" i="22" s="1"/>
  <c r="G591" i="22" s="1"/>
  <c r="H591" i="22" s="1"/>
  <c r="N591" i="22" l="1"/>
  <c r="L591" i="22"/>
  <c r="M591" i="22" s="1"/>
  <c r="J591" i="22"/>
  <c r="C592" i="22"/>
  <c r="D592" i="22" l="1"/>
  <c r="G592" i="22" s="1"/>
  <c r="H592" i="22" s="1"/>
  <c r="N592" i="22" l="1"/>
  <c r="L592" i="22"/>
  <c r="M592" i="22" s="1"/>
  <c r="C593" i="22"/>
  <c r="J592" i="22"/>
  <c r="D593" i="22" l="1"/>
  <c r="G593" i="22" s="1"/>
  <c r="H593" i="22" s="1"/>
  <c r="N593" i="22" l="1"/>
  <c r="L593" i="22"/>
  <c r="M593" i="22" s="1"/>
  <c r="J593" i="22"/>
  <c r="C594" i="22"/>
  <c r="D594" i="22" l="1"/>
  <c r="G594" i="22" s="1"/>
  <c r="H594" i="22" s="1"/>
  <c r="N594" i="22" l="1"/>
  <c r="L594" i="22"/>
  <c r="M594" i="22" s="1"/>
  <c r="J594" i="22"/>
  <c r="C595" i="22"/>
  <c r="D595" i="22" l="1"/>
  <c r="G595" i="22" s="1"/>
  <c r="H595" i="22" s="1"/>
  <c r="N595" i="22" l="1"/>
  <c r="L595" i="22"/>
  <c r="M595" i="22" s="1"/>
  <c r="C596" i="22"/>
  <c r="J595" i="22"/>
  <c r="D596" i="22" l="1"/>
  <c r="G596" i="22" s="1"/>
  <c r="H596" i="22" s="1"/>
  <c r="N596" i="22" l="1"/>
  <c r="L596" i="22"/>
  <c r="M596" i="22" s="1"/>
  <c r="C597" i="22"/>
  <c r="J596" i="22"/>
  <c r="D597" i="22" l="1"/>
  <c r="G597" i="22" s="1"/>
  <c r="H597" i="22" s="1"/>
  <c r="N597" i="22" l="1"/>
  <c r="L597" i="22"/>
  <c r="M597" i="22" s="1"/>
  <c r="J597" i="22"/>
  <c r="C598" i="22"/>
  <c r="D598" i="22" l="1"/>
  <c r="G598" i="22" s="1"/>
  <c r="H598" i="22" s="1"/>
  <c r="N598" i="22" l="1"/>
  <c r="L598" i="22"/>
  <c r="M598" i="22" s="1"/>
  <c r="J598" i="22"/>
  <c r="C599" i="22"/>
  <c r="D599" i="22" l="1"/>
  <c r="G599" i="22" s="1"/>
  <c r="H599" i="22" s="1"/>
  <c r="N599" i="22" l="1"/>
  <c r="L599" i="22"/>
  <c r="M599" i="22" s="1"/>
  <c r="J599" i="22"/>
  <c r="C600" i="22"/>
  <c r="D600" i="22" l="1"/>
  <c r="G600" i="22" s="1"/>
  <c r="H600" i="22" s="1"/>
  <c r="N600" i="22" l="1"/>
  <c r="L600" i="22"/>
  <c r="M600" i="22" s="1"/>
  <c r="C601" i="22"/>
  <c r="J600" i="22"/>
  <c r="D601" i="22" l="1"/>
  <c r="G601" i="22" s="1"/>
  <c r="H601" i="22" s="1"/>
  <c r="N601" i="22" l="1"/>
  <c r="L601" i="22"/>
  <c r="M601" i="22" s="1"/>
  <c r="J601" i="22"/>
  <c r="C602" i="22"/>
  <c r="D602" i="22" l="1"/>
  <c r="G602" i="22" s="1"/>
  <c r="H602" i="22" s="1"/>
  <c r="N602" i="22" l="1"/>
  <c r="L602" i="22"/>
  <c r="M602" i="22" s="1"/>
  <c r="C603" i="22"/>
  <c r="J602" i="22"/>
  <c r="D603" i="22" l="1"/>
  <c r="G603" i="22" s="1"/>
  <c r="H603" i="22" s="1"/>
  <c r="N603" i="22" l="1"/>
  <c r="L603" i="22"/>
  <c r="M603" i="22" s="1"/>
  <c r="J603" i="22"/>
  <c r="C604" i="22"/>
  <c r="D604" i="22" l="1"/>
  <c r="G604" i="22" s="1"/>
  <c r="H604" i="22" s="1"/>
  <c r="N604" i="22" l="1"/>
  <c r="L604" i="22"/>
  <c r="M604" i="22" s="1"/>
  <c r="C605" i="22"/>
  <c r="J604" i="22"/>
  <c r="D605" i="22" l="1"/>
  <c r="G605" i="22" s="1"/>
  <c r="H605" i="22" s="1"/>
  <c r="N605" i="22" l="1"/>
  <c r="L605" i="22"/>
  <c r="M605" i="22" s="1"/>
  <c r="J605" i="22"/>
  <c r="C606" i="22"/>
  <c r="D606" i="22" l="1"/>
  <c r="G606" i="22" s="1"/>
  <c r="H606" i="22" s="1"/>
  <c r="N606" i="22" l="1"/>
  <c r="L606" i="22"/>
  <c r="M606" i="22" s="1"/>
  <c r="J606" i="22"/>
  <c r="C607" i="22"/>
  <c r="D607" i="22" l="1"/>
  <c r="G607" i="22" s="1"/>
  <c r="H607" i="22" s="1"/>
  <c r="N607" i="22" l="1"/>
  <c r="L607" i="22"/>
  <c r="M607" i="22" s="1"/>
  <c r="J607" i="22"/>
  <c r="C608" i="22"/>
  <c r="D608" i="22" l="1"/>
  <c r="G608" i="22" l="1"/>
  <c r="H608" i="22" s="1"/>
  <c r="C609" i="22" s="1"/>
  <c r="N608" i="22"/>
  <c r="L608" i="22"/>
  <c r="M608" i="22" s="1"/>
  <c r="J608" i="22" l="1"/>
  <c r="D609" i="22"/>
  <c r="G609" i="22" s="1"/>
  <c r="H609" i="22" s="1"/>
  <c r="N609" i="22" l="1"/>
  <c r="L609" i="22"/>
  <c r="M609" i="22" s="1"/>
  <c r="C610" i="22"/>
  <c r="J609" i="22"/>
  <c r="D610" i="22" l="1"/>
  <c r="G610" i="22" s="1"/>
  <c r="H610" i="22" s="1"/>
  <c r="N610" i="22" l="1"/>
  <c r="L610" i="22"/>
  <c r="M610" i="22" s="1"/>
  <c r="J610" i="22"/>
  <c r="C611" i="22"/>
  <c r="D611" i="22" l="1"/>
  <c r="G611" i="22" s="1"/>
  <c r="H611" i="22" s="1"/>
  <c r="N611" i="22" l="1"/>
  <c r="L611" i="22"/>
  <c r="M611" i="22" s="1"/>
  <c r="J611" i="22"/>
  <c r="C612" i="22"/>
  <c r="D612" i="22" l="1"/>
  <c r="G612" i="22" s="1"/>
  <c r="H612" i="22" s="1"/>
  <c r="N612" i="22" l="1"/>
  <c r="L612" i="22"/>
  <c r="M612" i="22" s="1"/>
  <c r="J612" i="22"/>
  <c r="C613" i="22"/>
  <c r="D613" i="22" l="1"/>
  <c r="G613" i="22" s="1"/>
  <c r="H613" i="22" s="1"/>
  <c r="N613" i="22" l="1"/>
  <c r="L613" i="22"/>
  <c r="M613" i="22" s="1"/>
  <c r="J613" i="22"/>
  <c r="C614" i="22"/>
  <c r="D614" i="22" l="1"/>
  <c r="G614" i="22" s="1"/>
  <c r="H614" i="22" s="1"/>
  <c r="N614" i="22" l="1"/>
  <c r="L614" i="22"/>
  <c r="M614" i="22" s="1"/>
  <c r="C615" i="22"/>
  <c r="J614" i="22"/>
  <c r="D615" i="22" l="1"/>
  <c r="G615" i="22" s="1"/>
  <c r="H615" i="22" s="1"/>
  <c r="N615" i="22" l="1"/>
  <c r="L615" i="22"/>
  <c r="M615" i="22" s="1"/>
  <c r="J615" i="22"/>
  <c r="C616" i="22"/>
  <c r="D616" i="22" l="1"/>
  <c r="G616" i="22" s="1"/>
  <c r="H616" i="22" s="1"/>
  <c r="N616" i="22" l="1"/>
  <c r="L616" i="22"/>
  <c r="M616" i="22" s="1"/>
  <c r="C617" i="22"/>
  <c r="J616" i="22"/>
  <c r="D617" i="22" l="1"/>
  <c r="G617" i="22" s="1"/>
  <c r="H617" i="22" s="1"/>
  <c r="N617" i="22" l="1"/>
  <c r="L617" i="22"/>
  <c r="M617" i="22" s="1"/>
  <c r="J617" i="22"/>
  <c r="C618" i="22"/>
  <c r="D618" i="22" l="1"/>
  <c r="G618" i="22" s="1"/>
  <c r="H618" i="22" s="1"/>
  <c r="N618" i="22" l="1"/>
  <c r="L618" i="22"/>
  <c r="M618" i="22" s="1"/>
  <c r="J618" i="22"/>
  <c r="C619" i="22"/>
  <c r="D619" i="22" l="1"/>
  <c r="G619" i="22" s="1"/>
  <c r="H619" i="22" s="1"/>
  <c r="N619" i="22" l="1"/>
  <c r="L619" i="22"/>
  <c r="M619" i="22" s="1"/>
  <c r="J619" i="22"/>
  <c r="C620" i="22"/>
  <c r="D620" i="22" l="1"/>
  <c r="G620" i="22" s="1"/>
  <c r="H620" i="22" s="1"/>
  <c r="N620" i="22" l="1"/>
  <c r="L620" i="22"/>
  <c r="M620" i="22" s="1"/>
  <c r="J620" i="22"/>
  <c r="C621" i="22"/>
  <c r="D621" i="22" l="1"/>
  <c r="G621" i="22" s="1"/>
  <c r="H621" i="22" s="1"/>
  <c r="N621" i="22" l="1"/>
  <c r="L621" i="22"/>
  <c r="M621" i="22" s="1"/>
  <c r="J621" i="22"/>
  <c r="C622" i="22"/>
  <c r="D622" i="22" l="1"/>
  <c r="G622" i="22" s="1"/>
  <c r="H622" i="22" s="1"/>
  <c r="N622" i="22" l="1"/>
  <c r="L622" i="22"/>
  <c r="M622" i="22" s="1"/>
  <c r="C623" i="22"/>
  <c r="J622" i="22"/>
  <c r="D623" i="22" l="1"/>
  <c r="G623" i="22" s="1"/>
  <c r="H623" i="22" s="1"/>
  <c r="N623" i="22" l="1"/>
  <c r="L623" i="22"/>
  <c r="M623" i="22" s="1"/>
  <c r="J623" i="22"/>
  <c r="C624" i="22"/>
  <c r="D624" i="22" l="1"/>
  <c r="G624" i="22" s="1"/>
  <c r="H624" i="22" s="1"/>
  <c r="N624" i="22" l="1"/>
  <c r="L624" i="22"/>
  <c r="M624" i="22" s="1"/>
  <c r="C625" i="22"/>
  <c r="J624" i="22"/>
  <c r="D625" i="22" l="1"/>
  <c r="G625" i="22" s="1"/>
  <c r="H625" i="22" s="1"/>
  <c r="N625" i="22" l="1"/>
  <c r="L625" i="22"/>
  <c r="M625" i="22" s="1"/>
  <c r="J625" i="22"/>
  <c r="C626" i="22"/>
  <c r="D626" i="22" l="1"/>
  <c r="G626" i="22" s="1"/>
  <c r="H626" i="22" s="1"/>
  <c r="N626" i="22" l="1"/>
  <c r="L626" i="22"/>
  <c r="M626" i="22" s="1"/>
  <c r="J626" i="22"/>
  <c r="C627" i="22"/>
  <c r="D627" i="22" l="1"/>
  <c r="G627" i="22" s="1"/>
  <c r="H627" i="22" s="1"/>
  <c r="N627" i="22" l="1"/>
  <c r="L627" i="22"/>
  <c r="M627" i="22" s="1"/>
  <c r="J627" i="22"/>
  <c r="C628" i="22"/>
  <c r="D628" i="22" l="1"/>
  <c r="G628" i="22" s="1"/>
  <c r="H628" i="22" s="1"/>
  <c r="N628" i="22" l="1"/>
  <c r="L628" i="22"/>
  <c r="M628" i="22" s="1"/>
  <c r="J628" i="22"/>
  <c r="C629" i="22"/>
  <c r="D629" i="22" l="1"/>
  <c r="G629" i="22" s="1"/>
  <c r="H629" i="22" s="1"/>
  <c r="N629" i="22" l="1"/>
  <c r="L629" i="22"/>
  <c r="M629" i="22" s="1"/>
  <c r="J629" i="22"/>
  <c r="C630" i="22"/>
  <c r="D630" i="22" l="1"/>
  <c r="G630" i="22" s="1"/>
  <c r="H630" i="22" s="1"/>
  <c r="N630" i="22" l="1"/>
  <c r="L630" i="22"/>
  <c r="M630" i="22" s="1"/>
  <c r="C631" i="22"/>
  <c r="J630" i="22"/>
  <c r="D631" i="22" l="1"/>
  <c r="G631" i="22" s="1"/>
  <c r="H631" i="22" s="1"/>
  <c r="N631" i="22" l="1"/>
  <c r="L631" i="22"/>
  <c r="M631" i="22" s="1"/>
  <c r="J631" i="22"/>
  <c r="C632" i="22"/>
  <c r="D632" i="22" l="1"/>
  <c r="G632" i="22" s="1"/>
  <c r="H632" i="22" s="1"/>
  <c r="N632" i="22" l="1"/>
  <c r="L632" i="22"/>
  <c r="M632" i="22" s="1"/>
  <c r="C633" i="22"/>
  <c r="J632" i="22"/>
  <c r="D633" i="22" l="1"/>
  <c r="G633" i="22" s="1"/>
  <c r="H633" i="22" s="1"/>
  <c r="N633" i="22" l="1"/>
  <c r="L633" i="22"/>
  <c r="M633" i="22" s="1"/>
  <c r="J633" i="22"/>
  <c r="C634" i="22"/>
  <c r="D634" i="22" l="1"/>
  <c r="G634" i="22" s="1"/>
  <c r="H634" i="22" s="1"/>
  <c r="N634" i="22" l="1"/>
  <c r="L634" i="22"/>
  <c r="M634" i="22" s="1"/>
  <c r="J634" i="22"/>
  <c r="C635" i="22"/>
  <c r="D635" i="22" l="1"/>
  <c r="G635" i="22" s="1"/>
  <c r="H635" i="22" s="1"/>
  <c r="N635" i="22" l="1"/>
  <c r="L635" i="22"/>
  <c r="M635" i="22" s="1"/>
  <c r="J635" i="22"/>
  <c r="C636" i="22"/>
  <c r="D636" i="22" l="1"/>
  <c r="G636" i="22" s="1"/>
  <c r="H636" i="22" s="1"/>
  <c r="N636" i="22" l="1"/>
  <c r="L636" i="22"/>
  <c r="M636" i="22" s="1"/>
  <c r="J636" i="22"/>
  <c r="C637" i="22"/>
  <c r="D637" i="22" l="1"/>
  <c r="G637" i="22" s="1"/>
  <c r="H637" i="22" s="1"/>
  <c r="N637" i="22" l="1"/>
  <c r="L637" i="22"/>
  <c r="M637" i="22" s="1"/>
  <c r="J637" i="22"/>
  <c r="C638" i="22"/>
  <c r="D638" i="22" l="1"/>
  <c r="G638" i="22" s="1"/>
  <c r="H638" i="22" s="1"/>
  <c r="N638" i="22" l="1"/>
  <c r="L638" i="22"/>
  <c r="M638" i="22" s="1"/>
  <c r="C639" i="22"/>
  <c r="J638" i="22"/>
  <c r="D639" i="22" l="1"/>
  <c r="G639" i="22" s="1"/>
  <c r="H639" i="22" s="1"/>
  <c r="N639" i="22" l="1"/>
  <c r="L639" i="22"/>
  <c r="M639" i="22" s="1"/>
  <c r="J639" i="22"/>
  <c r="C640" i="22"/>
  <c r="D640" i="22" l="1"/>
  <c r="G640" i="22" s="1"/>
  <c r="H640" i="22" s="1"/>
  <c r="N640" i="22" l="1"/>
  <c r="L640" i="22"/>
  <c r="M640" i="22" s="1"/>
  <c r="C641" i="22"/>
  <c r="J640" i="22"/>
  <c r="D641" i="22" l="1"/>
  <c r="G641" i="22" s="1"/>
  <c r="H641" i="22" s="1"/>
  <c r="N641" i="22" l="1"/>
  <c r="L641" i="22"/>
  <c r="M641" i="22" s="1"/>
  <c r="J641" i="22"/>
  <c r="C642" i="22"/>
  <c r="D642" i="22" l="1"/>
  <c r="G642" i="22" s="1"/>
  <c r="H642" i="22" s="1"/>
  <c r="N642" i="22" l="1"/>
  <c r="L642" i="22"/>
  <c r="M642" i="22" s="1"/>
  <c r="J642" i="22"/>
  <c r="C643" i="22"/>
  <c r="D643" i="22" l="1"/>
  <c r="G643" i="22" s="1"/>
  <c r="H643" i="22" s="1"/>
  <c r="N643" i="22" l="1"/>
  <c r="L643" i="22"/>
  <c r="M643" i="22" s="1"/>
  <c r="J643" i="22"/>
  <c r="C644" i="22"/>
  <c r="D644" i="22" l="1"/>
  <c r="G644" i="22" s="1"/>
  <c r="H644" i="22" s="1"/>
  <c r="N644" i="22" l="1"/>
  <c r="L644" i="22"/>
  <c r="M644" i="22" s="1"/>
  <c r="J644" i="22"/>
  <c r="C645" i="22"/>
  <c r="D645" i="22" l="1"/>
  <c r="G645" i="22" s="1"/>
  <c r="H645" i="22" s="1"/>
  <c r="N645" i="22" l="1"/>
  <c r="L645" i="22"/>
  <c r="M645" i="22" s="1"/>
  <c r="J645" i="22"/>
  <c r="C646" i="22"/>
  <c r="D646" i="22" l="1"/>
  <c r="G646" i="22" s="1"/>
  <c r="H646" i="22" s="1"/>
  <c r="N646" i="22" l="1"/>
  <c r="L646" i="22"/>
  <c r="M646" i="22" s="1"/>
  <c r="C647" i="22"/>
  <c r="J646" i="22"/>
  <c r="D647" i="22" l="1"/>
  <c r="G647" i="22" s="1"/>
  <c r="H647" i="22" s="1"/>
  <c r="N647" i="22" l="1"/>
  <c r="L647" i="22"/>
  <c r="M647" i="22" s="1"/>
  <c r="J647" i="22"/>
  <c r="C648" i="22"/>
  <c r="D648" i="22" l="1"/>
  <c r="G648" i="22" s="1"/>
  <c r="H648" i="22" s="1"/>
  <c r="N648" i="22" l="1"/>
  <c r="L648" i="22"/>
  <c r="M648" i="22" s="1"/>
  <c r="C649" i="22"/>
  <c r="J648" i="22"/>
  <c r="D649" i="22" l="1"/>
  <c r="G649" i="22" s="1"/>
  <c r="H649" i="22" s="1"/>
  <c r="N649" i="22" l="1"/>
  <c r="L649" i="22"/>
  <c r="M649" i="22" s="1"/>
  <c r="J649" i="22"/>
  <c r="C650" i="22"/>
  <c r="D650" i="22" l="1"/>
  <c r="G650" i="22" s="1"/>
  <c r="H650" i="22" s="1"/>
  <c r="N650" i="22" l="1"/>
  <c r="L650" i="22"/>
  <c r="M650" i="22" s="1"/>
  <c r="T51" i="22"/>
  <c r="F8" i="21" s="1"/>
  <c r="F16" i="21" s="1"/>
  <c r="G16" i="21" s="1"/>
  <c r="M3" i="21" s="1"/>
  <c r="J650" i="22"/>
  <c r="C651" i="22"/>
  <c r="D651" i="22" l="1"/>
  <c r="G651" i="22" s="1"/>
  <c r="H651" i="22" s="1"/>
  <c r="N651" i="22" l="1"/>
  <c r="L651" i="22"/>
  <c r="M651" i="22" s="1"/>
  <c r="J651" i="22"/>
  <c r="C652" i="22"/>
  <c r="D652" i="22" l="1"/>
  <c r="G652" i="22" s="1"/>
  <c r="H652" i="22" s="1"/>
  <c r="N652" i="22" l="1"/>
  <c r="L652" i="22"/>
  <c r="M652" i="22" s="1"/>
  <c r="J652" i="22"/>
  <c r="C653" i="22"/>
  <c r="D653" i="22" l="1"/>
  <c r="G653" i="22" s="1"/>
  <c r="H653" i="22" s="1"/>
  <c r="N653" i="22" l="1"/>
  <c r="L653" i="22"/>
  <c r="M653" i="22" s="1"/>
  <c r="J653" i="22"/>
  <c r="C654" i="22"/>
  <c r="D654" i="22" l="1"/>
  <c r="G654" i="22" s="1"/>
  <c r="H654" i="22" s="1"/>
  <c r="N654" i="22" l="1"/>
  <c r="L654" i="22"/>
  <c r="M654" i="22" s="1"/>
  <c r="C655" i="22"/>
  <c r="J654" i="22"/>
  <c r="D655" i="22" l="1"/>
  <c r="G655" i="22" s="1"/>
  <c r="H655" i="22" s="1"/>
  <c r="N655" i="22" l="1"/>
  <c r="L655" i="22"/>
  <c r="M655" i="22" s="1"/>
  <c r="J655" i="22"/>
  <c r="C656" i="22"/>
  <c r="D656" i="22" l="1"/>
  <c r="G656" i="22" s="1"/>
  <c r="H656" i="22" s="1"/>
  <c r="N656" i="22" l="1"/>
  <c r="L656" i="22"/>
  <c r="M656" i="22" s="1"/>
  <c r="C657" i="22"/>
  <c r="J656" i="22"/>
  <c r="D657" i="22" l="1"/>
  <c r="G657" i="22" s="1"/>
  <c r="H657" i="22" s="1"/>
  <c r="N657" i="22" l="1"/>
  <c r="L657" i="22"/>
  <c r="M657" i="22" s="1"/>
  <c r="J657" i="22"/>
  <c r="C658" i="22"/>
  <c r="D658" i="22" l="1"/>
  <c r="G658" i="22" s="1"/>
  <c r="H658" i="22" s="1"/>
  <c r="N658" i="22" l="1"/>
  <c r="L658" i="22"/>
  <c r="M658" i="22" s="1"/>
  <c r="J658" i="22"/>
  <c r="C659" i="22"/>
  <c r="D659" i="22" l="1"/>
  <c r="G659" i="22" l="1"/>
  <c r="H659" i="22" s="1"/>
  <c r="J659" i="22" s="1"/>
  <c r="N659" i="22"/>
  <c r="L659" i="22"/>
  <c r="M659" i="22" s="1"/>
  <c r="C660" i="22" l="1"/>
  <c r="D660" i="22" s="1"/>
  <c r="G660" i="22" s="1"/>
  <c r="H660" i="22" s="1"/>
  <c r="N660" i="22" l="1"/>
  <c r="L660" i="22"/>
  <c r="M660" i="22" s="1"/>
  <c r="J660" i="22"/>
  <c r="C661" i="22"/>
  <c r="D661" i="22" l="1"/>
  <c r="G661" i="22" s="1"/>
  <c r="H661" i="22" s="1"/>
  <c r="N661" i="22" l="1"/>
  <c r="L661" i="22"/>
  <c r="M661" i="22" s="1"/>
  <c r="J661" i="22"/>
  <c r="C662" i="22"/>
  <c r="D662" i="22" l="1"/>
  <c r="G662" i="22" l="1"/>
  <c r="H662" i="22" s="1"/>
  <c r="C663" i="22" s="1"/>
  <c r="N662" i="22"/>
  <c r="L662" i="22"/>
  <c r="M662" i="22" s="1"/>
  <c r="J662" i="22" l="1"/>
  <c r="D663" i="22"/>
  <c r="G663" i="22" s="1"/>
  <c r="H663" i="22" s="1"/>
  <c r="N663" i="22" l="1"/>
  <c r="L663" i="22"/>
  <c r="M663" i="22" s="1"/>
  <c r="J663" i="22"/>
  <c r="C664" i="22"/>
  <c r="D664" i="22" l="1"/>
  <c r="G664" i="22" s="1"/>
  <c r="H664" i="22" s="1"/>
  <c r="N664" i="22" l="1"/>
  <c r="L664" i="22"/>
  <c r="M664" i="22" s="1"/>
  <c r="C665" i="22"/>
  <c r="J664" i="22"/>
  <c r="D665" i="22" l="1"/>
  <c r="G665" i="22" l="1"/>
  <c r="H665" i="22" s="1"/>
  <c r="J665" i="22" s="1"/>
  <c r="N665" i="22"/>
  <c r="L665" i="22"/>
  <c r="M665" i="22" s="1"/>
  <c r="C666" i="22" l="1"/>
  <c r="D666" i="22" s="1"/>
  <c r="G666" i="22" s="1"/>
  <c r="H666" i="22" s="1"/>
  <c r="N666" i="22" l="1"/>
  <c r="L666" i="22"/>
  <c r="M666" i="22" s="1"/>
  <c r="J666" i="22"/>
  <c r="C667" i="22"/>
  <c r="D667" i="22" l="1"/>
  <c r="G667" i="22" s="1"/>
  <c r="H667" i="22" s="1"/>
  <c r="N667" i="22" l="1"/>
  <c r="L667" i="22"/>
  <c r="M667" i="22" s="1"/>
  <c r="J667" i="22"/>
  <c r="C668" i="22"/>
  <c r="D668" i="22" l="1"/>
  <c r="G668" i="22" s="1"/>
  <c r="H668" i="22" s="1"/>
  <c r="N668" i="22" l="1"/>
  <c r="L668" i="22"/>
  <c r="M668" i="22" s="1"/>
  <c r="J668" i="22"/>
  <c r="C669" i="22"/>
  <c r="D669" i="22" l="1"/>
  <c r="G669" i="22" s="1"/>
  <c r="H669" i="22" s="1"/>
  <c r="N669" i="22" l="1"/>
  <c r="L669" i="22"/>
  <c r="M669" i="22" s="1"/>
  <c r="J669" i="22"/>
  <c r="C670" i="22"/>
  <c r="D670" i="22" l="1"/>
  <c r="G670" i="22" s="1"/>
  <c r="H670" i="22" s="1"/>
  <c r="N670" i="22" l="1"/>
  <c r="L670" i="22"/>
  <c r="M670" i="22" s="1"/>
  <c r="C671" i="22"/>
  <c r="J670" i="22"/>
  <c r="D671" i="22" l="1"/>
  <c r="G671" i="22" s="1"/>
  <c r="H671" i="22" s="1"/>
  <c r="N671" i="22" l="1"/>
  <c r="L671" i="22"/>
  <c r="M671" i="22" s="1"/>
  <c r="J671" i="22"/>
  <c r="C672" i="22"/>
  <c r="D672" i="22" l="1"/>
  <c r="G672" i="22" s="1"/>
  <c r="H672" i="22" s="1"/>
  <c r="N672" i="22" l="1"/>
  <c r="L672" i="22"/>
  <c r="M672" i="22" s="1"/>
  <c r="C673" i="22"/>
  <c r="J672" i="22"/>
  <c r="D673" i="22" l="1"/>
  <c r="G673" i="22" s="1"/>
  <c r="H673" i="22" s="1"/>
  <c r="N673" i="22" l="1"/>
  <c r="L673" i="22"/>
  <c r="M673" i="22" s="1"/>
  <c r="C674" i="22"/>
  <c r="J673" i="22"/>
  <c r="D674" i="22" l="1"/>
  <c r="G674" i="22" s="1"/>
  <c r="H674" i="22" s="1"/>
  <c r="N674" i="22" l="1"/>
  <c r="L674" i="22"/>
  <c r="M674" i="22" s="1"/>
  <c r="J674" i="22"/>
  <c r="C675" i="22"/>
  <c r="D675" i="22" l="1"/>
  <c r="G675" i="22" s="1"/>
  <c r="H675" i="22" s="1"/>
  <c r="N675" i="22" l="1"/>
  <c r="L675" i="22"/>
  <c r="M675" i="22" s="1"/>
  <c r="J675" i="22"/>
  <c r="C676" i="22"/>
  <c r="D676" i="22" l="1"/>
  <c r="G676" i="22" s="1"/>
  <c r="H676" i="22" s="1"/>
  <c r="N676" i="22" l="1"/>
  <c r="L676" i="22"/>
  <c r="M676" i="22" s="1"/>
  <c r="J676" i="22"/>
  <c r="C677" i="22"/>
  <c r="D677" i="22" l="1"/>
  <c r="G677" i="22" s="1"/>
  <c r="H677" i="22" s="1"/>
  <c r="N677" i="22" l="1"/>
  <c r="L677" i="22"/>
  <c r="M677" i="22" s="1"/>
  <c r="J677" i="22"/>
  <c r="C678" i="22"/>
  <c r="D678" i="22" l="1"/>
  <c r="G678" i="22" s="1"/>
  <c r="H678" i="22" s="1"/>
  <c r="N678" i="22" l="1"/>
  <c r="L678" i="22"/>
  <c r="M678" i="22" s="1"/>
  <c r="C679" i="22"/>
  <c r="J678" i="22"/>
  <c r="D679" i="22" l="1"/>
  <c r="G679" i="22" s="1"/>
  <c r="H679" i="22" s="1"/>
  <c r="N679" i="22" l="1"/>
  <c r="L679" i="22"/>
  <c r="M679" i="22" s="1"/>
  <c r="J679" i="22"/>
  <c r="C680" i="22"/>
  <c r="D680" i="22" l="1"/>
  <c r="G680" i="22" s="1"/>
  <c r="H680" i="22" s="1"/>
  <c r="N680" i="22" l="1"/>
  <c r="L680" i="22"/>
  <c r="M680" i="22" s="1"/>
  <c r="C681" i="22"/>
  <c r="J680" i="22"/>
  <c r="D681" i="22" l="1"/>
  <c r="G681" i="22" s="1"/>
  <c r="H681" i="22" s="1"/>
  <c r="N681" i="22" l="1"/>
  <c r="L681" i="22"/>
  <c r="M681" i="22" s="1"/>
  <c r="J681" i="22"/>
  <c r="C682" i="22"/>
  <c r="D682" i="22" l="1"/>
  <c r="G682" i="22" s="1"/>
  <c r="H682" i="22" s="1"/>
  <c r="N682" i="22" l="1"/>
  <c r="L682" i="22"/>
  <c r="M682" i="22" s="1"/>
  <c r="J682" i="22"/>
  <c r="C683" i="22"/>
  <c r="D683" i="22" l="1"/>
  <c r="G683" i="22" s="1"/>
  <c r="H683" i="22" s="1"/>
  <c r="N683" i="22" l="1"/>
  <c r="L683" i="22"/>
  <c r="M683" i="22" s="1"/>
  <c r="J683" i="22"/>
  <c r="C684" i="22"/>
  <c r="D684" i="22" l="1"/>
  <c r="G684" i="22" s="1"/>
  <c r="H684" i="22" s="1"/>
  <c r="N684" i="22" l="1"/>
  <c r="L684" i="22"/>
  <c r="M684" i="22" s="1"/>
  <c r="J684" i="22"/>
  <c r="C685" i="22"/>
  <c r="D685" i="22" l="1"/>
  <c r="G685" i="22" s="1"/>
  <c r="H685" i="22" s="1"/>
  <c r="N685" i="22" l="1"/>
  <c r="L685" i="22"/>
  <c r="M685" i="22" s="1"/>
  <c r="J685" i="22"/>
  <c r="C686" i="22"/>
  <c r="D686" i="22" l="1"/>
  <c r="G686" i="22" s="1"/>
  <c r="H686" i="22" s="1"/>
  <c r="N686" i="22" l="1"/>
  <c r="L686" i="22"/>
  <c r="M686" i="22" s="1"/>
  <c r="C687" i="22"/>
  <c r="J686" i="22"/>
  <c r="D687" i="22" l="1"/>
  <c r="G687" i="22" s="1"/>
  <c r="H687" i="22" s="1"/>
  <c r="N687" i="22" l="1"/>
  <c r="L687" i="22"/>
  <c r="M687" i="22" s="1"/>
  <c r="J687" i="22"/>
  <c r="C688" i="22"/>
  <c r="D688" i="22" l="1"/>
  <c r="G688" i="22" s="1"/>
  <c r="H688" i="22" s="1"/>
  <c r="N688" i="22" l="1"/>
  <c r="L688" i="22"/>
  <c r="M688" i="22" s="1"/>
  <c r="C689" i="22"/>
  <c r="J688" i="22"/>
  <c r="D689" i="22" l="1"/>
  <c r="G689" i="22" s="1"/>
  <c r="H689" i="22" s="1"/>
  <c r="N689" i="22" l="1"/>
  <c r="L689" i="22"/>
  <c r="M689" i="22" s="1"/>
  <c r="J689" i="22"/>
  <c r="C690" i="22"/>
  <c r="D690" i="22" l="1"/>
  <c r="G690" i="22" s="1"/>
  <c r="H690" i="22" s="1"/>
  <c r="N690" i="22" l="1"/>
  <c r="L690" i="22"/>
  <c r="M690" i="22" s="1"/>
  <c r="J690" i="22"/>
  <c r="C691" i="22"/>
  <c r="D691" i="22" l="1"/>
  <c r="G691" i="22" s="1"/>
  <c r="H691" i="22" s="1"/>
  <c r="N691" i="22" l="1"/>
  <c r="L691" i="22"/>
  <c r="M691" i="22" s="1"/>
  <c r="J691" i="22"/>
  <c r="C692" i="22"/>
  <c r="D692" i="22" l="1"/>
  <c r="G692" i="22" s="1"/>
  <c r="H692" i="22" s="1"/>
  <c r="N692" i="22" l="1"/>
  <c r="L692" i="22"/>
  <c r="M692" i="22" s="1"/>
  <c r="C693" i="22"/>
  <c r="J692" i="22"/>
  <c r="D693" i="22" l="1"/>
  <c r="G693" i="22" s="1"/>
  <c r="H693" i="22" s="1"/>
  <c r="N693" i="22" l="1"/>
  <c r="L693" i="22"/>
  <c r="M693" i="22" s="1"/>
  <c r="J693" i="22"/>
  <c r="C694" i="22"/>
  <c r="D694" i="22" l="1"/>
  <c r="G694" i="22" s="1"/>
  <c r="H694" i="22" s="1"/>
  <c r="N694" i="22" l="1"/>
  <c r="L694" i="22"/>
  <c r="M694" i="22" s="1"/>
  <c r="C695" i="22"/>
  <c r="J694" i="22"/>
  <c r="D695" i="22" l="1"/>
  <c r="G695" i="22" s="1"/>
  <c r="H695" i="22" s="1"/>
  <c r="N695" i="22" l="1"/>
  <c r="L695" i="22"/>
  <c r="M695" i="22" s="1"/>
  <c r="J695" i="22"/>
  <c r="C696" i="22"/>
  <c r="D696" i="22" l="1"/>
  <c r="G696" i="22" s="1"/>
  <c r="H696" i="22" s="1"/>
  <c r="N696" i="22" l="1"/>
  <c r="L696" i="22"/>
  <c r="M696" i="22" s="1"/>
  <c r="C697" i="22"/>
  <c r="J696" i="22"/>
  <c r="D697" i="22" l="1"/>
  <c r="G697" i="22" s="1"/>
  <c r="H697" i="22" s="1"/>
  <c r="N697" i="22" l="1"/>
  <c r="L697" i="22"/>
  <c r="M697" i="22" s="1"/>
  <c r="C698" i="22"/>
  <c r="J697" i="22"/>
  <c r="D698" i="22" l="1"/>
  <c r="G698" i="22" s="1"/>
  <c r="H698" i="22" s="1"/>
  <c r="N698" i="22" l="1"/>
  <c r="L698" i="22"/>
  <c r="M698" i="22" s="1"/>
  <c r="J698" i="22"/>
  <c r="C699" i="22"/>
  <c r="D699" i="22" l="1"/>
  <c r="G699" i="22" s="1"/>
  <c r="H699" i="22" s="1"/>
  <c r="N699" i="22" l="1"/>
  <c r="L699" i="22"/>
  <c r="M699" i="22" s="1"/>
  <c r="J699" i="22"/>
  <c r="C700" i="22"/>
  <c r="D700" i="22" l="1"/>
  <c r="G700" i="22" s="1"/>
  <c r="H700" i="22" s="1"/>
  <c r="N700" i="22" l="1"/>
  <c r="L700" i="22"/>
  <c r="M700" i="22" s="1"/>
  <c r="J700" i="22"/>
  <c r="C701" i="22"/>
  <c r="D701" i="22" l="1"/>
  <c r="G701" i="22" s="1"/>
  <c r="H701" i="22" s="1"/>
  <c r="N701" i="22" l="1"/>
  <c r="L701" i="22"/>
  <c r="M701" i="22" s="1"/>
  <c r="J701" i="22"/>
  <c r="C702" i="22"/>
  <c r="D702" i="22" l="1"/>
  <c r="G702" i="22" s="1"/>
  <c r="H702" i="22" s="1"/>
  <c r="N702" i="22" l="1"/>
  <c r="L702" i="22"/>
  <c r="M702" i="22" s="1"/>
  <c r="C703" i="22"/>
  <c r="J702" i="22"/>
  <c r="D703" i="22" l="1"/>
  <c r="G703" i="22" s="1"/>
  <c r="H703" i="22" s="1"/>
  <c r="N703" i="22" l="1"/>
  <c r="L703" i="22"/>
  <c r="M703" i="22" s="1"/>
  <c r="J703" i="22"/>
  <c r="C704" i="22"/>
  <c r="D704" i="22" l="1"/>
  <c r="G704" i="22" s="1"/>
  <c r="H704" i="22" s="1"/>
  <c r="N704" i="22" l="1"/>
  <c r="L704" i="22"/>
  <c r="M704" i="22" s="1"/>
  <c r="C705" i="22"/>
  <c r="J704" i="22"/>
  <c r="D705" i="22" l="1"/>
  <c r="G705" i="22" s="1"/>
  <c r="H705" i="22" s="1"/>
  <c r="N705" i="22" l="1"/>
  <c r="L705" i="22"/>
  <c r="M705" i="22" s="1"/>
  <c r="J705" i="22"/>
  <c r="C706" i="22"/>
  <c r="D706" i="22" l="1"/>
  <c r="G706" i="22" s="1"/>
  <c r="H706" i="22" s="1"/>
  <c r="N706" i="22" l="1"/>
  <c r="L706" i="22"/>
  <c r="M706" i="22" s="1"/>
  <c r="J706" i="22"/>
  <c r="C707" i="22"/>
  <c r="D707" i="22" l="1"/>
  <c r="G707" i="22" s="1"/>
  <c r="H707" i="22" s="1"/>
  <c r="N707" i="22" l="1"/>
  <c r="L707" i="22"/>
  <c r="M707" i="22" s="1"/>
  <c r="J707" i="22"/>
  <c r="C708" i="22"/>
  <c r="D708" i="22" l="1"/>
  <c r="G708" i="22" s="1"/>
  <c r="H708" i="22" s="1"/>
  <c r="N708" i="22" l="1"/>
  <c r="L708" i="22"/>
  <c r="M708" i="22" s="1"/>
  <c r="J708" i="22"/>
  <c r="C709" i="22"/>
  <c r="D709" i="22" l="1"/>
  <c r="G709" i="22" s="1"/>
  <c r="H709" i="22" s="1"/>
  <c r="N709" i="22" l="1"/>
  <c r="L709" i="22"/>
  <c r="M709" i="22" s="1"/>
  <c r="J709" i="22"/>
  <c r="C710" i="22"/>
  <c r="D710" i="22" l="1"/>
  <c r="G710" i="22" s="1"/>
  <c r="H710" i="22" s="1"/>
  <c r="N710" i="22" l="1"/>
  <c r="L710" i="22"/>
  <c r="M710" i="22" s="1"/>
  <c r="C711" i="22"/>
  <c r="J710" i="22"/>
  <c r="D711" i="22" l="1"/>
  <c r="G711" i="22" s="1"/>
  <c r="H711" i="22" s="1"/>
  <c r="N711" i="22" l="1"/>
  <c r="L711" i="22"/>
  <c r="M711" i="22" s="1"/>
  <c r="J711" i="22"/>
  <c r="C712" i="22"/>
  <c r="D712" i="22" l="1"/>
  <c r="G712" i="22" s="1"/>
  <c r="H712" i="22" s="1"/>
  <c r="N712" i="22" l="1"/>
  <c r="L712" i="22"/>
  <c r="M712" i="22" s="1"/>
  <c r="C713" i="22"/>
  <c r="J712" i="22"/>
  <c r="D713" i="22" l="1"/>
  <c r="G713" i="22" s="1"/>
  <c r="H713" i="22" s="1"/>
  <c r="N713" i="22" l="1"/>
  <c r="L713" i="22"/>
  <c r="M713" i="22" s="1"/>
  <c r="J713" i="22"/>
  <c r="C714" i="22"/>
  <c r="D714" i="22" l="1"/>
  <c r="G714" i="22" s="1"/>
  <c r="H714" i="22" s="1"/>
  <c r="N714" i="22" l="1"/>
  <c r="L714" i="22"/>
  <c r="M714" i="22" s="1"/>
  <c r="J714" i="22"/>
  <c r="C715" i="22"/>
  <c r="D715" i="22" l="1"/>
  <c r="G715" i="22" s="1"/>
  <c r="H715" i="22" s="1"/>
  <c r="N715" i="22" l="1"/>
  <c r="L715" i="22"/>
  <c r="M715" i="22" s="1"/>
  <c r="J715" i="22"/>
  <c r="C716" i="22"/>
  <c r="D716" i="22" l="1"/>
  <c r="G716" i="22" s="1"/>
  <c r="H716" i="22" s="1"/>
  <c r="N716" i="22" l="1"/>
  <c r="L716" i="22"/>
  <c r="M716" i="22" s="1"/>
  <c r="J716" i="22"/>
  <c r="C717" i="22"/>
  <c r="D717" i="22" l="1"/>
  <c r="G717" i="22" s="1"/>
  <c r="H717" i="22" s="1"/>
  <c r="N717" i="22" l="1"/>
  <c r="L717" i="22"/>
  <c r="M717" i="22" s="1"/>
  <c r="J717" i="22"/>
  <c r="C718" i="22"/>
  <c r="D718" i="22" l="1"/>
  <c r="G718" i="22" s="1"/>
  <c r="H718" i="22" s="1"/>
  <c r="N718" i="22" l="1"/>
  <c r="L718" i="22"/>
  <c r="M718" i="22" s="1"/>
  <c r="C719" i="22"/>
  <c r="J718" i="22"/>
  <c r="D719" i="22" l="1"/>
  <c r="G719" i="22" s="1"/>
  <c r="H719" i="22" s="1"/>
  <c r="N719" i="22" l="1"/>
  <c r="L719" i="22"/>
  <c r="M719" i="22" s="1"/>
  <c r="J719" i="22"/>
  <c r="C720" i="22"/>
  <c r="D720" i="22" l="1"/>
  <c r="G720" i="22" s="1"/>
  <c r="H720" i="22" s="1"/>
  <c r="N720" i="22" l="1"/>
  <c r="L720" i="22"/>
  <c r="M720" i="22" s="1"/>
  <c r="C721" i="22"/>
  <c r="J720" i="22"/>
  <c r="D721" i="22" l="1"/>
  <c r="G721" i="22" s="1"/>
  <c r="H721" i="22" s="1"/>
  <c r="N721" i="22" l="1"/>
  <c r="L721" i="22"/>
  <c r="M721" i="22" s="1"/>
  <c r="J721" i="22"/>
  <c r="C722" i="22"/>
  <c r="D722" i="22" l="1"/>
  <c r="G722" i="22" s="1"/>
  <c r="H722" i="22" s="1"/>
  <c r="N722" i="22" l="1"/>
  <c r="L722" i="22"/>
  <c r="M722" i="22" s="1"/>
  <c r="J722" i="22"/>
  <c r="C723" i="22"/>
  <c r="D723" i="22" l="1"/>
  <c r="G723" i="22" s="1"/>
  <c r="H723" i="22" s="1"/>
  <c r="N723" i="22" l="1"/>
  <c r="L723" i="22"/>
  <c r="M723" i="22" s="1"/>
  <c r="J723" i="22"/>
  <c r="C724" i="22"/>
  <c r="D724" i="22" l="1"/>
  <c r="G724" i="22" s="1"/>
  <c r="H724" i="22" s="1"/>
  <c r="N724" i="22" l="1"/>
  <c r="L724" i="22"/>
  <c r="M724" i="22" s="1"/>
  <c r="J724" i="22"/>
  <c r="C725" i="22"/>
  <c r="D725" i="22" l="1"/>
  <c r="G725" i="22" s="1"/>
  <c r="H725" i="22" s="1"/>
  <c r="N725" i="22" l="1"/>
  <c r="L725" i="22"/>
  <c r="M725" i="22" s="1"/>
  <c r="J725" i="22"/>
  <c r="C726" i="22"/>
  <c r="D726" i="22" l="1"/>
  <c r="N726" i="22" s="1"/>
  <c r="G726" i="22" l="1"/>
  <c r="H726" i="22" s="1"/>
  <c r="J726" i="22" s="1"/>
  <c r="L726" i="22"/>
  <c r="M726" i="22" s="1"/>
  <c r="C727" i="22" l="1"/>
  <c r="D727" i="22" s="1"/>
  <c r="G727" i="22" l="1"/>
  <c r="H727" i="22" s="1"/>
  <c r="J727" i="22" s="1"/>
  <c r="N727" i="22"/>
  <c r="L727" i="22"/>
  <c r="M727" i="22" s="1"/>
  <c r="C728" i="22" l="1"/>
  <c r="D728" i="22" s="1"/>
  <c r="G728" i="22" s="1"/>
  <c r="H728" i="22" s="1"/>
  <c r="N728" i="22" l="1"/>
  <c r="L728" i="22"/>
  <c r="M728" i="22" s="1"/>
  <c r="C729" i="22"/>
  <c r="J728" i="22"/>
  <c r="D729" i="22" l="1"/>
  <c r="G729" i="22" s="1"/>
  <c r="H729" i="22" s="1"/>
  <c r="N729" i="22" l="1"/>
  <c r="L729" i="22"/>
  <c r="M729" i="22" s="1"/>
  <c r="J729" i="22"/>
  <c r="C730" i="22"/>
  <c r="D730" i="22" l="1"/>
  <c r="G730" i="22" s="1"/>
  <c r="H730" i="22" s="1"/>
  <c r="N730" i="22" l="1"/>
  <c r="L730" i="22"/>
  <c r="M730" i="22" s="1"/>
  <c r="J730" i="22"/>
  <c r="C731" i="22"/>
  <c r="D731" i="22" l="1"/>
  <c r="G731" i="22" s="1"/>
  <c r="H731" i="22" s="1"/>
  <c r="N731" i="22" l="1"/>
  <c r="L731" i="22"/>
  <c r="M731" i="22" s="1"/>
  <c r="J731" i="22"/>
  <c r="C732" i="22"/>
  <c r="D732" i="22" l="1"/>
  <c r="G732" i="22" s="1"/>
  <c r="H732" i="22" s="1"/>
  <c r="N732" i="22" l="1"/>
  <c r="L732" i="22"/>
  <c r="M732" i="22" s="1"/>
  <c r="J732" i="22"/>
  <c r="C733" i="22"/>
  <c r="D733" i="22" l="1"/>
  <c r="G733" i="22" s="1"/>
  <c r="H733" i="22" s="1"/>
  <c r="N733" i="22" l="1"/>
  <c r="L733" i="22"/>
  <c r="M733" i="22" s="1"/>
  <c r="J733" i="22"/>
  <c r="C734" i="22"/>
  <c r="D734" i="22" l="1"/>
  <c r="G734" i="22" s="1"/>
  <c r="H734" i="22" s="1"/>
  <c r="N734" i="22" l="1"/>
  <c r="L734" i="22"/>
  <c r="M734" i="22" s="1"/>
  <c r="C735" i="22"/>
  <c r="J734" i="22"/>
  <c r="D735" i="22" l="1"/>
  <c r="G735" i="22" s="1"/>
  <c r="H735" i="22" s="1"/>
  <c r="N735" i="22" l="1"/>
  <c r="L735" i="22"/>
  <c r="M735" i="22" s="1"/>
  <c r="J735" i="22"/>
  <c r="C736" i="22"/>
  <c r="D736" i="22" l="1"/>
  <c r="G736" i="22" s="1"/>
  <c r="H736" i="22" s="1"/>
  <c r="N736" i="22" l="1"/>
  <c r="L736" i="22"/>
  <c r="M736" i="22" s="1"/>
  <c r="C737" i="22"/>
  <c r="J736" i="22"/>
  <c r="D737" i="22" l="1"/>
  <c r="G737" i="22" s="1"/>
  <c r="H737" i="22" s="1"/>
  <c r="N737" i="22" l="1"/>
  <c r="L737" i="22"/>
  <c r="M737" i="22" s="1"/>
  <c r="J737" i="22"/>
  <c r="C738" i="22"/>
  <c r="D738" i="22" l="1"/>
  <c r="G738" i="22" s="1"/>
  <c r="H738" i="22" s="1"/>
  <c r="N738" i="22" l="1"/>
  <c r="L738" i="22"/>
  <c r="M738" i="22" s="1"/>
  <c r="J738" i="22"/>
  <c r="C739" i="22"/>
  <c r="D739" i="22" l="1"/>
  <c r="G739" i="22" s="1"/>
  <c r="H739" i="22" s="1"/>
  <c r="N739" i="22" l="1"/>
  <c r="L739" i="22"/>
  <c r="M739" i="22" s="1"/>
  <c r="J739" i="22"/>
  <c r="C740" i="22"/>
  <c r="D740" i="22" l="1"/>
  <c r="G740" i="22" s="1"/>
  <c r="H740" i="22" s="1"/>
  <c r="N740" i="22" l="1"/>
  <c r="L740" i="22"/>
  <c r="M740" i="22" s="1"/>
  <c r="J740" i="22"/>
  <c r="C741" i="22"/>
  <c r="D741" i="22" l="1"/>
  <c r="G741" i="22" s="1"/>
  <c r="H741" i="22" s="1"/>
  <c r="N741" i="22" l="1"/>
  <c r="L741" i="22"/>
  <c r="M741" i="22" s="1"/>
  <c r="J741" i="22"/>
  <c r="C742" i="22"/>
  <c r="D742" i="22" l="1"/>
  <c r="G742" i="22" s="1"/>
  <c r="H742" i="22" s="1"/>
  <c r="N742" i="22" l="1"/>
  <c r="L742" i="22"/>
  <c r="M742" i="22" s="1"/>
  <c r="C743" i="22"/>
  <c r="J742" i="22"/>
  <c r="D743" i="22" l="1"/>
  <c r="G743" i="22" s="1"/>
  <c r="H743" i="22" s="1"/>
  <c r="N743" i="22" l="1"/>
  <c r="L743" i="22"/>
  <c r="M743" i="22" s="1"/>
  <c r="J743" i="22"/>
  <c r="C744" i="22"/>
  <c r="D744" i="22" l="1"/>
  <c r="G744" i="22" s="1"/>
  <c r="H744" i="22" s="1"/>
  <c r="N744" i="22" l="1"/>
  <c r="L744" i="22"/>
  <c r="M744" i="22" s="1"/>
  <c r="C745" i="22"/>
  <c r="J744" i="22"/>
  <c r="D745" i="22" l="1"/>
  <c r="G745" i="22" s="1"/>
  <c r="H745" i="22" s="1"/>
  <c r="N745" i="22" l="1"/>
  <c r="L745" i="22"/>
  <c r="M745" i="22" s="1"/>
  <c r="J745" i="22"/>
  <c r="C746" i="22"/>
  <c r="D746" i="22" l="1"/>
  <c r="G746" i="22" s="1"/>
  <c r="H746" i="22" s="1"/>
  <c r="N746" i="22" l="1"/>
  <c r="L746" i="22"/>
  <c r="M746" i="22" s="1"/>
  <c r="J746" i="22"/>
  <c r="C747" i="22"/>
  <c r="D747" i="22" l="1"/>
  <c r="G747" i="22" s="1"/>
  <c r="H747" i="22" s="1"/>
  <c r="N747" i="22" l="1"/>
  <c r="L747" i="22"/>
  <c r="M747" i="22" s="1"/>
  <c r="J747" i="22"/>
  <c r="C748" i="22"/>
  <c r="D748" i="22" l="1"/>
  <c r="G748" i="22" s="1"/>
  <c r="H748" i="22" s="1"/>
  <c r="N748" i="22" l="1"/>
  <c r="L748" i="22"/>
  <c r="M748" i="22" s="1"/>
  <c r="J748" i="22"/>
  <c r="C749" i="22"/>
  <c r="D749" i="22" l="1"/>
  <c r="G749" i="22" s="1"/>
  <c r="H749" i="22" s="1"/>
  <c r="N749" i="22" l="1"/>
  <c r="L749" i="22"/>
  <c r="M749" i="22" s="1"/>
  <c r="J749" i="22"/>
  <c r="C750" i="22"/>
  <c r="D750" i="22" l="1"/>
  <c r="G750" i="22" s="1"/>
  <c r="H750" i="22" s="1"/>
  <c r="N750" i="22" l="1"/>
  <c r="L750" i="22"/>
  <c r="M750" i="22" s="1"/>
  <c r="C751" i="22"/>
  <c r="J750" i="22"/>
  <c r="D751" i="22" l="1"/>
  <c r="G751" i="22" s="1"/>
  <c r="H751" i="22" s="1"/>
  <c r="N751" i="22" l="1"/>
  <c r="L751" i="22"/>
  <c r="M751" i="22" s="1"/>
  <c r="C752" i="22"/>
  <c r="J751" i="22"/>
  <c r="D752" i="22" l="1"/>
  <c r="G752" i="22" s="1"/>
  <c r="H752" i="22" s="1"/>
  <c r="N752" i="22" l="1"/>
  <c r="L752" i="22"/>
  <c r="M752" i="22" s="1"/>
  <c r="C753" i="22"/>
  <c r="J752" i="22"/>
  <c r="D753" i="22" l="1"/>
  <c r="G753" i="22" s="1"/>
  <c r="H753" i="22" s="1"/>
  <c r="N753" i="22" l="1"/>
  <c r="L753" i="22"/>
  <c r="M753" i="22" s="1"/>
  <c r="J753" i="22"/>
  <c r="C754" i="22"/>
  <c r="D754" i="22" l="1"/>
  <c r="G754" i="22" s="1"/>
  <c r="H754" i="22" s="1"/>
  <c r="N754" i="22" l="1"/>
  <c r="L754" i="22"/>
  <c r="M754" i="22" s="1"/>
  <c r="J754" i="22"/>
  <c r="C755" i="22"/>
  <c r="D755" i="22" l="1"/>
  <c r="G755" i="22" s="1"/>
  <c r="H755" i="22" s="1"/>
  <c r="N755" i="22" l="1"/>
  <c r="L755" i="22"/>
  <c r="M755" i="22" s="1"/>
  <c r="J755" i="22"/>
  <c r="C756" i="22"/>
  <c r="D756" i="22" l="1"/>
  <c r="G756" i="22" s="1"/>
  <c r="H756" i="22" s="1"/>
  <c r="N756" i="22" l="1"/>
  <c r="L756" i="22"/>
  <c r="M756" i="22" s="1"/>
  <c r="C757" i="22"/>
  <c r="J756" i="22"/>
  <c r="D757" i="22" l="1"/>
  <c r="G757" i="22" s="1"/>
  <c r="H757" i="22" s="1"/>
  <c r="N757" i="22" l="1"/>
  <c r="L757" i="22"/>
  <c r="M757" i="22" s="1"/>
  <c r="J757" i="22"/>
  <c r="C758" i="22"/>
  <c r="D758" i="22" l="1"/>
  <c r="G758" i="22" s="1"/>
  <c r="H758" i="22" s="1"/>
  <c r="N758" i="22" l="1"/>
  <c r="L758" i="22"/>
  <c r="M758" i="22" s="1"/>
  <c r="J758" i="22"/>
  <c r="C759" i="22"/>
  <c r="D759" i="22" l="1"/>
  <c r="G759" i="22" s="1"/>
  <c r="H759" i="22" s="1"/>
  <c r="N759" i="22" l="1"/>
  <c r="L759" i="22"/>
  <c r="M759" i="22" s="1"/>
  <c r="J759" i="22"/>
  <c r="C760" i="22"/>
  <c r="D760" i="22" l="1"/>
  <c r="G760" i="22" s="1"/>
  <c r="H760" i="22" s="1"/>
  <c r="N760" i="22" l="1"/>
  <c r="L760" i="22"/>
  <c r="M760" i="22" s="1"/>
  <c r="C761" i="22"/>
  <c r="J760" i="22"/>
  <c r="D761" i="22" l="1"/>
  <c r="G761" i="22" s="1"/>
  <c r="H761" i="22" s="1"/>
  <c r="N761" i="22" l="1"/>
  <c r="L761" i="22"/>
  <c r="M761" i="22" s="1"/>
  <c r="J761" i="22"/>
  <c r="C762" i="22"/>
  <c r="D762" i="22" l="1"/>
  <c r="G762" i="22" s="1"/>
  <c r="H762" i="22" s="1"/>
  <c r="N762" i="22" l="1"/>
  <c r="L762" i="22"/>
  <c r="M762" i="22" s="1"/>
  <c r="J762" i="22"/>
  <c r="C763" i="22"/>
  <c r="D763" i="22" l="1"/>
  <c r="G763" i="22" s="1"/>
  <c r="H763" i="22" s="1"/>
  <c r="N763" i="22" l="1"/>
  <c r="L763" i="22"/>
  <c r="M763" i="22" s="1"/>
  <c r="J763" i="22"/>
  <c r="C764" i="22"/>
  <c r="D764" i="22" l="1"/>
  <c r="G764" i="22" s="1"/>
  <c r="H764" i="22" s="1"/>
  <c r="N764" i="22" l="1"/>
  <c r="L764" i="22"/>
  <c r="M764" i="22" s="1"/>
  <c r="J764" i="22"/>
  <c r="C765" i="22"/>
  <c r="D765" i="22" l="1"/>
  <c r="G765" i="22" s="1"/>
  <c r="H765" i="22" s="1"/>
  <c r="N765" i="22" l="1"/>
  <c r="L765" i="22"/>
  <c r="M765" i="22" s="1"/>
  <c r="J765" i="22"/>
  <c r="C766" i="22"/>
  <c r="D766" i="22" l="1"/>
  <c r="G766" i="22" s="1"/>
  <c r="H766" i="22" s="1"/>
  <c r="N766" i="22" l="1"/>
  <c r="L766" i="22"/>
  <c r="M766" i="22" s="1"/>
  <c r="J766" i="22"/>
  <c r="C767" i="22"/>
  <c r="D767" i="22" l="1"/>
  <c r="G767" i="22" s="1"/>
  <c r="H767" i="22" s="1"/>
  <c r="N767" i="22" l="1"/>
  <c r="L767" i="22"/>
  <c r="M767" i="22" s="1"/>
  <c r="C768" i="22"/>
  <c r="J767" i="22"/>
  <c r="D768" i="22" l="1"/>
  <c r="G768" i="22" s="1"/>
  <c r="H768" i="22" s="1"/>
  <c r="N768" i="22" l="1"/>
  <c r="L768" i="22"/>
  <c r="M768" i="22" s="1"/>
  <c r="J768" i="22"/>
  <c r="C769" i="22"/>
  <c r="D769" i="22" l="1"/>
  <c r="G769" i="22" s="1"/>
  <c r="H769" i="22" s="1"/>
  <c r="N769" i="22" l="1"/>
  <c r="L769" i="22"/>
  <c r="M769" i="22" s="1"/>
  <c r="J769" i="22"/>
  <c r="C770" i="22"/>
  <c r="D770" i="22" l="1"/>
  <c r="G770" i="22" s="1"/>
  <c r="H770" i="22" s="1"/>
  <c r="N770" i="22" l="1"/>
  <c r="L770" i="22"/>
  <c r="M770" i="22" s="1"/>
  <c r="J770" i="22"/>
  <c r="C771" i="22"/>
  <c r="D771" i="22" l="1"/>
  <c r="G771" i="22" s="1"/>
  <c r="H771" i="22" s="1"/>
  <c r="N771" i="22" l="1"/>
  <c r="L771" i="22"/>
  <c r="M771" i="22" s="1"/>
  <c r="J771" i="22"/>
  <c r="C772" i="22"/>
  <c r="D772" i="22" l="1"/>
  <c r="G772" i="22" s="1"/>
  <c r="H772" i="22" s="1"/>
  <c r="N772" i="22" l="1"/>
  <c r="L772" i="22"/>
  <c r="M772" i="22" s="1"/>
  <c r="J772" i="22"/>
  <c r="C773" i="22"/>
  <c r="D773" i="22" l="1"/>
  <c r="G773" i="22" s="1"/>
  <c r="H773" i="22" s="1"/>
  <c r="N773" i="22" l="1"/>
  <c r="L773" i="22"/>
  <c r="M773" i="22" s="1"/>
  <c r="J773" i="22"/>
  <c r="C774" i="22"/>
  <c r="D774" i="22" l="1"/>
  <c r="G774" i="22" s="1"/>
  <c r="H774" i="22" s="1"/>
  <c r="N774" i="22" l="1"/>
  <c r="L774" i="22"/>
  <c r="M774" i="22" s="1"/>
  <c r="J774" i="22"/>
  <c r="C775" i="22"/>
  <c r="D775" i="22" l="1"/>
  <c r="G775" i="22" s="1"/>
  <c r="H775" i="22" s="1"/>
  <c r="N775" i="22" l="1"/>
  <c r="L775" i="22"/>
  <c r="M775" i="22" s="1"/>
  <c r="C776" i="22"/>
  <c r="J775" i="22"/>
  <c r="D776" i="22" l="1"/>
  <c r="G776" i="22" s="1"/>
  <c r="H776" i="22" s="1"/>
  <c r="N776" i="22" l="1"/>
  <c r="L776" i="22"/>
  <c r="M776" i="22" s="1"/>
  <c r="J776" i="22"/>
  <c r="C777" i="22"/>
  <c r="D777" i="22" l="1"/>
  <c r="G777" i="22" s="1"/>
  <c r="H777" i="22" s="1"/>
  <c r="N777" i="22" l="1"/>
  <c r="L777" i="22"/>
  <c r="M777" i="22" s="1"/>
  <c r="J777" i="22"/>
  <c r="C778" i="22"/>
  <c r="D778" i="22" l="1"/>
  <c r="G778" i="22" s="1"/>
  <c r="H778" i="22" s="1"/>
  <c r="N778" i="22" l="1"/>
  <c r="L778" i="22"/>
  <c r="M778" i="22" s="1"/>
  <c r="J778" i="22"/>
  <c r="C779" i="22"/>
  <c r="D779" i="22" l="1"/>
  <c r="G779" i="22" s="1"/>
  <c r="H779" i="22" s="1"/>
  <c r="N779" i="22" l="1"/>
  <c r="L779" i="22"/>
  <c r="M779" i="22" s="1"/>
  <c r="J779" i="22"/>
  <c r="C780" i="22"/>
  <c r="D780" i="22" l="1"/>
  <c r="G780" i="22" s="1"/>
  <c r="H780" i="22" s="1"/>
  <c r="N780" i="22" l="1"/>
  <c r="L780" i="22"/>
  <c r="M780" i="22" s="1"/>
  <c r="J780" i="22"/>
  <c r="C781" i="22"/>
  <c r="D781" i="22" l="1"/>
  <c r="G781" i="22" s="1"/>
  <c r="H781" i="22" s="1"/>
  <c r="N781" i="22" l="1"/>
  <c r="L781" i="22"/>
  <c r="M781" i="22" s="1"/>
  <c r="J781" i="22"/>
  <c r="C782" i="22"/>
  <c r="D782" i="22" l="1"/>
  <c r="G782" i="22" s="1"/>
  <c r="H782" i="22" s="1"/>
  <c r="N782" i="22" l="1"/>
  <c r="L782" i="22"/>
  <c r="M782" i="22" s="1"/>
  <c r="J782" i="22"/>
  <c r="C783" i="22"/>
  <c r="D783" i="22" l="1"/>
  <c r="G783" i="22" s="1"/>
  <c r="H783" i="22" s="1"/>
  <c r="N783" i="22" l="1"/>
  <c r="L783" i="22"/>
  <c r="M783" i="22" s="1"/>
  <c r="C784" i="22"/>
  <c r="J783" i="22"/>
  <c r="D784" i="22" l="1"/>
  <c r="G784" i="22" s="1"/>
  <c r="H784" i="22" s="1"/>
  <c r="N784" i="22" l="1"/>
  <c r="L784" i="22"/>
  <c r="M784" i="22" s="1"/>
  <c r="J784" i="22"/>
  <c r="C785" i="22"/>
  <c r="D785" i="22" l="1"/>
  <c r="G785" i="22" s="1"/>
  <c r="H785" i="22" s="1"/>
  <c r="N785" i="22" l="1"/>
  <c r="L785" i="22"/>
  <c r="M785" i="22" s="1"/>
  <c r="J785" i="22"/>
  <c r="C786" i="22"/>
  <c r="D786" i="22" l="1"/>
  <c r="G786" i="22" s="1"/>
  <c r="H786" i="22" s="1"/>
  <c r="G53" i="20"/>
  <c r="G55" i="20" s="1"/>
  <c r="N786" i="22" l="1"/>
  <c r="L786" i="22"/>
  <c r="M786" i="22" s="1"/>
  <c r="J786" i="22"/>
  <c r="C787" i="22"/>
  <c r="D787" i="22" l="1"/>
  <c r="G787" i="22" s="1"/>
  <c r="H787" i="22" s="1"/>
  <c r="N787" i="22" l="1"/>
  <c r="L787" i="22"/>
  <c r="M787" i="22" s="1"/>
  <c r="J787" i="22"/>
  <c r="C788" i="22"/>
  <c r="D788" i="22" l="1"/>
  <c r="G788" i="22" s="1"/>
  <c r="H788" i="22" s="1"/>
  <c r="N788" i="22" l="1"/>
  <c r="L788" i="22"/>
  <c r="M788" i="22" s="1"/>
  <c r="J788" i="22"/>
  <c r="C789" i="22"/>
  <c r="D789" i="22" l="1"/>
  <c r="G789" i="22" s="1"/>
  <c r="H789" i="22" s="1"/>
  <c r="N789" i="22" l="1"/>
  <c r="L789" i="22"/>
  <c r="M789" i="22" s="1"/>
  <c r="J789" i="22"/>
  <c r="C790" i="22"/>
  <c r="D790" i="22" l="1"/>
  <c r="G790" i="22" s="1"/>
  <c r="H790" i="22" s="1"/>
  <c r="N790" i="22" l="1"/>
  <c r="L790" i="22"/>
  <c r="M790" i="22" s="1"/>
  <c r="J790" i="22"/>
  <c r="C791" i="22"/>
  <c r="D791" i="22" l="1"/>
  <c r="G791" i="22" s="1"/>
  <c r="H791" i="22" s="1"/>
  <c r="N791" i="22" l="1"/>
  <c r="L791" i="22"/>
  <c r="M791" i="22" s="1"/>
  <c r="C792" i="22"/>
  <c r="J791" i="22"/>
  <c r="D792" i="22" l="1"/>
  <c r="G792" i="22" s="1"/>
  <c r="H792" i="22" s="1"/>
  <c r="N792" i="22" l="1"/>
  <c r="L792" i="22"/>
  <c r="M792" i="22" s="1"/>
  <c r="J792" i="22"/>
  <c r="C793" i="22"/>
  <c r="D793" i="22" l="1"/>
  <c r="G793" i="22" s="1"/>
  <c r="H793" i="22" s="1"/>
  <c r="N793" i="22" l="1"/>
  <c r="L793" i="22"/>
  <c r="M793" i="22" s="1"/>
  <c r="J793" i="22"/>
  <c r="C794" i="22"/>
  <c r="D794" i="22" l="1"/>
  <c r="G794" i="22" s="1"/>
  <c r="H794" i="22" s="1"/>
  <c r="N794" i="22" l="1"/>
  <c r="L794" i="22"/>
  <c r="M794" i="22" s="1"/>
  <c r="J794" i="22"/>
  <c r="C795" i="22"/>
  <c r="D795" i="22" l="1"/>
  <c r="G795" i="22" s="1"/>
  <c r="H795" i="22" s="1"/>
  <c r="N795" i="22" l="1"/>
  <c r="L795" i="22"/>
  <c r="M795" i="22" s="1"/>
  <c r="J795" i="22"/>
  <c r="C796" i="22"/>
  <c r="D796" i="22" l="1"/>
  <c r="G796" i="22" s="1"/>
  <c r="H796" i="22" s="1"/>
  <c r="N796" i="22" l="1"/>
  <c r="L796" i="22"/>
  <c r="M796" i="22" s="1"/>
  <c r="J796" i="22"/>
  <c r="C797" i="22"/>
  <c r="D797" i="22" l="1"/>
  <c r="G797" i="22" s="1"/>
  <c r="H797" i="22" s="1"/>
  <c r="N797" i="22" l="1"/>
  <c r="L797" i="22"/>
  <c r="M797" i="22" s="1"/>
  <c r="J797" i="22"/>
  <c r="C798" i="22"/>
  <c r="D798" i="22" l="1"/>
  <c r="G798" i="22" s="1"/>
  <c r="H798" i="22" s="1"/>
  <c r="N798" i="22" l="1"/>
  <c r="L798" i="22"/>
  <c r="M798" i="22" s="1"/>
  <c r="J798" i="22"/>
  <c r="C799" i="22"/>
  <c r="D799" i="22" l="1"/>
  <c r="G799" i="22" s="1"/>
  <c r="H799" i="22" s="1"/>
  <c r="N799" i="22" l="1"/>
  <c r="L799" i="22"/>
  <c r="M799" i="22" s="1"/>
  <c r="C800" i="22"/>
  <c r="J799" i="22"/>
  <c r="D800" i="22" l="1"/>
  <c r="G800" i="22" s="1"/>
  <c r="H800" i="22" s="1"/>
  <c r="N800" i="22" l="1"/>
  <c r="L800" i="22"/>
  <c r="M800" i="22" s="1"/>
  <c r="J800" i="22"/>
  <c r="C801" i="22"/>
  <c r="D801" i="22" l="1"/>
  <c r="G801" i="22" s="1"/>
  <c r="H801" i="22" s="1"/>
  <c r="N801" i="22" l="1"/>
  <c r="L801" i="22"/>
  <c r="M801" i="22" s="1"/>
  <c r="J801" i="22"/>
  <c r="C802" i="22"/>
  <c r="D802" i="22" l="1"/>
  <c r="G802" i="22" s="1"/>
  <c r="H802" i="22" s="1"/>
  <c r="N802" i="22" l="1"/>
  <c r="L802" i="22"/>
  <c r="M802" i="22" s="1"/>
  <c r="J802" i="22"/>
  <c r="C803" i="22"/>
  <c r="D803" i="22" l="1"/>
  <c r="G803" i="22" s="1"/>
  <c r="H803" i="22" s="1"/>
  <c r="N803" i="22" l="1"/>
  <c r="L803" i="22"/>
  <c r="M803" i="22" s="1"/>
  <c r="J803" i="22"/>
  <c r="C804" i="22"/>
  <c r="D804" i="22" l="1"/>
  <c r="G804" i="22" s="1"/>
  <c r="H804" i="22" s="1"/>
  <c r="N804" i="22" l="1"/>
  <c r="L804" i="22"/>
  <c r="M804" i="22" s="1"/>
  <c r="J804" i="22"/>
  <c r="C805" i="22"/>
  <c r="D805" i="22" l="1"/>
  <c r="G805" i="22" s="1"/>
  <c r="H805" i="22" s="1"/>
  <c r="N805" i="22" l="1"/>
  <c r="L805" i="22"/>
  <c r="M805" i="22" s="1"/>
  <c r="J805" i="22"/>
  <c r="C806" i="22"/>
  <c r="D806" i="22" l="1"/>
  <c r="G806" i="22" s="1"/>
  <c r="H806" i="22" s="1"/>
  <c r="N806" i="22" l="1"/>
  <c r="L806" i="22"/>
  <c r="M806" i="22" s="1"/>
  <c r="J806" i="22"/>
  <c r="C807" i="22"/>
  <c r="D807" i="22" l="1"/>
  <c r="G807" i="22" s="1"/>
  <c r="H807" i="22" s="1"/>
  <c r="N807" i="22" l="1"/>
  <c r="L807" i="22"/>
  <c r="M807" i="22" s="1"/>
  <c r="C808" i="22"/>
  <c r="J807" i="22"/>
  <c r="D808" i="22" l="1"/>
  <c r="G808" i="22" s="1"/>
  <c r="H808" i="22" s="1"/>
  <c r="N808" i="22" l="1"/>
  <c r="L808" i="22"/>
  <c r="M808" i="22" s="1"/>
  <c r="J808" i="22"/>
  <c r="C809" i="22"/>
  <c r="D809" i="22" l="1"/>
  <c r="G809" i="22" s="1"/>
  <c r="H809" i="22" s="1"/>
  <c r="N809" i="22" l="1"/>
  <c r="L809" i="22"/>
  <c r="M809" i="22" s="1"/>
  <c r="J809" i="22"/>
  <c r="C810" i="22"/>
  <c r="D810" i="22" l="1"/>
  <c r="G810" i="22" s="1"/>
  <c r="H810" i="22" s="1"/>
  <c r="N810" i="22" l="1"/>
  <c r="L810" i="22"/>
  <c r="M810" i="22" s="1"/>
  <c r="J810" i="22"/>
  <c r="C811" i="22"/>
  <c r="D811" i="22" l="1"/>
  <c r="G811" i="22" s="1"/>
  <c r="H811" i="22" s="1"/>
  <c r="N811" i="22" l="1"/>
  <c r="L811" i="22"/>
  <c r="M811" i="22" s="1"/>
  <c r="J811" i="22"/>
  <c r="C812" i="22"/>
  <c r="D812" i="22" l="1"/>
  <c r="G812" i="22" s="1"/>
  <c r="H812" i="22" s="1"/>
  <c r="N812" i="22" l="1"/>
  <c r="L812" i="22"/>
  <c r="M812" i="22" s="1"/>
  <c r="J812" i="22"/>
  <c r="C813" i="22"/>
  <c r="D813" i="22" l="1"/>
  <c r="G813" i="22" s="1"/>
  <c r="H813" i="22" s="1"/>
  <c r="N813" i="22" l="1"/>
  <c r="L813" i="22"/>
  <c r="M813" i="22" s="1"/>
  <c r="J813" i="22"/>
  <c r="C814" i="22"/>
  <c r="D814" i="22" l="1"/>
  <c r="G814" i="22" s="1"/>
  <c r="H814" i="22" s="1"/>
  <c r="N814" i="22" l="1"/>
  <c r="L814" i="22"/>
  <c r="M814" i="22" s="1"/>
  <c r="J814" i="22"/>
  <c r="C815" i="22"/>
  <c r="D815" i="22" l="1"/>
  <c r="G815" i="22" s="1"/>
  <c r="H815" i="22" s="1"/>
  <c r="N815" i="22" l="1"/>
  <c r="L815" i="22"/>
  <c r="M815" i="22" s="1"/>
  <c r="C816" i="22"/>
  <c r="J815" i="22"/>
  <c r="D816" i="22" l="1"/>
  <c r="G816" i="22" s="1"/>
  <c r="H816" i="22" s="1"/>
  <c r="N816" i="22" l="1"/>
  <c r="L816" i="22"/>
  <c r="M816" i="22" s="1"/>
  <c r="J816" i="22"/>
  <c r="C817" i="22"/>
  <c r="D817" i="22" l="1"/>
  <c r="G817" i="22" s="1"/>
  <c r="H817" i="22" s="1"/>
  <c r="N817" i="22" l="1"/>
  <c r="L817" i="22"/>
  <c r="M817" i="22" s="1"/>
  <c r="J817" i="22"/>
  <c r="C818" i="22"/>
  <c r="D818" i="22" l="1"/>
  <c r="G818" i="22" s="1"/>
  <c r="H818" i="22" s="1"/>
  <c r="N818" i="22" l="1"/>
  <c r="L818" i="22"/>
  <c r="M818" i="22" s="1"/>
  <c r="J818" i="22"/>
  <c r="C819" i="22"/>
  <c r="D819" i="22" l="1"/>
  <c r="G819" i="22" s="1"/>
  <c r="H819" i="22" s="1"/>
  <c r="N819" i="22" l="1"/>
  <c r="L819" i="22"/>
  <c r="M819" i="22" s="1"/>
  <c r="J819" i="22"/>
  <c r="C820" i="22"/>
  <c r="D820" i="22" l="1"/>
  <c r="G820" i="22" s="1"/>
  <c r="H820" i="22" s="1"/>
  <c r="N820" i="22" l="1"/>
  <c r="L820" i="22"/>
  <c r="M820" i="22" s="1"/>
  <c r="J820" i="22"/>
  <c r="C821" i="22"/>
  <c r="D821" i="22" l="1"/>
  <c r="G821" i="22" s="1"/>
  <c r="H821" i="22" s="1"/>
  <c r="N821" i="22" l="1"/>
  <c r="L821" i="22"/>
  <c r="M821" i="22" s="1"/>
  <c r="J821" i="22"/>
  <c r="C822" i="22"/>
  <c r="D822" i="22" l="1"/>
  <c r="G822" i="22" s="1"/>
  <c r="H822" i="22" s="1"/>
  <c r="N822" i="22" l="1"/>
  <c r="L822" i="22"/>
  <c r="M822" i="22" s="1"/>
  <c r="J822" i="22"/>
  <c r="C823" i="22"/>
  <c r="D823" i="22" l="1"/>
  <c r="G823" i="22" s="1"/>
  <c r="H823" i="22" s="1"/>
  <c r="N823" i="22" l="1"/>
  <c r="L823" i="22"/>
  <c r="M823" i="22" s="1"/>
  <c r="C824" i="22"/>
  <c r="J823" i="22"/>
  <c r="D824" i="22" l="1"/>
  <c r="G824" i="22" s="1"/>
  <c r="H824" i="22" s="1"/>
  <c r="N824" i="22" l="1"/>
  <c r="L824" i="22"/>
  <c r="M824" i="22" s="1"/>
  <c r="J824" i="22"/>
  <c r="C825" i="22"/>
  <c r="D825" i="22" l="1"/>
  <c r="G825" i="22" s="1"/>
  <c r="H825" i="22" s="1"/>
  <c r="N825" i="22" l="1"/>
  <c r="L825" i="22"/>
  <c r="M825" i="22" s="1"/>
  <c r="J825" i="22"/>
  <c r="C826" i="22"/>
  <c r="D826" i="22" l="1"/>
  <c r="G826" i="22" s="1"/>
  <c r="H826" i="22" s="1"/>
  <c r="N826" i="22" l="1"/>
  <c r="L826" i="22"/>
  <c r="M826" i="22" s="1"/>
  <c r="J826" i="22"/>
  <c r="C827" i="22"/>
  <c r="D827" i="22" l="1"/>
  <c r="G827" i="22" s="1"/>
  <c r="H827" i="22" s="1"/>
  <c r="N827" i="22" l="1"/>
  <c r="L827" i="22"/>
  <c r="M827" i="22" s="1"/>
  <c r="J827" i="22"/>
  <c r="C828" i="22"/>
  <c r="D828" i="22" l="1"/>
  <c r="G828" i="22" s="1"/>
  <c r="H828" i="22" s="1"/>
  <c r="N828" i="22" l="1"/>
  <c r="L828" i="22"/>
  <c r="M828" i="22" s="1"/>
  <c r="J828" i="22"/>
  <c r="C829" i="22"/>
  <c r="D829" i="22" l="1"/>
  <c r="G829" i="22" s="1"/>
  <c r="H829" i="22" s="1"/>
  <c r="N829" i="22" l="1"/>
  <c r="L829" i="22"/>
  <c r="M829" i="22" s="1"/>
  <c r="J829" i="22"/>
  <c r="C830" i="22"/>
  <c r="D830" i="22" l="1"/>
  <c r="G830" i="22" s="1"/>
  <c r="H830" i="22" s="1"/>
  <c r="N830" i="22" l="1"/>
  <c r="L830" i="22"/>
  <c r="M830" i="22" s="1"/>
  <c r="J830" i="22"/>
  <c r="C831" i="22"/>
  <c r="D831" i="22" l="1"/>
  <c r="G831" i="22" s="1"/>
  <c r="H831" i="22" s="1"/>
  <c r="N831" i="22" l="1"/>
  <c r="L831" i="22"/>
  <c r="M831" i="22" s="1"/>
  <c r="C832" i="22"/>
  <c r="J831" i="22"/>
  <c r="D832" i="22" l="1"/>
  <c r="G832" i="22" s="1"/>
  <c r="H832" i="22" s="1"/>
  <c r="N832" i="22" l="1"/>
  <c r="L832" i="22"/>
  <c r="M832" i="22" s="1"/>
  <c r="J832" i="22"/>
  <c r="C833" i="22"/>
  <c r="D833" i="22" l="1"/>
  <c r="G833" i="22" s="1"/>
  <c r="H833" i="22" s="1"/>
  <c r="N833" i="22" l="1"/>
  <c r="L833" i="22"/>
  <c r="M833" i="22" s="1"/>
  <c r="J833" i="22"/>
  <c r="C834" i="22"/>
  <c r="D834" i="22" l="1"/>
  <c r="G834" i="22" s="1"/>
  <c r="H834" i="22" s="1"/>
  <c r="N834" i="22" l="1"/>
  <c r="L834" i="22"/>
  <c r="M834" i="22" s="1"/>
  <c r="J834" i="22"/>
  <c r="C835" i="22"/>
  <c r="D835" i="22" l="1"/>
  <c r="G835" i="22" s="1"/>
  <c r="H835" i="22" s="1"/>
  <c r="N835" i="22" l="1"/>
  <c r="L835" i="22"/>
  <c r="M835" i="22" s="1"/>
  <c r="J835" i="22"/>
  <c r="C836" i="22"/>
  <c r="D836" i="22" l="1"/>
  <c r="G836" i="22" s="1"/>
  <c r="H836" i="22" s="1"/>
  <c r="N836" i="22" l="1"/>
  <c r="L836" i="22"/>
  <c r="M836" i="22" s="1"/>
  <c r="J836" i="22"/>
  <c r="C837" i="22"/>
  <c r="D837" i="22" l="1"/>
  <c r="G837" i="22" s="1"/>
  <c r="H837" i="22" s="1"/>
  <c r="N837" i="22" l="1"/>
  <c r="L837" i="22"/>
  <c r="M837" i="22" s="1"/>
  <c r="J837" i="22"/>
  <c r="C838" i="22"/>
  <c r="D838" i="22" l="1"/>
  <c r="G838" i="22" s="1"/>
  <c r="H838" i="22" s="1"/>
  <c r="N838" i="22" l="1"/>
  <c r="L838" i="22"/>
  <c r="M838" i="22" s="1"/>
  <c r="J838" i="22"/>
  <c r="C839" i="22"/>
  <c r="D839" i="22" l="1"/>
  <c r="G839" i="22" s="1"/>
  <c r="H839" i="22" s="1"/>
  <c r="N839" i="22" l="1"/>
  <c r="L839" i="22"/>
  <c r="M839" i="22" s="1"/>
  <c r="C840" i="22"/>
  <c r="J839" i="22"/>
  <c r="D840" i="22" l="1"/>
  <c r="G840" i="22" s="1"/>
  <c r="H840" i="22" s="1"/>
  <c r="N840" i="22" l="1"/>
  <c r="L840" i="22"/>
  <c r="M840" i="22" s="1"/>
  <c r="J840" i="22"/>
  <c r="C841" i="22"/>
  <c r="D841" i="22" l="1"/>
  <c r="G841" i="22" s="1"/>
  <c r="H841" i="22" s="1"/>
  <c r="N841" i="22" l="1"/>
  <c r="L841" i="22"/>
  <c r="M841" i="22" s="1"/>
  <c r="J841" i="22"/>
  <c r="C842" i="22"/>
  <c r="D842" i="22" l="1"/>
  <c r="N842" i="22" s="1"/>
  <c r="G842" i="22" l="1"/>
  <c r="H842" i="22" s="1"/>
  <c r="J842" i="22" s="1"/>
  <c r="L842" i="22"/>
  <c r="M842" i="22" s="1"/>
  <c r="C843" i="22" l="1"/>
  <c r="D843" i="22" s="1"/>
  <c r="G843" i="22" l="1"/>
  <c r="H843" i="22" s="1"/>
  <c r="C844" i="22" s="1"/>
  <c r="N843" i="22"/>
  <c r="L843" i="22"/>
  <c r="M843" i="22" s="1"/>
  <c r="J843" i="22" l="1"/>
  <c r="D844" i="22"/>
  <c r="G844" i="22" s="1"/>
  <c r="H844" i="22" s="1"/>
  <c r="N844" i="22" l="1"/>
  <c r="L844" i="22"/>
  <c r="M844" i="22" s="1"/>
  <c r="J844" i="22"/>
  <c r="C845" i="22"/>
  <c r="D845" i="22" l="1"/>
  <c r="G845" i="22" s="1"/>
  <c r="H845" i="22" s="1"/>
  <c r="N845" i="22" l="1"/>
  <c r="L845" i="22"/>
  <c r="M845" i="22" s="1"/>
  <c r="J845" i="22"/>
  <c r="C846" i="22"/>
  <c r="D846" i="22" l="1"/>
  <c r="G846" i="22" s="1"/>
  <c r="H846" i="22" s="1"/>
  <c r="N846" i="22" l="1"/>
  <c r="L846" i="22"/>
  <c r="M846" i="22" s="1"/>
  <c r="J846" i="22"/>
  <c r="C847" i="22"/>
  <c r="D847" i="22" l="1"/>
  <c r="G847" i="22" s="1"/>
  <c r="H847" i="22" s="1"/>
  <c r="N847" i="22" l="1"/>
  <c r="L847" i="22"/>
  <c r="M847" i="22" s="1"/>
  <c r="C848" i="22"/>
  <c r="J847" i="22"/>
  <c r="D848" i="22" l="1"/>
  <c r="G848" i="22" s="1"/>
  <c r="H848" i="22" s="1"/>
  <c r="N848" i="22" l="1"/>
  <c r="L848" i="22"/>
  <c r="M848" i="22" s="1"/>
  <c r="J848" i="22"/>
  <c r="C849" i="22"/>
  <c r="D849" i="22" l="1"/>
  <c r="G849" i="22" s="1"/>
  <c r="H849" i="22" s="1"/>
  <c r="N849" i="22" l="1"/>
  <c r="L849" i="22"/>
  <c r="M849" i="22" s="1"/>
  <c r="J849" i="22"/>
  <c r="C850" i="22"/>
  <c r="D850" i="22" l="1"/>
  <c r="G850" i="22" s="1"/>
  <c r="H850" i="22" s="1"/>
  <c r="N850" i="22" l="1"/>
  <c r="L850" i="22"/>
  <c r="M850" i="22" s="1"/>
  <c r="J850" i="22"/>
  <c r="C851" i="22"/>
  <c r="D851" i="22" l="1"/>
  <c r="N851" i="22" s="1"/>
  <c r="G851" i="22" l="1"/>
  <c r="H851" i="22" s="1"/>
  <c r="J851" i="22" s="1"/>
  <c r="L851" i="22"/>
  <c r="M851" i="22" s="1"/>
  <c r="C852" i="22" l="1"/>
  <c r="D852" i="22" s="1"/>
  <c r="G852" i="22" l="1"/>
  <c r="H852" i="22" s="1"/>
  <c r="C853" i="22" s="1"/>
  <c r="N852" i="22"/>
  <c r="L852" i="22"/>
  <c r="M852" i="22" s="1"/>
  <c r="J852" i="22" l="1"/>
  <c r="D853" i="22"/>
  <c r="G853" i="22" s="1"/>
  <c r="H853" i="22" s="1"/>
  <c r="N853" i="22" l="1"/>
  <c r="L853" i="22"/>
  <c r="M853" i="22" s="1"/>
  <c r="J853" i="22"/>
  <c r="C854" i="22"/>
  <c r="D854" i="22" l="1"/>
  <c r="G854" i="22" s="1"/>
  <c r="H854" i="22" s="1"/>
  <c r="N854" i="22" l="1"/>
  <c r="L854" i="22"/>
  <c r="M854" i="22" s="1"/>
  <c r="J854" i="22"/>
  <c r="C855" i="22"/>
  <c r="D855" i="22" l="1"/>
  <c r="G855" i="22" s="1"/>
  <c r="H855" i="22" s="1"/>
  <c r="N855" i="22" l="1"/>
  <c r="L855" i="22"/>
  <c r="M855" i="22" s="1"/>
  <c r="C856" i="22"/>
  <c r="J855" i="22"/>
  <c r="D856" i="22" l="1"/>
  <c r="G856" i="22" s="1"/>
  <c r="H856" i="22" s="1"/>
  <c r="N856" i="22" l="1"/>
  <c r="L856" i="22"/>
  <c r="M856" i="22" s="1"/>
  <c r="J856" i="22"/>
  <c r="C857" i="22"/>
  <c r="D857" i="22" l="1"/>
  <c r="G857" i="22" s="1"/>
  <c r="H857" i="22" s="1"/>
  <c r="N857" i="22" l="1"/>
  <c r="L857" i="22"/>
  <c r="M857" i="22" s="1"/>
  <c r="J857" i="22"/>
  <c r="C858" i="22"/>
  <c r="D858" i="22" l="1"/>
  <c r="G858" i="22" s="1"/>
  <c r="H858" i="22" s="1"/>
  <c r="N858" i="22" l="1"/>
  <c r="L858" i="22"/>
  <c r="M858" i="22" s="1"/>
  <c r="J858" i="22"/>
  <c r="C859" i="22"/>
  <c r="D859" i="22" l="1"/>
  <c r="G859" i="22" s="1"/>
  <c r="H859" i="22" s="1"/>
  <c r="N859" i="22" l="1"/>
  <c r="L859" i="22"/>
  <c r="M859" i="22" s="1"/>
  <c r="J859" i="22"/>
  <c r="C860" i="22"/>
  <c r="D860" i="22" l="1"/>
  <c r="G860" i="22" s="1"/>
  <c r="H860" i="22" s="1"/>
  <c r="N860" i="22" l="1"/>
  <c r="L860" i="22"/>
  <c r="M860" i="22" s="1"/>
  <c r="J860" i="22"/>
  <c r="C861" i="22"/>
  <c r="D861" i="22" l="1"/>
  <c r="G861" i="22" s="1"/>
  <c r="H861" i="22" s="1"/>
  <c r="N861" i="22" l="1"/>
  <c r="L861" i="22"/>
  <c r="M861" i="22" s="1"/>
  <c r="J861" i="22"/>
  <c r="C862" i="22"/>
  <c r="D862" i="22" l="1"/>
  <c r="G862" i="22" s="1"/>
  <c r="H862" i="22" s="1"/>
  <c r="N862" i="22" l="1"/>
  <c r="L862" i="22"/>
  <c r="M862" i="22" s="1"/>
  <c r="J862" i="22"/>
  <c r="C863" i="22"/>
  <c r="D863" i="22" l="1"/>
  <c r="G863" i="22" s="1"/>
  <c r="H863" i="22" s="1"/>
  <c r="N863" i="22" l="1"/>
  <c r="L863" i="22"/>
  <c r="M863" i="22" s="1"/>
  <c r="C864" i="22"/>
  <c r="J863" i="22"/>
  <c r="D864" i="22" l="1"/>
  <c r="G864" i="22" s="1"/>
  <c r="H864" i="22" s="1"/>
  <c r="N864" i="22" l="1"/>
  <c r="L864" i="22"/>
  <c r="M864" i="22" s="1"/>
  <c r="J864" i="22"/>
  <c r="C865" i="22"/>
  <c r="D865" i="22" l="1"/>
  <c r="G865" i="22" s="1"/>
  <c r="H865" i="22" s="1"/>
  <c r="N865" i="22" l="1"/>
  <c r="L865" i="22"/>
  <c r="M865" i="22" s="1"/>
  <c r="J865" i="22"/>
  <c r="C866" i="22"/>
  <c r="D866" i="22" l="1"/>
  <c r="G866" i="22" s="1"/>
  <c r="H866" i="22" s="1"/>
  <c r="N866" i="22" l="1"/>
  <c r="L866" i="22"/>
  <c r="M866" i="22" s="1"/>
  <c r="J866" i="22"/>
  <c r="C867" i="22"/>
  <c r="D867" i="22" l="1"/>
  <c r="G867" i="22" s="1"/>
  <c r="H867" i="22" s="1"/>
  <c r="N867" i="22" l="1"/>
  <c r="L867" i="22"/>
  <c r="M867" i="22" s="1"/>
  <c r="J867" i="22"/>
  <c r="C868" i="22"/>
  <c r="D868" i="22" l="1"/>
  <c r="G868" i="22" s="1"/>
  <c r="H868" i="22" s="1"/>
  <c r="N868" i="22" l="1"/>
  <c r="L868" i="22"/>
  <c r="M868" i="22" s="1"/>
  <c r="J868" i="22"/>
  <c r="C869" i="22"/>
  <c r="D869" i="22" l="1"/>
  <c r="G869" i="22" s="1"/>
  <c r="H869" i="22" s="1"/>
  <c r="N869" i="22" l="1"/>
  <c r="L869" i="22"/>
  <c r="M869" i="22" s="1"/>
  <c r="J869" i="22"/>
  <c r="C870" i="22"/>
  <c r="D870" i="22" l="1"/>
  <c r="G870" i="22" s="1"/>
  <c r="H870" i="22" s="1"/>
  <c r="N870" i="22" l="1"/>
  <c r="L870" i="22"/>
  <c r="M870" i="22" s="1"/>
  <c r="J870" i="22"/>
  <c r="C871" i="22"/>
  <c r="D871" i="22" l="1"/>
  <c r="G871" i="22" s="1"/>
  <c r="H871" i="22" s="1"/>
  <c r="N871" i="22" l="1"/>
  <c r="L871" i="22"/>
  <c r="M871" i="22" s="1"/>
  <c r="C872" i="22"/>
  <c r="J871" i="22"/>
  <c r="D872" i="22" l="1"/>
  <c r="G872" i="22" s="1"/>
  <c r="H872" i="22" s="1"/>
  <c r="N872" i="22" l="1"/>
  <c r="L872" i="22"/>
  <c r="M872" i="22" s="1"/>
  <c r="J872" i="22"/>
  <c r="C873" i="22"/>
  <c r="D873" i="22" l="1"/>
  <c r="G873" i="22" s="1"/>
  <c r="H873" i="22" s="1"/>
  <c r="N873" i="22" l="1"/>
  <c r="L873" i="22"/>
  <c r="M873" i="22" s="1"/>
  <c r="J873" i="22"/>
  <c r="C874" i="22"/>
  <c r="D874" i="22" l="1"/>
  <c r="N874" i="22" s="1"/>
  <c r="G874" i="22" l="1"/>
  <c r="H874" i="22" s="1"/>
  <c r="J874" i="22" s="1"/>
  <c r="L874" i="22"/>
  <c r="M874" i="22" s="1"/>
  <c r="C875" i="22" l="1"/>
  <c r="D875" i="22" s="1"/>
  <c r="G875" i="22" l="1"/>
  <c r="H875" i="22" s="1"/>
  <c r="C876" i="22" s="1"/>
  <c r="N875" i="22"/>
  <c r="L875" i="22"/>
  <c r="M875" i="22" s="1"/>
  <c r="J875" i="22" l="1"/>
  <c r="D876" i="22"/>
  <c r="G876" i="22" s="1"/>
  <c r="H876" i="22" s="1"/>
  <c r="N876" i="22" l="1"/>
  <c r="L876" i="22"/>
  <c r="M876" i="22" s="1"/>
  <c r="J876" i="22"/>
  <c r="C877" i="22"/>
  <c r="D877" i="22" l="1"/>
  <c r="G877" i="22" s="1"/>
  <c r="H877" i="22" s="1"/>
  <c r="N877" i="22" l="1"/>
  <c r="L877" i="22"/>
  <c r="M877" i="22" s="1"/>
  <c r="J877" i="22"/>
  <c r="C878" i="22"/>
  <c r="D878" i="22" l="1"/>
  <c r="G878" i="22" s="1"/>
  <c r="H878" i="22" s="1"/>
  <c r="N878" i="22" l="1"/>
  <c r="L878" i="22"/>
  <c r="M878" i="22" s="1"/>
  <c r="J878" i="22"/>
  <c r="C879" i="22"/>
  <c r="D879" i="22" l="1"/>
  <c r="G879" i="22" s="1"/>
  <c r="H879" i="22" s="1"/>
  <c r="N879" i="22" l="1"/>
  <c r="L879" i="22"/>
  <c r="M879" i="22" s="1"/>
  <c r="C880" i="22"/>
  <c r="J879" i="22"/>
  <c r="D880" i="22" l="1"/>
  <c r="G880" i="22" s="1"/>
  <c r="H880" i="22" s="1"/>
  <c r="N880" i="22" l="1"/>
  <c r="L880" i="22"/>
  <c r="M880" i="22" s="1"/>
  <c r="J880" i="22"/>
  <c r="C881" i="22"/>
  <c r="D881" i="22" l="1"/>
  <c r="G881" i="22" s="1"/>
  <c r="H881" i="22" s="1"/>
  <c r="N881" i="22" l="1"/>
  <c r="L881" i="22"/>
  <c r="M881" i="22" s="1"/>
  <c r="J881" i="22"/>
  <c r="C882" i="22"/>
  <c r="D882" i="22" l="1"/>
  <c r="G882" i="22" s="1"/>
  <c r="H882" i="22" s="1"/>
  <c r="N882" i="22" l="1"/>
  <c r="L882" i="22"/>
  <c r="M882" i="22" s="1"/>
  <c r="J882" i="22"/>
  <c r="C883" i="22"/>
  <c r="D883" i="22" l="1"/>
  <c r="G883" i="22" s="1"/>
  <c r="H883" i="22" s="1"/>
  <c r="N883" i="22" l="1"/>
  <c r="L883" i="22"/>
  <c r="M883" i="22" s="1"/>
  <c r="J883" i="22"/>
  <c r="C884" i="22"/>
  <c r="D884" i="22" l="1"/>
  <c r="G884" i="22" s="1"/>
  <c r="H884" i="22" s="1"/>
  <c r="N884" i="22" l="1"/>
  <c r="L884" i="22"/>
  <c r="M884" i="22" s="1"/>
  <c r="J884" i="22"/>
  <c r="C885" i="22"/>
  <c r="D885" i="22" l="1"/>
  <c r="G885" i="22" s="1"/>
  <c r="H885" i="22" s="1"/>
  <c r="N885" i="22" l="1"/>
  <c r="L885" i="22"/>
  <c r="M885" i="22" s="1"/>
  <c r="J885" i="22"/>
  <c r="C886" i="22"/>
  <c r="D886" i="22" l="1"/>
  <c r="G886" i="22" s="1"/>
  <c r="H886" i="22" s="1"/>
  <c r="N886" i="22" l="1"/>
  <c r="L886" i="22"/>
  <c r="M886" i="22" s="1"/>
  <c r="J886" i="22"/>
  <c r="C887" i="22"/>
  <c r="D887" i="22" l="1"/>
  <c r="G887" i="22" s="1"/>
  <c r="H887" i="22" s="1"/>
  <c r="N887" i="22" l="1"/>
  <c r="L887" i="22"/>
  <c r="M887" i="22" s="1"/>
  <c r="C888" i="22"/>
  <c r="J887" i="22"/>
  <c r="D888" i="22" l="1"/>
  <c r="G888" i="22" s="1"/>
  <c r="H888" i="22" s="1"/>
  <c r="N888" i="22" l="1"/>
  <c r="L888" i="22"/>
  <c r="M888" i="22" s="1"/>
  <c r="J888" i="22"/>
  <c r="C889" i="22"/>
  <c r="D889" i="22" l="1"/>
  <c r="G889" i="22" s="1"/>
  <c r="H889" i="22" s="1"/>
  <c r="N889" i="22" l="1"/>
  <c r="L889" i="22"/>
  <c r="M889" i="22" s="1"/>
  <c r="J889" i="22"/>
  <c r="C890" i="22"/>
  <c r="D890" i="22" l="1"/>
  <c r="G890" i="22" s="1"/>
  <c r="H890" i="22" s="1"/>
  <c r="N890" i="22" l="1"/>
  <c r="L890" i="22"/>
  <c r="M890" i="22" s="1"/>
  <c r="J890" i="22"/>
  <c r="C891" i="22"/>
  <c r="D891" i="22" l="1"/>
  <c r="G891" i="22" s="1"/>
  <c r="H891" i="22" s="1"/>
  <c r="N891" i="22" l="1"/>
  <c r="L891" i="22"/>
  <c r="M891" i="22" s="1"/>
  <c r="J891" i="22"/>
  <c r="C892" i="22"/>
  <c r="D892" i="22" l="1"/>
  <c r="G892" i="22" s="1"/>
  <c r="H892" i="22" s="1"/>
  <c r="N892" i="22" l="1"/>
  <c r="L892" i="22"/>
  <c r="M892" i="22" s="1"/>
  <c r="J892" i="22"/>
  <c r="C893" i="22"/>
  <c r="D893" i="22" l="1"/>
  <c r="G893" i="22" s="1"/>
  <c r="H893" i="22" s="1"/>
  <c r="N893" i="22" l="1"/>
  <c r="L893" i="22"/>
  <c r="M893" i="22" s="1"/>
  <c r="J893" i="22"/>
  <c r="C894" i="22"/>
  <c r="D894" i="22" l="1"/>
  <c r="G894" i="22" s="1"/>
  <c r="H894" i="22" s="1"/>
  <c r="N894" i="22" l="1"/>
  <c r="L894" i="22"/>
  <c r="M894" i="22" s="1"/>
  <c r="J894" i="22"/>
  <c r="C895" i="22"/>
  <c r="D895" i="22" l="1"/>
  <c r="G895" i="22" s="1"/>
  <c r="H895" i="22" s="1"/>
  <c r="N895" i="22" l="1"/>
  <c r="L895" i="22"/>
  <c r="M895" i="22" s="1"/>
  <c r="C896" i="22"/>
  <c r="J895" i="22"/>
  <c r="D896" i="22" l="1"/>
  <c r="G896" i="22" s="1"/>
  <c r="H896" i="22" s="1"/>
  <c r="N896" i="22" l="1"/>
  <c r="L896" i="22"/>
  <c r="M896" i="22" s="1"/>
  <c r="J896" i="22"/>
  <c r="C897" i="22"/>
  <c r="D897" i="22" l="1"/>
  <c r="G897" i="22" s="1"/>
  <c r="H897" i="22" s="1"/>
  <c r="N897" i="22" l="1"/>
  <c r="L897" i="22"/>
  <c r="M897" i="22" s="1"/>
  <c r="J897" i="22"/>
  <c r="C898" i="22"/>
  <c r="D898" i="22" l="1"/>
  <c r="G898" i="22" s="1"/>
  <c r="H898" i="22" s="1"/>
  <c r="N898" i="22" l="1"/>
  <c r="L898" i="22"/>
  <c r="M898" i="22" s="1"/>
  <c r="J898" i="22"/>
  <c r="C899" i="22"/>
  <c r="D899" i="22" l="1"/>
  <c r="G899" i="22" s="1"/>
  <c r="H899" i="22" s="1"/>
  <c r="N899" i="22" l="1"/>
  <c r="L899" i="22"/>
  <c r="M899" i="22" s="1"/>
  <c r="J899" i="22"/>
  <c r="C900" i="22"/>
  <c r="D900" i="22" l="1"/>
  <c r="G900" i="22" s="1"/>
  <c r="H900" i="22" s="1"/>
  <c r="N900" i="22" l="1"/>
  <c r="L900" i="22"/>
  <c r="M900" i="22" s="1"/>
  <c r="J900" i="22"/>
  <c r="C901" i="22"/>
  <c r="D901" i="22" l="1"/>
  <c r="G901" i="22" s="1"/>
  <c r="H901" i="22" s="1"/>
  <c r="N901" i="22" l="1"/>
  <c r="L901" i="22"/>
  <c r="M901" i="22" s="1"/>
  <c r="J901" i="22"/>
  <c r="C902" i="22"/>
  <c r="D902" i="22" l="1"/>
  <c r="G902" i="22" s="1"/>
  <c r="H902" i="22" s="1"/>
  <c r="N902" i="22" l="1"/>
  <c r="L902" i="22"/>
  <c r="M902" i="22" s="1"/>
  <c r="J902" i="22"/>
  <c r="C903" i="22"/>
  <c r="D903" i="22" l="1"/>
  <c r="G903" i="22" s="1"/>
  <c r="H903" i="22" s="1"/>
  <c r="N903" i="22" l="1"/>
  <c r="L903" i="22"/>
  <c r="M903" i="22" s="1"/>
  <c r="C904" i="22"/>
  <c r="J903" i="22"/>
  <c r="D904" i="22" l="1"/>
  <c r="G904" i="22" s="1"/>
  <c r="H904" i="22" s="1"/>
  <c r="N904" i="22" l="1"/>
  <c r="L904" i="22"/>
  <c r="M904" i="22" s="1"/>
  <c r="J904" i="22"/>
  <c r="C905" i="22"/>
  <c r="D905" i="22" l="1"/>
  <c r="G905" i="22" s="1"/>
  <c r="H905" i="22" s="1"/>
  <c r="N905" i="22" l="1"/>
  <c r="L905" i="22"/>
  <c r="M905" i="22" s="1"/>
  <c r="J905" i="22"/>
  <c r="C906" i="22"/>
  <c r="D906" i="22" l="1"/>
  <c r="G906" i="22" s="1"/>
  <c r="H906" i="22" s="1"/>
  <c r="N906" i="22" l="1"/>
  <c r="L906" i="22"/>
  <c r="M906" i="22" s="1"/>
  <c r="J906" i="22"/>
  <c r="C907" i="22"/>
  <c r="D907" i="22" l="1"/>
  <c r="G907" i="22" s="1"/>
  <c r="H907" i="22" s="1"/>
  <c r="N907" i="22" l="1"/>
  <c r="L907" i="22"/>
  <c r="M907" i="22" s="1"/>
  <c r="J907" i="22"/>
  <c r="C908" i="22"/>
  <c r="D908" i="22" l="1"/>
  <c r="G908" i="22" s="1"/>
  <c r="H908" i="22" s="1"/>
  <c r="N908" i="22" l="1"/>
  <c r="L908" i="22"/>
  <c r="M908" i="22" s="1"/>
  <c r="J908" i="22"/>
  <c r="C909" i="22"/>
  <c r="D909" i="22" l="1"/>
  <c r="G909" i="22" s="1"/>
  <c r="H909" i="22" s="1"/>
  <c r="N909" i="22" l="1"/>
  <c r="L909" i="22"/>
  <c r="M909" i="22" s="1"/>
  <c r="J909" i="22"/>
  <c r="C910" i="22"/>
  <c r="D910" i="22" l="1"/>
  <c r="G910" i="22" s="1"/>
  <c r="H910" i="22" s="1"/>
  <c r="N910" i="22" l="1"/>
  <c r="L910" i="22"/>
  <c r="M910" i="22" s="1"/>
  <c r="J910" i="22"/>
  <c r="C911" i="22"/>
  <c r="D911" i="22" l="1"/>
  <c r="G911" i="22" s="1"/>
  <c r="H911" i="22" s="1"/>
  <c r="N911" i="22" l="1"/>
  <c r="L911" i="22"/>
  <c r="M911" i="22" s="1"/>
  <c r="C912" i="22"/>
  <c r="J911" i="22"/>
  <c r="D912" i="22" l="1"/>
  <c r="G912" i="22" s="1"/>
  <c r="H912" i="22" s="1"/>
  <c r="N912" i="22" l="1"/>
  <c r="L912" i="22"/>
  <c r="M912" i="22" s="1"/>
  <c r="J912" i="22"/>
  <c r="C913" i="22"/>
  <c r="D913" i="22" l="1"/>
  <c r="G913" i="22" s="1"/>
  <c r="H913" i="22" s="1"/>
  <c r="N913" i="22" l="1"/>
  <c r="L913" i="22"/>
  <c r="M913" i="22" s="1"/>
  <c r="J913" i="22"/>
  <c r="C914" i="22"/>
  <c r="D914" i="22" l="1"/>
  <c r="G914" i="22" s="1"/>
  <c r="H914" i="22" s="1"/>
  <c r="N914" i="22" l="1"/>
  <c r="L914" i="22"/>
  <c r="M914" i="22" s="1"/>
  <c r="J914" i="22"/>
  <c r="C915" i="22"/>
  <c r="D915" i="22" l="1"/>
  <c r="G915" i="22" s="1"/>
  <c r="H915" i="22" s="1"/>
  <c r="N915" i="22" l="1"/>
  <c r="L915" i="22"/>
  <c r="M915" i="22" s="1"/>
  <c r="J915" i="22"/>
  <c r="C916" i="22"/>
  <c r="D916" i="22" l="1"/>
  <c r="G916" i="22" s="1"/>
  <c r="H916" i="22" s="1"/>
  <c r="N916" i="22" l="1"/>
  <c r="L916" i="22"/>
  <c r="M916" i="22" s="1"/>
  <c r="J916" i="22"/>
  <c r="C917" i="22"/>
  <c r="D917" i="22" l="1"/>
  <c r="G917" i="22" s="1"/>
  <c r="H917" i="22" s="1"/>
  <c r="N917" i="22" l="1"/>
  <c r="L917" i="22"/>
  <c r="M917" i="22" s="1"/>
  <c r="J917" i="22"/>
  <c r="C918" i="22"/>
  <c r="D918" i="22" l="1"/>
  <c r="G918" i="22" s="1"/>
  <c r="H918" i="22" s="1"/>
  <c r="N918" i="22" l="1"/>
  <c r="L918" i="22"/>
  <c r="M918" i="22" s="1"/>
  <c r="J918" i="22"/>
  <c r="C919" i="22"/>
  <c r="D919" i="22" l="1"/>
  <c r="G919" i="22" s="1"/>
  <c r="H919" i="22" s="1"/>
  <c r="N919" i="22" l="1"/>
  <c r="L919" i="22"/>
  <c r="M919" i="22" s="1"/>
  <c r="C920" i="22"/>
  <c r="J919" i="22"/>
  <c r="D920" i="22" l="1"/>
  <c r="G920" i="22" s="1"/>
  <c r="H920" i="22" s="1"/>
  <c r="N920" i="22" l="1"/>
  <c r="L920" i="22"/>
  <c r="M920" i="22" s="1"/>
  <c r="J920" i="22"/>
  <c r="C921" i="22"/>
  <c r="D921" i="22" l="1"/>
  <c r="G921" i="22" s="1"/>
  <c r="H921" i="22" s="1"/>
  <c r="N921" i="22" l="1"/>
  <c r="L921" i="22"/>
  <c r="M921" i="22" s="1"/>
  <c r="J921" i="22"/>
  <c r="C922" i="22"/>
  <c r="D922" i="22" l="1"/>
  <c r="G922" i="22" s="1"/>
  <c r="H922" i="22" s="1"/>
  <c r="N922" i="22" l="1"/>
  <c r="L922" i="22"/>
  <c r="M922" i="22" s="1"/>
  <c r="J922" i="22"/>
  <c r="C923" i="22"/>
  <c r="D923" i="22" l="1"/>
  <c r="G923" i="22" s="1"/>
  <c r="H923" i="22" s="1"/>
  <c r="N923" i="22" l="1"/>
  <c r="L923" i="22"/>
  <c r="M923" i="22" s="1"/>
  <c r="J923" i="22"/>
  <c r="C924" i="22"/>
  <c r="D924" i="22" l="1"/>
  <c r="G924" i="22" s="1"/>
  <c r="H924" i="22" s="1"/>
  <c r="N924" i="22" l="1"/>
  <c r="L924" i="22"/>
  <c r="M924" i="22" s="1"/>
  <c r="J924" i="22"/>
  <c r="C925" i="22"/>
  <c r="D925" i="22" l="1"/>
  <c r="G925" i="22" s="1"/>
  <c r="H925" i="22" s="1"/>
  <c r="N925" i="22" l="1"/>
  <c r="L925" i="22"/>
  <c r="M925" i="22" s="1"/>
  <c r="J925" i="22"/>
  <c r="C926" i="22"/>
  <c r="D926" i="22" l="1"/>
  <c r="G926" i="22" s="1"/>
  <c r="H926" i="22" s="1"/>
  <c r="N926" i="22" l="1"/>
  <c r="L926" i="22"/>
  <c r="M926" i="22" s="1"/>
  <c r="J926" i="22"/>
  <c r="C927" i="22"/>
  <c r="D927" i="22" l="1"/>
  <c r="G927" i="22" s="1"/>
  <c r="H927" i="22" s="1"/>
  <c r="N927" i="22" l="1"/>
  <c r="L927" i="22"/>
  <c r="M927" i="22" s="1"/>
  <c r="C928" i="22"/>
  <c r="J927" i="22"/>
  <c r="D928" i="22" l="1"/>
  <c r="G928" i="22" s="1"/>
  <c r="H928" i="22" s="1"/>
  <c r="N928" i="22" l="1"/>
  <c r="L928" i="22"/>
  <c r="M928" i="22" s="1"/>
  <c r="J928" i="22"/>
  <c r="C929" i="22"/>
  <c r="D929" i="22" l="1"/>
  <c r="G929" i="22" s="1"/>
  <c r="H929" i="22" s="1"/>
  <c r="N929" i="22" l="1"/>
  <c r="L929" i="22"/>
  <c r="M929" i="22" s="1"/>
  <c r="J929" i="22"/>
  <c r="C930" i="22"/>
  <c r="D930" i="22" l="1"/>
  <c r="G930" i="22" s="1"/>
  <c r="H930" i="22" s="1"/>
  <c r="N930" i="22" l="1"/>
  <c r="L930" i="22"/>
  <c r="M930" i="22" s="1"/>
  <c r="J930" i="22"/>
  <c r="C931" i="22"/>
  <c r="D931" i="22" l="1"/>
  <c r="G931" i="22" s="1"/>
  <c r="H931" i="22" s="1"/>
  <c r="N931" i="22" l="1"/>
  <c r="L931" i="22"/>
  <c r="M931" i="22" s="1"/>
  <c r="J931" i="22"/>
  <c r="C932" i="22"/>
  <c r="D932" i="22" l="1"/>
  <c r="G932" i="22" s="1"/>
  <c r="H932" i="22" s="1"/>
  <c r="N932" i="22" l="1"/>
  <c r="L932" i="22"/>
  <c r="M932" i="22" s="1"/>
  <c r="J932" i="22"/>
  <c r="C933" i="22"/>
  <c r="D933" i="22" l="1"/>
  <c r="G933" i="22" s="1"/>
  <c r="H933" i="22" s="1"/>
  <c r="N933" i="22" l="1"/>
  <c r="L933" i="22"/>
  <c r="M933" i="22" s="1"/>
  <c r="J933" i="22"/>
  <c r="C934" i="22"/>
  <c r="D934" i="22" l="1"/>
  <c r="G934" i="22" s="1"/>
  <c r="H934" i="22" s="1"/>
  <c r="N934" i="22" l="1"/>
  <c r="L934" i="22"/>
  <c r="M934" i="22" s="1"/>
  <c r="J934" i="22"/>
  <c r="C935" i="22"/>
  <c r="D935" i="22" l="1"/>
  <c r="G935" i="22" s="1"/>
  <c r="H935" i="22" s="1"/>
  <c r="N935" i="22" l="1"/>
  <c r="L935" i="22"/>
  <c r="M935" i="22" s="1"/>
  <c r="C936" i="22"/>
  <c r="J935" i="22"/>
  <c r="D936" i="22" l="1"/>
  <c r="G936" i="22" s="1"/>
  <c r="H936" i="22" s="1"/>
  <c r="N936" i="22" l="1"/>
  <c r="L936" i="22"/>
  <c r="M936" i="22" s="1"/>
  <c r="J936" i="22"/>
  <c r="C937" i="22"/>
  <c r="D937" i="22" l="1"/>
  <c r="G937" i="22" s="1"/>
  <c r="H937" i="22" s="1"/>
  <c r="N937" i="22" l="1"/>
  <c r="L937" i="22"/>
  <c r="M937" i="22" s="1"/>
  <c r="J937" i="22"/>
  <c r="C938" i="22"/>
  <c r="D938" i="22" l="1"/>
  <c r="G938" i="22" s="1"/>
  <c r="H938" i="22" s="1"/>
  <c r="N938" i="22" l="1"/>
  <c r="L938" i="22"/>
  <c r="M938" i="22" s="1"/>
  <c r="J938" i="22"/>
  <c r="C939" i="22"/>
  <c r="D939" i="22" l="1"/>
  <c r="G939" i="22" s="1"/>
  <c r="H939" i="22" s="1"/>
  <c r="N939" i="22" l="1"/>
  <c r="L939" i="22"/>
  <c r="M939" i="22" s="1"/>
  <c r="J939" i="22"/>
  <c r="C940" i="22"/>
  <c r="D940" i="22" l="1"/>
  <c r="G940" i="22" s="1"/>
  <c r="H940" i="22" s="1"/>
  <c r="N940" i="22" l="1"/>
  <c r="L940" i="22"/>
  <c r="M940" i="22" s="1"/>
  <c r="J940" i="22"/>
  <c r="C941" i="22"/>
  <c r="D941" i="22" l="1"/>
  <c r="G941" i="22" s="1"/>
  <c r="H941" i="22" s="1"/>
  <c r="N941" i="22" l="1"/>
  <c r="L941" i="22"/>
  <c r="M941" i="22" s="1"/>
  <c r="J941" i="22"/>
  <c r="C942" i="22"/>
  <c r="D942" i="22" l="1"/>
  <c r="G942" i="22" s="1"/>
  <c r="H942" i="22" s="1"/>
  <c r="N942" i="22" l="1"/>
  <c r="L942" i="22"/>
  <c r="M942" i="22" s="1"/>
  <c r="J942" i="22"/>
  <c r="C943" i="22"/>
  <c r="D943" i="22" l="1"/>
  <c r="G943" i="22" s="1"/>
  <c r="H943" i="22" s="1"/>
  <c r="N943" i="22" l="1"/>
  <c r="L943" i="22"/>
  <c r="M943" i="22" s="1"/>
  <c r="C944" i="22"/>
  <c r="J943" i="22"/>
  <c r="D944" i="22" l="1"/>
  <c r="G944" i="22" s="1"/>
  <c r="H944" i="22" s="1"/>
  <c r="N944" i="22" l="1"/>
  <c r="L944" i="22"/>
  <c r="M944" i="22" s="1"/>
  <c r="J944" i="22"/>
  <c r="C945" i="22"/>
  <c r="D945" i="22" l="1"/>
  <c r="G945" i="22" s="1"/>
  <c r="H945" i="22" s="1"/>
  <c r="N945" i="22" l="1"/>
  <c r="L945" i="22"/>
  <c r="M945" i="22" s="1"/>
  <c r="J945" i="22"/>
  <c r="C946" i="22"/>
  <c r="D946" i="22" l="1"/>
  <c r="G946" i="22" s="1"/>
  <c r="H946" i="22" s="1"/>
  <c r="N946" i="22" l="1"/>
  <c r="L946" i="22"/>
  <c r="M946" i="22" s="1"/>
  <c r="J946" i="22"/>
  <c r="C947" i="22"/>
  <c r="D947" i="22" l="1"/>
  <c r="G947" i="22" s="1"/>
  <c r="H947" i="22" s="1"/>
  <c r="N947" i="22" l="1"/>
  <c r="L947" i="22"/>
  <c r="M947" i="22" s="1"/>
  <c r="J947" i="22"/>
  <c r="C948" i="22"/>
  <c r="D948" i="22" l="1"/>
  <c r="G948" i="22" s="1"/>
  <c r="H948" i="22" s="1"/>
  <c r="N948" i="22" l="1"/>
  <c r="L948" i="22"/>
  <c r="M948" i="22" s="1"/>
  <c r="J948" i="22"/>
  <c r="C949" i="22"/>
  <c r="D949" i="22" l="1"/>
  <c r="G949" i="22" s="1"/>
  <c r="H949" i="22" s="1"/>
  <c r="N949" i="22" l="1"/>
  <c r="L949" i="22"/>
  <c r="M949" i="22" s="1"/>
  <c r="J949" i="22"/>
  <c r="C950" i="22"/>
  <c r="D950" i="22" s="1"/>
  <c r="G950" i="22" s="1"/>
  <c r="N950" i="22" l="1"/>
  <c r="L950" i="22"/>
  <c r="M950" i="22" s="1"/>
  <c r="H950" i="22"/>
  <c r="J950" i="22" l="1"/>
  <c r="C951" i="22"/>
  <c r="D951" i="22" s="1"/>
  <c r="G951" i="22" s="1"/>
  <c r="N951" i="22" l="1"/>
  <c r="L951" i="22"/>
  <c r="M951" i="22" s="1"/>
  <c r="H951" i="22"/>
  <c r="C952" i="22" l="1"/>
  <c r="D952" i="22" s="1"/>
  <c r="G952" i="22" s="1"/>
  <c r="J951" i="22"/>
  <c r="N952" i="22" l="1"/>
  <c r="L952" i="22"/>
  <c r="M952" i="22" s="1"/>
  <c r="H952" i="22"/>
  <c r="J952" i="22" l="1"/>
  <c r="C953" i="22"/>
  <c r="D953" i="22" s="1"/>
  <c r="G953" i="22" s="1"/>
  <c r="N953" i="22" l="1"/>
  <c r="L953" i="22"/>
  <c r="M953" i="22" s="1"/>
  <c r="H953" i="22"/>
  <c r="J953" i="22" l="1"/>
  <c r="C954" i="22"/>
  <c r="D954" i="22" s="1"/>
  <c r="G954" i="22" s="1"/>
  <c r="N954" i="22" l="1"/>
  <c r="L954" i="22"/>
  <c r="M954" i="22" s="1"/>
  <c r="H954" i="22"/>
  <c r="J954" i="22" l="1"/>
  <c r="C955" i="22"/>
  <c r="D955" i="22" s="1"/>
  <c r="G955" i="22" s="1"/>
  <c r="N955" i="22" l="1"/>
  <c r="L955" i="22"/>
  <c r="M955" i="22" s="1"/>
  <c r="H955" i="22"/>
  <c r="J955" i="22" l="1"/>
  <c r="C956" i="22"/>
  <c r="D956" i="22" s="1"/>
  <c r="G956" i="22" s="1"/>
  <c r="N956" i="22" l="1"/>
  <c r="L956" i="22"/>
  <c r="M956" i="22" s="1"/>
  <c r="H956" i="22"/>
  <c r="J956" i="22" l="1"/>
  <c r="C957" i="22"/>
  <c r="D957" i="22" s="1"/>
  <c r="G957" i="22" s="1"/>
  <c r="N957" i="22" l="1"/>
  <c r="L957" i="22"/>
  <c r="M957" i="22" s="1"/>
  <c r="H957" i="22"/>
  <c r="J957" i="22" l="1"/>
  <c r="C958" i="22"/>
  <c r="D958" i="22" s="1"/>
  <c r="G958" i="22" s="1"/>
  <c r="N958" i="22" l="1"/>
  <c r="L958" i="22"/>
  <c r="M958" i="22" s="1"/>
  <c r="H958" i="22"/>
  <c r="J958" i="22" l="1"/>
  <c r="C959" i="22"/>
  <c r="D959" i="22" s="1"/>
  <c r="G959" i="22" s="1"/>
  <c r="N959" i="22" l="1"/>
  <c r="L959" i="22"/>
  <c r="M959" i="22" s="1"/>
  <c r="H959" i="22"/>
  <c r="C960" i="22" l="1"/>
  <c r="D960" i="22" s="1"/>
  <c r="G960" i="22" s="1"/>
  <c r="J959" i="22"/>
  <c r="N960" i="22" l="1"/>
  <c r="L960" i="22"/>
  <c r="M960" i="22" s="1"/>
  <c r="H960" i="22"/>
  <c r="J960" i="22" l="1"/>
  <c r="C961" i="22"/>
  <c r="D961" i="22" s="1"/>
  <c r="G961" i="22" s="1"/>
  <c r="N961" i="22" l="1"/>
  <c r="L961" i="22"/>
  <c r="M961" i="22" s="1"/>
  <c r="H961" i="22"/>
  <c r="J961" i="22" l="1"/>
  <c r="C962" i="22"/>
  <c r="D962" i="22" s="1"/>
  <c r="G962" i="22" s="1"/>
  <c r="N962" i="22" l="1"/>
  <c r="L962" i="22"/>
  <c r="M962" i="22" s="1"/>
  <c r="H962" i="22"/>
  <c r="J962" i="22" l="1"/>
  <c r="C963" i="22"/>
  <c r="D963" i="22" s="1"/>
  <c r="G963" i="22" s="1"/>
  <c r="N963" i="22" l="1"/>
  <c r="L963" i="22"/>
  <c r="M963" i="22" s="1"/>
  <c r="H963" i="22"/>
  <c r="J963" i="22" l="1"/>
  <c r="C964" i="22"/>
  <c r="D964" i="22" s="1"/>
  <c r="G964" i="22" s="1"/>
  <c r="N964" i="22" l="1"/>
  <c r="L964" i="22"/>
  <c r="M964" i="22" s="1"/>
  <c r="H964" i="22"/>
  <c r="J964" i="22" l="1"/>
  <c r="C965" i="22"/>
  <c r="D965" i="22" s="1"/>
  <c r="G965" i="22" s="1"/>
  <c r="N965" i="22" l="1"/>
  <c r="L965" i="22"/>
  <c r="M965" i="22" s="1"/>
  <c r="H965" i="22"/>
  <c r="J965" i="22" l="1"/>
  <c r="C966" i="22"/>
  <c r="D966" i="22" s="1"/>
  <c r="G966" i="22" s="1"/>
  <c r="N966" i="22" l="1"/>
  <c r="L966" i="22"/>
  <c r="M966" i="22" s="1"/>
  <c r="H966" i="22"/>
  <c r="J966" i="22" l="1"/>
  <c r="C967" i="22"/>
  <c r="D967" i="22" s="1"/>
  <c r="G967" i="22" s="1"/>
  <c r="N967" i="22" l="1"/>
  <c r="L967" i="22"/>
  <c r="M967" i="22" s="1"/>
  <c r="H967" i="22"/>
  <c r="C968" i="22" l="1"/>
  <c r="D968" i="22" s="1"/>
  <c r="G968" i="22" s="1"/>
  <c r="J967" i="22"/>
  <c r="N968" i="22" l="1"/>
  <c r="L968" i="22"/>
  <c r="M968" i="22" s="1"/>
  <c r="H968" i="22"/>
  <c r="J968" i="22" l="1"/>
  <c r="C969" i="22"/>
  <c r="D969" i="22" s="1"/>
  <c r="G969" i="22" s="1"/>
  <c r="N969" i="22" l="1"/>
  <c r="L969" i="22"/>
  <c r="M969" i="22" s="1"/>
  <c r="H969" i="22"/>
  <c r="J969" i="22" l="1"/>
  <c r="C970" i="22"/>
  <c r="D970" i="22" s="1"/>
  <c r="G970" i="22" s="1"/>
  <c r="N970" i="22" l="1"/>
  <c r="L970" i="22"/>
  <c r="M970" i="22" s="1"/>
  <c r="H970" i="22"/>
  <c r="J970" i="22" l="1"/>
  <c r="C971" i="22"/>
  <c r="D971" i="22" s="1"/>
  <c r="G971" i="22" s="1"/>
  <c r="N971" i="22" l="1"/>
  <c r="L971" i="22"/>
  <c r="M971" i="22" s="1"/>
  <c r="H971" i="22"/>
  <c r="J971" i="22" l="1"/>
  <c r="C972" i="22"/>
  <c r="D972" i="22" s="1"/>
  <c r="G972" i="22" s="1"/>
  <c r="N972" i="22" l="1"/>
  <c r="L972" i="22"/>
  <c r="M972" i="22" s="1"/>
  <c r="H972" i="22"/>
  <c r="J972" i="22" l="1"/>
  <c r="C973" i="22"/>
  <c r="D973" i="22" s="1"/>
  <c r="G973" i="22" s="1"/>
  <c r="N973" i="22" l="1"/>
  <c r="L973" i="22"/>
  <c r="M973" i="22" s="1"/>
  <c r="H973" i="22"/>
  <c r="J973" i="22" l="1"/>
  <c r="C974" i="22"/>
  <c r="D974" i="22" s="1"/>
  <c r="G974" i="22" s="1"/>
  <c r="N974" i="22" l="1"/>
  <c r="L974" i="22"/>
  <c r="M974" i="22" s="1"/>
  <c r="H974" i="22"/>
  <c r="J974" i="22" l="1"/>
  <c r="C975" i="22"/>
  <c r="D975" i="22" s="1"/>
  <c r="G975" i="22" s="1"/>
  <c r="N975" i="22" l="1"/>
  <c r="L975" i="22"/>
  <c r="M975" i="22" s="1"/>
  <c r="H975" i="22"/>
  <c r="C976" i="22" l="1"/>
  <c r="D976" i="22" s="1"/>
  <c r="G976" i="22" s="1"/>
  <c r="J975" i="22"/>
  <c r="N976" i="22" l="1"/>
  <c r="L976" i="22"/>
  <c r="M976" i="22" s="1"/>
  <c r="H976" i="22"/>
  <c r="J976" i="22" l="1"/>
  <c r="C977" i="22"/>
  <c r="D977" i="22" s="1"/>
  <c r="G977" i="22" s="1"/>
  <c r="N977" i="22" l="1"/>
  <c r="L977" i="22"/>
  <c r="M977" i="22" s="1"/>
  <c r="H977" i="22"/>
  <c r="J977" i="22" l="1"/>
  <c r="C978" i="22"/>
  <c r="D978" i="22" s="1"/>
  <c r="G978" i="22" s="1"/>
  <c r="N978" i="22" l="1"/>
  <c r="H978" i="22"/>
  <c r="J978" i="22" l="1"/>
  <c r="C979" i="22"/>
  <c r="D979" i="22" s="1"/>
  <c r="G979" i="22" s="1"/>
  <c r="N979" i="22" l="1"/>
  <c r="H979" i="22"/>
  <c r="J979" i="22" l="1"/>
  <c r="C980" i="22"/>
  <c r="D980" i="22" s="1"/>
  <c r="G980" i="22" s="1"/>
  <c r="N980" i="22" l="1"/>
  <c r="H980" i="22"/>
  <c r="J980" i="22" l="1"/>
  <c r="C981" i="22"/>
  <c r="D981" i="22" s="1"/>
  <c r="G981" i="22" s="1"/>
  <c r="N981" i="22" l="1"/>
  <c r="H981" i="22"/>
  <c r="J981" i="22" l="1"/>
  <c r="C982" i="22"/>
  <c r="D982" i="22" s="1"/>
  <c r="G982" i="22" s="1"/>
  <c r="N982" i="22" l="1"/>
  <c r="H982" i="22"/>
  <c r="J982" i="22" l="1"/>
  <c r="C983" i="22"/>
  <c r="D983" i="22" s="1"/>
  <c r="G983" i="22" s="1"/>
  <c r="N983" i="22" l="1"/>
  <c r="H983" i="22"/>
  <c r="C984" i="22" l="1"/>
  <c r="D984" i="22" s="1"/>
  <c r="G984" i="22" s="1"/>
  <c r="J983" i="22"/>
  <c r="N984" i="22" l="1"/>
  <c r="H984" i="22"/>
  <c r="J984" i="22" l="1"/>
  <c r="C985" i="22"/>
  <c r="D985" i="22" s="1"/>
  <c r="G985" i="22" s="1"/>
  <c r="N985" i="22" l="1"/>
  <c r="H985" i="22"/>
  <c r="J985" i="22" l="1"/>
  <c r="C986" i="22"/>
  <c r="D986" i="22" s="1"/>
  <c r="G986" i="22" s="1"/>
  <c r="N986" i="22" l="1"/>
  <c r="H986" i="22"/>
  <c r="J986" i="22" l="1"/>
  <c r="C987" i="22"/>
  <c r="D987" i="22" s="1"/>
  <c r="G987" i="22" s="1"/>
  <c r="N987" i="22" l="1"/>
  <c r="H987" i="22"/>
  <c r="J987" i="22" l="1"/>
  <c r="C988" i="22"/>
  <c r="D988" i="22" s="1"/>
  <c r="G988" i="22" s="1"/>
  <c r="N988" i="22" l="1"/>
  <c r="H988" i="22"/>
  <c r="J988" i="22" l="1"/>
  <c r="C989" i="22"/>
  <c r="D989" i="22" s="1"/>
  <c r="G989" i="22" s="1"/>
  <c r="N989" i="22" l="1"/>
  <c r="H989" i="22"/>
  <c r="J989" i="22" l="1"/>
  <c r="C990" i="22"/>
  <c r="D990" i="22" s="1"/>
  <c r="G990" i="22" s="1"/>
  <c r="N990" i="22" l="1"/>
  <c r="H990" i="22"/>
  <c r="J990" i="22" l="1"/>
  <c r="C991" i="22"/>
  <c r="D991" i="22" s="1"/>
  <c r="G991" i="22" s="1"/>
  <c r="N991" i="22" l="1"/>
  <c r="H991" i="22"/>
  <c r="C992" i="22" l="1"/>
  <c r="D992" i="22" s="1"/>
  <c r="G992" i="22" s="1"/>
  <c r="J991" i="22"/>
  <c r="N992" i="22" l="1"/>
  <c r="H992" i="22"/>
  <c r="J992" i="22" l="1"/>
  <c r="C993" i="22"/>
  <c r="D993" i="22" s="1"/>
  <c r="G993" i="22" s="1"/>
  <c r="N993" i="22" l="1"/>
  <c r="H993" i="22"/>
  <c r="J993" i="22" l="1"/>
  <c r="C994" i="22"/>
  <c r="D994" i="22" s="1"/>
  <c r="G994" i="22" s="1"/>
  <c r="N994" i="22" l="1"/>
  <c r="H994" i="22"/>
  <c r="J994" i="22" l="1"/>
  <c r="C995" i="22"/>
  <c r="D995" i="22" s="1"/>
  <c r="G995" i="22" s="1"/>
  <c r="N995" i="22" l="1"/>
  <c r="H995" i="22"/>
  <c r="J995" i="22" l="1"/>
  <c r="C996" i="22"/>
  <c r="D996" i="22" s="1"/>
  <c r="G996" i="22" s="1"/>
  <c r="N996" i="22" l="1"/>
  <c r="H996" i="22"/>
  <c r="J996" i="22" l="1"/>
  <c r="C997" i="22"/>
  <c r="D997" i="22" s="1"/>
  <c r="G997" i="22" s="1"/>
  <c r="N997" i="22" l="1"/>
  <c r="H997" i="22"/>
  <c r="J997" i="22" l="1"/>
  <c r="C998" i="22"/>
  <c r="D998" i="22" s="1"/>
  <c r="G998" i="22" s="1"/>
  <c r="N998" i="22" l="1"/>
  <c r="H998" i="22"/>
  <c r="J998" i="22" l="1"/>
  <c r="C999" i="22"/>
  <c r="D999" i="22" s="1"/>
  <c r="G999" i="22" s="1"/>
  <c r="N999" i="22" l="1"/>
  <c r="H999" i="22"/>
  <c r="C1000" i="22" l="1"/>
  <c r="D1000" i="22" s="1"/>
  <c r="G1000" i="22" s="1"/>
  <c r="J999" i="22"/>
  <c r="N1000" i="22" l="1"/>
  <c r="H1000" i="22"/>
  <c r="J1000" i="22" l="1"/>
  <c r="C1001" i="22"/>
  <c r="D1001" i="22" s="1"/>
  <c r="G1001" i="22" s="1"/>
  <c r="N1001" i="22" l="1"/>
  <c r="H1001" i="22"/>
  <c r="J1001" i="22" l="1"/>
  <c r="C1002" i="22"/>
  <c r="D1002" i="22" s="1"/>
  <c r="G1002" i="22" s="1"/>
  <c r="N1002" i="22" l="1"/>
  <c r="H1002" i="22"/>
  <c r="J1002" i="22" l="1"/>
  <c r="C1003" i="22"/>
  <c r="D1003" i="22" s="1"/>
  <c r="G1003" i="22" s="1"/>
  <c r="N1003" i="22" l="1"/>
  <c r="H1003" i="22"/>
  <c r="J1003" i="22" l="1"/>
  <c r="C1004" i="22"/>
  <c r="D1004" i="22" s="1"/>
  <c r="G1004" i="22" s="1"/>
  <c r="N1004" i="22" l="1"/>
  <c r="H1004" i="22"/>
  <c r="J1004" i="22" l="1"/>
  <c r="C1005" i="22"/>
  <c r="D1005" i="22" s="1"/>
  <c r="G1005" i="22" s="1"/>
  <c r="N1005" i="22" l="1"/>
  <c r="H1005" i="22"/>
  <c r="J1005" i="22" l="1"/>
  <c r="C1006" i="22"/>
  <c r="D1006" i="22" s="1"/>
  <c r="G1006" i="22" s="1"/>
  <c r="N1006" i="22" l="1"/>
  <c r="H1006" i="22"/>
  <c r="J1006" i="22" l="1"/>
  <c r="C1007" i="22"/>
  <c r="D1007" i="22" s="1"/>
  <c r="G1007" i="22" s="1"/>
  <c r="N1007" i="22" l="1"/>
  <c r="H1007" i="22"/>
  <c r="C1008" i="22" l="1"/>
  <c r="D1008" i="22" s="1"/>
  <c r="G1008" i="22" s="1"/>
  <c r="J1007" i="22"/>
  <c r="N1008" i="22" l="1"/>
  <c r="H1008" i="22"/>
  <c r="J1008" i="22" l="1"/>
  <c r="C1009" i="22"/>
  <c r="D1009" i="22" s="1"/>
  <c r="G1009" i="22" s="1"/>
  <c r="N1009" i="22" l="1"/>
  <c r="H1009" i="22"/>
  <c r="J1009" i="22" l="1"/>
  <c r="C1010" i="22"/>
  <c r="D1010" i="22" s="1"/>
  <c r="G1010" i="22" s="1"/>
  <c r="N1010" i="22" l="1"/>
  <c r="H1010" i="22"/>
  <c r="J1010" i="22" l="1"/>
  <c r="C1011" i="22"/>
  <c r="D1011" i="22" s="1"/>
  <c r="G1011" i="22" s="1"/>
  <c r="N1011" i="22" l="1"/>
  <c r="H1011" i="22"/>
  <c r="J1011" i="22" l="1"/>
  <c r="C1012" i="22"/>
  <c r="D1012" i="22" s="1"/>
  <c r="G1012" i="22" s="1"/>
  <c r="N1012" i="22" l="1"/>
  <c r="H1012" i="22"/>
  <c r="J1012" i="22" l="1"/>
  <c r="C1013" i="22"/>
  <c r="D1013" i="22" s="1"/>
  <c r="G1013" i="22" s="1"/>
  <c r="N1013" i="22" l="1"/>
  <c r="H1013" i="22"/>
  <c r="J1013" i="22" l="1"/>
  <c r="C1014" i="22"/>
  <c r="D1014" i="22" s="1"/>
  <c r="G1014" i="22" s="1"/>
  <c r="N1014" i="22" l="1"/>
  <c r="H1014" i="22"/>
  <c r="J1014" i="22" l="1"/>
  <c r="C1015" i="22"/>
  <c r="D1015" i="22" s="1"/>
  <c r="G1015" i="22" s="1"/>
  <c r="N1015" i="22" l="1"/>
  <c r="H1015" i="22"/>
  <c r="C1016" i="22" l="1"/>
  <c r="D1016" i="22" s="1"/>
  <c r="G1016" i="22" s="1"/>
  <c r="J1015" i="22"/>
  <c r="N1016" i="22" l="1"/>
  <c r="H1016" i="22"/>
  <c r="J1016" i="22" l="1"/>
  <c r="C1017" i="22"/>
  <c r="D1017" i="22" s="1"/>
  <c r="G1017" i="22" s="1"/>
  <c r="N1017" i="22" l="1"/>
  <c r="H1017" i="22"/>
  <c r="J1017" i="22" l="1"/>
  <c r="C1018" i="22"/>
  <c r="D1018" i="22" s="1"/>
  <c r="G1018" i="22" s="1"/>
  <c r="N1018" i="22" l="1"/>
  <c r="H1018" i="22"/>
  <c r="J1018" i="22" l="1"/>
  <c r="C1019" i="22"/>
  <c r="D1019" i="22" s="1"/>
  <c r="G1019" i="22" s="1"/>
  <c r="N1019" i="22" l="1"/>
  <c r="H1019" i="22"/>
  <c r="J1019" i="22" l="1"/>
  <c r="C1020" i="22"/>
  <c r="D1020" i="22" s="1"/>
  <c r="G1020" i="22" s="1"/>
  <c r="N1020" i="22" l="1"/>
  <c r="H1020" i="22"/>
  <c r="J1020" i="22" l="1"/>
  <c r="C1021" i="22"/>
  <c r="D1021" i="22" s="1"/>
  <c r="G1021" i="22" s="1"/>
  <c r="N1021" i="22" l="1"/>
  <c r="H1021" i="22"/>
  <c r="J1021" i="22" l="1"/>
  <c r="C1022" i="22"/>
  <c r="D1022" i="22" s="1"/>
  <c r="G1022" i="22" s="1"/>
  <c r="N1022" i="22" l="1"/>
  <c r="H1022" i="22"/>
  <c r="J1022" i="22" l="1"/>
  <c r="C1023" i="22"/>
  <c r="D1023" i="22" s="1"/>
  <c r="G1023" i="22" s="1"/>
  <c r="N1023" i="22" l="1"/>
  <c r="H1023" i="22"/>
  <c r="C1024" i="22" l="1"/>
  <c r="D1024" i="22" s="1"/>
  <c r="G1024" i="22" s="1"/>
  <c r="J1023" i="22"/>
  <c r="N1024" i="22" l="1"/>
  <c r="H1024" i="22"/>
  <c r="J1024" i="22" l="1"/>
  <c r="C1025" i="22"/>
  <c r="D1025" i="22" s="1"/>
  <c r="G1025" i="22" s="1"/>
  <c r="N1025" i="22" l="1"/>
  <c r="H1025" i="22"/>
  <c r="J1025" i="22" l="1"/>
  <c r="C1026" i="22"/>
  <c r="D1026" i="22" s="1"/>
  <c r="G1026" i="22" s="1"/>
  <c r="N1026" i="22" l="1"/>
  <c r="H1026" i="22"/>
  <c r="J1026" i="22" l="1"/>
  <c r="C1027" i="22"/>
  <c r="D1027" i="22" s="1"/>
  <c r="G1027" i="22" s="1"/>
  <c r="N1027" i="22" l="1"/>
  <c r="H1027" i="22"/>
  <c r="J1027" i="22" l="1"/>
  <c r="C1028" i="22"/>
  <c r="D1028" i="22" s="1"/>
  <c r="G1028" i="22" s="1"/>
  <c r="N1028" i="22" l="1"/>
  <c r="H1028" i="22"/>
  <c r="J1028" i="22" l="1"/>
  <c r="C1029" i="22"/>
  <c r="D1029" i="22" s="1"/>
  <c r="G1029" i="22" s="1"/>
  <c r="N1029" i="22" l="1"/>
  <c r="H1029" i="22"/>
  <c r="J1029" i="22" l="1"/>
  <c r="C1030" i="22"/>
  <c r="D1030" i="22" s="1"/>
  <c r="G1030" i="22" s="1"/>
  <c r="N1030" i="22" l="1"/>
  <c r="H1030" i="22"/>
  <c r="J1030" i="22" l="1"/>
  <c r="C1031" i="22"/>
  <c r="D1031" i="22" s="1"/>
  <c r="G1031" i="22" s="1"/>
  <c r="N1031" i="22" l="1"/>
  <c r="H1031" i="22"/>
  <c r="C1032" i="22" l="1"/>
  <c r="D1032" i="22" s="1"/>
  <c r="G1032" i="22" s="1"/>
  <c r="J1031" i="22"/>
  <c r="N1032" i="22" l="1"/>
  <c r="H1032" i="22"/>
  <c r="J1032" i="22" l="1"/>
  <c r="C1033" i="22"/>
  <c r="D1033" i="22" s="1"/>
  <c r="G1033" i="22" s="1"/>
  <c r="N1033" i="22" l="1"/>
  <c r="H1033" i="22"/>
  <c r="J1033" i="22" l="1"/>
  <c r="C1034" i="22"/>
  <c r="D1034" i="22" s="1"/>
  <c r="G1034" i="22" s="1"/>
  <c r="N1034" i="22" l="1"/>
  <c r="H1034" i="22"/>
  <c r="J1034" i="22" l="1"/>
  <c r="C1035" i="22"/>
  <c r="D1035" i="22" s="1"/>
  <c r="G1035" i="22" s="1"/>
  <c r="N1035" i="22" l="1"/>
  <c r="H1035" i="22"/>
  <c r="J1035" i="22" l="1"/>
  <c r="C1036" i="22"/>
  <c r="D1036" i="22" s="1"/>
  <c r="G1036" i="22" s="1"/>
  <c r="N1036" i="22" l="1"/>
  <c r="H1036" i="22"/>
  <c r="J1036" i="22" l="1"/>
  <c r="C1037" i="22"/>
  <c r="D1037" i="22" s="1"/>
  <c r="G1037" i="22" s="1"/>
  <c r="N1037" i="22" l="1"/>
  <c r="H1037" i="22"/>
  <c r="J1037" i="22" l="1"/>
  <c r="C1038" i="22"/>
  <c r="D1038" i="22" s="1"/>
  <c r="G1038" i="22" s="1"/>
  <c r="N1038" i="22" l="1"/>
  <c r="H1038" i="22"/>
  <c r="J1038" i="22" l="1"/>
  <c r="C1039" i="22"/>
  <c r="D1039" i="22" s="1"/>
  <c r="G1039" i="22" s="1"/>
  <c r="N1039" i="22" l="1"/>
  <c r="H1039" i="22"/>
  <c r="C1040" i="22" l="1"/>
  <c r="D1040" i="22" s="1"/>
  <c r="G1040" i="22" s="1"/>
  <c r="J1039" i="22"/>
  <c r="N1040" i="22" l="1"/>
  <c r="H1040" i="22"/>
  <c r="J1040" i="22" l="1"/>
  <c r="C1041" i="22"/>
  <c r="D1041" i="22" s="1"/>
  <c r="G1041" i="22" s="1"/>
  <c r="N1041" i="22" l="1"/>
  <c r="H1041" i="22"/>
  <c r="J1041" i="22" l="1"/>
  <c r="C1042" i="22"/>
  <c r="D1042" i="22" s="1"/>
  <c r="G1042" i="22" s="1"/>
  <c r="N1042" i="22" l="1"/>
  <c r="H1042" i="22"/>
  <c r="J1042" i="22" l="1"/>
  <c r="C1043" i="22"/>
  <c r="D1043" i="22" s="1"/>
  <c r="G1043" i="22" s="1"/>
  <c r="N1043" i="22" l="1"/>
  <c r="H1043" i="22"/>
  <c r="J1043" i="22" l="1"/>
  <c r="C1044" i="22"/>
  <c r="D1044" i="22" s="1"/>
  <c r="G1044" i="22" s="1"/>
  <c r="N1044" i="22" l="1"/>
  <c r="H1044" i="22"/>
  <c r="J1044" i="22" l="1"/>
  <c r="C1045" i="22"/>
  <c r="D1045" i="22" s="1"/>
  <c r="G1045" i="22" s="1"/>
  <c r="N1045" i="22" l="1"/>
  <c r="H1045" i="22"/>
  <c r="J1045" i="22" l="1"/>
  <c r="C1046" i="22"/>
  <c r="D1046" i="22" s="1"/>
  <c r="G1046" i="22" s="1"/>
  <c r="N1046" i="22" l="1"/>
  <c r="H1046" i="22"/>
  <c r="J1046" i="22" l="1"/>
  <c r="C1047" i="22"/>
  <c r="D1047" i="22" s="1"/>
  <c r="G1047" i="22" s="1"/>
  <c r="N1047" i="22" l="1"/>
  <c r="H1047" i="22"/>
  <c r="C1048" i="22" l="1"/>
  <c r="D1048" i="22" s="1"/>
  <c r="G1048" i="22" s="1"/>
  <c r="J1047" i="22"/>
  <c r="N1048" i="22" l="1"/>
  <c r="H1048" i="22"/>
  <c r="J1048" i="22" l="1"/>
  <c r="C1049" i="22"/>
  <c r="D1049" i="22" s="1"/>
  <c r="G1049" i="22" s="1"/>
  <c r="N1049" i="22" l="1"/>
  <c r="H1049" i="22"/>
  <c r="J1049" i="22" l="1"/>
  <c r="C1050" i="22"/>
  <c r="D1050" i="22" s="1"/>
  <c r="G1050" i="22" s="1"/>
  <c r="N1050" i="22" l="1"/>
  <c r="H1050" i="22"/>
  <c r="J1050" i="22" l="1"/>
  <c r="C1051" i="22"/>
  <c r="D1051" i="22" s="1"/>
  <c r="G1051" i="22" s="1"/>
  <c r="N1051" i="22" l="1"/>
  <c r="H1051" i="22"/>
  <c r="J1051" i="22" l="1"/>
  <c r="C1052" i="22"/>
  <c r="D1052" i="22" s="1"/>
  <c r="G1052" i="22" s="1"/>
  <c r="N1052" i="22" l="1"/>
  <c r="H1052" i="22"/>
  <c r="J1052" i="22" l="1"/>
  <c r="C1053" i="22"/>
  <c r="D1053" i="22" s="1"/>
  <c r="G1053" i="22" s="1"/>
  <c r="N1053" i="22" l="1"/>
  <c r="H1053" i="22"/>
  <c r="J1053" i="22" l="1"/>
  <c r="C1054" i="22"/>
  <c r="D1054" i="22" s="1"/>
  <c r="G1054" i="22" s="1"/>
  <c r="N1054" i="22" l="1"/>
  <c r="H1054" i="22"/>
  <c r="J1054" i="22" l="1"/>
  <c r="C1055" i="22"/>
  <c r="D1055" i="22" s="1"/>
  <c r="G1055" i="22" s="1"/>
  <c r="N1055" i="22" l="1"/>
  <c r="H1055" i="22"/>
  <c r="C1056" i="22" l="1"/>
  <c r="D1056" i="22" s="1"/>
  <c r="G1056" i="22" s="1"/>
  <c r="J1055" i="22"/>
  <c r="H1056" i="22" l="1"/>
  <c r="J1056" i="22" l="1"/>
  <c r="C1057" i="22"/>
  <c r="D1057" i="22" s="1"/>
  <c r="G1057" i="22" s="1"/>
  <c r="H1057" i="22" l="1"/>
  <c r="J1057" i="22" l="1"/>
  <c r="C1058" i="22"/>
  <c r="D1058" i="22" s="1"/>
  <c r="G1058" i="22" s="1"/>
  <c r="H1058" i="22" l="1"/>
  <c r="J1058" i="22" l="1"/>
  <c r="C1059" i="22"/>
  <c r="D1059" i="22" s="1"/>
  <c r="G1059" i="22" s="1"/>
  <c r="H1059" i="22" l="1"/>
  <c r="J1059" i="22" l="1"/>
  <c r="C1060" i="22"/>
  <c r="D1060" i="22" s="1"/>
  <c r="G1060" i="22" s="1"/>
  <c r="H1060" i="22" l="1"/>
  <c r="J1060" i="22" l="1"/>
  <c r="C1061" i="22"/>
  <c r="D1061" i="22" s="1"/>
  <c r="G1061" i="22" s="1"/>
  <c r="H1061" i="22" l="1"/>
  <c r="J1061" i="22" l="1"/>
  <c r="C1062" i="22"/>
  <c r="D1062" i="22" s="1"/>
  <c r="G1062" i="22" s="1"/>
  <c r="H1062" i="22" l="1"/>
  <c r="J1062" i="22" l="1"/>
  <c r="C1063" i="22"/>
  <c r="D1063" i="22" s="1"/>
  <c r="G1063" i="22" s="1"/>
  <c r="H1063" i="22" l="1"/>
  <c r="C1064" i="22" l="1"/>
  <c r="D1064" i="22" s="1"/>
  <c r="G1064" i="22" s="1"/>
  <c r="J1063" i="22"/>
  <c r="H1064" i="22" l="1"/>
  <c r="J1064" i="22" l="1"/>
  <c r="C1065" i="22"/>
  <c r="D1065" i="22" s="1"/>
  <c r="G1065" i="22" s="1"/>
  <c r="H1065" i="22" l="1"/>
  <c r="J1065" i="22" l="1"/>
  <c r="C1066" i="22"/>
  <c r="D1066" i="22" s="1"/>
  <c r="G1066" i="22" s="1"/>
  <c r="H1066" i="22" l="1"/>
  <c r="J1066" i="22" l="1"/>
  <c r="C1067" i="22"/>
  <c r="D1067" i="22" s="1"/>
  <c r="G1067" i="22" s="1"/>
  <c r="H1067" i="22" l="1"/>
  <c r="J1067" i="22" l="1"/>
  <c r="C1068" i="22"/>
  <c r="D1068" i="22" s="1"/>
  <c r="G1068" i="22" s="1"/>
  <c r="H1068" i="22" l="1"/>
  <c r="J1068" i="22" l="1"/>
  <c r="C1069" i="22"/>
  <c r="D1069" i="22" s="1"/>
  <c r="G1069" i="22" s="1"/>
  <c r="H1069" i="22" l="1"/>
  <c r="J1069" i="22" l="1"/>
  <c r="C1070" i="22"/>
  <c r="D1070" i="22" s="1"/>
  <c r="G1070" i="22" s="1"/>
  <c r="H1070" i="22" l="1"/>
  <c r="J1070" i="22" l="1"/>
  <c r="C1071" i="22"/>
  <c r="D1071" i="22" s="1"/>
  <c r="G1071" i="22" s="1"/>
  <c r="H1071" i="22" l="1"/>
  <c r="C1072" i="22" l="1"/>
  <c r="D1072" i="22" s="1"/>
  <c r="G1072" i="22" s="1"/>
  <c r="J1071" i="22"/>
  <c r="H1072" i="22" l="1"/>
  <c r="J1072" i="22" l="1"/>
  <c r="C1073" i="22"/>
  <c r="D1073" i="22" s="1"/>
  <c r="G1073" i="22" s="1"/>
  <c r="H1073" i="22" l="1"/>
  <c r="J1073" i="22" l="1"/>
  <c r="C1074" i="22"/>
  <c r="D1074" i="22" s="1"/>
  <c r="G1074" i="22" s="1"/>
  <c r="H1074" i="22" l="1"/>
  <c r="J1074" i="22" l="1"/>
  <c r="C1075" i="22"/>
  <c r="D1075" i="22" s="1"/>
  <c r="G1075" i="22" s="1"/>
  <c r="H1075" i="22" l="1"/>
  <c r="J1075" i="22" l="1"/>
  <c r="C1076" i="22"/>
  <c r="D1076" i="22" s="1"/>
  <c r="G1076" i="22" s="1"/>
  <c r="H1076" i="22" l="1"/>
  <c r="J1076" i="22" l="1"/>
  <c r="C1077" i="22"/>
  <c r="D1077" i="22" s="1"/>
  <c r="G1077" i="22" s="1"/>
  <c r="H1077" i="22" l="1"/>
  <c r="J1077" i="22" l="1"/>
  <c r="C1078" i="22"/>
  <c r="D1078" i="22" s="1"/>
  <c r="G1078" i="22" s="1"/>
  <c r="H1078" i="22" l="1"/>
  <c r="J1078" i="22" l="1"/>
  <c r="C1079" i="22"/>
  <c r="D1079" i="22" s="1"/>
  <c r="G1079" i="22" s="1"/>
  <c r="H1079" i="22" l="1"/>
  <c r="C1080" i="22" l="1"/>
  <c r="D1080" i="22" s="1"/>
  <c r="G1080" i="22" s="1"/>
  <c r="J1079" i="22"/>
  <c r="H1080" i="22" l="1"/>
  <c r="J1080" i="22" l="1"/>
  <c r="C1081" i="22"/>
  <c r="D1081" i="22" s="1"/>
  <c r="G1081" i="22" s="1"/>
  <c r="H1081" i="22" l="1"/>
  <c r="J1081" i="22" l="1"/>
  <c r="C1082" i="22"/>
  <c r="D1082" i="22" s="1"/>
  <c r="G1082" i="22" s="1"/>
  <c r="H1082" i="22" l="1"/>
  <c r="J1082" i="22" l="1"/>
  <c r="C1083" i="22"/>
  <c r="D1083" i="22" s="1"/>
  <c r="G1083" i="22" s="1"/>
  <c r="H1083" i="22" l="1"/>
  <c r="J1083" i="22" l="1"/>
  <c r="C1084" i="22"/>
  <c r="D1084" i="22" s="1"/>
  <c r="G1084" i="22" s="1"/>
  <c r="H1084" i="22" l="1"/>
  <c r="J1084" i="22" l="1"/>
  <c r="C1085" i="22"/>
  <c r="D1085" i="22" s="1"/>
  <c r="G1085" i="22" s="1"/>
  <c r="H1085" i="22" l="1"/>
  <c r="J1085" i="22" l="1"/>
  <c r="C1086" i="22"/>
  <c r="D1086" i="22" s="1"/>
  <c r="G1086" i="22" s="1"/>
  <c r="H1086" i="22" l="1"/>
  <c r="J1086" i="22" l="1"/>
  <c r="C1087" i="22"/>
  <c r="D1087" i="22" s="1"/>
  <c r="G1087" i="22" s="1"/>
  <c r="H1087" i="22" l="1"/>
  <c r="C1088" i="22" l="1"/>
  <c r="D1088" i="22" s="1"/>
  <c r="G1088" i="22" s="1"/>
  <c r="J1087" i="22"/>
  <c r="H1088" i="22" l="1"/>
  <c r="J1088" i="22" l="1"/>
  <c r="C1089" i="22"/>
  <c r="D1089" i="22" s="1"/>
  <c r="G1089" i="22" s="1"/>
  <c r="H1089" i="22" l="1"/>
  <c r="J1089" i="22" l="1"/>
  <c r="C1090" i="22"/>
  <c r="D1090" i="22" s="1"/>
  <c r="G1090" i="22" s="1"/>
  <c r="H1090" i="22" l="1"/>
  <c r="J1090" i="22" l="1"/>
  <c r="C1091" i="22"/>
  <c r="D1091" i="22" s="1"/>
  <c r="G1091" i="22" s="1"/>
  <c r="H1091" i="22" l="1"/>
  <c r="J1091" i="22" l="1"/>
  <c r="C1092" i="22"/>
  <c r="D1092" i="22" s="1"/>
  <c r="G1092" i="22" s="1"/>
  <c r="H1092" i="22" l="1"/>
  <c r="J1092" i="22" l="1"/>
  <c r="C1093" i="22"/>
  <c r="D1093" i="22" s="1"/>
  <c r="G1093" i="22" s="1"/>
  <c r="H1093" i="22" l="1"/>
  <c r="J1093" i="22" l="1"/>
  <c r="C1094" i="22"/>
  <c r="D1094" i="22" s="1"/>
  <c r="G1094" i="22" s="1"/>
  <c r="H1094" i="22" l="1"/>
  <c r="J1094" i="22" l="1"/>
  <c r="C1095" i="22"/>
  <c r="D1095" i="22" s="1"/>
  <c r="G1095" i="22" s="1"/>
  <c r="H1095" i="22" l="1"/>
  <c r="C1096" i="22" l="1"/>
  <c r="D1096" i="22" s="1"/>
  <c r="G1096" i="22" s="1"/>
  <c r="J1095" i="22"/>
  <c r="H1096" i="22" l="1"/>
  <c r="J1096" i="22" l="1"/>
  <c r="C1097" i="22"/>
  <c r="D1097" i="22" s="1"/>
  <c r="G1097" i="22" s="1"/>
  <c r="H1097" i="22" l="1"/>
  <c r="J1097" i="22" l="1"/>
  <c r="C1098" i="22"/>
  <c r="D1098" i="22" s="1"/>
  <c r="G1098" i="22" s="1"/>
  <c r="H1098" i="22" l="1"/>
  <c r="J1098" i="22" l="1"/>
  <c r="C1099" i="22"/>
  <c r="D1099" i="22" s="1"/>
  <c r="G1099" i="22" s="1"/>
  <c r="H1099" i="22" l="1"/>
  <c r="J1099" i="22" l="1"/>
  <c r="C1100" i="22"/>
  <c r="D1100" i="22" s="1"/>
  <c r="G1100" i="22" s="1"/>
  <c r="H1100" i="22" l="1"/>
  <c r="J1100" i="22" l="1"/>
  <c r="C1101" i="22"/>
  <c r="D1101" i="22" s="1"/>
  <c r="G1101" i="22" s="1"/>
  <c r="H1101" i="22" l="1"/>
  <c r="J1101" i="22" l="1"/>
  <c r="C1102" i="22"/>
  <c r="D1102" i="22" s="1"/>
  <c r="G1102" i="22" s="1"/>
  <c r="H1102" i="22" l="1"/>
  <c r="J1102" i="22" l="1"/>
  <c r="C1103" i="22"/>
  <c r="D1103" i="22" s="1"/>
  <c r="G1103" i="22" s="1"/>
  <c r="H1103" i="22" l="1"/>
  <c r="C1104" i="22" l="1"/>
  <c r="D1104" i="22" s="1"/>
  <c r="G1104" i="22" s="1"/>
  <c r="J1103" i="22"/>
  <c r="H1104" i="22" l="1"/>
  <c r="J1104" i="22" l="1"/>
  <c r="C1105" i="22"/>
  <c r="D1105" i="22" s="1"/>
  <c r="G1105" i="22" s="1"/>
  <c r="H1105" i="22" l="1"/>
  <c r="J1105" i="22" l="1"/>
  <c r="C1106" i="22"/>
  <c r="D1106" i="22" s="1"/>
  <c r="G1106" i="22" s="1"/>
  <c r="H1106" i="22" l="1"/>
  <c r="J1106" i="22" l="1"/>
  <c r="C1107" i="22"/>
  <c r="D1107" i="22" s="1"/>
  <c r="G1107" i="22" s="1"/>
  <c r="H1107" i="22" l="1"/>
  <c r="J1107" i="22" l="1"/>
  <c r="C1108" i="22"/>
  <c r="D1108" i="22" s="1"/>
  <c r="G1108" i="22" s="1"/>
  <c r="H1108" i="22" l="1"/>
  <c r="J1108" i="22" l="1"/>
  <c r="C1109" i="22"/>
  <c r="D1109" i="22" s="1"/>
  <c r="G1109" i="22" s="1"/>
  <c r="H1109" i="22" l="1"/>
  <c r="J1109" i="22" l="1"/>
  <c r="C1110" i="22"/>
  <c r="D1110" i="22" s="1"/>
  <c r="G1110" i="22" s="1"/>
  <c r="H1110" i="22" l="1"/>
  <c r="J1110" i="22" l="1"/>
  <c r="C1111" i="22"/>
  <c r="D1111" i="22" s="1"/>
  <c r="G1111" i="22" s="1"/>
  <c r="H1111" i="22" l="1"/>
  <c r="C1112" i="22" l="1"/>
  <c r="D1112" i="22" s="1"/>
  <c r="G1112" i="22" s="1"/>
  <c r="J1111" i="22"/>
  <c r="H1112" i="22" l="1"/>
  <c r="J1112" i="22" l="1"/>
  <c r="C1113" i="22"/>
  <c r="D1113" i="22" s="1"/>
  <c r="G1113" i="22" s="1"/>
  <c r="H1113" i="22" l="1"/>
  <c r="J1113" i="22" l="1"/>
  <c r="C1114" i="22"/>
  <c r="D1114" i="22" s="1"/>
  <c r="G1114" i="22" s="1"/>
  <c r="H1114" i="22" l="1"/>
  <c r="J1114" i="22" l="1"/>
  <c r="C1115" i="22"/>
  <c r="D1115" i="22" s="1"/>
  <c r="G1115" i="22" s="1"/>
  <c r="H1115" i="22" l="1"/>
  <c r="J1115" i="22" l="1"/>
  <c r="C1116" i="22"/>
  <c r="D1116" i="22" s="1"/>
  <c r="G1116" i="22" s="1"/>
  <c r="H1116" i="22" l="1"/>
  <c r="J1116" i="22" l="1"/>
  <c r="C1117" i="22"/>
  <c r="D1117" i="22" s="1"/>
  <c r="G1117" i="22" s="1"/>
  <c r="H1117" i="22" l="1"/>
  <c r="J1117" i="22" l="1"/>
  <c r="C1118" i="22"/>
  <c r="D1118" i="22" s="1"/>
  <c r="G1118" i="22" s="1"/>
  <c r="H1118" i="22" l="1"/>
  <c r="J1118" i="22" l="1"/>
  <c r="C1119" i="22"/>
  <c r="D1119" i="22" s="1"/>
  <c r="G1119" i="22" s="1"/>
  <c r="H1119" i="22" l="1"/>
  <c r="C1120" i="22" l="1"/>
  <c r="D1120" i="22" s="1"/>
  <c r="G1120" i="22" s="1"/>
  <c r="J1119" i="22"/>
  <c r="H1120" i="22" l="1"/>
  <c r="J1120" i="22" l="1"/>
  <c r="C1121" i="22"/>
  <c r="D1121" i="22" s="1"/>
  <c r="G1121" i="22" s="1"/>
  <c r="H1121" i="22" l="1"/>
  <c r="J1121" i="22" l="1"/>
  <c r="C1122" i="22"/>
  <c r="D1122" i="22" s="1"/>
  <c r="G1122" i="22" s="1"/>
  <c r="H1122" i="22" l="1"/>
  <c r="J1122" i="22" l="1"/>
  <c r="C1123" i="22"/>
  <c r="D1123" i="22" s="1"/>
  <c r="G1123" i="22" s="1"/>
  <c r="H1123" i="22" l="1"/>
  <c r="J1123" i="22" l="1"/>
  <c r="C1124" i="22"/>
  <c r="D1124" i="22" s="1"/>
  <c r="G1124" i="22" s="1"/>
  <c r="H1124" i="22" l="1"/>
  <c r="J1124" i="22" l="1"/>
  <c r="C1125" i="22"/>
  <c r="D1125" i="22" s="1"/>
  <c r="G1125" i="22" s="1"/>
  <c r="H1125" i="22" l="1"/>
  <c r="J1125" i="22" l="1"/>
  <c r="C1126" i="22"/>
  <c r="D1126" i="22" s="1"/>
  <c r="G1126" i="22" s="1"/>
  <c r="H1126" i="22" l="1"/>
  <c r="J1126" i="22" l="1"/>
  <c r="C1127" i="22"/>
  <c r="D1127" i="22" s="1"/>
  <c r="G1127" i="22" s="1"/>
  <c r="H1127" i="22" l="1"/>
  <c r="C1128" i="22" l="1"/>
  <c r="D1128" i="22" s="1"/>
  <c r="G1128" i="22" s="1"/>
  <c r="J1127" i="22"/>
  <c r="H1128" i="22" l="1"/>
  <c r="J1128" i="22" l="1"/>
  <c r="C1129" i="22"/>
  <c r="D1129" i="22" s="1"/>
  <c r="G1129" i="22" s="1"/>
  <c r="H1129" i="22" l="1"/>
  <c r="J1129" i="22" l="1"/>
  <c r="C1130" i="22"/>
  <c r="D1130" i="22" s="1"/>
  <c r="G1130" i="22" s="1"/>
  <c r="H1130" i="22" l="1"/>
  <c r="J1130" i="22" l="1"/>
  <c r="C1131" i="22"/>
  <c r="D1131" i="22" s="1"/>
  <c r="G1131" i="22" s="1"/>
  <c r="H1131" i="22" l="1"/>
  <c r="J1131" i="22" l="1"/>
  <c r="C1132" i="22"/>
  <c r="D1132" i="22" s="1"/>
  <c r="G1132" i="22" s="1"/>
  <c r="H1132" i="22" l="1"/>
  <c r="J1132" i="22" l="1"/>
  <c r="C1133" i="22"/>
  <c r="D1133" i="22" s="1"/>
  <c r="G1133" i="22" s="1"/>
  <c r="H1133" i="22" l="1"/>
  <c r="J1133" i="22" l="1"/>
  <c r="C1134" i="22"/>
  <c r="D1134" i="22" s="1"/>
  <c r="G1134" i="22" s="1"/>
  <c r="H1134" i="22" l="1"/>
  <c r="J1134" i="22" l="1"/>
  <c r="C1135" i="22"/>
  <c r="D1135" i="22" s="1"/>
  <c r="G1135" i="22" s="1"/>
  <c r="H1135" i="22" l="1"/>
  <c r="C1136" i="22" l="1"/>
  <c r="D1136" i="22" s="1"/>
  <c r="G1136" i="22" s="1"/>
  <c r="J1135" i="22"/>
  <c r="H1136" i="22" l="1"/>
  <c r="J1136" i="22" l="1"/>
  <c r="C1137" i="22"/>
  <c r="D1137" i="22" s="1"/>
  <c r="G1137" i="22" s="1"/>
  <c r="H1137" i="22" l="1"/>
  <c r="J1137" i="22" l="1"/>
  <c r="C1138" i="22"/>
  <c r="D1138" i="22" s="1"/>
  <c r="G1138" i="22" s="1"/>
  <c r="H1138" i="22" l="1"/>
  <c r="J1138" i="22" l="1"/>
  <c r="C1139" i="22"/>
  <c r="D1139" i="22" s="1"/>
  <c r="G1139" i="22" s="1"/>
  <c r="H1139" i="22" l="1"/>
  <c r="J1139" i="22" l="1"/>
  <c r="C1140" i="22"/>
  <c r="D1140" i="22" s="1"/>
  <c r="G1140" i="22" s="1"/>
  <c r="H1140" i="22" l="1"/>
  <c r="J1140" i="22" l="1"/>
  <c r="C1141" i="22"/>
  <c r="D1141" i="22" s="1"/>
  <c r="G1141" i="22" s="1"/>
  <c r="H1141" i="22" l="1"/>
  <c r="J1141" i="22" l="1"/>
  <c r="C1142" i="22"/>
  <c r="D1142" i="22" s="1"/>
  <c r="G1142" i="22" s="1"/>
  <c r="H1142" i="22" l="1"/>
  <c r="J1142" i="22" l="1"/>
  <c r="C1143" i="22"/>
  <c r="D1143" i="22" s="1"/>
  <c r="G1143" i="22" s="1"/>
  <c r="H1143" i="22" l="1"/>
  <c r="C1144" i="22" l="1"/>
  <c r="D1144" i="22" s="1"/>
  <c r="G1144" i="22" s="1"/>
  <c r="J1143" i="22"/>
  <c r="H1144" i="22" l="1"/>
  <c r="J1144" i="22" l="1"/>
  <c r="C1145" i="22"/>
  <c r="D1145" i="22" s="1"/>
  <c r="G1145" i="22" s="1"/>
  <c r="H1145" i="22" l="1"/>
  <c r="J1145" i="22" l="1"/>
  <c r="C1146" i="22"/>
  <c r="D1146" i="22" s="1"/>
  <c r="G1146" i="22" s="1"/>
  <c r="H1146" i="22" l="1"/>
  <c r="J1146" i="22" l="1"/>
  <c r="C1147" i="22"/>
  <c r="D1147" i="22" s="1"/>
  <c r="G1147" i="22" s="1"/>
  <c r="H1147" i="22" l="1"/>
  <c r="J1147" i="22" l="1"/>
  <c r="C1148" i="22"/>
  <c r="D1148" i="22" s="1"/>
  <c r="G1148" i="22" s="1"/>
  <c r="H1148" i="22" l="1"/>
  <c r="J1148" i="22" l="1"/>
  <c r="C1149" i="22"/>
  <c r="D1149" i="22" s="1"/>
  <c r="G1149" i="22" s="1"/>
  <c r="H1149" i="22" l="1"/>
  <c r="J1149" i="22" l="1"/>
  <c r="C1150" i="22"/>
  <c r="D1150" i="22" s="1"/>
  <c r="G1150" i="22" s="1"/>
  <c r="H1150" i="22" l="1"/>
  <c r="J1150" i="22" l="1"/>
  <c r="C1151" i="22"/>
  <c r="D1151" i="22" s="1"/>
  <c r="G1151" i="22" s="1"/>
  <c r="H1151" i="22" l="1"/>
  <c r="C1152" i="22" l="1"/>
  <c r="D1152" i="22" s="1"/>
  <c r="G1152" i="22" s="1"/>
  <c r="J1151" i="22"/>
  <c r="H1152" i="22" l="1"/>
  <c r="J1152" i="22" l="1"/>
  <c r="C1153" i="22"/>
  <c r="D1153" i="22" s="1"/>
  <c r="G1153" i="22" s="1"/>
  <c r="H1153" i="22" l="1"/>
  <c r="J1153" i="22" l="1"/>
  <c r="C1154" i="22"/>
  <c r="D1154" i="22" s="1"/>
  <c r="G1154" i="22" s="1"/>
  <c r="H1154" i="22" l="1"/>
  <c r="J1154" i="22" l="1"/>
  <c r="C1155" i="22"/>
  <c r="D1155" i="22" s="1"/>
  <c r="G1155" i="22" s="1"/>
  <c r="H1155" i="22" l="1"/>
  <c r="J1155" i="22" l="1"/>
  <c r="C1156" i="22"/>
  <c r="D1156" i="22" s="1"/>
  <c r="G1156" i="22" s="1"/>
  <c r="H1156" i="22" l="1"/>
  <c r="J1156" i="22" l="1"/>
  <c r="C1157" i="22"/>
  <c r="D1157" i="22" s="1"/>
  <c r="G1157" i="22" s="1"/>
  <c r="H1157" i="22" l="1"/>
  <c r="J1157" i="22" l="1"/>
  <c r="C1158" i="22"/>
  <c r="D1158" i="22" s="1"/>
  <c r="G1158" i="22" s="1"/>
  <c r="H1158" i="22" l="1"/>
  <c r="J1158" i="22" l="1"/>
  <c r="C1159" i="22"/>
  <c r="D1159" i="22" s="1"/>
  <c r="G1159" i="22" s="1"/>
  <c r="H1159" i="22" l="1"/>
  <c r="C1160" i="22" l="1"/>
  <c r="D1160" i="22" s="1"/>
  <c r="G1160" i="22" s="1"/>
  <c r="J1159" i="22"/>
  <c r="H1160" i="22" l="1"/>
  <c r="J1160" i="22" l="1"/>
  <c r="C1161" i="22"/>
  <c r="D1161" i="22" s="1"/>
  <c r="G1161" i="22" s="1"/>
  <c r="H1161" i="22" l="1"/>
  <c r="J1161" i="22" l="1"/>
  <c r="C1162" i="22"/>
  <c r="D1162" i="22" s="1"/>
  <c r="G1162" i="22" s="1"/>
  <c r="H1162" i="22" l="1"/>
  <c r="J1162" i="22" l="1"/>
  <c r="C1163" i="22"/>
  <c r="D1163" i="22" s="1"/>
  <c r="G1163" i="22" s="1"/>
  <c r="H1163" i="22" l="1"/>
  <c r="J1163" i="22" l="1"/>
  <c r="C1164" i="22"/>
  <c r="D1164" i="22" s="1"/>
  <c r="G1164" i="22" s="1"/>
  <c r="H1164" i="22" l="1"/>
  <c r="J1164" i="22" l="1"/>
  <c r="C1165" i="22"/>
  <c r="D1165" i="22" s="1"/>
  <c r="G1165" i="22" s="1"/>
  <c r="H1165" i="22" l="1"/>
  <c r="J1165" i="22" l="1"/>
  <c r="C1166" i="22"/>
  <c r="D1166" i="22" s="1"/>
  <c r="G1166" i="22" s="1"/>
  <c r="H1166" i="22" l="1"/>
  <c r="J1166" i="22" l="1"/>
  <c r="C1167" i="22"/>
  <c r="D1167" i="22" s="1"/>
  <c r="G1167" i="22" s="1"/>
  <c r="H1167" i="22" l="1"/>
  <c r="C1168" i="22" l="1"/>
  <c r="D1168" i="22" s="1"/>
  <c r="G1168" i="22" s="1"/>
  <c r="J1167" i="22"/>
  <c r="H1168" i="22" l="1"/>
  <c r="J1168" i="22" l="1"/>
  <c r="C1169" i="22"/>
  <c r="D1169" i="22" s="1"/>
  <c r="G1169" i="22" s="1"/>
  <c r="H1169" i="22" l="1"/>
  <c r="J1169" i="22" l="1"/>
  <c r="C1170" i="22"/>
  <c r="D1170" i="22" s="1"/>
  <c r="G1170" i="22" s="1"/>
  <c r="H1170" i="22" l="1"/>
  <c r="J1170" i="22" l="1"/>
  <c r="C1171" i="22"/>
  <c r="D1171" i="22" s="1"/>
  <c r="G1171" i="22" s="1"/>
  <c r="H1171" i="22" l="1"/>
  <c r="J1171" i="22" l="1"/>
  <c r="C1172" i="22"/>
  <c r="D1172" i="22" s="1"/>
  <c r="G1172" i="22" s="1"/>
  <c r="H1172" i="22" l="1"/>
  <c r="J1172" i="22" l="1"/>
  <c r="C1173" i="22"/>
  <c r="D1173" i="22" s="1"/>
  <c r="G1173" i="22" s="1"/>
  <c r="H1173" i="22" l="1"/>
  <c r="J1173" i="22" l="1"/>
  <c r="C1174" i="22"/>
  <c r="D1174" i="22" s="1"/>
  <c r="G1174" i="22" s="1"/>
  <c r="H1174" i="22" l="1"/>
  <c r="J1174" i="22" l="1"/>
  <c r="C1175" i="22"/>
  <c r="D1175" i="22" s="1"/>
  <c r="G1175" i="22" s="1"/>
  <c r="H1175" i="22" l="1"/>
  <c r="J1175" i="22" l="1"/>
  <c r="C1176" i="22"/>
  <c r="D1176" i="22" s="1"/>
  <c r="G1176" i="22" s="1"/>
  <c r="H1176" i="22" l="1"/>
  <c r="J1176" i="22" l="1"/>
  <c r="C1177" i="22"/>
  <c r="D1177" i="22" s="1"/>
  <c r="G1177" i="22" s="1"/>
  <c r="H1177" i="22" l="1"/>
  <c r="J1177" i="22" l="1"/>
  <c r="C1178" i="22"/>
  <c r="D1178" i="22" s="1"/>
  <c r="G1178" i="22" s="1"/>
  <c r="H1178" i="22" l="1"/>
  <c r="J1178" i="22" l="1"/>
  <c r="C1179" i="22"/>
  <c r="D1179" i="22" s="1"/>
  <c r="G1179" i="22" s="1"/>
  <c r="H1179" i="22" l="1"/>
  <c r="J1179" i="22" l="1"/>
  <c r="C1180" i="22"/>
  <c r="D1180" i="22" s="1"/>
  <c r="G1180" i="22" s="1"/>
  <c r="H1180" i="22" l="1"/>
  <c r="J1180" i="22" l="1"/>
  <c r="C1181" i="22"/>
  <c r="D1181" i="22" s="1"/>
  <c r="G1181" i="22" s="1"/>
  <c r="H1181" i="22" l="1"/>
  <c r="J1181" i="22" l="1"/>
  <c r="C1182" i="22"/>
  <c r="D1182" i="22" s="1"/>
  <c r="G1182" i="22" s="1"/>
  <c r="H1182" i="22" l="1"/>
  <c r="C1183" i="22" l="1"/>
  <c r="D1183" i="22" s="1"/>
  <c r="G1183" i="22" s="1"/>
  <c r="J1182" i="22"/>
  <c r="H1183" i="22" l="1"/>
  <c r="J1183" i="22" l="1"/>
  <c r="C1184" i="22"/>
  <c r="D1184" i="22" s="1"/>
  <c r="G1184" i="22" s="1"/>
  <c r="H1184" i="22" l="1"/>
  <c r="J1184" i="22" l="1"/>
  <c r="C1185" i="22"/>
  <c r="D1185" i="22" s="1"/>
  <c r="G1185" i="22" s="1"/>
  <c r="H1185" i="22" l="1"/>
  <c r="J1185" i="22" l="1"/>
  <c r="C1186" i="22"/>
  <c r="D1186" i="22" s="1"/>
  <c r="G1186" i="22" s="1"/>
  <c r="H1186" i="22" l="1"/>
  <c r="J1186" i="22" l="1"/>
  <c r="C1187" i="22"/>
  <c r="D1187" i="22" s="1"/>
  <c r="G1187" i="22" s="1"/>
  <c r="H1187" i="22" l="1"/>
  <c r="J1187" i="22" l="1"/>
  <c r="C1188" i="22"/>
  <c r="D1188" i="22" s="1"/>
  <c r="G1188" i="22" s="1"/>
  <c r="H1188" i="22" l="1"/>
  <c r="J1188" i="22" l="1"/>
  <c r="C1189" i="22"/>
  <c r="D1189" i="22" s="1"/>
  <c r="G1189" i="22" s="1"/>
  <c r="H1189" i="22" l="1"/>
  <c r="J1189" i="22" l="1"/>
  <c r="C1190" i="22"/>
  <c r="D1190" i="22" s="1"/>
  <c r="G1190" i="22" s="1"/>
  <c r="H1190" i="22" l="1"/>
  <c r="C1191" i="22" l="1"/>
  <c r="D1191" i="22" s="1"/>
  <c r="G1191" i="22" s="1"/>
  <c r="J1190" i="22"/>
  <c r="H1191" i="22" l="1"/>
  <c r="J1191" i="22" l="1"/>
  <c r="C1192" i="22"/>
  <c r="D1192" i="22" s="1"/>
  <c r="G1192" i="22" s="1"/>
  <c r="H1192" i="22" l="1"/>
  <c r="J1192" i="22" l="1"/>
  <c r="C1193" i="22"/>
  <c r="D1193" i="22" s="1"/>
  <c r="G1193" i="22" s="1"/>
  <c r="H1193" i="22" l="1"/>
  <c r="J1193" i="22" l="1"/>
  <c r="C1194" i="22"/>
  <c r="D1194" i="22" s="1"/>
  <c r="G1194" i="22" s="1"/>
  <c r="H1194" i="22" l="1"/>
  <c r="J1194" i="22" l="1"/>
  <c r="C1195" i="22"/>
  <c r="D1195" i="22" s="1"/>
  <c r="G1195" i="22" s="1"/>
  <c r="H1195" i="22" l="1"/>
  <c r="J1195" i="22" l="1"/>
  <c r="C1196" i="22"/>
  <c r="D1196" i="22" s="1"/>
  <c r="G1196" i="22" s="1"/>
  <c r="H1196" i="22" l="1"/>
  <c r="J1196" i="22" l="1"/>
  <c r="C1197" i="22"/>
  <c r="D1197" i="22" s="1"/>
  <c r="G1197" i="22" s="1"/>
  <c r="H1197" i="22" l="1"/>
  <c r="J1197" i="22" l="1"/>
  <c r="C1198" i="22"/>
  <c r="D1198" i="22" s="1"/>
  <c r="G1198" i="22" s="1"/>
  <c r="H1198" i="22" l="1"/>
  <c r="C1199" i="22" l="1"/>
  <c r="D1199" i="22" s="1"/>
  <c r="G1199" i="22" s="1"/>
  <c r="J1198" i="22"/>
  <c r="H1199" i="22" l="1"/>
  <c r="J1199" i="22" l="1"/>
  <c r="C1200" i="22"/>
  <c r="D1200" i="22" s="1"/>
  <c r="G1200" i="22" s="1"/>
  <c r="H1200" i="22" l="1"/>
  <c r="J1200" i="22" l="1"/>
  <c r="C1201" i="22"/>
  <c r="D1201" i="22" s="1"/>
  <c r="G1201" i="22" s="1"/>
  <c r="H1201" i="22" l="1"/>
  <c r="J1201" i="22" l="1"/>
  <c r="C1202" i="22"/>
  <c r="D1202" i="22" s="1"/>
  <c r="G1202" i="22" s="1"/>
  <c r="H1202" i="22" l="1"/>
  <c r="J1202" i="22" l="1"/>
  <c r="C1203" i="22"/>
  <c r="D1203" i="22" s="1"/>
  <c r="G1203" i="22" s="1"/>
  <c r="H1203" i="22" l="1"/>
  <c r="J1203" i="22" l="1"/>
  <c r="C1204" i="22"/>
  <c r="D1204" i="22" s="1"/>
  <c r="G1204" i="22" s="1"/>
  <c r="H1204" i="22" l="1"/>
  <c r="J1204" i="22" l="1"/>
  <c r="C1205" i="22"/>
  <c r="D1205" i="22" s="1"/>
  <c r="G1205" i="22" s="1"/>
  <c r="H1205" i="22" l="1"/>
  <c r="J1205" i="22" l="1"/>
  <c r="C1206" i="22"/>
  <c r="D1206" i="22" s="1"/>
  <c r="G1206" i="22" s="1"/>
  <c r="H1206" i="22" l="1"/>
  <c r="C1207" i="22" l="1"/>
  <c r="D1207" i="22" s="1"/>
  <c r="G1207" i="22" s="1"/>
  <c r="J1206" i="22"/>
  <c r="H1207" i="22" l="1"/>
  <c r="J1207" i="22" l="1"/>
  <c r="C1208" i="22"/>
  <c r="D1208" i="22" s="1"/>
  <c r="G1208" i="22" s="1"/>
  <c r="H1208" i="22" l="1"/>
  <c r="J1208" i="22" l="1"/>
  <c r="C1209" i="22"/>
  <c r="D1209" i="22" s="1"/>
  <c r="G1209" i="22" s="1"/>
  <c r="H1209" i="22" l="1"/>
  <c r="J1209" i="22" l="1"/>
  <c r="C1210" i="22"/>
  <c r="D1210" i="22" s="1"/>
  <c r="G1210" i="22" s="1"/>
  <c r="H1210" i="22" l="1"/>
  <c r="J1210" i="22" l="1"/>
  <c r="C1211" i="22"/>
  <c r="D1211" i="22" s="1"/>
  <c r="G1211" i="22" s="1"/>
  <c r="H1211" i="22" l="1"/>
  <c r="J1211" i="22" l="1"/>
  <c r="C1212" i="22"/>
  <c r="D1212" i="22" s="1"/>
  <c r="G1212" i="22" s="1"/>
  <c r="H1212" i="22" l="1"/>
  <c r="J1212" i="22" l="1"/>
  <c r="C1213" i="22"/>
  <c r="D1213" i="22" s="1"/>
  <c r="G1213" i="22" s="1"/>
  <c r="H1213" i="22" l="1"/>
  <c r="J1213" i="22" l="1"/>
  <c r="C1214" i="22"/>
  <c r="D1214" i="22" s="1"/>
  <c r="G1214" i="22" s="1"/>
  <c r="H1214" i="22" l="1"/>
  <c r="C1215" i="22" l="1"/>
  <c r="D1215" i="22" s="1"/>
  <c r="G1215" i="22" s="1"/>
  <c r="J1214" i="22"/>
  <c r="H1215" i="22" l="1"/>
  <c r="J1215" i="22" l="1"/>
  <c r="C1216" i="22"/>
  <c r="D1216" i="22" s="1"/>
  <c r="G1216" i="22" s="1"/>
  <c r="H1216" i="22" l="1"/>
  <c r="J1216" i="22" l="1"/>
  <c r="C1217" i="22"/>
  <c r="D1217" i="22" s="1"/>
  <c r="G1217" i="22" s="1"/>
  <c r="H1217" i="22" l="1"/>
  <c r="J1217" i="22" l="1"/>
  <c r="C1218" i="22"/>
  <c r="D1218" i="22" s="1"/>
  <c r="G1218" i="22" s="1"/>
  <c r="H1218" i="22" l="1"/>
  <c r="J1218" i="22" l="1"/>
  <c r="C1219" i="22"/>
  <c r="D1219" i="22" s="1"/>
  <c r="G1219" i="22" s="1"/>
  <c r="H1219" i="22" l="1"/>
  <c r="J1219" i="22" l="1"/>
  <c r="C1220" i="22"/>
  <c r="D1220" i="22" s="1"/>
  <c r="G1220" i="22" s="1"/>
  <c r="H1220" i="22" l="1"/>
  <c r="J1220" i="22" l="1"/>
  <c r="C1221" i="22"/>
  <c r="D1221" i="22" s="1"/>
  <c r="G1221" i="22" s="1"/>
  <c r="H1221" i="22" l="1"/>
  <c r="J1221" i="22" l="1"/>
  <c r="C1222" i="22"/>
  <c r="D1222" i="22" s="1"/>
  <c r="G1222" i="22" s="1"/>
  <c r="H1222" i="22" l="1"/>
  <c r="C1223" i="22" l="1"/>
  <c r="D1223" i="22" s="1"/>
  <c r="G1223" i="22" s="1"/>
  <c r="J1222" i="22"/>
  <c r="H1223" i="22" l="1"/>
  <c r="J1223" i="22" l="1"/>
  <c r="C1224" i="22"/>
  <c r="D1224" i="22" s="1"/>
  <c r="G1224" i="22" s="1"/>
  <c r="H1224" i="22" l="1"/>
  <c r="J1224" i="22" l="1"/>
  <c r="C1225" i="22"/>
  <c r="D1225" i="22" s="1"/>
  <c r="G1225" i="22" s="1"/>
  <c r="H1225" i="22" l="1"/>
  <c r="J1225" i="22" l="1"/>
  <c r="C1226" i="22"/>
  <c r="D1226" i="22" s="1"/>
  <c r="G1226" i="22" s="1"/>
  <c r="H1226" i="22" l="1"/>
  <c r="J1226" i="22" l="1"/>
  <c r="C1227" i="22"/>
  <c r="D1227" i="22" s="1"/>
  <c r="G1227" i="22" s="1"/>
  <c r="H1227" i="22" l="1"/>
  <c r="J1227" i="22" l="1"/>
  <c r="C1228" i="22"/>
  <c r="D1228" i="22" s="1"/>
  <c r="G1228" i="22" s="1"/>
  <c r="H1228" i="22" l="1"/>
  <c r="J1228" i="22" l="1"/>
  <c r="C1229" i="22"/>
  <c r="D1229" i="22" s="1"/>
  <c r="G1229" i="22" s="1"/>
  <c r="H1229" i="22" l="1"/>
  <c r="J1229" i="22" l="1"/>
  <c r="C1230" i="22"/>
  <c r="D1230" i="22" s="1"/>
  <c r="G1230" i="22" s="1"/>
  <c r="H1230" i="22" l="1"/>
  <c r="C1231" i="22" l="1"/>
  <c r="D1231" i="22" s="1"/>
  <c r="G1231" i="22" s="1"/>
  <c r="J1230" i="22"/>
  <c r="H1231" i="22" l="1"/>
  <c r="J1231" i="22" l="1"/>
  <c r="C1232" i="22"/>
  <c r="D1232" i="22" s="1"/>
  <c r="G1232" i="22" s="1"/>
  <c r="H1232" i="22" l="1"/>
  <c r="J1232" i="22" l="1"/>
  <c r="C1233" i="22"/>
  <c r="D1233" i="22" s="1"/>
  <c r="G1233" i="22" s="1"/>
  <c r="H1233" i="22" l="1"/>
  <c r="J1233" i="22" l="1"/>
  <c r="C1234" i="22"/>
  <c r="D1234" i="22" s="1"/>
  <c r="G1234" i="22" s="1"/>
  <c r="H1234" i="22" l="1"/>
  <c r="J1234" i="22" l="1"/>
  <c r="C1235" i="22"/>
  <c r="D1235" i="22" s="1"/>
  <c r="G1235" i="22" s="1"/>
  <c r="H1235" i="22" l="1"/>
  <c r="J1235" i="22" l="1"/>
  <c r="C1236" i="22"/>
  <c r="D1236" i="22" s="1"/>
  <c r="G1236" i="22" s="1"/>
  <c r="H1236" i="22" l="1"/>
  <c r="J1236" i="22" l="1"/>
  <c r="C1237" i="22"/>
  <c r="D1237" i="22" s="1"/>
  <c r="G1237" i="22" s="1"/>
  <c r="H1237" i="22" l="1"/>
  <c r="J1237" i="22" l="1"/>
  <c r="C1238" i="22"/>
  <c r="D1238" i="22" s="1"/>
  <c r="G1238" i="22" s="1"/>
  <c r="H1238" i="22" l="1"/>
  <c r="C1239" i="22" l="1"/>
  <c r="D1239" i="22" s="1"/>
  <c r="G1239" i="22" s="1"/>
  <c r="J1238" i="22"/>
  <c r="H1239" i="22" l="1"/>
  <c r="J1239" i="22" l="1"/>
  <c r="C1240" i="22"/>
  <c r="D1240" i="22" s="1"/>
  <c r="G1240" i="22" s="1"/>
  <c r="H1240" i="22" l="1"/>
  <c r="J1240" i="22" l="1"/>
  <c r="C1241" i="22"/>
  <c r="D1241" i="22" s="1"/>
  <c r="G1241" i="22" s="1"/>
  <c r="H1241" i="22" l="1"/>
  <c r="J1241" i="22" l="1"/>
  <c r="C1242" i="22"/>
  <c r="D1242" i="22" s="1"/>
  <c r="G1242" i="22" s="1"/>
  <c r="H1242" i="22" l="1"/>
  <c r="J1242" i="22" l="1"/>
  <c r="C1243" i="22"/>
  <c r="D1243" i="22" s="1"/>
  <c r="G1243" i="22" s="1"/>
  <c r="H1243" i="22" l="1"/>
  <c r="J1243" i="22" l="1"/>
  <c r="C1244" i="22"/>
  <c r="D1244" i="22" s="1"/>
  <c r="G1244" i="22" s="1"/>
  <c r="H1244" i="22" l="1"/>
  <c r="J1244" i="22" l="1"/>
  <c r="C1245" i="22"/>
  <c r="D1245" i="22" s="1"/>
  <c r="G1245" i="22" s="1"/>
  <c r="H1245" i="22" l="1"/>
  <c r="J1245" i="22" l="1"/>
  <c r="C1246" i="22"/>
  <c r="D1246" i="22" s="1"/>
  <c r="G1246" i="22" s="1"/>
  <c r="H1246" i="22" l="1"/>
  <c r="C1247" i="22" l="1"/>
  <c r="D1247" i="22" s="1"/>
  <c r="G1247" i="22" s="1"/>
  <c r="J1246" i="22"/>
  <c r="H1247" i="22" l="1"/>
  <c r="J1247" i="22" l="1"/>
  <c r="C1248" i="22"/>
  <c r="D1248" i="22" s="1"/>
  <c r="G1248" i="22" s="1"/>
  <c r="H1248" i="22" l="1"/>
  <c r="J1248" i="22" l="1"/>
  <c r="C1249" i="22"/>
  <c r="D1249" i="22" s="1"/>
  <c r="G1249" i="22" s="1"/>
  <c r="H1249" i="22" l="1"/>
  <c r="J1249" i="22" l="1"/>
  <c r="C1250" i="22"/>
  <c r="D1250" i="22" s="1"/>
  <c r="G1250" i="22" s="1"/>
  <c r="H1250" i="22" l="1"/>
  <c r="J1250" i="22" l="1"/>
  <c r="C1251" i="22"/>
  <c r="D1251" i="22" s="1"/>
  <c r="G1251" i="22" s="1"/>
  <c r="H1251" i="22" l="1"/>
  <c r="J1251" i="22" l="1"/>
  <c r="C1252" i="22"/>
  <c r="D1252" i="22" s="1"/>
  <c r="G1252" i="22" s="1"/>
  <c r="H1252" i="22" l="1"/>
  <c r="J1252" i="22" l="1"/>
  <c r="C1253" i="22"/>
  <c r="D1253" i="22" s="1"/>
  <c r="G1253" i="22" s="1"/>
  <c r="H1253" i="22" l="1"/>
  <c r="J1253" i="22" l="1"/>
  <c r="C1254" i="22"/>
  <c r="D1254" i="22" s="1"/>
  <c r="G1254" i="22" s="1"/>
  <c r="H1254" i="22" l="1"/>
  <c r="C1255" i="22" l="1"/>
  <c r="D1255" i="22" s="1"/>
  <c r="G1255" i="22" s="1"/>
  <c r="J1254" i="22"/>
  <c r="H1255" i="22" l="1"/>
  <c r="J1255" i="22" l="1"/>
  <c r="C1256" i="22"/>
  <c r="D1256" i="22" s="1"/>
  <c r="G1256" i="22" s="1"/>
  <c r="H1256" i="22" l="1"/>
  <c r="J1256" i="22" l="1"/>
  <c r="C1257" i="22"/>
  <c r="D1257" i="22" s="1"/>
  <c r="G1257" i="22" s="1"/>
  <c r="H1257" i="22" l="1"/>
  <c r="J1257" i="22" l="1"/>
  <c r="C1258" i="22"/>
  <c r="D1258" i="22" s="1"/>
  <c r="G1258" i="22" s="1"/>
  <c r="H1258" i="22" l="1"/>
  <c r="J1258" i="22" l="1"/>
  <c r="C1259" i="22"/>
  <c r="D1259" i="22" s="1"/>
  <c r="G1259" i="22" s="1"/>
  <c r="H1259" i="22" l="1"/>
  <c r="J1259" i="22" l="1"/>
  <c r="C1260" i="22"/>
  <c r="D1260" i="22" s="1"/>
  <c r="G1260" i="22" s="1"/>
  <c r="H1260" i="22" l="1"/>
  <c r="J1260" i="22" l="1"/>
  <c r="C1261" i="22"/>
  <c r="D1261" i="22" s="1"/>
  <c r="G1261" i="22" s="1"/>
  <c r="H1261" i="22" l="1"/>
  <c r="J1261" i="22" l="1"/>
  <c r="C1262" i="22"/>
  <c r="D1262" i="22" s="1"/>
  <c r="G1262" i="22" s="1"/>
  <c r="H1262" i="22" l="1"/>
  <c r="C1263" i="22" l="1"/>
  <c r="D1263" i="22" s="1"/>
  <c r="G1263" i="22" s="1"/>
  <c r="J1262" i="22"/>
  <c r="H1263" i="22" l="1"/>
  <c r="J1263" i="22" l="1"/>
  <c r="C1264" i="22"/>
  <c r="D1264" i="22" s="1"/>
  <c r="G1264" i="22" s="1"/>
  <c r="H1264" i="22" l="1"/>
  <c r="J1264" i="22" l="1"/>
  <c r="C1265" i="22"/>
  <c r="D1265" i="22" s="1"/>
  <c r="G1265" i="22" s="1"/>
  <c r="H1265" i="22" l="1"/>
  <c r="J1265" i="22" l="1"/>
  <c r="C1266" i="22"/>
  <c r="D1266" i="22" s="1"/>
  <c r="G1266" i="22" s="1"/>
  <c r="H1266" i="22" l="1"/>
  <c r="J1266" i="22" l="1"/>
  <c r="C1267" i="22"/>
  <c r="D1267" i="22" s="1"/>
  <c r="G1267" i="22" s="1"/>
  <c r="H1267" i="22" l="1"/>
  <c r="J1267" i="22" l="1"/>
  <c r="C1268" i="22"/>
  <c r="D1268" i="22" s="1"/>
  <c r="G1268" i="22" s="1"/>
  <c r="H1268" i="22" l="1"/>
  <c r="J1268" i="22" l="1"/>
  <c r="C1269" i="22"/>
  <c r="D1269" i="22" s="1"/>
  <c r="G1269" i="22" s="1"/>
  <c r="H1269" i="22" l="1"/>
  <c r="J1269" i="22" l="1"/>
  <c r="C1270" i="22"/>
  <c r="D1270" i="22" s="1"/>
  <c r="G1270" i="22" s="1"/>
  <c r="H1270" i="22" l="1"/>
  <c r="C1271" i="22" l="1"/>
  <c r="D1271" i="22" s="1"/>
  <c r="G1271" i="22" s="1"/>
  <c r="J1270" i="22"/>
  <c r="H1271" i="22" l="1"/>
  <c r="J1271" i="22" l="1"/>
  <c r="C1272" i="22"/>
  <c r="D1272" i="22" s="1"/>
  <c r="G1272" i="22" s="1"/>
  <c r="H1272" i="22" l="1"/>
  <c r="J1272" i="22" l="1"/>
  <c r="C1273" i="22"/>
  <c r="D1273" i="22" s="1"/>
  <c r="G1273" i="22" s="1"/>
  <c r="H1273" i="22" l="1"/>
  <c r="J1273" i="22" l="1"/>
  <c r="C1274" i="22"/>
  <c r="D1274" i="22" s="1"/>
  <c r="G1274" i="22" s="1"/>
  <c r="H1274" i="22" l="1"/>
  <c r="J1274" i="22" l="1"/>
  <c r="C1275" i="22"/>
  <c r="D1275" i="22" s="1"/>
  <c r="G1275" i="22" s="1"/>
  <c r="H1275" i="22" l="1"/>
  <c r="J1275" i="22" l="1"/>
  <c r="C1276" i="22"/>
  <c r="D1276" i="22" s="1"/>
  <c r="G1276" i="22" s="1"/>
  <c r="H1276" i="22" l="1"/>
  <c r="J1276" i="22" l="1"/>
  <c r="C1277" i="22"/>
  <c r="D1277" i="22" s="1"/>
  <c r="G1277" i="22" s="1"/>
  <c r="H1277" i="22" l="1"/>
  <c r="J1277" i="22" l="1"/>
  <c r="C1278" i="22"/>
  <c r="D1278" i="22" s="1"/>
  <c r="G1278" i="22" s="1"/>
  <c r="H1278" i="22" l="1"/>
  <c r="C1279" i="22" l="1"/>
  <c r="D1279" i="22" s="1"/>
  <c r="G1279" i="22" s="1"/>
  <c r="J1278" i="22"/>
  <c r="H1279" i="22" l="1"/>
  <c r="J1279" i="22" l="1"/>
  <c r="C1280" i="22"/>
  <c r="D1280" i="22" s="1"/>
  <c r="G1280" i="22" s="1"/>
  <c r="H1280" i="22" l="1"/>
  <c r="J1280" i="22" l="1"/>
  <c r="C1281" i="22"/>
  <c r="D1281" i="22" s="1"/>
  <c r="G1281" i="22" s="1"/>
  <c r="H1281" i="22" l="1"/>
  <c r="J1281" i="22" l="1"/>
  <c r="C1282" i="22"/>
  <c r="D1282" i="22" s="1"/>
  <c r="G1282" i="22" s="1"/>
  <c r="H1282" i="22" l="1"/>
  <c r="J1282" i="22" l="1"/>
  <c r="C1283" i="22"/>
  <c r="D1283" i="22" s="1"/>
  <c r="G1283" i="22" s="1"/>
  <c r="H1283" i="22" l="1"/>
  <c r="J1283" i="22" l="1"/>
  <c r="C1284" i="22"/>
  <c r="D1284" i="22" s="1"/>
  <c r="G1284" i="22" s="1"/>
  <c r="H1284" i="22" l="1"/>
  <c r="J1284" i="22" l="1"/>
  <c r="C1285" i="22"/>
  <c r="D1285" i="22" s="1"/>
  <c r="G1285" i="22" s="1"/>
  <c r="H1285" i="22" l="1"/>
  <c r="J1285" i="22" l="1"/>
  <c r="C1286" i="22"/>
  <c r="D1286" i="22" s="1"/>
  <c r="G1286" i="22" s="1"/>
  <c r="H1286" i="22" l="1"/>
  <c r="C1287" i="22" l="1"/>
  <c r="D1287" i="22" s="1"/>
  <c r="G1287" i="22" s="1"/>
  <c r="J1286" i="22"/>
  <c r="H1287" i="22" l="1"/>
  <c r="J1287" i="22" l="1"/>
  <c r="C1288" i="22"/>
  <c r="D1288" i="22" s="1"/>
  <c r="G1288" i="22" s="1"/>
  <c r="H1288" i="22" l="1"/>
  <c r="J1288" i="22" l="1"/>
  <c r="C1289" i="22"/>
  <c r="D1289" i="22" s="1"/>
  <c r="G1289" i="22" s="1"/>
  <c r="H1289" i="22" l="1"/>
  <c r="J1289" i="22" l="1"/>
  <c r="C1290" i="22"/>
  <c r="D1290" i="22" s="1"/>
  <c r="G1290" i="22" s="1"/>
  <c r="H1290" i="22" l="1"/>
  <c r="J1290" i="22" l="1"/>
  <c r="C1291" i="22"/>
  <c r="D1291" i="22" s="1"/>
  <c r="G1291" i="22" s="1"/>
  <c r="H1291" i="22" l="1"/>
  <c r="J1291" i="22" l="1"/>
  <c r="C1292" i="22"/>
  <c r="D1292" i="22" s="1"/>
  <c r="G1292" i="22" s="1"/>
  <c r="H1292" i="22" l="1"/>
  <c r="J1292" i="22" l="1"/>
  <c r="C1293" i="22"/>
  <c r="D1293" i="22" s="1"/>
  <c r="G1293" i="22" s="1"/>
  <c r="H1293" i="22" l="1"/>
  <c r="J1293" i="22" l="1"/>
  <c r="C1294" i="22"/>
  <c r="D1294" i="22" s="1"/>
  <c r="G1294" i="22" s="1"/>
  <c r="H1294" i="22" l="1"/>
  <c r="C1295" i="22" l="1"/>
  <c r="D1295" i="22" s="1"/>
  <c r="G1295" i="22" s="1"/>
  <c r="J1294" i="22"/>
  <c r="H1295" i="22" l="1"/>
  <c r="J1295" i="22" l="1"/>
  <c r="C1296" i="22"/>
  <c r="D1296" i="22" s="1"/>
  <c r="G1296" i="22" s="1"/>
  <c r="H1296" i="22" l="1"/>
  <c r="J1296" i="22" l="1"/>
  <c r="C1297" i="22"/>
  <c r="D1297" i="22" s="1"/>
  <c r="G1297" i="22" s="1"/>
  <c r="H1297" i="22" l="1"/>
  <c r="J1297" i="22" l="1"/>
  <c r="C1298" i="22"/>
  <c r="D1298" i="22" s="1"/>
  <c r="G1298" i="22" s="1"/>
  <c r="H1298" i="22" l="1"/>
  <c r="J1298" i="22" l="1"/>
  <c r="C1299" i="22"/>
  <c r="D1299" i="22" s="1"/>
  <c r="G1299" i="22" s="1"/>
  <c r="H1299" i="22" l="1"/>
  <c r="J1299" i="22" l="1"/>
  <c r="C1300" i="22"/>
  <c r="D1300" i="22" s="1"/>
  <c r="G1300" i="22" s="1"/>
  <c r="H1300" i="22" l="1"/>
  <c r="J1300" i="22" l="1"/>
  <c r="C1301" i="22"/>
  <c r="D1301" i="22" s="1"/>
  <c r="G1301" i="22" s="1"/>
  <c r="H1301" i="22" l="1"/>
  <c r="J1301" i="22" l="1"/>
  <c r="C1302" i="22"/>
  <c r="D1302" i="22" s="1"/>
  <c r="G1302" i="22" s="1"/>
  <c r="H1302" i="22" l="1"/>
  <c r="C1303" i="22" l="1"/>
  <c r="D1303" i="22" s="1"/>
  <c r="G1303" i="22" s="1"/>
  <c r="J1302" i="22"/>
  <c r="H1303" i="22" l="1"/>
  <c r="J1303" i="22" l="1"/>
  <c r="C1304" i="22"/>
  <c r="D1304" i="22" s="1"/>
  <c r="G1304" i="22" s="1"/>
  <c r="H1304" i="22" l="1"/>
  <c r="J1304" i="22" l="1"/>
  <c r="C1305" i="22"/>
  <c r="D1305" i="22" s="1"/>
  <c r="G1305" i="22" s="1"/>
  <c r="H1305" i="22" l="1"/>
  <c r="J1305" i="22" l="1"/>
  <c r="C1306" i="22"/>
  <c r="D1306" i="22" s="1"/>
  <c r="G1306" i="22" s="1"/>
  <c r="H1306" i="22" l="1"/>
  <c r="J1306" i="22" l="1"/>
  <c r="C1307" i="22"/>
  <c r="D1307" i="22" s="1"/>
  <c r="G1307" i="22" s="1"/>
  <c r="H1307" i="22" l="1"/>
  <c r="J1307" i="22" l="1"/>
  <c r="C1308" i="22"/>
  <c r="D1308" i="22" s="1"/>
  <c r="G1308" i="22" s="1"/>
  <c r="H1308" i="22" l="1"/>
  <c r="J1308" i="22" l="1"/>
  <c r="C1309" i="22"/>
  <c r="D1309" i="22" s="1"/>
  <c r="G1309" i="22" s="1"/>
  <c r="H1309" i="22" l="1"/>
  <c r="J1309" i="22" l="1"/>
  <c r="C1310" i="22"/>
  <c r="D1310" i="22" s="1"/>
  <c r="G1310" i="22" s="1"/>
  <c r="H1310" i="22" l="1"/>
  <c r="C1311" i="22" l="1"/>
  <c r="D1311" i="22" s="1"/>
  <c r="G1311" i="22" s="1"/>
  <c r="J1310" i="22"/>
  <c r="H1311" i="22" l="1"/>
  <c r="J1311" i="22" l="1"/>
  <c r="C1312" i="22"/>
  <c r="D1312" i="22" s="1"/>
  <c r="G1312" i="22" s="1"/>
  <c r="H1312" i="22" l="1"/>
  <c r="J1312" i="22" l="1"/>
  <c r="C1313" i="22"/>
  <c r="D1313" i="22" s="1"/>
  <c r="G1313" i="22" s="1"/>
  <c r="H1313" i="22" l="1"/>
  <c r="J1313" i="22" l="1"/>
  <c r="C1314" i="22"/>
  <c r="D1314" i="22" s="1"/>
  <c r="G1314" i="22" s="1"/>
  <c r="H1314" i="22" l="1"/>
  <c r="J1314" i="22" l="1"/>
  <c r="C1315" i="22"/>
  <c r="D1315" i="22" s="1"/>
  <c r="G1315" i="22" s="1"/>
  <c r="H1315" i="22" l="1"/>
  <c r="J1315" i="22" l="1"/>
  <c r="C1316" i="22"/>
  <c r="D1316" i="22" s="1"/>
  <c r="G1316" i="22" s="1"/>
  <c r="H1316" i="22" l="1"/>
  <c r="J1316" i="22" l="1"/>
  <c r="C1317" i="22"/>
  <c r="D1317" i="22" s="1"/>
  <c r="G1317" i="22" s="1"/>
  <c r="H1317" i="22" l="1"/>
  <c r="J1317" i="22" l="1"/>
  <c r="C1318" i="22"/>
  <c r="D1318" i="22" s="1"/>
  <c r="G1318" i="22" s="1"/>
  <c r="H1318" i="22" l="1"/>
  <c r="C1319" i="22" l="1"/>
  <c r="D1319" i="22" s="1"/>
  <c r="G1319" i="22" s="1"/>
  <c r="J1318" i="22"/>
  <c r="H1319" i="22" l="1"/>
  <c r="J1319" i="22" l="1"/>
  <c r="C1320" i="22"/>
  <c r="D1320" i="22" s="1"/>
  <c r="G1320" i="22" s="1"/>
  <c r="H1320" i="22" l="1"/>
  <c r="J1320" i="22" l="1"/>
  <c r="C1321" i="22"/>
  <c r="D1321" i="22" s="1"/>
  <c r="G1321" i="22" s="1"/>
  <c r="H1321" i="22" l="1"/>
  <c r="J1321" i="22" l="1"/>
  <c r="C1322" i="22"/>
  <c r="D1322" i="22" s="1"/>
  <c r="G1322" i="22" s="1"/>
  <c r="H1322" i="22" l="1"/>
  <c r="J1322" i="22" l="1"/>
  <c r="C1323" i="22"/>
  <c r="D1323" i="22" s="1"/>
  <c r="G1323" i="22" s="1"/>
  <c r="H1323" i="22" l="1"/>
  <c r="J1323" i="22" l="1"/>
  <c r="C1324" i="22"/>
  <c r="D1324" i="22" s="1"/>
  <c r="G1324" i="22" s="1"/>
  <c r="H1324" i="22" l="1"/>
  <c r="J1324" i="22" l="1"/>
  <c r="C1325" i="22"/>
  <c r="D1325" i="22" s="1"/>
  <c r="G1325" i="22" s="1"/>
  <c r="H1325" i="22" l="1"/>
  <c r="J1325" i="22" l="1"/>
  <c r="C1326" i="22"/>
  <c r="D1326" i="22" s="1"/>
  <c r="G1326" i="22" s="1"/>
  <c r="H1326" i="22" l="1"/>
  <c r="C1327" i="22" l="1"/>
  <c r="D1327" i="22" s="1"/>
  <c r="G1327" i="22" s="1"/>
  <c r="J1326" i="22"/>
  <c r="H1327" i="22" l="1"/>
  <c r="J1327" i="22" l="1"/>
  <c r="C1328" i="22"/>
  <c r="D1328" i="22" s="1"/>
  <c r="G1328" i="22" s="1"/>
  <c r="H1328" i="22" l="1"/>
  <c r="J1328" i="22" l="1"/>
  <c r="C1329" i="22"/>
  <c r="D1329" i="22" s="1"/>
  <c r="G1329" i="22" s="1"/>
  <c r="H1329" i="22" l="1"/>
  <c r="J1329" i="22" l="1"/>
  <c r="C1330" i="22"/>
  <c r="D1330" i="22" s="1"/>
  <c r="G1330" i="22" s="1"/>
  <c r="H1330" i="22" l="1"/>
  <c r="J1330" i="22" l="1"/>
  <c r="C1331" i="22"/>
  <c r="D1331" i="22" s="1"/>
  <c r="G1331" i="22" s="1"/>
  <c r="H1331" i="22" l="1"/>
  <c r="J1331" i="22" l="1"/>
  <c r="C1332" i="22"/>
  <c r="D1332" i="22" s="1"/>
  <c r="G1332" i="22" s="1"/>
  <c r="H1332" i="22" l="1"/>
  <c r="J1332" i="22" l="1"/>
  <c r="C1333" i="22"/>
  <c r="D1333" i="22" s="1"/>
  <c r="G1333" i="22" s="1"/>
  <c r="H1333" i="22" l="1"/>
  <c r="J1333" i="22" l="1"/>
  <c r="C1334" i="22"/>
  <c r="D1334" i="22" s="1"/>
  <c r="G1334" i="22" s="1"/>
  <c r="H1334" i="22" l="1"/>
  <c r="C1335" i="22" l="1"/>
  <c r="D1335" i="22" s="1"/>
  <c r="G1335" i="22" s="1"/>
  <c r="J1334" i="22"/>
  <c r="H1335" i="22" l="1"/>
  <c r="J1335" i="22" l="1"/>
  <c r="C1336" i="22"/>
  <c r="D1336" i="22" s="1"/>
  <c r="G1336" i="22" s="1"/>
  <c r="H1336" i="22" l="1"/>
  <c r="J1336" i="22" l="1"/>
  <c r="C1337" i="22"/>
  <c r="D1337" i="22" s="1"/>
  <c r="G1337" i="22" s="1"/>
  <c r="H1337" i="22" l="1"/>
  <c r="J1337" i="22" l="1"/>
  <c r="C1338" i="22"/>
  <c r="D1338" i="22" s="1"/>
  <c r="G1338" i="22" s="1"/>
  <c r="H1338" i="22" l="1"/>
  <c r="J1338" i="22" l="1"/>
  <c r="C1339" i="22"/>
  <c r="D1339" i="22" s="1"/>
  <c r="G1339" i="22" s="1"/>
  <c r="H1339" i="22" l="1"/>
  <c r="J1339" i="22" l="1"/>
  <c r="C1340" i="22"/>
  <c r="D1340" i="22" s="1"/>
  <c r="G1340" i="22" s="1"/>
  <c r="H1340" i="22" l="1"/>
  <c r="J1340" i="22" l="1"/>
  <c r="C1341" i="22"/>
  <c r="D1341" i="22" s="1"/>
  <c r="G1341" i="22" s="1"/>
  <c r="H1341" i="22" l="1"/>
  <c r="J1341" i="22" l="1"/>
  <c r="C1342" i="22"/>
  <c r="D1342" i="22" s="1"/>
  <c r="G1342" i="22" s="1"/>
  <c r="H1342" i="22" l="1"/>
  <c r="C1343" i="22" l="1"/>
  <c r="D1343" i="22" s="1"/>
  <c r="G1343" i="22" s="1"/>
  <c r="J1342" i="22"/>
  <c r="H1343" i="22" l="1"/>
  <c r="J1343" i="22" l="1"/>
  <c r="C1344" i="22"/>
  <c r="D1344" i="22" s="1"/>
  <c r="G1344" i="22" s="1"/>
  <c r="H1344" i="22" l="1"/>
  <c r="J1344" i="22" l="1"/>
  <c r="C1345" i="22"/>
  <c r="D1345" i="22" s="1"/>
  <c r="G1345" i="22" s="1"/>
  <c r="H1345" i="22" l="1"/>
  <c r="J1345" i="22" l="1"/>
  <c r="C1346" i="22"/>
  <c r="D1346" i="22" s="1"/>
  <c r="G1346" i="22" s="1"/>
  <c r="H1346" i="22" l="1"/>
  <c r="J1346" i="22" l="1"/>
  <c r="C1347" i="22"/>
  <c r="D1347" i="22" s="1"/>
  <c r="G1347" i="22" s="1"/>
  <c r="H1347" i="22" l="1"/>
  <c r="J1347" i="22" l="1"/>
  <c r="C1348" i="22"/>
  <c r="D1348" i="22" s="1"/>
  <c r="G1348" i="22" s="1"/>
  <c r="H1348" i="22" l="1"/>
  <c r="J1348" i="22" l="1"/>
  <c r="C1349" i="22"/>
  <c r="D1349" i="22" s="1"/>
  <c r="G1349" i="22" s="1"/>
  <c r="H1349" i="22" l="1"/>
  <c r="J1349" i="22" l="1"/>
  <c r="C1350" i="22"/>
  <c r="D1350" i="22" s="1"/>
  <c r="G1350" i="22" s="1"/>
  <c r="H1350" i="22" l="1"/>
  <c r="C1351" i="22" l="1"/>
  <c r="D1351" i="22" s="1"/>
  <c r="G1351" i="22" s="1"/>
  <c r="J1350" i="22"/>
  <c r="H1351" i="22" l="1"/>
  <c r="J1351" i="22" l="1"/>
  <c r="C1352" i="22"/>
  <c r="D1352" i="22" s="1"/>
  <c r="G1352" i="22" s="1"/>
  <c r="H1352" i="22" l="1"/>
  <c r="J1352" i="22" l="1"/>
  <c r="C1353" i="22"/>
  <c r="D1353" i="22" s="1"/>
  <c r="G1353" i="22" s="1"/>
  <c r="H1353" i="22" l="1"/>
  <c r="J1353" i="22" l="1"/>
  <c r="C1354" i="22"/>
  <c r="D1354" i="22" s="1"/>
  <c r="G1354" i="22" s="1"/>
  <c r="H1354" i="22" l="1"/>
  <c r="J1354" i="22" l="1"/>
  <c r="C1355" i="22"/>
  <c r="D1355" i="22" s="1"/>
  <c r="G1355" i="22" s="1"/>
  <c r="H1355" i="22" l="1"/>
  <c r="J1355" i="22" l="1"/>
  <c r="C1356" i="22"/>
  <c r="D1356" i="22" s="1"/>
  <c r="G1356" i="22" s="1"/>
  <c r="H1356" i="22" l="1"/>
  <c r="J1356" i="22" l="1"/>
  <c r="C1357" i="22"/>
  <c r="D1357" i="22" s="1"/>
  <c r="G1357" i="22" s="1"/>
  <c r="H1357" i="22" l="1"/>
  <c r="J1357" i="22" l="1"/>
  <c r="C1358" i="22"/>
  <c r="D1358" i="22" s="1"/>
  <c r="G1358" i="22" s="1"/>
  <c r="H1358" i="22" l="1"/>
  <c r="C1359" i="22" l="1"/>
  <c r="D1359" i="22" s="1"/>
  <c r="G1359" i="22" s="1"/>
  <c r="J1358" i="22"/>
  <c r="H1359" i="22" l="1"/>
  <c r="J1359" i="22" l="1"/>
  <c r="C1360" i="22"/>
  <c r="D1360" i="22" s="1"/>
  <c r="G1360" i="22" s="1"/>
  <c r="H1360" i="22" l="1"/>
  <c r="J1360" i="22" l="1"/>
  <c r="C1361" i="22"/>
  <c r="D1361" i="22" s="1"/>
  <c r="G1361" i="22" s="1"/>
  <c r="H1361" i="22" l="1"/>
  <c r="J1361" i="22" l="1"/>
  <c r="C1362" i="22"/>
  <c r="D1362" i="22" s="1"/>
  <c r="G1362" i="22" s="1"/>
  <c r="H1362" i="22" l="1"/>
  <c r="J1362" i="22" l="1"/>
  <c r="C1363" i="22"/>
  <c r="D1363" i="22" s="1"/>
  <c r="G1363" i="22" s="1"/>
  <c r="H1363" i="22" l="1"/>
  <c r="J1363" i="22" l="1"/>
  <c r="C1364" i="22"/>
  <c r="D1364" i="22" s="1"/>
  <c r="G1364" i="22" s="1"/>
  <c r="H1364" i="22" l="1"/>
  <c r="J1364" i="22" l="1"/>
  <c r="C1365" i="22"/>
  <c r="D1365" i="22" s="1"/>
  <c r="G1365" i="22" s="1"/>
  <c r="H1365" i="22" l="1"/>
  <c r="J1365" i="22" l="1"/>
  <c r="C1366" i="22"/>
  <c r="D1366" i="22" s="1"/>
  <c r="G1366" i="22" s="1"/>
  <c r="H1366" i="22" l="1"/>
  <c r="C1367" i="22" l="1"/>
  <c r="D1367" i="22" s="1"/>
  <c r="G1367" i="22" s="1"/>
  <c r="J1366" i="22"/>
  <c r="H1367" i="22" l="1"/>
  <c r="J1367" i="22" l="1"/>
  <c r="C1368" i="22"/>
  <c r="D1368" i="22" s="1"/>
  <c r="G1368" i="22" s="1"/>
  <c r="H1368" i="22" l="1"/>
  <c r="J1368" i="22" l="1"/>
  <c r="C1369" i="22"/>
  <c r="D1369" i="22" s="1"/>
  <c r="G1369" i="22" s="1"/>
  <c r="H1369" i="22" l="1"/>
  <c r="J1369" i="22" l="1"/>
  <c r="C1370" i="22"/>
  <c r="D1370" i="22" s="1"/>
  <c r="G1370" i="22" s="1"/>
  <c r="H1370" i="22" l="1"/>
  <c r="J1370" i="22" l="1"/>
  <c r="C1371" i="22"/>
  <c r="D1371" i="22" s="1"/>
  <c r="G1371" i="22" s="1"/>
  <c r="H1371" i="22" l="1"/>
  <c r="J1371" i="22" l="1"/>
  <c r="C1372" i="22"/>
  <c r="D1372" i="22" s="1"/>
  <c r="G1372" i="22" s="1"/>
  <c r="H1372" i="22" l="1"/>
  <c r="J1372" i="22" l="1"/>
  <c r="C1373" i="22"/>
  <c r="D1373" i="22" s="1"/>
  <c r="G1373" i="22" s="1"/>
  <c r="H1373" i="22" l="1"/>
  <c r="J1373" i="22" l="1"/>
  <c r="C1374" i="22"/>
  <c r="D1374" i="22" s="1"/>
  <c r="G1374" i="22" s="1"/>
  <c r="H1374" i="22" l="1"/>
  <c r="C1375" i="22" l="1"/>
  <c r="D1375" i="22" s="1"/>
  <c r="G1375" i="22" s="1"/>
  <c r="J1374" i="22"/>
  <c r="H1375" i="22" l="1"/>
  <c r="J1375" i="22" l="1"/>
  <c r="C1376" i="22"/>
  <c r="D1376" i="22" s="1"/>
  <c r="G1376" i="22" s="1"/>
  <c r="H1376" i="22" l="1"/>
  <c r="J1376" i="22" l="1"/>
  <c r="C1377" i="22"/>
  <c r="D1377" i="22" s="1"/>
  <c r="G1377" i="22" s="1"/>
  <c r="H1377" i="22" l="1"/>
  <c r="J1377" i="22" l="1"/>
  <c r="C1378" i="22"/>
  <c r="D1378" i="22" s="1"/>
  <c r="G1378" i="22" s="1"/>
  <c r="H1378" i="22" l="1"/>
  <c r="J1378" i="22" l="1"/>
  <c r="C1379" i="22"/>
  <c r="D1379" i="22" s="1"/>
  <c r="G1379" i="22" s="1"/>
  <c r="H1379" i="22" l="1"/>
  <c r="J1379" i="22" l="1"/>
  <c r="C1380" i="22"/>
  <c r="D1380" i="22" s="1"/>
  <c r="G1380" i="22" s="1"/>
  <c r="H1380" i="22" l="1"/>
  <c r="J1380" i="22" l="1"/>
  <c r="C1381" i="22"/>
  <c r="D1381" i="22" s="1"/>
  <c r="G1381" i="22" s="1"/>
  <c r="H1381" i="22" l="1"/>
  <c r="J1381" i="22" l="1"/>
  <c r="C1382" i="22"/>
  <c r="D1382" i="22" s="1"/>
  <c r="G1382" i="22" s="1"/>
  <c r="H1382" i="22" l="1"/>
  <c r="C1383" i="22" l="1"/>
  <c r="D1383" i="22" s="1"/>
  <c r="G1383" i="22" s="1"/>
  <c r="J1382" i="22"/>
  <c r="H1383" i="22" l="1"/>
  <c r="J1383" i="22" l="1"/>
  <c r="C1384" i="22"/>
  <c r="D1384" i="22" s="1"/>
  <c r="G1384" i="22" s="1"/>
  <c r="H1384" i="22" l="1"/>
  <c r="J1384" i="22" l="1"/>
  <c r="C1385" i="22"/>
  <c r="D1385" i="22" s="1"/>
  <c r="G1385" i="22" s="1"/>
  <c r="H1385" i="22" l="1"/>
  <c r="J1385" i="22" l="1"/>
  <c r="C1386" i="22"/>
  <c r="D1386" i="22" s="1"/>
  <c r="G1386" i="22" s="1"/>
  <c r="H1386" i="22" l="1"/>
  <c r="J1386" i="22" l="1"/>
  <c r="C1387" i="22"/>
  <c r="D1387" i="22" s="1"/>
  <c r="G1387" i="22" s="1"/>
  <c r="H1387" i="22" l="1"/>
  <c r="J1387" i="22" l="1"/>
  <c r="C1388" i="22"/>
  <c r="D1388" i="22" s="1"/>
  <c r="G1388" i="22" s="1"/>
  <c r="H1388" i="22" l="1"/>
  <c r="J1388" i="22" l="1"/>
  <c r="C1389" i="22"/>
  <c r="D1389" i="22" s="1"/>
  <c r="G1389" i="22" s="1"/>
  <c r="H1389" i="22" l="1"/>
  <c r="J1389" i="22" l="1"/>
  <c r="C1390" i="22"/>
  <c r="D1390" i="22" s="1"/>
  <c r="G1390" i="22" s="1"/>
  <c r="H1390" i="22" l="1"/>
  <c r="C1391" i="22" l="1"/>
  <c r="D1391" i="22" s="1"/>
  <c r="G1391" i="22" s="1"/>
  <c r="J1390" i="22"/>
  <c r="H1391" i="22" l="1"/>
  <c r="J1391" i="22" l="1"/>
  <c r="C1392" i="22"/>
  <c r="D1392" i="22" s="1"/>
  <c r="G1392" i="22" s="1"/>
  <c r="H1392" i="22" l="1"/>
  <c r="J1392" i="22" l="1"/>
  <c r="C1393" i="22"/>
  <c r="D1393" i="22" s="1"/>
  <c r="G1393" i="22" s="1"/>
  <c r="H1393" i="22" l="1"/>
  <c r="J1393" i="22" l="1"/>
  <c r="C1394" i="22"/>
  <c r="D1394" i="22" s="1"/>
  <c r="G1394" i="22" s="1"/>
  <c r="H1394" i="22" l="1"/>
  <c r="J1394" i="22" l="1"/>
  <c r="C1395" i="22"/>
  <c r="D1395" i="22" s="1"/>
  <c r="G1395" i="22" s="1"/>
  <c r="H1395" i="22" l="1"/>
  <c r="J1395" i="22" l="1"/>
  <c r="C1396" i="22"/>
  <c r="D1396" i="22" s="1"/>
  <c r="G1396" i="22" s="1"/>
  <c r="H1396" i="22" l="1"/>
  <c r="J1396" i="22" l="1"/>
  <c r="C1397" i="22"/>
  <c r="D1397" i="22" s="1"/>
  <c r="G1397" i="22" s="1"/>
  <c r="H1397" i="22" l="1"/>
  <c r="J1397" i="22" l="1"/>
  <c r="C1398" i="22"/>
  <c r="D1398" i="22" s="1"/>
  <c r="G1398" i="22" s="1"/>
  <c r="H1398" i="22" l="1"/>
  <c r="C1399" i="22" l="1"/>
  <c r="D1399" i="22" s="1"/>
  <c r="G1399" i="22" s="1"/>
  <c r="J1398" i="22"/>
  <c r="H1399" i="22" l="1"/>
  <c r="J1399" i="22" l="1"/>
  <c r="C1400" i="22"/>
  <c r="D1400" i="22" s="1"/>
  <c r="G1400" i="22" s="1"/>
  <c r="H1400" i="22" l="1"/>
  <c r="J1400" i="22" l="1"/>
  <c r="C1401" i="22"/>
  <c r="D1401" i="22" s="1"/>
  <c r="G1401" i="22" s="1"/>
  <c r="H1401" i="22" l="1"/>
  <c r="J1401" i="22" l="1"/>
  <c r="C1402" i="22"/>
  <c r="D1402" i="22" s="1"/>
  <c r="G1402" i="22" s="1"/>
  <c r="H1402" i="22" l="1"/>
  <c r="J1402" i="22" l="1"/>
  <c r="C1403" i="22"/>
  <c r="D1403" i="22" s="1"/>
  <c r="G1403" i="22" s="1"/>
  <c r="H1403" i="22" l="1"/>
  <c r="J1403" i="22" l="1"/>
  <c r="C1404" i="22"/>
  <c r="D1404" i="22" s="1"/>
  <c r="G1404" i="22" s="1"/>
  <c r="H1404" i="22" l="1"/>
  <c r="J1404" i="22" l="1"/>
  <c r="C1405" i="22"/>
  <c r="D1405" i="22" s="1"/>
  <c r="G1405" i="22" s="1"/>
  <c r="H1405" i="22" l="1"/>
  <c r="J1405" i="22" l="1"/>
  <c r="C1406" i="22"/>
  <c r="D1406" i="22" s="1"/>
  <c r="G1406" i="22" s="1"/>
  <c r="H1406" i="22" l="1"/>
  <c r="C1407" i="22" l="1"/>
  <c r="D1407" i="22" s="1"/>
  <c r="G1407" i="22" s="1"/>
  <c r="J1406" i="22"/>
  <c r="H1407" i="22" l="1"/>
  <c r="J1407" i="22" l="1"/>
  <c r="C1408" i="22"/>
  <c r="D1408" i="22" s="1"/>
  <c r="G1408" i="22" s="1"/>
  <c r="H1408" i="22" l="1"/>
  <c r="J1408" i="22" l="1"/>
  <c r="C1409" i="22"/>
  <c r="D1409" i="22" s="1"/>
  <c r="G1409" i="22" s="1"/>
  <c r="H1409" i="22" l="1"/>
  <c r="J1409" i="22" l="1"/>
  <c r="C1410" i="22"/>
  <c r="D1410" i="22" s="1"/>
  <c r="G1410" i="22" s="1"/>
  <c r="H1410" i="22" l="1"/>
  <c r="J1410" i="22" l="1"/>
  <c r="C1411" i="22"/>
  <c r="D1411" i="22" s="1"/>
  <c r="G1411" i="22" s="1"/>
  <c r="H1411" i="22" l="1"/>
  <c r="J1411" i="22" l="1"/>
  <c r="C1412" i="22"/>
  <c r="D1412" i="22" s="1"/>
  <c r="G1412" i="22" s="1"/>
  <c r="H1412" i="22" l="1"/>
  <c r="J1412" i="22" l="1"/>
  <c r="C1413" i="22"/>
  <c r="D1413" i="22" s="1"/>
  <c r="G1413" i="22" s="1"/>
  <c r="H1413" i="22" l="1"/>
  <c r="J1413" i="22" l="1"/>
  <c r="C1414" i="22"/>
  <c r="D1414" i="22" s="1"/>
  <c r="G1414" i="22" s="1"/>
  <c r="H1414" i="22" l="1"/>
  <c r="C1415" i="22" l="1"/>
  <c r="D1415" i="22" s="1"/>
  <c r="G1415" i="22" s="1"/>
  <c r="J1414" i="22"/>
  <c r="H1415" i="22" l="1"/>
  <c r="J1415" i="22" l="1"/>
  <c r="C1416" i="22"/>
  <c r="D1416" i="22" s="1"/>
  <c r="G1416" i="22" s="1"/>
  <c r="H1416" i="22" l="1"/>
  <c r="J1416" i="22" l="1"/>
  <c r="C1417" i="22"/>
  <c r="D1417" i="22" s="1"/>
  <c r="G1417" i="22" s="1"/>
  <c r="H1417" i="22" l="1"/>
  <c r="J1417" i="22" l="1"/>
  <c r="C1418" i="22"/>
  <c r="D1418" i="22" s="1"/>
  <c r="G1418" i="22" s="1"/>
  <c r="H1418" i="22" l="1"/>
  <c r="J1418" i="22" l="1"/>
  <c r="C1419" i="22"/>
  <c r="D1419" i="22" s="1"/>
  <c r="G1419" i="22" s="1"/>
  <c r="H1419" i="22" l="1"/>
  <c r="J1419" i="22" l="1"/>
  <c r="C1420" i="22"/>
  <c r="D1420" i="22" s="1"/>
  <c r="G1420" i="22" s="1"/>
  <c r="H1420" i="22" l="1"/>
  <c r="J1420" i="22" l="1"/>
  <c r="C1421" i="22"/>
  <c r="D1421" i="22" s="1"/>
  <c r="G1421" i="22" s="1"/>
  <c r="H1421" i="22" l="1"/>
  <c r="J1421" i="22" l="1"/>
  <c r="C1422" i="22"/>
  <c r="D1422" i="22" s="1"/>
  <c r="G1422" i="22" s="1"/>
  <c r="H1422" i="22" l="1"/>
  <c r="C1423" i="22" l="1"/>
  <c r="D1423" i="22" s="1"/>
  <c r="G1423" i="22" s="1"/>
  <c r="J1422" i="22"/>
  <c r="H1423" i="22" l="1"/>
  <c r="J1423" i="22" l="1"/>
  <c r="C1424" i="22"/>
  <c r="D1424" i="22" s="1"/>
  <c r="G1424" i="22" s="1"/>
  <c r="H1424" i="22" l="1"/>
  <c r="J1424" i="22" l="1"/>
  <c r="C1425" i="22"/>
  <c r="D1425" i="22" s="1"/>
  <c r="G1425" i="22" s="1"/>
  <c r="H1425" i="22" l="1"/>
  <c r="J1425" i="22" l="1"/>
  <c r="C1426" i="22"/>
  <c r="D1426" i="22" s="1"/>
  <c r="G1426" i="22" s="1"/>
  <c r="H1426" i="22" l="1"/>
  <c r="J1426" i="22" l="1"/>
  <c r="C1427" i="22"/>
  <c r="D1427" i="22" s="1"/>
  <c r="G1427" i="22" s="1"/>
  <c r="H1427" i="22" l="1"/>
  <c r="J1427" i="22" l="1"/>
  <c r="C1428" i="22"/>
  <c r="D1428" i="22" s="1"/>
  <c r="G1428" i="22" s="1"/>
  <c r="H1428" i="22" l="1"/>
  <c r="J1428" i="22" l="1"/>
  <c r="C1429" i="22"/>
  <c r="D1429" i="22" s="1"/>
  <c r="G1429" i="22" s="1"/>
  <c r="H1429" i="22" l="1"/>
  <c r="J1429" i="22" l="1"/>
  <c r="C1430" i="22"/>
  <c r="D1430" i="22" s="1"/>
  <c r="G1430" i="22" s="1"/>
  <c r="H1430" i="22" l="1"/>
  <c r="C1431" i="22" l="1"/>
  <c r="D1431" i="22" s="1"/>
  <c r="G1431" i="22" s="1"/>
  <c r="J1430" i="22"/>
  <c r="H1431" i="22" l="1"/>
  <c r="J1431" i="22" l="1"/>
  <c r="C1432" i="22"/>
  <c r="D1432" i="22" s="1"/>
  <c r="G1432" i="22" s="1"/>
  <c r="H1432" i="22" l="1"/>
  <c r="J1432" i="22" l="1"/>
  <c r="C1433" i="22"/>
  <c r="D1433" i="22" s="1"/>
  <c r="G1433" i="22" s="1"/>
  <c r="H1433" i="22" l="1"/>
  <c r="J1433" i="22" l="1"/>
  <c r="C1434" i="22"/>
  <c r="D1434" i="22" s="1"/>
  <c r="G1434" i="22" s="1"/>
  <c r="H1434" i="22" l="1"/>
  <c r="J1434" i="22" l="1"/>
  <c r="C1435" i="22"/>
  <c r="D1435" i="22" s="1"/>
  <c r="G1435" i="22" s="1"/>
  <c r="H1435" i="22" l="1"/>
  <c r="J1435" i="22" l="1"/>
  <c r="C1436" i="22"/>
  <c r="D1436" i="22" s="1"/>
  <c r="G1436" i="22" s="1"/>
  <c r="H1436" i="22" l="1"/>
  <c r="J1436" i="22" l="1"/>
  <c r="C1437" i="22"/>
  <c r="D1437" i="22" s="1"/>
  <c r="G1437" i="22" s="1"/>
  <c r="H1437" i="22" l="1"/>
  <c r="J1437" i="22" l="1"/>
  <c r="C1438" i="22"/>
  <c r="D1438" i="22" s="1"/>
  <c r="G1438" i="22" s="1"/>
  <c r="H1438" i="22" l="1"/>
  <c r="C1439" i="22" l="1"/>
  <c r="D1439" i="22" s="1"/>
  <c r="G1439" i="22" s="1"/>
  <c r="J1438" i="22"/>
  <c r="H1439" i="22" l="1"/>
  <c r="J1439" i="22" l="1"/>
  <c r="C1440" i="22"/>
  <c r="D1440" i="22" s="1"/>
  <c r="G1440" i="22" s="1"/>
  <c r="H1440" i="22" l="1"/>
  <c r="J1440" i="22" l="1"/>
  <c r="C1441" i="22"/>
  <c r="D1441" i="22" s="1"/>
  <c r="G1441" i="22" s="1"/>
  <c r="H1441" i="22" l="1"/>
  <c r="J1441" i="22" l="1"/>
  <c r="C1442" i="22"/>
  <c r="D1442" i="22" s="1"/>
  <c r="G1442" i="22" s="1"/>
  <c r="H1442" i="22" l="1"/>
  <c r="J1442" i="22" l="1"/>
  <c r="C1443" i="22"/>
  <c r="D1443" i="22" s="1"/>
  <c r="G1443" i="22" s="1"/>
  <c r="H1443" i="22" l="1"/>
  <c r="J1443" i="22" l="1"/>
  <c r="C1444" i="22"/>
  <c r="D1444" i="22" s="1"/>
  <c r="G1444" i="22" s="1"/>
  <c r="H1444" i="22" l="1"/>
  <c r="J1444" i="22" l="1"/>
  <c r="C1445" i="22"/>
  <c r="D1445" i="22" s="1"/>
  <c r="G1445" i="22" s="1"/>
  <c r="H1445" i="22" l="1"/>
  <c r="J1445" i="22" l="1"/>
  <c r="C1446" i="22"/>
  <c r="D1446" i="22" s="1"/>
  <c r="G1446" i="22" s="1"/>
  <c r="H1446" i="22" l="1"/>
  <c r="C1447" i="22" l="1"/>
  <c r="D1447" i="22" s="1"/>
  <c r="G1447" i="22" s="1"/>
  <c r="J1446" i="22"/>
  <c r="H1447" i="22" l="1"/>
  <c r="J1447" i="22" l="1"/>
  <c r="C1448" i="22"/>
  <c r="D1448" i="22" s="1"/>
  <c r="G1448" i="22" s="1"/>
  <c r="H1448" i="22" l="1"/>
  <c r="J1448" i="22" l="1"/>
  <c r="C1449" i="22"/>
  <c r="D1449" i="22" s="1"/>
  <c r="G1449" i="22" s="1"/>
  <c r="H1449" i="22" l="1"/>
  <c r="J1449" i="22" l="1"/>
  <c r="C1450" i="22"/>
  <c r="D1450" i="22" s="1"/>
  <c r="G1450" i="22" s="1"/>
  <c r="H1450" i="22" l="1"/>
  <c r="J1450" i="22" l="1"/>
  <c r="C1451" i="22"/>
  <c r="D1451" i="22" s="1"/>
  <c r="G1451" i="22" s="1"/>
  <c r="H1451" i="22" l="1"/>
  <c r="J1451" i="22" l="1"/>
  <c r="C1452" i="22"/>
  <c r="D1452" i="22" s="1"/>
  <c r="G1452" i="22" s="1"/>
  <c r="H1452" i="22" l="1"/>
  <c r="J1452" i="22" l="1"/>
  <c r="C1453" i="22"/>
  <c r="D1453" i="22" s="1"/>
  <c r="G1453" i="22" s="1"/>
  <c r="H1453" i="22" l="1"/>
  <c r="J1453" i="22" l="1"/>
  <c r="C1454" i="22"/>
  <c r="D1454" i="22" s="1"/>
  <c r="G1454" i="22" s="1"/>
  <c r="H1454" i="22" l="1"/>
  <c r="C1455" i="22" l="1"/>
  <c r="D1455" i="22" s="1"/>
  <c r="G1455" i="22" s="1"/>
  <c r="J1454" i="22"/>
  <c r="H1455" i="22" l="1"/>
  <c r="J1455" i="22" l="1"/>
  <c r="C1456" i="22"/>
  <c r="D1456" i="22" s="1"/>
  <c r="G1456" i="22" s="1"/>
  <c r="H1456" i="22" l="1"/>
  <c r="J1456" i="22" l="1"/>
  <c r="C1457" i="22"/>
  <c r="D1457" i="22" s="1"/>
  <c r="G1457" i="22" s="1"/>
  <c r="H1457" i="22" l="1"/>
  <c r="J1457" i="22" l="1"/>
  <c r="C1458" i="22"/>
  <c r="D1458" i="22" s="1"/>
  <c r="G1458" i="22" s="1"/>
  <c r="H1458" i="22" l="1"/>
  <c r="J1458" i="22" l="1"/>
  <c r="C1459" i="22"/>
  <c r="D1459" i="22" s="1"/>
  <c r="G1459" i="22" s="1"/>
  <c r="H1459" i="22" l="1"/>
  <c r="J1459" i="22" l="1"/>
  <c r="C1460" i="22"/>
  <c r="D1460" i="22" s="1"/>
  <c r="G1460" i="22" s="1"/>
  <c r="H1460" i="22" l="1"/>
  <c r="J1460" i="22" l="1"/>
  <c r="C1461" i="22"/>
  <c r="D1461" i="22" s="1"/>
  <c r="G1461" i="22" s="1"/>
  <c r="H1461" i="22" l="1"/>
  <c r="J1461" i="22" l="1"/>
  <c r="C1462" i="22"/>
  <c r="D1462" i="22" s="1"/>
  <c r="G1462" i="22" s="1"/>
  <c r="H1462" i="22" l="1"/>
  <c r="C1463" i="22" l="1"/>
  <c r="D1463" i="22" s="1"/>
  <c r="G1463" i="22" s="1"/>
  <c r="J1462" i="22"/>
  <c r="H1463" i="22" l="1"/>
  <c r="J1463" i="22" l="1"/>
  <c r="C1464" i="22"/>
  <c r="D1464" i="22" s="1"/>
  <c r="G1464" i="22" s="1"/>
  <c r="H1464" i="22" l="1"/>
  <c r="J1464" i="22" l="1"/>
  <c r="C1465" i="22"/>
  <c r="D1465" i="22" s="1"/>
  <c r="G1465" i="22" s="1"/>
  <c r="H1465" i="22" l="1"/>
  <c r="J1465" i="22" l="1"/>
  <c r="C1466" i="22"/>
  <c r="D1466" i="22" s="1"/>
  <c r="G1466" i="22" s="1"/>
  <c r="H1466" i="22" l="1"/>
  <c r="J1466" i="22" l="1"/>
  <c r="C1467" i="22"/>
  <c r="D1467" i="22" s="1"/>
  <c r="G1467" i="22" s="1"/>
  <c r="H1467" i="22" l="1"/>
  <c r="J1467" i="22" l="1"/>
  <c r="C1468" i="22"/>
  <c r="D1468" i="22" s="1"/>
  <c r="G1468" i="22" s="1"/>
  <c r="H1468" i="22" l="1"/>
  <c r="J1468" i="22" l="1"/>
  <c r="C1469" i="22"/>
  <c r="D1469" i="22" s="1"/>
  <c r="G1469" i="22" s="1"/>
  <c r="H1469" i="22" l="1"/>
  <c r="J1469" i="22" l="1"/>
  <c r="C1470" i="22"/>
  <c r="D1470" i="22" s="1"/>
  <c r="G1470" i="22" s="1"/>
  <c r="H1470" i="22" l="1"/>
  <c r="C1471" i="22" l="1"/>
  <c r="D1471" i="22" s="1"/>
  <c r="G1471" i="22" s="1"/>
  <c r="J1470" i="22"/>
  <c r="H1471" i="22" l="1"/>
  <c r="J1471" i="22" l="1"/>
  <c r="C1472" i="22"/>
  <c r="D1472" i="22" s="1"/>
  <c r="G1472" i="22" s="1"/>
  <c r="H1472" i="22" l="1"/>
  <c r="J1472" i="22" l="1"/>
  <c r="C1473" i="22"/>
  <c r="D1473" i="22" s="1"/>
  <c r="G1473" i="22" s="1"/>
  <c r="H1473" i="22" l="1"/>
  <c r="J1473" i="22" l="1"/>
  <c r="C1474" i="22"/>
  <c r="D1474" i="22" s="1"/>
  <c r="G1474" i="22" s="1"/>
  <c r="H1474" i="22" l="1"/>
  <c r="J1474" i="22" l="1"/>
  <c r="C1475" i="22"/>
  <c r="D1475" i="22" s="1"/>
  <c r="G1475" i="22" s="1"/>
  <c r="H1475" i="22" l="1"/>
  <c r="J1475" i="22" l="1"/>
  <c r="C1476" i="22"/>
  <c r="D1476" i="22" s="1"/>
  <c r="G1476" i="22" s="1"/>
  <c r="H1476" i="22" l="1"/>
  <c r="J1476" i="22" l="1"/>
  <c r="C1477" i="22"/>
  <c r="D1477" i="22" s="1"/>
  <c r="G1477" i="22" s="1"/>
  <c r="H1477" i="22" l="1"/>
  <c r="J1477" i="22" l="1"/>
  <c r="C1478" i="22"/>
  <c r="D1478" i="22" s="1"/>
  <c r="G1478" i="22" s="1"/>
  <c r="H1478" i="22" l="1"/>
  <c r="C1479" i="22" l="1"/>
  <c r="D1479" i="22" s="1"/>
  <c r="G1479" i="22" s="1"/>
  <c r="J1478" i="22"/>
  <c r="H1479" i="22" l="1"/>
  <c r="J1479" i="22" l="1"/>
  <c r="C1480" i="22"/>
  <c r="D1480" i="22" s="1"/>
  <c r="G1480" i="22" s="1"/>
  <c r="H1480" i="22" l="1"/>
  <c r="J1480" i="22" l="1"/>
  <c r="C1481" i="22"/>
  <c r="D1481" i="22" s="1"/>
  <c r="G1481" i="22" s="1"/>
  <c r="H1481" i="22" l="1"/>
  <c r="J1481" i="22" l="1"/>
  <c r="C1482" i="22"/>
  <c r="D1482" i="22" s="1"/>
  <c r="G1482" i="22" s="1"/>
  <c r="H1482" i="22" l="1"/>
  <c r="J1482" i="22" l="1"/>
  <c r="C1483" i="22"/>
  <c r="D1483" i="22" s="1"/>
  <c r="G1483" i="22" s="1"/>
  <c r="H1483" i="22" l="1"/>
  <c r="J1483" i="22" l="1"/>
  <c r="C1484" i="22"/>
  <c r="D1484" i="22" s="1"/>
  <c r="G1484" i="22" s="1"/>
  <c r="H1484" i="22" l="1"/>
  <c r="J1484" i="22" l="1"/>
  <c r="C1485" i="22"/>
  <c r="D1485" i="22" s="1"/>
  <c r="G1485" i="22" s="1"/>
  <c r="H1485" i="22" l="1"/>
  <c r="J1485" i="22" l="1"/>
  <c r="C1486" i="22"/>
  <c r="D1486" i="22" s="1"/>
  <c r="G1486" i="22" s="1"/>
  <c r="H1486" i="22" l="1"/>
  <c r="C1487" i="22" l="1"/>
  <c r="D1487" i="22" s="1"/>
  <c r="G1487" i="22" s="1"/>
  <c r="J1486" i="22"/>
  <c r="H1487" i="22" l="1"/>
  <c r="J1487" i="22" l="1"/>
  <c r="C1488" i="22"/>
  <c r="D1488" i="22" s="1"/>
  <c r="G1488" i="22" s="1"/>
  <c r="H1488" i="22" l="1"/>
  <c r="J1488" i="22" l="1"/>
  <c r="C1489" i="22"/>
  <c r="D1489" i="22" s="1"/>
  <c r="G1489" i="22" s="1"/>
  <c r="H1489" i="22" l="1"/>
  <c r="J1489" i="22" l="1"/>
  <c r="C1490" i="22"/>
  <c r="D1490" i="22" s="1"/>
  <c r="G1490" i="22" s="1"/>
  <c r="H1490" i="22" l="1"/>
  <c r="J1490" i="22" l="1"/>
  <c r="C1491" i="22"/>
  <c r="D1491" i="22" s="1"/>
  <c r="G1491" i="22" s="1"/>
  <c r="H1491" i="22" l="1"/>
  <c r="J1491" i="22" l="1"/>
  <c r="C1492" i="22"/>
  <c r="D1492" i="22" s="1"/>
  <c r="G1492" i="22" s="1"/>
  <c r="H1492" i="22" l="1"/>
  <c r="J1492" i="22" l="1"/>
  <c r="C1493" i="22"/>
  <c r="D1493" i="22" s="1"/>
  <c r="G1493" i="22" s="1"/>
  <c r="H1493" i="22" l="1"/>
  <c r="J1493" i="22" l="1"/>
  <c r="C1494" i="22"/>
  <c r="D1494" i="22" s="1"/>
  <c r="G1494" i="22" s="1"/>
  <c r="H1494" i="22" l="1"/>
  <c r="C1495" i="22" l="1"/>
  <c r="D1495" i="22" s="1"/>
  <c r="G1495" i="22" s="1"/>
  <c r="J1494" i="22"/>
  <c r="H1495" i="22" l="1"/>
  <c r="J1495" i="22" l="1"/>
  <c r="C1496" i="22"/>
  <c r="D1496" i="22" s="1"/>
  <c r="G1496" i="22" s="1"/>
  <c r="H1496" i="22" l="1"/>
  <c r="J1496" i="22" l="1"/>
  <c r="C1497" i="22"/>
  <c r="D1497" i="22" s="1"/>
  <c r="G1497" i="22" s="1"/>
  <c r="H1497" i="22" l="1"/>
  <c r="J1497" i="22" l="1"/>
  <c r="C1498" i="22"/>
  <c r="D1498" i="22" s="1"/>
  <c r="G1498" i="22" s="1"/>
  <c r="H1498" i="22" l="1"/>
  <c r="J1498" i="22" l="1"/>
  <c r="C1499" i="22"/>
  <c r="D1499" i="22" s="1"/>
  <c r="G1499" i="22" s="1"/>
  <c r="H1499" i="22" l="1"/>
  <c r="J1499" i="22" l="1"/>
  <c r="C1500" i="22"/>
  <c r="D1500" i="22" s="1"/>
  <c r="G1500" i="22" s="1"/>
  <c r="H1500" i="22" l="1"/>
  <c r="J1500" i="22" l="1"/>
  <c r="C1501" i="22"/>
  <c r="D1501" i="22" s="1"/>
  <c r="G1501" i="22" s="1"/>
  <c r="H1501" i="22" l="1"/>
  <c r="J1501" i="22" l="1"/>
  <c r="C1502" i="22"/>
  <c r="D1502" i="22" s="1"/>
  <c r="G1502" i="22" s="1"/>
  <c r="H1502" i="22" l="1"/>
  <c r="C1503" i="22" l="1"/>
  <c r="D1503" i="22" s="1"/>
  <c r="G1503" i="22" s="1"/>
  <c r="J1502" i="22"/>
  <c r="H1503" i="22" l="1"/>
  <c r="J1503" i="22" l="1"/>
  <c r="C1504" i="22"/>
  <c r="D1504" i="22" s="1"/>
  <c r="G1504" i="22" s="1"/>
  <c r="H1504" i="22" l="1"/>
  <c r="J1504" i="22" l="1"/>
  <c r="C1505" i="22"/>
  <c r="D1505" i="22" s="1"/>
  <c r="G1505" i="22" s="1"/>
  <c r="H1505" i="22" l="1"/>
  <c r="J1505" i="22" l="1"/>
  <c r="C1506" i="22"/>
  <c r="D1506" i="22" s="1"/>
  <c r="G1506" i="22" s="1"/>
  <c r="H1506" i="22" l="1"/>
  <c r="J1506" i="22" l="1"/>
  <c r="C1507" i="22"/>
  <c r="D1507" i="22" s="1"/>
  <c r="G1507" i="22" s="1"/>
  <c r="H1507" i="22" l="1"/>
  <c r="J1507" i="22" l="1"/>
  <c r="C1508" i="22"/>
  <c r="D1508" i="22" s="1"/>
  <c r="G1508" i="22" s="1"/>
  <c r="H1508" i="22" l="1"/>
  <c r="J1508" i="22" l="1"/>
  <c r="C1509" i="22"/>
  <c r="D1509" i="22" s="1"/>
  <c r="G1509" i="22" s="1"/>
  <c r="H1509" i="22" l="1"/>
  <c r="J1509" i="22" l="1"/>
  <c r="C1510" i="22"/>
  <c r="D1510" i="22" s="1"/>
  <c r="G1510" i="22" s="1"/>
  <c r="H1510" i="22" l="1"/>
  <c r="C1511" i="22" l="1"/>
  <c r="D1511" i="22" s="1"/>
  <c r="G1511" i="22" s="1"/>
  <c r="J1510" i="22"/>
  <c r="H1511" i="22" l="1"/>
  <c r="J1511" i="22" l="1"/>
  <c r="C1512" i="22"/>
  <c r="D1512" i="22" s="1"/>
  <c r="G1512" i="22" s="1"/>
  <c r="H1512" i="22" l="1"/>
  <c r="J1512" i="22" l="1"/>
  <c r="C1513" i="22"/>
  <c r="D1513" i="22" s="1"/>
  <c r="G1513" i="22" s="1"/>
  <c r="H1513" i="22" l="1"/>
  <c r="J1513" i="22" l="1"/>
  <c r="C1514" i="22"/>
  <c r="D1514" i="22" s="1"/>
  <c r="G1514" i="22" s="1"/>
  <c r="H1514" i="22" l="1"/>
  <c r="J1514" i="22" l="1"/>
  <c r="C1515" i="22"/>
  <c r="D1515" i="22" s="1"/>
  <c r="G1515" i="22" s="1"/>
  <c r="H1515" i="22" l="1"/>
  <c r="J1515" i="22" l="1"/>
  <c r="C1516" i="22"/>
  <c r="D1516" i="22" s="1"/>
  <c r="G1516" i="22" s="1"/>
  <c r="H1516" i="22" l="1"/>
  <c r="J1516" i="22" l="1"/>
  <c r="C1517" i="22"/>
  <c r="D1517" i="22" s="1"/>
  <c r="G1517" i="22" s="1"/>
  <c r="H1517" i="22" l="1"/>
  <c r="J1517" i="22" l="1"/>
  <c r="C1518" i="22"/>
  <c r="D1518" i="22" s="1"/>
  <c r="G1518" i="22" s="1"/>
  <c r="H1518" i="22" l="1"/>
  <c r="C1519" i="22" l="1"/>
  <c r="D1519" i="22" s="1"/>
  <c r="G1519" i="22" s="1"/>
  <c r="J1518" i="22"/>
  <c r="H1519" i="22" l="1"/>
  <c r="J1519" i="22" l="1"/>
  <c r="C1520" i="22"/>
  <c r="D1520" i="22" s="1"/>
  <c r="G1520" i="22" s="1"/>
  <c r="H1520" i="22" l="1"/>
  <c r="J1520" i="22" l="1"/>
  <c r="C1521" i="22"/>
  <c r="D1521" i="22" s="1"/>
  <c r="G1521" i="22" s="1"/>
  <c r="H1521" i="22" l="1"/>
  <c r="J1521" i="22" l="1"/>
  <c r="C1522" i="22"/>
  <c r="D1522" i="22" s="1"/>
  <c r="G1522" i="22" s="1"/>
  <c r="H1522" i="22" l="1"/>
  <c r="J1522" i="22" l="1"/>
  <c r="C1523" i="22"/>
  <c r="D1523" i="22" s="1"/>
  <c r="G1523" i="22" s="1"/>
  <c r="H1523" i="22" l="1"/>
  <c r="J1523" i="22" l="1"/>
  <c r="C1524" i="22"/>
  <c r="D1524" i="22" s="1"/>
  <c r="G1524" i="22" s="1"/>
  <c r="H1524" i="22" l="1"/>
  <c r="J1524" i="22" l="1"/>
  <c r="C1525" i="22"/>
  <c r="D1525" i="22" s="1"/>
  <c r="G1525" i="22" s="1"/>
  <c r="H1525" i="22" l="1"/>
  <c r="J1525" i="22" l="1"/>
  <c r="C1526" i="22"/>
  <c r="D1526" i="22" s="1"/>
  <c r="G1526" i="22" s="1"/>
  <c r="H1526" i="22" l="1"/>
  <c r="C1527" i="22" l="1"/>
  <c r="D1527" i="22" s="1"/>
  <c r="G1527" i="22" s="1"/>
  <c r="J1526" i="22"/>
  <c r="H1527" i="22" l="1"/>
  <c r="J1527" i="22" l="1"/>
  <c r="C1528" i="22"/>
  <c r="D1528" i="22" s="1"/>
  <c r="G1528" i="22" s="1"/>
  <c r="H1528" i="22" l="1"/>
  <c r="J1528" i="22" l="1"/>
  <c r="C1529" i="22"/>
  <c r="D1529" i="22" s="1"/>
  <c r="G1529" i="22" s="1"/>
  <c r="H1529" i="22" l="1"/>
  <c r="J1529" i="22" l="1"/>
  <c r="C1530" i="22"/>
  <c r="D1530" i="22" s="1"/>
  <c r="G1530" i="22" s="1"/>
  <c r="H1530" i="22" l="1"/>
  <c r="J1530" i="22" l="1"/>
  <c r="C1531" i="22"/>
  <c r="D1531" i="22" s="1"/>
  <c r="G1531" i="22" s="1"/>
  <c r="H1531" i="22" l="1"/>
  <c r="J1531" i="22" l="1"/>
  <c r="C1532" i="22"/>
  <c r="D1532" i="22" s="1"/>
  <c r="G1532" i="22" s="1"/>
  <c r="H1532" i="22" l="1"/>
  <c r="J1532" i="22" l="1"/>
  <c r="C1533" i="22"/>
  <c r="D1533" i="22" s="1"/>
  <c r="G1533" i="22" s="1"/>
  <c r="H1533" i="22" l="1"/>
  <c r="J1533" i="22" l="1"/>
  <c r="C1534" i="22"/>
  <c r="D1534" i="22" s="1"/>
  <c r="G1534" i="22" s="1"/>
  <c r="H1534" i="22" l="1"/>
  <c r="C1535" i="22" l="1"/>
  <c r="D1535" i="22" s="1"/>
  <c r="G1535" i="22" s="1"/>
  <c r="J1534" i="22"/>
  <c r="H1535" i="22" l="1"/>
  <c r="J1535" i="22" l="1"/>
  <c r="C1536" i="22"/>
  <c r="D1536" i="22" s="1"/>
  <c r="G1536" i="22" s="1"/>
  <c r="H1536" i="22" l="1"/>
  <c r="J1536" i="22" l="1"/>
  <c r="C1537" i="22"/>
  <c r="D1537" i="22" s="1"/>
  <c r="G1537" i="22" s="1"/>
  <c r="H1537" i="22" l="1"/>
  <c r="J1537" i="22" l="1"/>
  <c r="C1538" i="22"/>
  <c r="D1538" i="22" s="1"/>
  <c r="G1538" i="22" s="1"/>
  <c r="H1538" i="22" l="1"/>
  <c r="J1538" i="22" l="1"/>
  <c r="C1539" i="22"/>
  <c r="D1539" i="22" s="1"/>
  <c r="G1539" i="22" s="1"/>
  <c r="H1539" i="22" l="1"/>
  <c r="J1539" i="22" l="1"/>
  <c r="C1540" i="22"/>
  <c r="D1540" i="22" s="1"/>
  <c r="G1540" i="22" s="1"/>
  <c r="H1540" i="22" l="1"/>
  <c r="J1540" i="22" l="1"/>
  <c r="C1541" i="22"/>
  <c r="D1541" i="22" s="1"/>
  <c r="G1541" i="22" s="1"/>
  <c r="H1541" i="22" l="1"/>
  <c r="J1541" i="22" l="1"/>
  <c r="C1542" i="22"/>
  <c r="D1542" i="22" s="1"/>
  <c r="G1542" i="22" s="1"/>
  <c r="H1542" i="22" l="1"/>
  <c r="C1543" i="22" l="1"/>
  <c r="D1543" i="22" s="1"/>
  <c r="G1543" i="22" s="1"/>
  <c r="J1542" i="22"/>
  <c r="H1543" i="22" l="1"/>
  <c r="J1543" i="22" l="1"/>
  <c r="C1544" i="22"/>
  <c r="D1544" i="22" s="1"/>
  <c r="G1544" i="22" s="1"/>
  <c r="H1544" i="22" l="1"/>
  <c r="J1544" i="22" l="1"/>
  <c r="C1545" i="22"/>
  <c r="D1545" i="22" s="1"/>
  <c r="G1545" i="22" s="1"/>
  <c r="H1545" i="22" l="1"/>
  <c r="J1545" i="22" l="1"/>
  <c r="C1546" i="22"/>
  <c r="D1546" i="22" s="1"/>
  <c r="G1546" i="22" s="1"/>
  <c r="H1546" i="22" l="1"/>
  <c r="J1546" i="22" l="1"/>
  <c r="C1547" i="22"/>
  <c r="D1547" i="22" s="1"/>
  <c r="G1547" i="22" s="1"/>
  <c r="H1547" i="22" l="1"/>
  <c r="J1547" i="22" l="1"/>
  <c r="C1548" i="22"/>
  <c r="D1548" i="22" s="1"/>
  <c r="G1548" i="22" s="1"/>
  <c r="H1548" i="22" l="1"/>
  <c r="J1548" i="22" l="1"/>
  <c r="C1549" i="22"/>
  <c r="D1549" i="22" s="1"/>
  <c r="G1549" i="22" s="1"/>
  <c r="H1549" i="22" l="1"/>
  <c r="J1549" i="22" l="1"/>
  <c r="C1550" i="22"/>
  <c r="D1550" i="22" s="1"/>
  <c r="G1550" i="22" s="1"/>
  <c r="H1550" i="22" l="1"/>
  <c r="C1551" i="22" l="1"/>
  <c r="D1551" i="22" s="1"/>
  <c r="G1551" i="22" s="1"/>
  <c r="J1550" i="22"/>
  <c r="H1551" i="22" l="1"/>
  <c r="J1551" i="22" l="1"/>
  <c r="C1552" i="22"/>
  <c r="D1552" i="22" s="1"/>
  <c r="G1552" i="22" s="1"/>
  <c r="H1552" i="22" l="1"/>
  <c r="J1552" i="22" l="1"/>
  <c r="C1553" i="22"/>
  <c r="D1553" i="22" s="1"/>
  <c r="G1553" i="22" s="1"/>
  <c r="H1553" i="22" l="1"/>
  <c r="J1553" i="22" l="1"/>
  <c r="C1554" i="22"/>
  <c r="D1554" i="22" s="1"/>
  <c r="G1554" i="22" s="1"/>
  <c r="H1554" i="22" l="1"/>
  <c r="J1554" i="22" l="1"/>
  <c r="C1555" i="22"/>
  <c r="D1555" i="22" s="1"/>
  <c r="G1555" i="22" s="1"/>
  <c r="H1555" i="22" l="1"/>
  <c r="J1555" i="22" l="1"/>
  <c r="C1556" i="22"/>
  <c r="D1556" i="22" s="1"/>
  <c r="G1556" i="22" s="1"/>
  <c r="H1556" i="22" l="1"/>
  <c r="J1556" i="22" l="1"/>
  <c r="C1557" i="22"/>
  <c r="D1557" i="22" s="1"/>
  <c r="G1557" i="22" s="1"/>
  <c r="H1557" i="22" l="1"/>
  <c r="J1557" i="22" l="1"/>
  <c r="C1558" i="22"/>
  <c r="D1558" i="22" s="1"/>
  <c r="G1558" i="22" s="1"/>
  <c r="H1558" i="22" l="1"/>
  <c r="C1559" i="22" l="1"/>
  <c r="D1559" i="22" s="1"/>
  <c r="G1559" i="22" s="1"/>
  <c r="J1558" i="22"/>
  <c r="H1559" i="22" l="1"/>
  <c r="J1559" i="22" l="1"/>
  <c r="C1560" i="22"/>
  <c r="D1560" i="22" s="1"/>
  <c r="G1560" i="22" s="1"/>
  <c r="H1560" i="22" l="1"/>
  <c r="J1560" i="22" l="1"/>
  <c r="C1561" i="22"/>
  <c r="D1561" i="22" s="1"/>
  <c r="G1561" i="22" s="1"/>
  <c r="H1561" i="22" l="1"/>
  <c r="J1561" i="22" l="1"/>
  <c r="C1562" i="22"/>
  <c r="D1562" i="22" s="1"/>
  <c r="G1562" i="22" s="1"/>
  <c r="H1562" i="22" l="1"/>
  <c r="J1562" i="22" l="1"/>
  <c r="C1563" i="22"/>
  <c r="D1563" i="22" s="1"/>
  <c r="G1563" i="22" s="1"/>
  <c r="H1563" i="22" l="1"/>
  <c r="J1563" i="22" l="1"/>
  <c r="C1564" i="22"/>
  <c r="D1564" i="22" s="1"/>
  <c r="G1564" i="22" s="1"/>
  <c r="H1564" i="22" l="1"/>
  <c r="J1564" i="22" l="1"/>
  <c r="C1565" i="22"/>
  <c r="D1565" i="22" s="1"/>
  <c r="G1565" i="22" s="1"/>
  <c r="H1565" i="22" l="1"/>
  <c r="J1565" i="22" l="1"/>
  <c r="C1566" i="22"/>
  <c r="D1566" i="22" s="1"/>
  <c r="G1566" i="22" s="1"/>
  <c r="H1566" i="22" l="1"/>
  <c r="C1567" i="22" l="1"/>
  <c r="D1567" i="22" s="1"/>
  <c r="G1567" i="22" s="1"/>
  <c r="J1566" i="22"/>
  <c r="H1567" i="22" l="1"/>
  <c r="J1567" i="22" l="1"/>
  <c r="C1568" i="22"/>
  <c r="D1568" i="22" s="1"/>
  <c r="G1568" i="22" s="1"/>
  <c r="H1568" i="22" l="1"/>
  <c r="J1568" i="22" l="1"/>
  <c r="C1569" i="22"/>
  <c r="D1569" i="22" s="1"/>
  <c r="G1569" i="22" s="1"/>
  <c r="H1569" i="22" l="1"/>
  <c r="J1569" i="22" l="1"/>
  <c r="C1570" i="22"/>
  <c r="D1570" i="22" s="1"/>
  <c r="G1570" i="22" s="1"/>
  <c r="H1570" i="22" l="1"/>
  <c r="J1570" i="22" l="1"/>
  <c r="C1571" i="22"/>
  <c r="D1571" i="22" s="1"/>
  <c r="G1571" i="22" s="1"/>
  <c r="H1571" i="22" l="1"/>
  <c r="J1571" i="22" l="1"/>
  <c r="C1572" i="22"/>
  <c r="D1572" i="22" s="1"/>
  <c r="G1572" i="22" s="1"/>
  <c r="H1572" i="22" l="1"/>
  <c r="J1572" i="22" l="1"/>
  <c r="C1573" i="22"/>
  <c r="D1573" i="22" s="1"/>
  <c r="G1573" i="22" s="1"/>
  <c r="H1573" i="22" l="1"/>
  <c r="J1573" i="22" l="1"/>
  <c r="C1574" i="22"/>
  <c r="D1574" i="22" s="1"/>
  <c r="G1574" i="22" s="1"/>
  <c r="H1574" i="22" l="1"/>
  <c r="C1575" i="22" l="1"/>
  <c r="D1575" i="22" s="1"/>
  <c r="G1575" i="22" s="1"/>
  <c r="J1574" i="22"/>
  <c r="H1575" i="22" l="1"/>
  <c r="J1575" i="22" l="1"/>
  <c r="C1576" i="22"/>
  <c r="D1576" i="22" s="1"/>
  <c r="G1576" i="22" s="1"/>
  <c r="H1576" i="22" l="1"/>
  <c r="J1576" i="22" l="1"/>
  <c r="C1577" i="22"/>
  <c r="D1577" i="22" s="1"/>
  <c r="G1577" i="22" s="1"/>
  <c r="H1577" i="22" l="1"/>
  <c r="J1577" i="22" l="1"/>
  <c r="C1578" i="22"/>
  <c r="D1578" i="22" s="1"/>
  <c r="G1578" i="22" s="1"/>
  <c r="H1578" i="22" l="1"/>
  <c r="J1578" i="22" l="1"/>
  <c r="C1579" i="22"/>
  <c r="D1579" i="22" s="1"/>
  <c r="G1579" i="22" s="1"/>
  <c r="H1579" i="22" l="1"/>
  <c r="J1579" i="22" l="1"/>
  <c r="C1580" i="22"/>
  <c r="D1580" i="22" s="1"/>
  <c r="G1580" i="22" s="1"/>
  <c r="H1580" i="22" l="1"/>
  <c r="J1580" i="22" l="1"/>
  <c r="C1581" i="22"/>
  <c r="D1581" i="22" s="1"/>
  <c r="G1581" i="22" s="1"/>
  <c r="H1581" i="22" l="1"/>
  <c r="J1581" i="22" l="1"/>
  <c r="C1582" i="22"/>
  <c r="D1582" i="22" s="1"/>
  <c r="G1582" i="22" s="1"/>
  <c r="H1582" i="22" l="1"/>
  <c r="C1583" i="22" l="1"/>
  <c r="D1583" i="22" s="1"/>
  <c r="G1583" i="22" s="1"/>
  <c r="J1582" i="22"/>
  <c r="H1583" i="22" l="1"/>
  <c r="J1583" i="22" l="1"/>
  <c r="C1584" i="22"/>
  <c r="D1584" i="22" s="1"/>
  <c r="G1584" i="22" s="1"/>
  <c r="H1584" i="22" l="1"/>
  <c r="J1584" i="22" l="1"/>
  <c r="C1585" i="22"/>
  <c r="D1585" i="22" s="1"/>
  <c r="G1585" i="22" s="1"/>
  <c r="H1585" i="22" l="1"/>
  <c r="J1585" i="22" l="1"/>
  <c r="C1586" i="22"/>
  <c r="D1586" i="22" s="1"/>
  <c r="G1586" i="22" s="1"/>
  <c r="H1586" i="22" l="1"/>
  <c r="J1586" i="22" l="1"/>
  <c r="C1587" i="22"/>
  <c r="D1587" i="22" s="1"/>
  <c r="G1587" i="22" s="1"/>
  <c r="H1587" i="22" l="1"/>
  <c r="J1587" i="22" l="1"/>
  <c r="C1588" i="22"/>
  <c r="D1588" i="22" s="1"/>
  <c r="G1588" i="22" s="1"/>
  <c r="H1588" i="22" l="1"/>
  <c r="J1588" i="22" l="1"/>
  <c r="C1589" i="22"/>
  <c r="D1589" i="22" s="1"/>
  <c r="G1589" i="22" s="1"/>
  <c r="H1589" i="22" l="1"/>
  <c r="J1589" i="22" l="1"/>
  <c r="C1590" i="22"/>
  <c r="D1590" i="22" s="1"/>
  <c r="G1590" i="22" s="1"/>
  <c r="H1590" i="22" l="1"/>
  <c r="C1591" i="22" l="1"/>
  <c r="D1591" i="22" s="1"/>
  <c r="G1591" i="22" s="1"/>
  <c r="J1590" i="22"/>
  <c r="H1591" i="22" l="1"/>
  <c r="J1591" i="22" l="1"/>
  <c r="C1592" i="22"/>
  <c r="D1592" i="22" s="1"/>
  <c r="G1592" i="22" s="1"/>
  <c r="H1592" i="22" l="1"/>
  <c r="J1592" i="22" l="1"/>
  <c r="C1593" i="22"/>
  <c r="D1593" i="22" s="1"/>
  <c r="G1593" i="22" s="1"/>
  <c r="H1593" i="22" l="1"/>
  <c r="J1593" i="22" l="1"/>
  <c r="C1594" i="22"/>
  <c r="D1594" i="22" s="1"/>
  <c r="G1594" i="22" s="1"/>
  <c r="H1594" i="22" l="1"/>
  <c r="J1594" i="22" l="1"/>
  <c r="C1595" i="22"/>
  <c r="D1595" i="22" s="1"/>
  <c r="G1595" i="22" s="1"/>
  <c r="H1595" i="22" l="1"/>
  <c r="J1595" i="22" l="1"/>
  <c r="C1596" i="22"/>
  <c r="D1596" i="22" s="1"/>
  <c r="G1596" i="22" s="1"/>
  <c r="H1596" i="22" l="1"/>
  <c r="J1596" i="22" l="1"/>
  <c r="C1597" i="22"/>
  <c r="D1597" i="22" s="1"/>
  <c r="G1597" i="22" s="1"/>
  <c r="H1597" i="22" l="1"/>
  <c r="J1597" i="22" l="1"/>
  <c r="C1598" i="22"/>
  <c r="D1598" i="22" s="1"/>
  <c r="G1598" i="22" s="1"/>
  <c r="H1598" i="22" l="1"/>
  <c r="C1599" i="22" l="1"/>
  <c r="D1599" i="22" s="1"/>
  <c r="G1599" i="22" s="1"/>
  <c r="J1598" i="22"/>
  <c r="H1599" i="22" l="1"/>
  <c r="J1599" i="22" l="1"/>
  <c r="C1600" i="22"/>
  <c r="D1600" i="22" s="1"/>
  <c r="G1600" i="22" s="1"/>
  <c r="H1600" i="22" l="1"/>
  <c r="J1600" i="22" l="1"/>
  <c r="C1601" i="22"/>
  <c r="D1601" i="22" s="1"/>
  <c r="G1601" i="22" s="1"/>
  <c r="H1601" i="22" l="1"/>
  <c r="J1601" i="22" l="1"/>
  <c r="C1602" i="22"/>
  <c r="D1602" i="22" s="1"/>
  <c r="G1602" i="22" s="1"/>
  <c r="H1602" i="22" l="1"/>
  <c r="J1602" i="22" l="1"/>
  <c r="C1603" i="22"/>
  <c r="D1603" i="22" s="1"/>
  <c r="G1603" i="22" s="1"/>
  <c r="H1603" i="22" l="1"/>
  <c r="J1603" i="22" l="1"/>
  <c r="C1604" i="22"/>
  <c r="D1604" i="22" s="1"/>
  <c r="G1604" i="22" s="1"/>
  <c r="H1604" i="22" l="1"/>
  <c r="J1604" i="22" l="1"/>
  <c r="C1605" i="22"/>
  <c r="D1605" i="22" s="1"/>
  <c r="G1605" i="22" s="1"/>
  <c r="H1605" i="22" l="1"/>
  <c r="J1605" i="22" l="1"/>
  <c r="C1606" i="22"/>
  <c r="D1606" i="22" s="1"/>
  <c r="G1606" i="22" s="1"/>
  <c r="H1606" i="22" l="1"/>
  <c r="C1607" i="22" l="1"/>
  <c r="D1607" i="22" s="1"/>
  <c r="G1607" i="22" s="1"/>
  <c r="J1606" i="22"/>
  <c r="H1607" i="22" l="1"/>
  <c r="J1607" i="22" l="1"/>
  <c r="C1608" i="22"/>
  <c r="D1608" i="22" s="1"/>
  <c r="G1608" i="22" s="1"/>
  <c r="H1608" i="22" l="1"/>
  <c r="J1608" i="22" l="1"/>
  <c r="C1609" i="22"/>
  <c r="D1609" i="22" s="1"/>
  <c r="G1609" i="22" s="1"/>
  <c r="H1609" i="22" l="1"/>
  <c r="J1609" i="22" l="1"/>
  <c r="C1610" i="22"/>
  <c r="D1610" i="22" s="1"/>
  <c r="G1610" i="22" s="1"/>
  <c r="H1610" i="22" l="1"/>
  <c r="J1610" i="22" l="1"/>
  <c r="C1611" i="22"/>
  <c r="D1611" i="22" s="1"/>
  <c r="G1611" i="22" s="1"/>
  <c r="H1611" i="22" l="1"/>
  <c r="J1611" i="22" l="1"/>
  <c r="C1612" i="22"/>
  <c r="D1612" i="22" s="1"/>
  <c r="G1612" i="22" s="1"/>
  <c r="H1612" i="22" l="1"/>
  <c r="J1612" i="22" l="1"/>
  <c r="C1613" i="22"/>
  <c r="D1613" i="22" s="1"/>
  <c r="G1613" i="22" s="1"/>
  <c r="H1613" i="22" l="1"/>
  <c r="J1613" i="22" l="1"/>
  <c r="C1614" i="22"/>
  <c r="D1614" i="22" s="1"/>
  <c r="G1614" i="22" s="1"/>
  <c r="H1614" i="22" l="1"/>
  <c r="C1615" i="22" l="1"/>
  <c r="D1615" i="22" s="1"/>
  <c r="G1615" i="22" s="1"/>
  <c r="J1614" i="22"/>
  <c r="H1615" i="22" l="1"/>
  <c r="J1615" i="22" l="1"/>
  <c r="C1616" i="22"/>
  <c r="D1616" i="22" s="1"/>
  <c r="G1616" i="22" s="1"/>
  <c r="H1616" i="22" l="1"/>
  <c r="J1616" i="22" l="1"/>
  <c r="C1617" i="22"/>
  <c r="D1617" i="22" s="1"/>
  <c r="G1617" i="22" s="1"/>
  <c r="H1617" i="22" l="1"/>
  <c r="J1617" i="22" l="1"/>
  <c r="C1618" i="22"/>
  <c r="D1618" i="22" s="1"/>
  <c r="G1618" i="22" s="1"/>
  <c r="H1618" i="22" l="1"/>
  <c r="J1618" i="22" l="1"/>
  <c r="C1619" i="22"/>
  <c r="D1619" i="22" s="1"/>
  <c r="G1619" i="22" s="1"/>
  <c r="H1619" i="22" l="1"/>
  <c r="J1619" i="22" l="1"/>
  <c r="C1620" i="22"/>
  <c r="D1620" i="22" s="1"/>
  <c r="G1620" i="22" s="1"/>
  <c r="H1620" i="22" l="1"/>
  <c r="J1620" i="22" l="1"/>
  <c r="C1621" i="22"/>
  <c r="D1621" i="22" s="1"/>
  <c r="G1621" i="22" s="1"/>
  <c r="H1621" i="22" l="1"/>
  <c r="J1621" i="22" l="1"/>
  <c r="C1622" i="22"/>
  <c r="D1622" i="22" s="1"/>
  <c r="G1622" i="22" s="1"/>
  <c r="H1622" i="22" l="1"/>
  <c r="C1623" i="22" l="1"/>
  <c r="D1623" i="22" s="1"/>
  <c r="G1623" i="22" s="1"/>
  <c r="J1622" i="22"/>
  <c r="H1623" i="22" l="1"/>
  <c r="J1623" i="22" l="1"/>
  <c r="C1624" i="22"/>
  <c r="D1624" i="22" s="1"/>
  <c r="G1624" i="22" s="1"/>
  <c r="H1624" i="22" l="1"/>
  <c r="J1624" i="22" l="1"/>
  <c r="C1625" i="22"/>
  <c r="D1625" i="22" s="1"/>
  <c r="G1625" i="22" s="1"/>
  <c r="H1625" i="22" l="1"/>
  <c r="J1625" i="22" l="1"/>
  <c r="C1626" i="22"/>
  <c r="D1626" i="22" s="1"/>
  <c r="G1626" i="22" s="1"/>
  <c r="H1626" i="22" l="1"/>
  <c r="J1626" i="22" l="1"/>
  <c r="C1627" i="22"/>
  <c r="D1627" i="22" s="1"/>
  <c r="G1627" i="22" s="1"/>
  <c r="H1627" i="22" l="1"/>
  <c r="J1627" i="22" l="1"/>
  <c r="C1628" i="22"/>
  <c r="D1628" i="22" s="1"/>
  <c r="G1628" i="22" s="1"/>
  <c r="H1628" i="22" l="1"/>
  <c r="J1628" i="22" l="1"/>
  <c r="C1629" i="22"/>
  <c r="D1629" i="22" s="1"/>
  <c r="G1629" i="22" s="1"/>
  <c r="H1629" i="22" l="1"/>
  <c r="J1629" i="22" l="1"/>
  <c r="C1630" i="22"/>
  <c r="D1630" i="22" s="1"/>
  <c r="G1630" i="22" s="1"/>
  <c r="H1630" i="22" l="1"/>
  <c r="C1631" i="22" l="1"/>
  <c r="D1631" i="22" s="1"/>
  <c r="G1631" i="22" s="1"/>
  <c r="J1630" i="22"/>
  <c r="H1631" i="22" l="1"/>
  <c r="J1631" i="22" l="1"/>
  <c r="C1632" i="22"/>
  <c r="D1632" i="22" s="1"/>
  <c r="G1632" i="22" s="1"/>
  <c r="H1632" i="22" l="1"/>
  <c r="J1632" i="22" l="1"/>
  <c r="C1633" i="22"/>
  <c r="D1633" i="22" s="1"/>
  <c r="G1633" i="22" s="1"/>
  <c r="H1633" i="22" l="1"/>
  <c r="J1633" i="22" l="1"/>
  <c r="C1634" i="22"/>
  <c r="D1634" i="22" s="1"/>
  <c r="G1634" i="22" s="1"/>
  <c r="H1634" i="22" l="1"/>
  <c r="J1634" i="22" l="1"/>
  <c r="C1635" i="22"/>
  <c r="D1635" i="22" s="1"/>
  <c r="G1635" i="22" s="1"/>
  <c r="H1635" i="22" l="1"/>
  <c r="J1635" i="22" l="1"/>
  <c r="C1636" i="22"/>
  <c r="D1636" i="22" s="1"/>
  <c r="G1636" i="22" s="1"/>
  <c r="H1636" i="22" l="1"/>
  <c r="J1636" i="22" l="1"/>
  <c r="C1637" i="22"/>
  <c r="D1637" i="22" s="1"/>
  <c r="G1637" i="22" s="1"/>
  <c r="H1637" i="22" l="1"/>
  <c r="J1637" i="22" l="1"/>
  <c r="C1638" i="22"/>
  <c r="D1638" i="22" s="1"/>
  <c r="G1638" i="22" s="1"/>
  <c r="H1638" i="22" l="1"/>
  <c r="C1639" i="22" l="1"/>
  <c r="D1639" i="22" s="1"/>
  <c r="G1639" i="22" s="1"/>
  <c r="J1638" i="22"/>
  <c r="H1639" i="22" l="1"/>
  <c r="J1639" i="22" l="1"/>
  <c r="C1640" i="22"/>
  <c r="D1640" i="22" s="1"/>
  <c r="G1640" i="22" s="1"/>
  <c r="H1640" i="22" l="1"/>
  <c r="J1640" i="22" l="1"/>
  <c r="C1641" i="22"/>
  <c r="D1641" i="22" s="1"/>
  <c r="G1641" i="22" s="1"/>
  <c r="H1641" i="22" l="1"/>
  <c r="J1641" i="22" l="1"/>
  <c r="C1642" i="22"/>
  <c r="D1642" i="22" s="1"/>
  <c r="G1642" i="22" s="1"/>
  <c r="H1642" i="22" l="1"/>
  <c r="J1642" i="22" l="1"/>
  <c r="C1643" i="22"/>
  <c r="D1643" i="22" s="1"/>
  <c r="G1643" i="22" s="1"/>
  <c r="H1643" i="22" l="1"/>
  <c r="J1643" i="22" l="1"/>
  <c r="C1644" i="22"/>
  <c r="D1644" i="22" s="1"/>
  <c r="G1644" i="22" s="1"/>
  <c r="H1644" i="22" l="1"/>
  <c r="J1644" i="22" l="1"/>
  <c r="C1645" i="22"/>
  <c r="D1645" i="22" s="1"/>
  <c r="G1645" i="22" s="1"/>
  <c r="H1645" i="22" l="1"/>
  <c r="J1645" i="22" l="1"/>
  <c r="C1646" i="22"/>
  <c r="D1646" i="22" s="1"/>
  <c r="G1646" i="22" s="1"/>
  <c r="H1646" i="22" l="1"/>
  <c r="C1647" i="22" l="1"/>
  <c r="D1647" i="22" s="1"/>
  <c r="G1647" i="22" s="1"/>
  <c r="J1646" i="22"/>
  <c r="H1647" i="22" l="1"/>
  <c r="J1647" i="22" l="1"/>
  <c r="C1648" i="22"/>
  <c r="D1648" i="22" s="1"/>
  <c r="G1648" i="22" s="1"/>
  <c r="H1648" i="22" l="1"/>
  <c r="J1648" i="22" l="1"/>
  <c r="C1649" i="22"/>
  <c r="D1649" i="22" s="1"/>
  <c r="G1649" i="22" s="1"/>
  <c r="H1649" i="22" l="1"/>
  <c r="J1649" i="22" l="1"/>
  <c r="C1650" i="22"/>
  <c r="D1650" i="22" s="1"/>
  <c r="G1650" i="22" s="1"/>
  <c r="H1650" i="22" l="1"/>
  <c r="J1650" i="22" l="1"/>
  <c r="C1651" i="22"/>
  <c r="D1651" i="22" s="1"/>
  <c r="G1651" i="22" s="1"/>
  <c r="H1651" i="22" l="1"/>
  <c r="J1651" i="22" l="1"/>
  <c r="C1652" i="22"/>
  <c r="D1652" i="22" s="1"/>
  <c r="G1652" i="22" s="1"/>
  <c r="H1652" i="22" l="1"/>
  <c r="C1653" i="22" l="1"/>
  <c r="D1653" i="22" s="1"/>
  <c r="G1653" i="22" s="1"/>
  <c r="J1652" i="22"/>
  <c r="H1653" i="22" l="1"/>
  <c r="J1653" i="22" l="1"/>
  <c r="C1654" i="22"/>
  <c r="D1654" i="22" s="1"/>
  <c r="G1654" i="22" s="1"/>
  <c r="H1654" i="22" l="1"/>
  <c r="J1654" i="22" l="1"/>
  <c r="C1655" i="22"/>
  <c r="D1655" i="22" s="1"/>
  <c r="G1655" i="22" s="1"/>
  <c r="H1655" i="22" l="1"/>
  <c r="J1655" i="22" l="1"/>
  <c r="C1656" i="22"/>
  <c r="D1656" i="22" s="1"/>
  <c r="G1656" i="22" s="1"/>
  <c r="H1656" i="22" l="1"/>
  <c r="C1657" i="22" l="1"/>
  <c r="D1657" i="22" s="1"/>
  <c r="G1657" i="22" s="1"/>
  <c r="J1656" i="22"/>
  <c r="H1657" i="22" l="1"/>
  <c r="J1657" i="22" l="1"/>
  <c r="C1658" i="22"/>
  <c r="D1658" i="22" s="1"/>
  <c r="G1658" i="22" s="1"/>
  <c r="H1658" i="22" l="1"/>
  <c r="J1658" i="22" l="1"/>
  <c r="C1659" i="22"/>
  <c r="D1659" i="22" s="1"/>
  <c r="G1659" i="22" s="1"/>
  <c r="H1659" i="22" l="1"/>
  <c r="J1659" i="22" l="1"/>
  <c r="C1660" i="22"/>
  <c r="D1660" i="22" s="1"/>
  <c r="G1660" i="22" s="1"/>
  <c r="H1660" i="22" l="1"/>
  <c r="C1661" i="22" l="1"/>
  <c r="D1661" i="22" s="1"/>
  <c r="G1661" i="22" s="1"/>
  <c r="J1660" i="22"/>
  <c r="H1661" i="22" l="1"/>
  <c r="J1661" i="22" l="1"/>
  <c r="C1662" i="22"/>
  <c r="D1662" i="22" s="1"/>
  <c r="G1662" i="22" s="1"/>
  <c r="H1662" i="22" l="1"/>
  <c r="C1663" i="22" l="1"/>
  <c r="D1663" i="22" s="1"/>
  <c r="G1663" i="22" s="1"/>
  <c r="J1662" i="22"/>
  <c r="H1663" i="22" l="1"/>
  <c r="J1663" i="22" l="1"/>
  <c r="C1664" i="22"/>
  <c r="D1664" i="22" s="1"/>
  <c r="G1664" i="22" s="1"/>
  <c r="H1664" i="22" l="1"/>
  <c r="C1665" i="22" l="1"/>
  <c r="D1665" i="22" s="1"/>
  <c r="G1665" i="22" s="1"/>
  <c r="J1664" i="22"/>
  <c r="H1665" i="22" l="1"/>
  <c r="J1665" i="22" l="1"/>
  <c r="C1666" i="22"/>
  <c r="D1666" i="22" s="1"/>
  <c r="G1666" i="22" s="1"/>
  <c r="H1666" i="22" l="1"/>
  <c r="J1666" i="22" l="1"/>
  <c r="C1667" i="22"/>
  <c r="D1667" i="22" s="1"/>
  <c r="G1667" i="22" s="1"/>
  <c r="H1667" i="22" l="1"/>
  <c r="J1667" i="22" l="1"/>
  <c r="C1668" i="22"/>
  <c r="D1668" i="22" s="1"/>
  <c r="G1668" i="22" s="1"/>
  <c r="H1668" i="22" l="1"/>
  <c r="C1669" i="22" l="1"/>
  <c r="D1669" i="22" s="1"/>
  <c r="G1669" i="22" s="1"/>
  <c r="J1668" i="22"/>
  <c r="H1669" i="22" l="1"/>
  <c r="J1669" i="22" l="1"/>
  <c r="C1670" i="22"/>
  <c r="D1670" i="22" s="1"/>
  <c r="G1670" i="22" s="1"/>
  <c r="H1670" i="22" l="1"/>
  <c r="J1670" i="22" l="1"/>
  <c r="C1671" i="22"/>
  <c r="D1671" i="22" s="1"/>
  <c r="G1671" i="22" s="1"/>
  <c r="H1671" i="22" l="1"/>
  <c r="J1671" i="22" l="1"/>
  <c r="C1672" i="22"/>
  <c r="D1672" i="22" s="1"/>
  <c r="G1672" i="22" s="1"/>
  <c r="H1672" i="22" l="1"/>
  <c r="C1673" i="22" l="1"/>
  <c r="D1673" i="22" s="1"/>
  <c r="G1673" i="22" s="1"/>
  <c r="J1672" i="22"/>
  <c r="H1673" i="22" l="1"/>
  <c r="J1673" i="22" l="1"/>
  <c r="C1674" i="22"/>
  <c r="D1674" i="22" s="1"/>
  <c r="G1674" i="22" s="1"/>
  <c r="H1674" i="22" l="1"/>
  <c r="J1674" i="22" l="1"/>
  <c r="C1675" i="22"/>
  <c r="D1675" i="22" s="1"/>
  <c r="G1675" i="22" s="1"/>
  <c r="H1675" i="22" l="1"/>
  <c r="J1675" i="22" l="1"/>
  <c r="C1676" i="22"/>
  <c r="D1676" i="22" s="1"/>
  <c r="G1676" i="22" s="1"/>
  <c r="H1676" i="22" l="1"/>
  <c r="C1677" i="22" l="1"/>
  <c r="D1677" i="22" s="1"/>
  <c r="G1677" i="22" s="1"/>
  <c r="J1676" i="22"/>
  <c r="H1677" i="22" l="1"/>
  <c r="J1677" i="22" l="1"/>
  <c r="C1678" i="22"/>
  <c r="D1678" i="22" s="1"/>
  <c r="G1678" i="22" s="1"/>
  <c r="H1678" i="22" l="1"/>
  <c r="J1678" i="22" l="1"/>
  <c r="C1679" i="22"/>
  <c r="D1679" i="22" s="1"/>
  <c r="G1679" i="22" s="1"/>
  <c r="H1679" i="22" l="1"/>
  <c r="C1680" i="22" l="1"/>
  <c r="D1680" i="22" s="1"/>
  <c r="G1680" i="22" s="1"/>
  <c r="J1679" i="22"/>
  <c r="H1680" i="22" l="1"/>
  <c r="C1681" i="22" l="1"/>
  <c r="D1681" i="22" s="1"/>
  <c r="G1681" i="22" s="1"/>
  <c r="J1680" i="22"/>
  <c r="H1681" i="22" l="1"/>
  <c r="J1681" i="22" l="1"/>
  <c r="C1682" i="22"/>
  <c r="D1682" i="22" s="1"/>
  <c r="G1682" i="22" s="1"/>
  <c r="H1682" i="22" l="1"/>
  <c r="J1682" i="22" l="1"/>
  <c r="C1683" i="22"/>
  <c r="D1683" i="22" s="1"/>
  <c r="G1683" i="22" s="1"/>
  <c r="H1683" i="22" l="1"/>
  <c r="J1683" i="22" l="1"/>
  <c r="C1684" i="22"/>
  <c r="D1684" i="22" s="1"/>
  <c r="G1684" i="22" s="1"/>
  <c r="H1684" i="22" l="1"/>
  <c r="C1685" i="22" l="1"/>
  <c r="D1685" i="22" s="1"/>
  <c r="G1685" i="22" s="1"/>
  <c r="J1684" i="22"/>
  <c r="H1685" i="22" l="1"/>
  <c r="J1685" i="22" l="1"/>
  <c r="C1686" i="22"/>
  <c r="D1686" i="22" s="1"/>
  <c r="G1686" i="22" s="1"/>
  <c r="H1686" i="22" l="1"/>
  <c r="J1686" i="22" l="1"/>
  <c r="C1687" i="22"/>
  <c r="D1687" i="22" s="1"/>
  <c r="G1687" i="22" s="1"/>
  <c r="H1687" i="22" l="1"/>
  <c r="J1687" i="22" l="1"/>
  <c r="C1688" i="22"/>
  <c r="D1688" i="22" s="1"/>
  <c r="G1688" i="22" s="1"/>
  <c r="H1688" i="22" l="1"/>
  <c r="C1689" i="22" l="1"/>
  <c r="D1689" i="22" s="1"/>
  <c r="G1689" i="22" s="1"/>
  <c r="J1688" i="22"/>
  <c r="H1689" i="22" l="1"/>
  <c r="J1689" i="22" l="1"/>
  <c r="C1690" i="22"/>
  <c r="D1690" i="22" s="1"/>
  <c r="G1690" i="22" s="1"/>
  <c r="H1690" i="22" l="1"/>
  <c r="J1690" i="22" l="1"/>
  <c r="C1691" i="22"/>
  <c r="D1691" i="22" s="1"/>
  <c r="G1691" i="22" s="1"/>
  <c r="H1691" i="22" l="1"/>
  <c r="J1691" i="22" l="1"/>
  <c r="C1692" i="22"/>
  <c r="D1692" i="22" s="1"/>
  <c r="G1692" i="22" s="1"/>
  <c r="H1692" i="22" l="1"/>
  <c r="C1693" i="22" l="1"/>
  <c r="D1693" i="22" s="1"/>
  <c r="G1693" i="22" s="1"/>
  <c r="J1692" i="22"/>
  <c r="H1693" i="22" l="1"/>
  <c r="J1693" i="22" l="1"/>
  <c r="C1694" i="22"/>
  <c r="D1694" i="22" s="1"/>
  <c r="G1694" i="22" s="1"/>
  <c r="H1694" i="22" l="1"/>
  <c r="C1695" i="22" l="1"/>
  <c r="D1695" i="22" s="1"/>
  <c r="G1695" i="22" s="1"/>
  <c r="J1694" i="22"/>
  <c r="H1695" i="22" l="1"/>
  <c r="J1695" i="22" l="1"/>
  <c r="C1696" i="22"/>
  <c r="D1696" i="22" s="1"/>
  <c r="G1696" i="22" s="1"/>
  <c r="H1696" i="22" l="1"/>
  <c r="C1697" i="22" l="1"/>
  <c r="D1697" i="22" s="1"/>
  <c r="G1697" i="22" s="1"/>
  <c r="J1696" i="22"/>
  <c r="H1697" i="22" l="1"/>
  <c r="J1697" i="22" l="1"/>
  <c r="C1698" i="22"/>
  <c r="D1698" i="22" s="1"/>
  <c r="G1698" i="22" s="1"/>
  <c r="H1698" i="22" l="1"/>
  <c r="J1698" i="22" l="1"/>
  <c r="C1699" i="22"/>
  <c r="D1699" i="22" s="1"/>
  <c r="G1699" i="22" s="1"/>
  <c r="H1699" i="22" l="1"/>
  <c r="J1699" i="22" l="1"/>
  <c r="C1700" i="22"/>
  <c r="D1700" i="22" s="1"/>
  <c r="G1700" i="22" s="1"/>
  <c r="H1700" i="22" l="1"/>
  <c r="C1701" i="22" l="1"/>
  <c r="D1701" i="22" s="1"/>
  <c r="G1701" i="22" s="1"/>
  <c r="J1700" i="22"/>
  <c r="H1701" i="22" l="1"/>
  <c r="J1701" i="22" l="1"/>
  <c r="C1702" i="22"/>
  <c r="D1702" i="22" s="1"/>
  <c r="G1702" i="22" s="1"/>
  <c r="H1702" i="22" l="1"/>
  <c r="J1702" i="22" l="1"/>
  <c r="C1703" i="22"/>
  <c r="D1703" i="22" s="1"/>
  <c r="G1703" i="22" s="1"/>
  <c r="H1703" i="22" l="1"/>
  <c r="J1703" i="22" l="1"/>
  <c r="C1704" i="22"/>
  <c r="D1704" i="22" s="1"/>
  <c r="G1704" i="22" s="1"/>
  <c r="H1704" i="22" l="1"/>
  <c r="C1705" i="22" l="1"/>
  <c r="D1705" i="22" s="1"/>
  <c r="G1705" i="22" s="1"/>
  <c r="J1704" i="22"/>
  <c r="H1705" i="22" l="1"/>
  <c r="J1705" i="22" l="1"/>
  <c r="C1706" i="22"/>
  <c r="D1706" i="22" s="1"/>
  <c r="G1706" i="22" s="1"/>
  <c r="H1706" i="22" l="1"/>
  <c r="J1706" i="22" l="1"/>
  <c r="C1707" i="22"/>
  <c r="D1707" i="22" s="1"/>
  <c r="G1707" i="22" s="1"/>
  <c r="H1707" i="22" l="1"/>
  <c r="J1707" i="22" l="1"/>
  <c r="C1708" i="22"/>
  <c r="D1708" i="22" s="1"/>
  <c r="G1708" i="22" s="1"/>
  <c r="H1708" i="22" l="1"/>
  <c r="C1709" i="22" l="1"/>
  <c r="D1709" i="22" s="1"/>
  <c r="G1709" i="22" s="1"/>
  <c r="J1708" i="22"/>
  <c r="H1709" i="22" l="1"/>
  <c r="J1709" i="22" l="1"/>
  <c r="C1710" i="22"/>
  <c r="D1710" i="22" s="1"/>
  <c r="G1710" i="22" s="1"/>
  <c r="H1710" i="22" l="1"/>
  <c r="J1710" i="22" l="1"/>
  <c r="C1711" i="22"/>
  <c r="D1711" i="22" s="1"/>
  <c r="G1711" i="22" s="1"/>
  <c r="H1711" i="22" l="1"/>
  <c r="C1712" i="22" l="1"/>
  <c r="D1712" i="22" s="1"/>
  <c r="G1712" i="22" s="1"/>
  <c r="J1711" i="22"/>
  <c r="H1712" i="22" l="1"/>
  <c r="C1713" i="22" l="1"/>
  <c r="D1713" i="22" s="1"/>
  <c r="G1713" i="22" s="1"/>
  <c r="J1712" i="22"/>
  <c r="H1713" i="22" l="1"/>
  <c r="J1713" i="22" l="1"/>
  <c r="C1714" i="22"/>
  <c r="D1714" i="22" s="1"/>
  <c r="G1714" i="22" s="1"/>
  <c r="H1714" i="22" l="1"/>
  <c r="J1714" i="22" l="1"/>
  <c r="C1715" i="22"/>
  <c r="D1715" i="22" s="1"/>
  <c r="G1715" i="22" s="1"/>
  <c r="H1715" i="22" l="1"/>
  <c r="J1715" i="22" l="1"/>
  <c r="C1716" i="22"/>
  <c r="D1716" i="22" s="1"/>
  <c r="G1716" i="22" s="1"/>
  <c r="H1716" i="22" l="1"/>
  <c r="C1717" i="22" l="1"/>
  <c r="D1717" i="22" s="1"/>
  <c r="G1717" i="22" s="1"/>
  <c r="J1716" i="22"/>
  <c r="H1717" i="22" l="1"/>
  <c r="J1717" i="22" l="1"/>
  <c r="C1718" i="22"/>
  <c r="D1718" i="22" s="1"/>
  <c r="G1718" i="22" s="1"/>
  <c r="H1718" i="22" l="1"/>
  <c r="J1718" i="22" l="1"/>
  <c r="C1719" i="22"/>
  <c r="D1719" i="22" s="1"/>
  <c r="G1719" i="22" s="1"/>
  <c r="H1719" i="22" l="1"/>
  <c r="J1719" i="22" l="1"/>
  <c r="C1720" i="22"/>
  <c r="D1720" i="22" s="1"/>
  <c r="G1720" i="22" s="1"/>
  <c r="H1720" i="22" l="1"/>
  <c r="C1721" i="22" l="1"/>
  <c r="D1721" i="22" s="1"/>
  <c r="G1721" i="22" s="1"/>
  <c r="J1720" i="22"/>
  <c r="H1721" i="22" l="1"/>
  <c r="J1721" i="22" l="1"/>
  <c r="C1722" i="22"/>
  <c r="D1722" i="22" s="1"/>
  <c r="G1722" i="22" s="1"/>
  <c r="H1722" i="22" l="1"/>
  <c r="J1722" i="22" l="1"/>
  <c r="C1723" i="22"/>
  <c r="D1723" i="22" s="1"/>
  <c r="G1723" i="22" s="1"/>
  <c r="H1723" i="22" l="1"/>
  <c r="J1723" i="22" l="1"/>
  <c r="C1724" i="22"/>
  <c r="D1724" i="22" s="1"/>
  <c r="G1724" i="22" s="1"/>
  <c r="H1724" i="22" l="1"/>
  <c r="J1724" i="22" l="1"/>
  <c r="C1725" i="22"/>
  <c r="D1725" i="22" s="1"/>
  <c r="G1725" i="22" s="1"/>
  <c r="H1725" i="22" l="1"/>
  <c r="J1725" i="22" l="1"/>
  <c r="C1726" i="22"/>
  <c r="D1726" i="22" s="1"/>
  <c r="G1726" i="22" s="1"/>
  <c r="H1726" i="22" l="1"/>
  <c r="J1726" i="22" l="1"/>
  <c r="C1727" i="22"/>
  <c r="D1727" i="22" s="1"/>
  <c r="G1727" i="22" s="1"/>
  <c r="H1727" i="22" l="1"/>
  <c r="J1727" i="22" l="1"/>
  <c r="C1728" i="22"/>
  <c r="D1728" i="22" s="1"/>
  <c r="G1728" i="22" s="1"/>
  <c r="H1728" i="22" l="1"/>
  <c r="C1729" i="22" l="1"/>
  <c r="D1729" i="22" s="1"/>
  <c r="G1729" i="22" s="1"/>
  <c r="J1728" i="22"/>
  <c r="H1729" i="22" l="1"/>
  <c r="J1729" i="22" l="1"/>
  <c r="C1730" i="22"/>
  <c r="D1730" i="22" s="1"/>
  <c r="G1730" i="22" s="1"/>
  <c r="H1730" i="22" l="1"/>
  <c r="J1730" i="22" l="1"/>
  <c r="C1731" i="22"/>
  <c r="D1731" i="22" s="1"/>
  <c r="G1731" i="22" s="1"/>
  <c r="H1731" i="22" l="1"/>
  <c r="J1731" i="22" l="1"/>
  <c r="C1732" i="22"/>
  <c r="D1732" i="22" s="1"/>
  <c r="G1732" i="22" s="1"/>
  <c r="H1732" i="22" l="1"/>
  <c r="J1732" i="22" l="1"/>
  <c r="C1733" i="22"/>
  <c r="D1733" i="22" s="1"/>
  <c r="G1733" i="22" s="1"/>
  <c r="H1733" i="22" l="1"/>
  <c r="J1733" i="22" l="1"/>
  <c r="C1734" i="22"/>
  <c r="D1734" i="22" s="1"/>
  <c r="G1734" i="22" s="1"/>
  <c r="H1734" i="22" l="1"/>
  <c r="J1734" i="22" l="1"/>
  <c r="C1735" i="22"/>
  <c r="D1735" i="22" s="1"/>
  <c r="G1735" i="22" s="1"/>
  <c r="H1735" i="22" l="1"/>
  <c r="J1735" i="22" l="1"/>
  <c r="C1736" i="22"/>
  <c r="D1736" i="22" s="1"/>
  <c r="G1736" i="22" s="1"/>
  <c r="H1736" i="22" l="1"/>
  <c r="C1737" i="22" l="1"/>
  <c r="D1737" i="22" s="1"/>
  <c r="G1737" i="22" s="1"/>
  <c r="J1736" i="22"/>
  <c r="H1737" i="22" l="1"/>
  <c r="J1737" i="22" l="1"/>
  <c r="C1738" i="22"/>
  <c r="D1738" i="22" s="1"/>
  <c r="G1738" i="22" s="1"/>
  <c r="H1738" i="22" l="1"/>
  <c r="J1738" i="22" l="1"/>
  <c r="C1739" i="22"/>
  <c r="D1739" i="22" s="1"/>
  <c r="G1739" i="22" s="1"/>
  <c r="H1739" i="22" l="1"/>
  <c r="J1739" i="22" l="1"/>
  <c r="C1740" i="22"/>
  <c r="D1740" i="22" s="1"/>
  <c r="G1740" i="22" s="1"/>
  <c r="H1740" i="22" l="1"/>
  <c r="J1740" i="22" l="1"/>
  <c r="C1741" i="22"/>
  <c r="D1741" i="22" s="1"/>
  <c r="G1741" i="22" s="1"/>
  <c r="H1741" i="22" l="1"/>
  <c r="J1741" i="22" l="1"/>
  <c r="C1742" i="22"/>
  <c r="D1742" i="22" s="1"/>
  <c r="G1742" i="22" s="1"/>
  <c r="H1742" i="22" l="1"/>
  <c r="J1742" i="22" l="1"/>
  <c r="C1743" i="22"/>
  <c r="D1743" i="22" s="1"/>
  <c r="G1743" i="22" s="1"/>
  <c r="H1743" i="22" l="1"/>
  <c r="J1743" i="22" l="1"/>
  <c r="C1744" i="22"/>
  <c r="D1744" i="22" s="1"/>
  <c r="G1744" i="22" s="1"/>
  <c r="H1744" i="22" l="1"/>
  <c r="C1745" i="22" l="1"/>
  <c r="D1745" i="22" s="1"/>
  <c r="G1745" i="22" s="1"/>
  <c r="J1744" i="22"/>
  <c r="H1745" i="22" l="1"/>
  <c r="J1745" i="22" l="1"/>
  <c r="C1746" i="22"/>
  <c r="D1746" i="22" s="1"/>
  <c r="G1746" i="22" s="1"/>
  <c r="H1746" i="22" l="1"/>
  <c r="J1746" i="22" l="1"/>
  <c r="C1747" i="22"/>
  <c r="D1747" i="22" s="1"/>
  <c r="G1747" i="22" s="1"/>
  <c r="H1747" i="22" l="1"/>
  <c r="J1747" i="22" l="1"/>
  <c r="C1748" i="22"/>
  <c r="D1748" i="22" s="1"/>
  <c r="G1748" i="22" s="1"/>
  <c r="H1748" i="22" l="1"/>
  <c r="J1748" i="22" l="1"/>
  <c r="C1749" i="22"/>
  <c r="D1749" i="22" s="1"/>
  <c r="G1749" i="22" s="1"/>
  <c r="H1749" i="22" l="1"/>
  <c r="J1749" i="22" l="1"/>
  <c r="C1750" i="22"/>
  <c r="D1750" i="22" s="1"/>
  <c r="G1750" i="22" s="1"/>
  <c r="H1750" i="22" l="1"/>
  <c r="J1750" i="22" l="1"/>
  <c r="C1751" i="22"/>
  <c r="D1751" i="22" s="1"/>
  <c r="G1751" i="22" s="1"/>
  <c r="H1751" i="22" l="1"/>
  <c r="J1751" i="22" l="1"/>
  <c r="C1752" i="22"/>
  <c r="D1752" i="22" s="1"/>
  <c r="G1752" i="22" s="1"/>
  <c r="H1752" i="22" l="1"/>
  <c r="C1753" i="22" l="1"/>
  <c r="D1753" i="22" s="1"/>
  <c r="G1753" i="22" s="1"/>
  <c r="J1752" i="22"/>
  <c r="H1753" i="22" l="1"/>
  <c r="J1753" i="22" l="1"/>
  <c r="C1754" i="22"/>
  <c r="D1754" i="22" s="1"/>
  <c r="G1754" i="22" s="1"/>
  <c r="H1754" i="22" l="1"/>
  <c r="J1754" i="22" l="1"/>
  <c r="C1755" i="22"/>
  <c r="D1755" i="22" s="1"/>
  <c r="G1755" i="22" s="1"/>
  <c r="H1755" i="22" l="1"/>
  <c r="J1755" i="22" l="1"/>
  <c r="C1756" i="22"/>
  <c r="D1756" i="22" s="1"/>
  <c r="G1756" i="22" s="1"/>
  <c r="H1756" i="22" l="1"/>
  <c r="J1756" i="22" l="1"/>
  <c r="C1757" i="22"/>
  <c r="D1757" i="22" s="1"/>
  <c r="G1757" i="22" s="1"/>
  <c r="H1757" i="22" l="1"/>
  <c r="J1757" i="22" l="1"/>
  <c r="C1758" i="22"/>
  <c r="D1758" i="22" s="1"/>
  <c r="G1758" i="22" s="1"/>
  <c r="H1758" i="22" l="1"/>
  <c r="J1758" i="22" l="1"/>
  <c r="C1759" i="22"/>
  <c r="D1759" i="22" s="1"/>
  <c r="G1759" i="22" s="1"/>
  <c r="H1759" i="22" l="1"/>
  <c r="J1759" i="22" l="1"/>
  <c r="C1760" i="22"/>
  <c r="D1760" i="22" s="1"/>
  <c r="G1760" i="22" s="1"/>
  <c r="H1760" i="22" l="1"/>
  <c r="C1761" i="22" l="1"/>
  <c r="D1761" i="22" s="1"/>
  <c r="G1761" i="22" s="1"/>
  <c r="J1760" i="22"/>
  <c r="H1761" i="22" l="1"/>
  <c r="J1761" i="22" l="1"/>
  <c r="C1762" i="22"/>
  <c r="D1762" i="22" s="1"/>
  <c r="G1762" i="22" s="1"/>
  <c r="H1762" i="22" l="1"/>
  <c r="J1762" i="22" l="1"/>
  <c r="C1763" i="22"/>
  <c r="D1763" i="22" s="1"/>
  <c r="G1763" i="22" s="1"/>
  <c r="H1763" i="22" l="1"/>
  <c r="J1763" i="22" l="1"/>
  <c r="C1764" i="22"/>
  <c r="D1764" i="22" s="1"/>
  <c r="G1764" i="22" s="1"/>
  <c r="H1764" i="22" l="1"/>
  <c r="J1764" i="22" l="1"/>
  <c r="C1765" i="22"/>
  <c r="D1765" i="22" s="1"/>
  <c r="G1765" i="22" s="1"/>
  <c r="H1765" i="22" l="1"/>
  <c r="J1765" i="22" l="1"/>
  <c r="C1766" i="22"/>
  <c r="D1766" i="22" s="1"/>
  <c r="G1766" i="22" s="1"/>
  <c r="H1766" i="22" l="1"/>
  <c r="J1766" i="22" l="1"/>
  <c r="C1767" i="22"/>
  <c r="D1767" i="22" s="1"/>
  <c r="G1767" i="22" s="1"/>
  <c r="H1767" i="22" l="1"/>
  <c r="J1767" i="22" l="1"/>
  <c r="C1768" i="22"/>
  <c r="D1768" i="22" s="1"/>
  <c r="G1768" i="22" s="1"/>
  <c r="H1768" i="22" l="1"/>
  <c r="C1769" i="22" l="1"/>
  <c r="D1769" i="22" s="1"/>
  <c r="G1769" i="22" s="1"/>
  <c r="J1768" i="22"/>
  <c r="H1769" i="22" l="1"/>
  <c r="J1769" i="22" l="1"/>
  <c r="C1770" i="22"/>
  <c r="D1770" i="22" s="1"/>
  <c r="G1770" i="22" s="1"/>
  <c r="H1770" i="22" l="1"/>
  <c r="J1770" i="22" l="1"/>
  <c r="C1771" i="22"/>
  <c r="D1771" i="22" s="1"/>
  <c r="G1771" i="22" s="1"/>
  <c r="H1771" i="22" l="1"/>
  <c r="J1771" i="22" l="1"/>
  <c r="C1772" i="22"/>
  <c r="D1772" i="22" s="1"/>
  <c r="G1772" i="22" s="1"/>
  <c r="H1772" i="22" l="1"/>
  <c r="J1772" i="22" l="1"/>
  <c r="C1773" i="22"/>
  <c r="D1773" i="22" s="1"/>
  <c r="G1773" i="22" s="1"/>
  <c r="H1773" i="22" l="1"/>
  <c r="J1773" i="22" l="1"/>
  <c r="C1774" i="22"/>
  <c r="D1774" i="22" s="1"/>
  <c r="G1774" i="22" s="1"/>
  <c r="H1774" i="22" l="1"/>
  <c r="J1774" i="22" l="1"/>
  <c r="C1775" i="22"/>
  <c r="D1775" i="22" s="1"/>
  <c r="G1775" i="22" s="1"/>
  <c r="H1775" i="22" l="1"/>
  <c r="J1775" i="22" l="1"/>
  <c r="C1776" i="22"/>
  <c r="D1776" i="22" s="1"/>
  <c r="G1776" i="22" s="1"/>
  <c r="H1776" i="22" l="1"/>
  <c r="C1777" i="22" l="1"/>
  <c r="D1777" i="22" s="1"/>
  <c r="G1777" i="22" s="1"/>
  <c r="J1776" i="22"/>
  <c r="H1777" i="22" l="1"/>
  <c r="J1777" i="22" l="1"/>
  <c r="C1778" i="22"/>
  <c r="D1778" i="22" s="1"/>
  <c r="G1778" i="22" s="1"/>
  <c r="H1778" i="22" l="1"/>
  <c r="J1778" i="22" l="1"/>
  <c r="C1779" i="22"/>
  <c r="D1779" i="22" s="1"/>
  <c r="G1779" i="22" s="1"/>
  <c r="H1779" i="22" l="1"/>
  <c r="J1779" i="22" l="1"/>
  <c r="C1780" i="22"/>
  <c r="D1780" i="22" s="1"/>
  <c r="G1780" i="22" s="1"/>
  <c r="H1780" i="22" l="1"/>
  <c r="J1780" i="22" l="1"/>
  <c r="C1781" i="22"/>
  <c r="D1781" i="22" s="1"/>
  <c r="G1781" i="22" s="1"/>
  <c r="H1781" i="22" l="1"/>
  <c r="J1781" i="22" l="1"/>
  <c r="C1782" i="22"/>
  <c r="D1782" i="22" s="1"/>
  <c r="G1782" i="22" s="1"/>
  <c r="H1782" i="22" l="1"/>
  <c r="J1782" i="22" l="1"/>
  <c r="C1783" i="22"/>
  <c r="D1783" i="22" s="1"/>
  <c r="G1783" i="22" s="1"/>
  <c r="H1783" i="22" l="1"/>
  <c r="J1783" i="22" l="1"/>
  <c r="C1784" i="22"/>
  <c r="D1784" i="22" s="1"/>
  <c r="G1784" i="22" s="1"/>
  <c r="H1784" i="22" l="1"/>
  <c r="C1785" i="22" l="1"/>
  <c r="D1785" i="22" s="1"/>
  <c r="G1785" i="22" s="1"/>
  <c r="J1784" i="22"/>
  <c r="H1785" i="22" l="1"/>
  <c r="J1785" i="22" l="1"/>
  <c r="C1786" i="22"/>
  <c r="D1786" i="22" s="1"/>
  <c r="G1786" i="22" s="1"/>
  <c r="H1786" i="22" l="1"/>
  <c r="J1786" i="22" l="1"/>
  <c r="C1787" i="22"/>
  <c r="D1787" i="22" s="1"/>
  <c r="G1787" i="22" s="1"/>
  <c r="H1787" i="22" l="1"/>
  <c r="J1787" i="22" l="1"/>
  <c r="C1788" i="22"/>
  <c r="D1788" i="22" s="1"/>
  <c r="G1788" i="22" s="1"/>
  <c r="H1788" i="22" l="1"/>
  <c r="J1788" i="22" l="1"/>
  <c r="C1789" i="22"/>
  <c r="D1789" i="22" s="1"/>
  <c r="G1789" i="22" s="1"/>
  <c r="H1789" i="22" l="1"/>
  <c r="J1789" i="22" l="1"/>
  <c r="C1790" i="22"/>
  <c r="D1790" i="22" s="1"/>
  <c r="G1790" i="22" s="1"/>
  <c r="H1790" i="22" l="1"/>
  <c r="J1790" i="22" l="1"/>
  <c r="C1791" i="22"/>
  <c r="D1791" i="22" s="1"/>
  <c r="G1791" i="22" s="1"/>
  <c r="H1791" i="22" l="1"/>
  <c r="J1791" i="22" l="1"/>
  <c r="C1792" i="22"/>
  <c r="D1792" i="22" s="1"/>
  <c r="G1792" i="22" s="1"/>
  <c r="H1792" i="22" l="1"/>
  <c r="C1793" i="22" l="1"/>
  <c r="D1793" i="22" s="1"/>
  <c r="G1793" i="22" s="1"/>
  <c r="J1792" i="22"/>
  <c r="H1793" i="22" l="1"/>
  <c r="J1793" i="22" l="1"/>
  <c r="C1794" i="22"/>
  <c r="D1794" i="22" s="1"/>
  <c r="G1794" i="22" s="1"/>
  <c r="H1794" i="22" l="1"/>
  <c r="J1794" i="22" l="1"/>
  <c r="C1795" i="22"/>
  <c r="D1795" i="22" s="1"/>
  <c r="G1795" i="22" s="1"/>
  <c r="H1795" i="22" l="1"/>
  <c r="J1795" i="22" l="1"/>
  <c r="C1796" i="22"/>
  <c r="D1796" i="22" s="1"/>
  <c r="G1796" i="22" s="1"/>
  <c r="H1796" i="22" l="1"/>
  <c r="J1796" i="22" l="1"/>
  <c r="C1797" i="22"/>
  <c r="D1797" i="22" s="1"/>
  <c r="G1797" i="22" s="1"/>
  <c r="H1797" i="22" l="1"/>
  <c r="J1797" i="22" l="1"/>
  <c r="C1798" i="22"/>
  <c r="D1798" i="22" s="1"/>
  <c r="G1798" i="22" s="1"/>
  <c r="H1798" i="22" l="1"/>
  <c r="J1798" i="22" l="1"/>
  <c r="C1799" i="22"/>
  <c r="D1799" i="22" s="1"/>
  <c r="G1799" i="22" s="1"/>
  <c r="H1799" i="22" l="1"/>
  <c r="J1799" i="22" l="1"/>
  <c r="C1800" i="22"/>
  <c r="D1800" i="22" s="1"/>
  <c r="G1800" i="22" s="1"/>
  <c r="H1800" i="22" l="1"/>
  <c r="C1801" i="22" l="1"/>
  <c r="D1801" i="22" s="1"/>
  <c r="G1801" i="22" s="1"/>
  <c r="J1800" i="22"/>
  <c r="H1801" i="22" l="1"/>
  <c r="J1801" i="22" l="1"/>
  <c r="C1802" i="22"/>
  <c r="D1802" i="22" s="1"/>
  <c r="G1802" i="22" s="1"/>
  <c r="H1802" i="22" l="1"/>
  <c r="J1802" i="22" l="1"/>
  <c r="C1803" i="22"/>
  <c r="D1803" i="22" s="1"/>
  <c r="G1803" i="22" s="1"/>
  <c r="H1803" i="22" l="1"/>
  <c r="J1803" i="22" l="1"/>
  <c r="C1804" i="22"/>
  <c r="D1804" i="22" s="1"/>
  <c r="G1804" i="22" s="1"/>
  <c r="H1804" i="22" l="1"/>
  <c r="J1804" i="22" l="1"/>
  <c r="C1805" i="22"/>
  <c r="D1805" i="22" s="1"/>
  <c r="G1805" i="22" s="1"/>
  <c r="H1805" i="22" l="1"/>
  <c r="J1805" i="22" l="1"/>
  <c r="C1806" i="22"/>
  <c r="D1806" i="22" s="1"/>
  <c r="G1806" i="22" s="1"/>
  <c r="H1806" i="22" l="1"/>
  <c r="J1806" i="22" l="1"/>
  <c r="C1807" i="22"/>
  <c r="D1807" i="22" s="1"/>
  <c r="G1807" i="22" s="1"/>
  <c r="H1807" i="22" l="1"/>
  <c r="J1807" i="22" l="1"/>
  <c r="C1808" i="22"/>
  <c r="D1808" i="22" s="1"/>
  <c r="G1808" i="22" s="1"/>
  <c r="H1808" i="22" l="1"/>
  <c r="C1809" i="22" l="1"/>
  <c r="D1809" i="22" s="1"/>
  <c r="G1809" i="22" s="1"/>
  <c r="J1808" i="22"/>
  <c r="H1809" i="22" l="1"/>
  <c r="J1809" i="22" l="1"/>
  <c r="C1810" i="22"/>
  <c r="D1810" i="22" s="1"/>
  <c r="G1810" i="22" s="1"/>
  <c r="H1810" i="22" l="1"/>
  <c r="J1810" i="22" l="1"/>
  <c r="C1811" i="22"/>
  <c r="D1811" i="22" s="1"/>
  <c r="G1811" i="22" s="1"/>
  <c r="H1811" i="22" l="1"/>
  <c r="J1811" i="22" l="1"/>
  <c r="C1812" i="22"/>
  <c r="D1812" i="22" s="1"/>
  <c r="G1812" i="22" s="1"/>
  <c r="H1812" i="22" l="1"/>
  <c r="J1812" i="22" l="1"/>
  <c r="C1813" i="22"/>
  <c r="D1813" i="22" s="1"/>
  <c r="G1813" i="22" s="1"/>
  <c r="H1813" i="22" l="1"/>
  <c r="J1813" i="22" l="1"/>
  <c r="C1814" i="22"/>
  <c r="D1814" i="22" s="1"/>
  <c r="G1814" i="22" s="1"/>
  <c r="H1814" i="22" l="1"/>
  <c r="J1814" i="22" l="1"/>
  <c r="C1815" i="22"/>
  <c r="D1815" i="22" s="1"/>
  <c r="G1815" i="22" s="1"/>
  <c r="H1815" i="22" l="1"/>
  <c r="J1815" i="22" l="1"/>
  <c r="C1816" i="22"/>
  <c r="D1816" i="22" s="1"/>
  <c r="G1816" i="22" s="1"/>
  <c r="H1816" i="22" l="1"/>
  <c r="C1817" i="22" l="1"/>
  <c r="D1817" i="22" s="1"/>
  <c r="G1817" i="22" s="1"/>
  <c r="J1816" i="22"/>
  <c r="H1817" i="22" l="1"/>
  <c r="J1817" i="22" l="1"/>
  <c r="C1818" i="22"/>
  <c r="D1818" i="22" s="1"/>
  <c r="G1818" i="22" s="1"/>
  <c r="H1818" i="22" l="1"/>
  <c r="J1818" i="22" l="1"/>
  <c r="C1819" i="22"/>
  <c r="D1819" i="22" s="1"/>
  <c r="G1819" i="22" s="1"/>
  <c r="H1819" i="22" l="1"/>
  <c r="J1819" i="22" l="1"/>
  <c r="C1820" i="22"/>
  <c r="D1820" i="22" s="1"/>
  <c r="G1820" i="22" s="1"/>
  <c r="H1820" i="22" l="1"/>
  <c r="J1820" i="22" l="1"/>
  <c r="C1821" i="22"/>
  <c r="D1821" i="22" s="1"/>
  <c r="G1821" i="22" s="1"/>
  <c r="H1821" i="22" l="1"/>
  <c r="J1821" i="22" l="1"/>
  <c r="C1822" i="22"/>
  <c r="D1822" i="22" s="1"/>
  <c r="G1822" i="22" s="1"/>
  <c r="H1822" i="22" l="1"/>
  <c r="J1822" i="22" l="1"/>
  <c r="C1823" i="22"/>
  <c r="D1823" i="22" s="1"/>
  <c r="G1823" i="22" s="1"/>
  <c r="H1823" i="22" l="1"/>
  <c r="J1823" i="22" l="1"/>
  <c r="C1824" i="22"/>
  <c r="D1824" i="22" s="1"/>
  <c r="G1824" i="22" s="1"/>
  <c r="H1824" i="22" l="1"/>
  <c r="C1825" i="22" l="1"/>
  <c r="D1825" i="22" s="1"/>
  <c r="G1825" i="22" s="1"/>
  <c r="J1824" i="22"/>
  <c r="H1825" i="22" l="1"/>
  <c r="J1825" i="22" l="1"/>
  <c r="C1826" i="22"/>
  <c r="D1826" i="22" s="1"/>
  <c r="G1826" i="22" s="1"/>
  <c r="H1826" i="22" l="1"/>
  <c r="J1826" i="22" l="1"/>
  <c r="C1827" i="22"/>
  <c r="D1827" i="22" s="1"/>
  <c r="G1827" i="22" s="1"/>
  <c r="H1827" i="22" l="1"/>
  <c r="J1827" i="22" l="1"/>
  <c r="C1828" i="22"/>
  <c r="D1828" i="22" s="1"/>
  <c r="G1828" i="22" s="1"/>
  <c r="H1828" i="22" l="1"/>
  <c r="J1828" i="22" l="1"/>
  <c r="C1829" i="22"/>
  <c r="D1829" i="22" s="1"/>
  <c r="G1829" i="22" s="1"/>
  <c r="H1829" i="22" l="1"/>
  <c r="J1829" i="22" l="1"/>
  <c r="C1830" i="22"/>
  <c r="D1830" i="22" s="1"/>
  <c r="G1830" i="22" s="1"/>
  <c r="H1830" i="22" l="1"/>
  <c r="J1830" i="22" l="1"/>
  <c r="C1831" i="22"/>
  <c r="D1831" i="22" s="1"/>
  <c r="G1831" i="22" s="1"/>
  <c r="H1831" i="22" l="1"/>
  <c r="J1831" i="22" l="1"/>
  <c r="C1832" i="22"/>
  <c r="D1832" i="22" s="1"/>
  <c r="G1832" i="22" s="1"/>
  <c r="H1832" i="22" l="1"/>
  <c r="C1833" i="22" l="1"/>
  <c r="D1833" i="22" s="1"/>
  <c r="G1833" i="22" s="1"/>
  <c r="J1832" i="22"/>
  <c r="H1833" i="22" l="1"/>
  <c r="J1833" i="22" l="1"/>
  <c r="C1834" i="22"/>
  <c r="D1834" i="22" s="1"/>
  <c r="G1834" i="22" s="1"/>
  <c r="H1834" i="22" l="1"/>
  <c r="J1834" i="22" l="1"/>
  <c r="C1835" i="22"/>
  <c r="D1835" i="22" s="1"/>
  <c r="G1835" i="22" s="1"/>
  <c r="H1835" i="22" l="1"/>
  <c r="J1835" i="22" l="1"/>
  <c r="C1836" i="22"/>
  <c r="D1836" i="22" s="1"/>
  <c r="G1836" i="22" s="1"/>
  <c r="H1836" i="22" l="1"/>
  <c r="J1836" i="22" l="1"/>
  <c r="C1837" i="22"/>
  <c r="D1837" i="22" s="1"/>
  <c r="G1837" i="22" s="1"/>
  <c r="H1837" i="22" l="1"/>
  <c r="J1837" i="22" l="1"/>
  <c r="C1838" i="22"/>
  <c r="D1838" i="22" s="1"/>
  <c r="G1838" i="22" s="1"/>
  <c r="H1838" i="22" l="1"/>
  <c r="J1838" i="22" l="1"/>
  <c r="C1839" i="22"/>
  <c r="D1839" i="22" s="1"/>
  <c r="G1839" i="22" s="1"/>
  <c r="H1839" i="22" l="1"/>
  <c r="J1839" i="22" l="1"/>
  <c r="C1840" i="22"/>
  <c r="D1840" i="22" s="1"/>
  <c r="G1840" i="22" s="1"/>
  <c r="H1840" i="22" l="1"/>
  <c r="C1841" i="22" l="1"/>
  <c r="D1841" i="22" s="1"/>
  <c r="G1841" i="22" s="1"/>
  <c r="J1840" i="22"/>
  <c r="H1841" i="22" l="1"/>
  <c r="J1841" i="22" l="1"/>
  <c r="C1842" i="22"/>
  <c r="D1842" i="22" s="1"/>
  <c r="G1842" i="22" s="1"/>
  <c r="H1842" i="22" l="1"/>
  <c r="J1842" i="22" l="1"/>
  <c r="C1843" i="22"/>
  <c r="D1843" i="22" s="1"/>
  <c r="G1843" i="22" s="1"/>
  <c r="H1843" i="22" l="1"/>
  <c r="J1843" i="22" l="1"/>
  <c r="C1844" i="22"/>
  <c r="D1844" i="22" s="1"/>
  <c r="G1844" i="22" s="1"/>
  <c r="H1844" i="22" l="1"/>
  <c r="J1844" i="22" l="1"/>
  <c r="C1845" i="22"/>
  <c r="D1845" i="22" s="1"/>
  <c r="G1845" i="22" s="1"/>
  <c r="H1845" i="22" l="1"/>
  <c r="J1845" i="22" l="1"/>
  <c r="C1846" i="22"/>
  <c r="D1846" i="22" s="1"/>
  <c r="G1846" i="22" s="1"/>
  <c r="H1846" i="22" l="1"/>
  <c r="J1846" i="22" l="1"/>
  <c r="C1847" i="22"/>
  <c r="D1847" i="22" s="1"/>
  <c r="G1847" i="22" s="1"/>
  <c r="H1847" i="22" l="1"/>
  <c r="J1847" i="22" l="1"/>
  <c r="C1848" i="22"/>
  <c r="D1848" i="22" s="1"/>
  <c r="G1848" i="22" s="1"/>
  <c r="H1848" i="22" l="1"/>
  <c r="C1849" i="22" l="1"/>
  <c r="D1849" i="22" s="1"/>
  <c r="G1849" i="22" s="1"/>
  <c r="J1848" i="22"/>
  <c r="H1849" i="22" l="1"/>
  <c r="J1849" i="22" l="1"/>
  <c r="C1850" i="22"/>
  <c r="D1850" i="22" s="1"/>
  <c r="G1850" i="22" s="1"/>
  <c r="H1850" i="22" l="1"/>
  <c r="J1850" i="22" l="1"/>
  <c r="C1851" i="22"/>
  <c r="D1851" i="22" s="1"/>
  <c r="G1851" i="22" s="1"/>
  <c r="H1851" i="22" l="1"/>
  <c r="J1851" i="22" l="1"/>
  <c r="C1852" i="22"/>
  <c r="D1852" i="22" s="1"/>
  <c r="G1852" i="22" s="1"/>
  <c r="H1852" i="22" l="1"/>
  <c r="J1852" i="22" l="1"/>
  <c r="C1853" i="22"/>
  <c r="D1853" i="22" s="1"/>
  <c r="G1853" i="22" s="1"/>
  <c r="H1853" i="22" l="1"/>
  <c r="J1853" i="22" l="1"/>
  <c r="C1854" i="22"/>
  <c r="D1854" i="22" s="1"/>
  <c r="G1854" i="22" s="1"/>
  <c r="H1854" i="22" l="1"/>
  <c r="J1854" i="22" l="1"/>
  <c r="C1855" i="22"/>
  <c r="D1855" i="22" s="1"/>
  <c r="G1855" i="22" s="1"/>
  <c r="H1855" i="22" l="1"/>
  <c r="J1855" i="22" l="1"/>
  <c r="C1856" i="22"/>
  <c r="D1856" i="22" s="1"/>
  <c r="G1856" i="22" s="1"/>
  <c r="H1856" i="22" l="1"/>
  <c r="C1857" i="22" l="1"/>
  <c r="D1857" i="22" s="1"/>
  <c r="G1857" i="22" s="1"/>
  <c r="J1856" i="22"/>
  <c r="H1857" i="22" l="1"/>
  <c r="J1857" i="22" l="1"/>
  <c r="C1858" i="22"/>
  <c r="D1858" i="22" s="1"/>
  <c r="G1858" i="22" s="1"/>
  <c r="H1858" i="22" l="1"/>
  <c r="J1858" i="22" l="1"/>
  <c r="C1859" i="22"/>
  <c r="D1859" i="22" s="1"/>
  <c r="G1859" i="22" s="1"/>
  <c r="H1859" i="22" l="1"/>
  <c r="J1859" i="22" l="1"/>
  <c r="C1860" i="22"/>
  <c r="D1860" i="22" s="1"/>
  <c r="G1860" i="22" s="1"/>
  <c r="H1860" i="22" l="1"/>
  <c r="J1860" i="22" l="1"/>
  <c r="C1861" i="22"/>
  <c r="D1861" i="22" s="1"/>
  <c r="G1861" i="22" s="1"/>
  <c r="H1861" i="22" l="1"/>
  <c r="J1861" i="22" l="1"/>
  <c r="C1862" i="22"/>
  <c r="D1862" i="22" s="1"/>
  <c r="G1862" i="22" s="1"/>
  <c r="H1862" i="22" l="1"/>
  <c r="J1862" i="22" l="1"/>
  <c r="C1863" i="22"/>
  <c r="D1863" i="22" s="1"/>
  <c r="G1863" i="22" s="1"/>
  <c r="H1863" i="22" l="1"/>
  <c r="J1863" i="22" l="1"/>
  <c r="C1864" i="22"/>
  <c r="D1864" i="22" s="1"/>
  <c r="G1864" i="22" s="1"/>
  <c r="H1864" i="22" l="1"/>
  <c r="C1865" i="22" l="1"/>
  <c r="D1865" i="22" s="1"/>
  <c r="G1865" i="22" s="1"/>
  <c r="J1864" i="22"/>
  <c r="H1865" i="22" l="1"/>
  <c r="J1865" i="22" l="1"/>
  <c r="C1866" i="22"/>
  <c r="D1866" i="22" s="1"/>
  <c r="G1866" i="22" s="1"/>
  <c r="H1866" i="22" l="1"/>
  <c r="J1866" i="22" l="1"/>
  <c r="C1867" i="22"/>
  <c r="D1867" i="22" s="1"/>
  <c r="G1867" i="22" s="1"/>
  <c r="H1867" i="22" l="1"/>
  <c r="J1867" i="22" l="1"/>
  <c r="C1868" i="22"/>
  <c r="D1868" i="22" s="1"/>
  <c r="G1868" i="22" s="1"/>
  <c r="H1868" i="22" l="1"/>
  <c r="J1868" i="22" l="1"/>
  <c r="C1869" i="22"/>
  <c r="D1869" i="22" s="1"/>
  <c r="G1869" i="22" s="1"/>
  <c r="H1869" i="22" l="1"/>
  <c r="J1869" i="22" l="1"/>
  <c r="C1870" i="22"/>
  <c r="D1870" i="22" s="1"/>
  <c r="G1870" i="22" s="1"/>
  <c r="H1870" i="22" l="1"/>
  <c r="J1870" i="22" l="1"/>
  <c r="C1871" i="22"/>
  <c r="D1871" i="22" s="1"/>
  <c r="G1871" i="22" s="1"/>
  <c r="H1871" i="22" l="1"/>
  <c r="J1871" i="22" l="1"/>
  <c r="C1872" i="22"/>
  <c r="D1872" i="22" s="1"/>
  <c r="G1872" i="22" s="1"/>
  <c r="H1872" i="22" l="1"/>
  <c r="C1873" i="22" l="1"/>
  <c r="D1873" i="22" s="1"/>
  <c r="G1873" i="22" s="1"/>
  <c r="J1872" i="22"/>
  <c r="H1873" i="22" l="1"/>
  <c r="J1873" i="22" l="1"/>
  <c r="C1874" i="22"/>
  <c r="D1874" i="22" s="1"/>
  <c r="G1874" i="22" s="1"/>
  <c r="H1874" i="22" l="1"/>
  <c r="J1874" i="22" l="1"/>
  <c r="C1875" i="22"/>
  <c r="D1875" i="22" s="1"/>
  <c r="G1875" i="22" s="1"/>
  <c r="H1875" i="22" l="1"/>
  <c r="J1875" i="22" l="1"/>
  <c r="C1876" i="22"/>
  <c r="D1876" i="22" s="1"/>
  <c r="G1876" i="22" s="1"/>
  <c r="H1876" i="22" l="1"/>
  <c r="J1876" i="22" l="1"/>
  <c r="C1877" i="22"/>
  <c r="D1877" i="22" s="1"/>
  <c r="G1877" i="22" s="1"/>
  <c r="H1877" i="22" l="1"/>
  <c r="J1877" i="22" l="1"/>
  <c r="C1878" i="22"/>
  <c r="D1878" i="22" s="1"/>
  <c r="G1878" i="22" s="1"/>
  <c r="H1878" i="22" l="1"/>
  <c r="J1878" i="22" l="1"/>
  <c r="C1879" i="22"/>
  <c r="D1879" i="22" s="1"/>
  <c r="G1879" i="22" s="1"/>
  <c r="H1879" i="22" l="1"/>
  <c r="J1879" i="22" l="1"/>
  <c r="C1880" i="22"/>
  <c r="D1880" i="22" s="1"/>
  <c r="G1880" i="22" s="1"/>
  <c r="H1880" i="22" l="1"/>
  <c r="C1881" i="22" l="1"/>
  <c r="D1881" i="22" s="1"/>
  <c r="G1881" i="22" s="1"/>
  <c r="J1880" i="22"/>
  <c r="H1881" i="22" l="1"/>
  <c r="J1881" i="22" l="1"/>
  <c r="C1882" i="22"/>
  <c r="D1882" i="22" s="1"/>
  <c r="G1882" i="22" s="1"/>
  <c r="H1882" i="22" l="1"/>
  <c r="J1882" i="22" l="1"/>
  <c r="C1883" i="22"/>
  <c r="D1883" i="22" s="1"/>
  <c r="G1883" i="22" s="1"/>
  <c r="H1883" i="22" l="1"/>
  <c r="J1883" i="22" l="1"/>
  <c r="C1884" i="22"/>
  <c r="D1884" i="22" s="1"/>
  <c r="G1884" i="22" s="1"/>
  <c r="H1884" i="22" l="1"/>
  <c r="J1884" i="22" l="1"/>
  <c r="C1885" i="22"/>
  <c r="D1885" i="22" s="1"/>
  <c r="G1885" i="22" s="1"/>
  <c r="H1885" i="22" l="1"/>
  <c r="J1885" i="22" l="1"/>
  <c r="C1886" i="22"/>
  <c r="D1886" i="22" s="1"/>
  <c r="G1886" i="22" s="1"/>
  <c r="H1886" i="22" l="1"/>
  <c r="J1886" i="22" l="1"/>
  <c r="C1887" i="22"/>
  <c r="D1887" i="22" s="1"/>
  <c r="G1887" i="22" s="1"/>
  <c r="H1887" i="22" l="1"/>
  <c r="J1887" i="22" l="1"/>
  <c r="C1888" i="22"/>
  <c r="D1888" i="22" s="1"/>
  <c r="G1888" i="22" s="1"/>
  <c r="H1888" i="22" l="1"/>
  <c r="C1889" i="22" l="1"/>
  <c r="D1889" i="22" s="1"/>
  <c r="G1889" i="22" s="1"/>
  <c r="J1888" i="22"/>
  <c r="H1889" i="22" l="1"/>
  <c r="J1889" i="22" l="1"/>
  <c r="C1890" i="22"/>
  <c r="D1890" i="22" s="1"/>
  <c r="G1890" i="22" s="1"/>
  <c r="H1890" i="22" l="1"/>
  <c r="J1890" i="22" l="1"/>
  <c r="C1891" i="22"/>
  <c r="D1891" i="22" s="1"/>
  <c r="G1891" i="22" s="1"/>
  <c r="H1891" i="22" l="1"/>
  <c r="J1891" i="22" l="1"/>
  <c r="C1892" i="22"/>
  <c r="D1892" i="22" s="1"/>
  <c r="G1892" i="22" s="1"/>
  <c r="H1892" i="22" l="1"/>
  <c r="J1892" i="22" l="1"/>
  <c r="C1893" i="22"/>
  <c r="D1893" i="22" s="1"/>
  <c r="G1893" i="22" s="1"/>
  <c r="H1893" i="22" l="1"/>
  <c r="J1893" i="22" l="1"/>
  <c r="C1894" i="22"/>
  <c r="D1894" i="22" s="1"/>
  <c r="G1894" i="22" s="1"/>
  <c r="H1894" i="22" l="1"/>
  <c r="J1894" i="22" l="1"/>
  <c r="C1895" i="22"/>
  <c r="D1895" i="22" s="1"/>
  <c r="G1895" i="22" s="1"/>
  <c r="H1895" i="22" l="1"/>
  <c r="J1895" i="22" l="1"/>
  <c r="C1896" i="22"/>
  <c r="D1896" i="22" s="1"/>
  <c r="G1896" i="22" s="1"/>
  <c r="H1896" i="22" l="1"/>
  <c r="C1897" i="22" l="1"/>
  <c r="D1897" i="22" s="1"/>
  <c r="G1897" i="22" s="1"/>
  <c r="J1896" i="22"/>
  <c r="H1897" i="22" l="1"/>
  <c r="J1897" i="22" l="1"/>
  <c r="C1898" i="22"/>
  <c r="D1898" i="22" s="1"/>
  <c r="G1898" i="22" s="1"/>
  <c r="H1898" i="22" l="1"/>
  <c r="J1898" i="22" l="1"/>
  <c r="C1899" i="22"/>
  <c r="D1899" i="22" s="1"/>
  <c r="G1899" i="22" s="1"/>
  <c r="H1899" i="22" l="1"/>
  <c r="J1899" i="22" l="1"/>
  <c r="C1900" i="22"/>
  <c r="D1900" i="22" s="1"/>
  <c r="G1900" i="22" s="1"/>
  <c r="H1900" i="22" l="1"/>
  <c r="J1900" i="22" l="1"/>
  <c r="C1901" i="22"/>
  <c r="D1901" i="22" s="1"/>
  <c r="G1901" i="22" s="1"/>
  <c r="H1901" i="22" l="1"/>
  <c r="J1901" i="22" l="1"/>
  <c r="C1902" i="22"/>
  <c r="D1902" i="22" s="1"/>
  <c r="G1902" i="22" s="1"/>
  <c r="H1902" i="22" l="1"/>
  <c r="J1902" i="22" l="1"/>
  <c r="C1903" i="22"/>
  <c r="D1903" i="22" s="1"/>
  <c r="G1903" i="22" s="1"/>
  <c r="H1903" i="22" l="1"/>
  <c r="J1903" i="22" l="1"/>
  <c r="C1904" i="22"/>
  <c r="D1904" i="22" s="1"/>
  <c r="G1904" i="22" s="1"/>
  <c r="H1904" i="22" l="1"/>
  <c r="C1905" i="22" l="1"/>
  <c r="D1905" i="22" s="1"/>
  <c r="G1905" i="22" s="1"/>
  <c r="J1904" i="22"/>
  <c r="H1905" i="22" l="1"/>
  <c r="J1905" i="22" l="1"/>
  <c r="C1906" i="22"/>
  <c r="D1906" i="22" s="1"/>
  <c r="G1906" i="22" s="1"/>
  <c r="H1906" i="22" l="1"/>
  <c r="J1906" i="22" l="1"/>
  <c r="C1907" i="22"/>
  <c r="D1907" i="22" s="1"/>
  <c r="G1907" i="22" s="1"/>
  <c r="H1907" i="22" l="1"/>
  <c r="J1907" i="22" l="1"/>
  <c r="C1908" i="22"/>
  <c r="D1908" i="22" s="1"/>
  <c r="G1908" i="22" s="1"/>
  <c r="H1908" i="22" l="1"/>
  <c r="J1908" i="22" l="1"/>
  <c r="C1909" i="22"/>
  <c r="D1909" i="22" s="1"/>
  <c r="G1909" i="22" s="1"/>
  <c r="H1909" i="22" l="1"/>
  <c r="J1909" i="22" l="1"/>
  <c r="C1910" i="22"/>
  <c r="D1910" i="22" s="1"/>
  <c r="G1910" i="22" s="1"/>
  <c r="H1910" i="22" l="1"/>
  <c r="J1910" i="22" l="1"/>
  <c r="C1911" i="22"/>
  <c r="D1911" i="22" s="1"/>
  <c r="G1911" i="22" s="1"/>
  <c r="H1911" i="22" l="1"/>
  <c r="J1911" i="22" l="1"/>
  <c r="C1912" i="22"/>
  <c r="D1912" i="22" s="1"/>
  <c r="G1912" i="22" s="1"/>
  <c r="H1912" i="22" l="1"/>
  <c r="C1913" i="22" l="1"/>
  <c r="D1913" i="22" s="1"/>
  <c r="G1913" i="22" s="1"/>
  <c r="J1912" i="22"/>
  <c r="H1913" i="22" l="1"/>
  <c r="J1913" i="22" l="1"/>
  <c r="C1914" i="22"/>
  <c r="D1914" i="22" s="1"/>
  <c r="G1914" i="22" s="1"/>
  <c r="H1914" i="22" l="1"/>
  <c r="J1914" i="22" l="1"/>
  <c r="C1915" i="22"/>
  <c r="D1915" i="22" s="1"/>
  <c r="G1915" i="22" s="1"/>
  <c r="H1915" i="22" l="1"/>
  <c r="J1915" i="22" l="1"/>
  <c r="C1916" i="22"/>
  <c r="D1916" i="22" s="1"/>
  <c r="G1916" i="22" s="1"/>
  <c r="H1916" i="22" l="1"/>
  <c r="J1916" i="22" l="1"/>
  <c r="C1917" i="22"/>
  <c r="D1917" i="22" s="1"/>
  <c r="G1917" i="22" s="1"/>
  <c r="H1917" i="22" l="1"/>
  <c r="J1917" i="22" l="1"/>
  <c r="C1918" i="22"/>
  <c r="D1918" i="22" s="1"/>
  <c r="G1918" i="22" s="1"/>
  <c r="H1918" i="22" l="1"/>
  <c r="J1918" i="22" l="1"/>
  <c r="C1919" i="22"/>
  <c r="D1919" i="22" s="1"/>
  <c r="G1919" i="22" s="1"/>
  <c r="H1919" i="22" l="1"/>
  <c r="J1919" i="22" l="1"/>
  <c r="C1920" i="22"/>
  <c r="D1920" i="22" s="1"/>
  <c r="G1920" i="22" s="1"/>
  <c r="H1920" i="22" l="1"/>
  <c r="C1921" i="22" l="1"/>
  <c r="D1921" i="22" s="1"/>
  <c r="G1921" i="22" s="1"/>
  <c r="J1920" i="22"/>
  <c r="H1921" i="22" l="1"/>
  <c r="J1921" i="22" l="1"/>
  <c r="C1922" i="22"/>
  <c r="D1922" i="22" s="1"/>
  <c r="G1922" i="22" s="1"/>
  <c r="H1922" i="22" l="1"/>
  <c r="J1922" i="22" l="1"/>
  <c r="C1923" i="22"/>
  <c r="D1923" i="22" s="1"/>
  <c r="G1923" i="22" s="1"/>
  <c r="H1923" i="22" l="1"/>
  <c r="J1923" i="22" l="1"/>
  <c r="C1924" i="22"/>
  <c r="D1924" i="22" s="1"/>
  <c r="G1924" i="22" s="1"/>
  <c r="H1924" i="22" l="1"/>
  <c r="J1924" i="22" l="1"/>
  <c r="C1925" i="22"/>
  <c r="D1925" i="22" s="1"/>
  <c r="G1925" i="22" s="1"/>
  <c r="H1925" i="22" l="1"/>
  <c r="J1925" i="22" l="1"/>
  <c r="C1926" i="22"/>
  <c r="D1926" i="22" s="1"/>
  <c r="G1926" i="22" s="1"/>
  <c r="H1926" i="22" l="1"/>
  <c r="J1926" i="22" l="1"/>
  <c r="C1927" i="22"/>
  <c r="D1927" i="22" s="1"/>
  <c r="G1927" i="22" s="1"/>
  <c r="H1927" i="22" l="1"/>
  <c r="J1927" i="22" l="1"/>
  <c r="C1928" i="22"/>
  <c r="D1928" i="22" s="1"/>
  <c r="G1928" i="22" s="1"/>
  <c r="H1928" i="22" l="1"/>
  <c r="C1929" i="22" l="1"/>
  <c r="D1929" i="22" s="1"/>
  <c r="G1929" i="22" s="1"/>
  <c r="J1928" i="22"/>
  <c r="H1929" i="22" l="1"/>
  <c r="J1929" i="22" l="1"/>
  <c r="C1930" i="22"/>
  <c r="D1930" i="22" s="1"/>
  <c r="G1930" i="22" s="1"/>
  <c r="H1930" i="22" l="1"/>
  <c r="J1930" i="22" l="1"/>
  <c r="C1931" i="22"/>
  <c r="D1931" i="22" s="1"/>
  <c r="G1931" i="22" s="1"/>
  <c r="H1931" i="22" l="1"/>
  <c r="J1931" i="22" l="1"/>
  <c r="C1932" i="22"/>
  <c r="D1932" i="22" s="1"/>
  <c r="G1932" i="22" s="1"/>
  <c r="H1932" i="22" l="1"/>
  <c r="J1932" i="22" l="1"/>
  <c r="C1933" i="22"/>
  <c r="D1933" i="22" s="1"/>
  <c r="G1933" i="22" s="1"/>
  <c r="H1933" i="22" l="1"/>
  <c r="J1933" i="22" l="1"/>
  <c r="C1934" i="22"/>
  <c r="D1934" i="22" s="1"/>
  <c r="G1934" i="22" s="1"/>
  <c r="H1934" i="22" l="1"/>
  <c r="J1934" i="22" l="1"/>
  <c r="C1935" i="22"/>
  <c r="D1935" i="22" s="1"/>
  <c r="G1935" i="22" s="1"/>
  <c r="H1935" i="22" l="1"/>
  <c r="J1935" i="22" l="1"/>
  <c r="C1936" i="22"/>
  <c r="D1936" i="22" s="1"/>
  <c r="G1936" i="22" s="1"/>
  <c r="H1936" i="22" l="1"/>
  <c r="C1937" i="22" l="1"/>
  <c r="D1937" i="22" s="1"/>
  <c r="G1937" i="22" s="1"/>
  <c r="J1936" i="22"/>
  <c r="H1937" i="22" l="1"/>
  <c r="J1937" i="22" l="1"/>
  <c r="C1938" i="22"/>
  <c r="D1938" i="22" s="1"/>
  <c r="G1938" i="22" s="1"/>
  <c r="H1938" i="22" l="1"/>
  <c r="J1938" i="22" l="1"/>
  <c r="C1939" i="22"/>
  <c r="D1939" i="22" s="1"/>
  <c r="G1939" i="22" s="1"/>
  <c r="H1939" i="22" l="1"/>
  <c r="J1939" i="22" l="1"/>
  <c r="C1940" i="22"/>
  <c r="D1940" i="22" s="1"/>
  <c r="G1940" i="22" s="1"/>
  <c r="H1940" i="22" l="1"/>
  <c r="J1940" i="22" l="1"/>
  <c r="C1941" i="22"/>
  <c r="D1941" i="22" s="1"/>
  <c r="G1941" i="22" s="1"/>
  <c r="H1941" i="22" l="1"/>
  <c r="J1941" i="22" l="1"/>
  <c r="C1942" i="22"/>
  <c r="D1942" i="22" s="1"/>
  <c r="G1942" i="22" s="1"/>
  <c r="H1942" i="22" l="1"/>
  <c r="J1942" i="22" l="1"/>
  <c r="C1943" i="22"/>
  <c r="D1943" i="22" s="1"/>
  <c r="G1943" i="22" s="1"/>
  <c r="H1943" i="22" l="1"/>
  <c r="J1943" i="22" l="1"/>
  <c r="C1944" i="22"/>
  <c r="D1944" i="22" s="1"/>
  <c r="G1944" i="22" s="1"/>
  <c r="H1944" i="22" l="1"/>
  <c r="C1945" i="22" l="1"/>
  <c r="D1945" i="22" s="1"/>
  <c r="G1945" i="22" s="1"/>
  <c r="J1944" i="22"/>
  <c r="H1945" i="22" l="1"/>
  <c r="J1945" i="22" l="1"/>
  <c r="C1946" i="22"/>
  <c r="D1946" i="22" s="1"/>
  <c r="G1946" i="22" s="1"/>
  <c r="H1946" i="22" l="1"/>
  <c r="J1946" i="22" l="1"/>
  <c r="C1947" i="22"/>
  <c r="D1947" i="22" s="1"/>
  <c r="G1947" i="22" s="1"/>
  <c r="H1947" i="22" l="1"/>
  <c r="J1947" i="22" l="1"/>
  <c r="C1948" i="22"/>
  <c r="D1948" i="22" s="1"/>
  <c r="G1948" i="22" s="1"/>
  <c r="H1948" i="22" l="1"/>
  <c r="J1948" i="22" l="1"/>
  <c r="C1949" i="22"/>
  <c r="D1949" i="22" s="1"/>
  <c r="G1949" i="22" s="1"/>
  <c r="H1949" i="22" l="1"/>
  <c r="J1949" i="22" l="1"/>
  <c r="C1950" i="22"/>
  <c r="D1950" i="22" s="1"/>
  <c r="G1950" i="22" s="1"/>
  <c r="H1950" i="22" l="1"/>
  <c r="J1950" i="22" l="1"/>
  <c r="C1951" i="22"/>
  <c r="D1951" i="22" s="1"/>
  <c r="G1951" i="22" s="1"/>
  <c r="H1951" i="22" l="1"/>
  <c r="J1951" i="22" l="1"/>
  <c r="C1952" i="22"/>
  <c r="D1952" i="22" s="1"/>
  <c r="G1952" i="22" s="1"/>
  <c r="H1952" i="22" l="1"/>
  <c r="C1953" i="22" l="1"/>
  <c r="D1953" i="22" s="1"/>
  <c r="G1953" i="22" s="1"/>
  <c r="J1952" i="22"/>
  <c r="H1953" i="22" l="1"/>
  <c r="J1953" i="22" l="1"/>
  <c r="C1954" i="22"/>
  <c r="D1954" i="22" s="1"/>
  <c r="G1954" i="22" s="1"/>
  <c r="H1954" i="22" l="1"/>
  <c r="J1954" i="22" l="1"/>
  <c r="C1955" i="22"/>
  <c r="D1955" i="22" s="1"/>
  <c r="G1955" i="22" s="1"/>
  <c r="H1955" i="22" l="1"/>
  <c r="J1955" i="22" l="1"/>
  <c r="C1956" i="22"/>
  <c r="D1956" i="22" s="1"/>
  <c r="G1956" i="22" s="1"/>
  <c r="H1956" i="22" l="1"/>
  <c r="J1956" i="22" l="1"/>
  <c r="C1957" i="22"/>
  <c r="D1957" i="22" s="1"/>
  <c r="G1957" i="22" s="1"/>
  <c r="H1957" i="22" l="1"/>
  <c r="J1957" i="22" l="1"/>
  <c r="C1958" i="22"/>
  <c r="D1958" i="22" s="1"/>
  <c r="G1958" i="22" s="1"/>
  <c r="H1958" i="22" l="1"/>
  <c r="J1958" i="22" l="1"/>
  <c r="C1959" i="22"/>
  <c r="D1959" i="22" s="1"/>
  <c r="G1959" i="22" s="1"/>
  <c r="H1959" i="22" l="1"/>
  <c r="J1959" i="22" l="1"/>
  <c r="C1960" i="22"/>
  <c r="D1960" i="22" s="1"/>
  <c r="G1960" i="22" s="1"/>
  <c r="H1960" i="22" l="1"/>
  <c r="C1961" i="22" l="1"/>
  <c r="D1961" i="22" s="1"/>
  <c r="G1961" i="22" s="1"/>
  <c r="J1960" i="22"/>
  <c r="H1961" i="22" l="1"/>
  <c r="J1961" i="22" l="1"/>
  <c r="C1962" i="22"/>
  <c r="D1962" i="22" s="1"/>
  <c r="G1962" i="22" s="1"/>
  <c r="H1962" i="22" l="1"/>
  <c r="J1962" i="22" l="1"/>
  <c r="C1963" i="22"/>
  <c r="D1963" i="22" s="1"/>
  <c r="G1963" i="22" s="1"/>
  <c r="H1963" i="22" l="1"/>
  <c r="J1963" i="22" l="1"/>
  <c r="C1964" i="22"/>
  <c r="D1964" i="22" s="1"/>
  <c r="G1964" i="22" s="1"/>
  <c r="H1964" i="22" l="1"/>
  <c r="J1964" i="22" l="1"/>
  <c r="C1965" i="22"/>
  <c r="D1965" i="22" s="1"/>
  <c r="G1965" i="22" s="1"/>
  <c r="H1965" i="22" l="1"/>
  <c r="J1965" i="22" l="1"/>
  <c r="C1966" i="22"/>
  <c r="D1966" i="22" s="1"/>
  <c r="G1966" i="22" s="1"/>
  <c r="H1966" i="22" l="1"/>
  <c r="J1966" i="22" l="1"/>
  <c r="C1967" i="22"/>
  <c r="D1967" i="22" s="1"/>
  <c r="G1967" i="22" s="1"/>
  <c r="H1967" i="22" l="1"/>
  <c r="J1967" i="22" l="1"/>
  <c r="C1968" i="22"/>
  <c r="D1968" i="22" s="1"/>
  <c r="G1968" i="22" s="1"/>
  <c r="H1968" i="22" l="1"/>
  <c r="C1969" i="22" l="1"/>
  <c r="D1969" i="22" s="1"/>
  <c r="G1969" i="22" s="1"/>
  <c r="J1968" i="22"/>
  <c r="H1969" i="22" l="1"/>
  <c r="J1969" i="22" l="1"/>
  <c r="C1970" i="22"/>
  <c r="D1970" i="22" s="1"/>
  <c r="G1970" i="22" s="1"/>
  <c r="H1970" i="22" l="1"/>
  <c r="J1970" i="22" l="1"/>
  <c r="C1971" i="22"/>
  <c r="D1971" i="22" s="1"/>
  <c r="G1971" i="22" s="1"/>
  <c r="H1971" i="22" l="1"/>
  <c r="J1971" i="22" l="1"/>
  <c r="C1972" i="22"/>
  <c r="D1972" i="22" s="1"/>
  <c r="G1972" i="22" s="1"/>
  <c r="H1972" i="22" l="1"/>
  <c r="J1972" i="22" l="1"/>
  <c r="C1973" i="22"/>
  <c r="D1973" i="22" s="1"/>
  <c r="G1973" i="22" s="1"/>
  <c r="H1973" i="22" l="1"/>
  <c r="J1973" i="22" l="1"/>
  <c r="C1974" i="22"/>
  <c r="D1974" i="22" s="1"/>
  <c r="G1974" i="22" s="1"/>
  <c r="H1974" i="22" l="1"/>
  <c r="J1974" i="22" l="1"/>
  <c r="C1975" i="22"/>
  <c r="D1975" i="22" s="1"/>
  <c r="G1975" i="22" s="1"/>
  <c r="H1975" i="22" l="1"/>
  <c r="J1975" i="22" l="1"/>
  <c r="C1976" i="22"/>
  <c r="D1976" i="22" s="1"/>
  <c r="G1976" i="22" s="1"/>
  <c r="H1976" i="22" l="1"/>
  <c r="C1977" i="22" l="1"/>
  <c r="D1977" i="22" s="1"/>
  <c r="G1977" i="22" s="1"/>
  <c r="J1976" i="22"/>
  <c r="H1977" i="22" l="1"/>
  <c r="J1977" i="22" l="1"/>
  <c r="C1978" i="22"/>
  <c r="D1978" i="22" s="1"/>
  <c r="G1978" i="22" s="1"/>
  <c r="H1978" i="22" l="1"/>
  <c r="J1978" i="22" l="1"/>
  <c r="C1979" i="22"/>
  <c r="D1979" i="22" s="1"/>
  <c r="G1979" i="22" s="1"/>
  <c r="H1979" i="22" l="1"/>
  <c r="J1979" i="22" l="1"/>
  <c r="C1980" i="22"/>
  <c r="D1980" i="22" s="1"/>
  <c r="G1980" i="22" s="1"/>
  <c r="H1980" i="22" l="1"/>
  <c r="J1980" i="22" l="1"/>
  <c r="C1981" i="22"/>
  <c r="D1981" i="22" s="1"/>
  <c r="G1981" i="22" s="1"/>
  <c r="H1981" i="22" l="1"/>
  <c r="J1981" i="22" l="1"/>
  <c r="C1982" i="22"/>
  <c r="D1982" i="22" s="1"/>
  <c r="G1982" i="22" s="1"/>
  <c r="H1982" i="22" l="1"/>
  <c r="J1982" i="22" l="1"/>
  <c r="C1983" i="22"/>
  <c r="D1983" i="22" s="1"/>
  <c r="G1983" i="22" s="1"/>
  <c r="H1983" i="22" l="1"/>
  <c r="J1983" i="22" l="1"/>
  <c r="C1984" i="22"/>
  <c r="D1984" i="22" s="1"/>
  <c r="G1984" i="22" s="1"/>
  <c r="H1984" i="22" l="1"/>
  <c r="C1985" i="22" l="1"/>
  <c r="D1985" i="22" s="1"/>
  <c r="G1985" i="22" s="1"/>
  <c r="J1984" i="22"/>
  <c r="H1985" i="22" l="1"/>
  <c r="J1985" i="22" l="1"/>
  <c r="C1986" i="22"/>
  <c r="D1986" i="22" s="1"/>
  <c r="G1986" i="22" s="1"/>
  <c r="H1986" i="22" l="1"/>
  <c r="J1986" i="22" l="1"/>
  <c r="C1987" i="22"/>
  <c r="D1987" i="22" s="1"/>
  <c r="G1987" i="22" s="1"/>
  <c r="H1987" i="22" l="1"/>
  <c r="J1987" i="22" l="1"/>
  <c r="C1988" i="22"/>
  <c r="D1988" i="22" s="1"/>
  <c r="G1988" i="22" s="1"/>
  <c r="H1988" i="22" l="1"/>
  <c r="J1988" i="22" l="1"/>
  <c r="C1989" i="22"/>
  <c r="D1989" i="22" s="1"/>
  <c r="G1989" i="22" s="1"/>
  <c r="H1989" i="22" l="1"/>
  <c r="J1989" i="22" l="1"/>
  <c r="C1990" i="22"/>
  <c r="D1990" i="22" s="1"/>
  <c r="G1990" i="22" s="1"/>
  <c r="H1990" i="22" l="1"/>
  <c r="J1990" i="22" l="1"/>
  <c r="C1991" i="22"/>
  <c r="D1991" i="22" s="1"/>
  <c r="G1991" i="22" s="1"/>
  <c r="H1991" i="22" l="1"/>
  <c r="J1991" i="22" l="1"/>
  <c r="C1992" i="22"/>
  <c r="D1992" i="22" s="1"/>
  <c r="G1992" i="22" s="1"/>
  <c r="H1992" i="22" l="1"/>
  <c r="C1993" i="22" l="1"/>
  <c r="D1993" i="22" s="1"/>
  <c r="G1993" i="22" s="1"/>
  <c r="J1992" i="22"/>
  <c r="H1993" i="22" l="1"/>
  <c r="J1993" i="22" l="1"/>
  <c r="C1994" i="22"/>
  <c r="D1994" i="22" s="1"/>
  <c r="G1994" i="22" s="1"/>
  <c r="H1994" i="22" l="1"/>
  <c r="J1994" i="22" l="1"/>
  <c r="C1995" i="22"/>
  <c r="D1995" i="22" s="1"/>
  <c r="G1995" i="22" s="1"/>
  <c r="H1995" i="22" l="1"/>
  <c r="J1995" i="22" l="1"/>
  <c r="C1996" i="22"/>
  <c r="D1996" i="22" s="1"/>
  <c r="G1996" i="22" s="1"/>
  <c r="H1996" i="22" l="1"/>
  <c r="J1996" i="22" l="1"/>
  <c r="C1997" i="22"/>
  <c r="D1997" i="22" s="1"/>
  <c r="G1997" i="22" s="1"/>
  <c r="H1997" i="22" l="1"/>
  <c r="J1997" i="22" l="1"/>
  <c r="C1998" i="22"/>
  <c r="D1998" i="22" s="1"/>
  <c r="G1998" i="22" s="1"/>
  <c r="H1998" i="22" l="1"/>
  <c r="J1998" i="22" l="1"/>
  <c r="C1999" i="22"/>
  <c r="D1999" i="22" s="1"/>
  <c r="G1999" i="22" s="1"/>
  <c r="H1999" i="22" l="1"/>
  <c r="J1999" i="22" l="1"/>
  <c r="C2000" i="22"/>
  <c r="D2000" i="22" s="1"/>
  <c r="G2000" i="22" s="1"/>
  <c r="H2000" i="22" l="1"/>
  <c r="C2001" i="22" l="1"/>
  <c r="D2001" i="22" s="1"/>
  <c r="G2001" i="22" s="1"/>
  <c r="J2000" i="22"/>
  <c r="H2001" i="22" l="1"/>
  <c r="J2001" i="22" l="1"/>
  <c r="C2002" i="22"/>
  <c r="D2002" i="22" s="1"/>
  <c r="G2002" i="22" s="1"/>
  <c r="H2002" i="22" l="1"/>
  <c r="J2002" i="22" l="1"/>
  <c r="C2003" i="22"/>
  <c r="D2003" i="22" s="1"/>
  <c r="G2003" i="22" s="1"/>
  <c r="H2003" i="22" l="1"/>
  <c r="J2003" i="22" l="1"/>
  <c r="C2004" i="22"/>
  <c r="D2004" i="22" s="1"/>
  <c r="G2004" i="22" s="1"/>
  <c r="H2004" i="22" l="1"/>
  <c r="J2004" i="22" l="1"/>
  <c r="C2005" i="22"/>
  <c r="D2005" i="22" s="1"/>
  <c r="G2005" i="22" s="1"/>
  <c r="H2005" i="22" l="1"/>
  <c r="J2005" i="22" l="1"/>
  <c r="C2006" i="22"/>
  <c r="D2006" i="22" s="1"/>
  <c r="G2006" i="22" s="1"/>
  <c r="H2006" i="22" l="1"/>
  <c r="J2006" i="22" l="1"/>
  <c r="C2007" i="22"/>
  <c r="D2007" i="22" s="1"/>
  <c r="G2007" i="22" s="1"/>
  <c r="H2007" i="22" l="1"/>
  <c r="J2007" i="22" l="1"/>
  <c r="C2008" i="22"/>
  <c r="D2008" i="22" s="1"/>
  <c r="G2008" i="22" s="1"/>
  <c r="H2008" i="22" l="1"/>
  <c r="C2009" i="22" l="1"/>
  <c r="D2009" i="22" s="1"/>
  <c r="G2009" i="22" s="1"/>
  <c r="J2008" i="22"/>
  <c r="H2009" i="22" l="1"/>
  <c r="J2009" i="22" l="1"/>
  <c r="C2010" i="22"/>
  <c r="D2010" i="22" s="1"/>
  <c r="G2010" i="22" s="1"/>
  <c r="H2010" i="22" l="1"/>
  <c r="J2010" i="22" l="1"/>
  <c r="C2011" i="22"/>
  <c r="D2011" i="22" s="1"/>
  <c r="G2011" i="22" s="1"/>
  <c r="H2011" i="22" l="1"/>
  <c r="J2011" i="22" l="1"/>
  <c r="C2012" i="22"/>
  <c r="D2012" i="22" s="1"/>
  <c r="G2012" i="22" s="1"/>
  <c r="H2012" i="22" l="1"/>
  <c r="J2012" i="22" l="1"/>
  <c r="C2013" i="22"/>
  <c r="D2013" i="22" s="1"/>
  <c r="G2013" i="22" s="1"/>
  <c r="H2013" i="22" l="1"/>
  <c r="J2013" i="22" l="1"/>
  <c r="C2014" i="22"/>
  <c r="D2014" i="22" s="1"/>
  <c r="G2014" i="22" s="1"/>
  <c r="H2014" i="22" l="1"/>
  <c r="J2014" i="22" l="1"/>
  <c r="C2015" i="22"/>
  <c r="D2015" i="22" s="1"/>
  <c r="G2015" i="22" s="1"/>
  <c r="H2015" i="22" l="1"/>
  <c r="J2015" i="22" l="1"/>
  <c r="C2016" i="22"/>
  <c r="D2016" i="22" s="1"/>
  <c r="G2016" i="22" s="1"/>
  <c r="H2016" i="22" l="1"/>
  <c r="C2017" i="22" l="1"/>
  <c r="D2017" i="22" s="1"/>
  <c r="G2017" i="22" s="1"/>
  <c r="J2016" i="22"/>
  <c r="H2017" i="22" l="1"/>
  <c r="J2017" i="22" l="1"/>
  <c r="C2018" i="22"/>
  <c r="D2018" i="22" s="1"/>
  <c r="G2018" i="22" s="1"/>
  <c r="H2018" i="22" l="1"/>
  <c r="J2018" i="22" l="1"/>
  <c r="C2019" i="22"/>
  <c r="D2019" i="22" s="1"/>
  <c r="G2019" i="22" s="1"/>
  <c r="H2019" i="22" l="1"/>
  <c r="J2019" i="22" l="1"/>
  <c r="C2020" i="22"/>
  <c r="D2020" i="22" s="1"/>
  <c r="G2020" i="22" s="1"/>
  <c r="H2020" i="22" l="1"/>
  <c r="J2020" i="22" l="1"/>
  <c r="C2021" i="22"/>
  <c r="D2021" i="22" s="1"/>
  <c r="G2021" i="22" s="1"/>
  <c r="H2021" i="22" l="1"/>
  <c r="J2021" i="22" l="1"/>
  <c r="C2022" i="22"/>
  <c r="D2022" i="22" s="1"/>
  <c r="G2022" i="22" s="1"/>
  <c r="H2022" i="22" l="1"/>
  <c r="J2022" i="22" l="1"/>
  <c r="C2023" i="22"/>
  <c r="D2023" i="22" s="1"/>
  <c r="G2023" i="22" s="1"/>
  <c r="H2023" i="22" l="1"/>
  <c r="J2023" i="22" l="1"/>
  <c r="C2024" i="22"/>
  <c r="D2024" i="22" s="1"/>
  <c r="G2024" i="22" s="1"/>
  <c r="H2024" i="22" l="1"/>
  <c r="C2025" i="22" l="1"/>
  <c r="D2025" i="22" s="1"/>
  <c r="G2025" i="22" s="1"/>
  <c r="J2024" i="22"/>
  <c r="H2025" i="22" l="1"/>
  <c r="J2025" i="22" l="1"/>
  <c r="C2026" i="22"/>
  <c r="D2026" i="22" s="1"/>
  <c r="G2026" i="22" s="1"/>
  <c r="H2026" i="22" l="1"/>
  <c r="J2026" i="22" l="1"/>
  <c r="C2027" i="22"/>
  <c r="D2027" i="22" s="1"/>
  <c r="G2027" i="22" s="1"/>
  <c r="H2027" i="22" l="1"/>
  <c r="J2027" i="22" l="1"/>
  <c r="C2028" i="22"/>
  <c r="D2028" i="22" s="1"/>
  <c r="G2028" i="22" s="1"/>
  <c r="H2028" i="22" l="1"/>
  <c r="J2028" i="22" l="1"/>
  <c r="C2029" i="22"/>
  <c r="D2029" i="22" s="1"/>
  <c r="G2029" i="22" s="1"/>
  <c r="H2029" i="22" l="1"/>
  <c r="J2029" i="22" l="1"/>
  <c r="C2030" i="22"/>
  <c r="D2030" i="22" s="1"/>
  <c r="G2030" i="22" s="1"/>
  <c r="H2030" i="22" l="1"/>
  <c r="J2030" i="22" l="1"/>
  <c r="C2031" i="22"/>
  <c r="D2031" i="22" s="1"/>
  <c r="G2031" i="22" s="1"/>
  <c r="H2031" i="22" l="1"/>
  <c r="J2031" i="22" l="1"/>
  <c r="C2032" i="22"/>
  <c r="D2032" i="22" s="1"/>
  <c r="G2032" i="22" s="1"/>
  <c r="H2032" i="22" l="1"/>
  <c r="C2033" i="22" l="1"/>
  <c r="D2033" i="22" s="1"/>
  <c r="G2033" i="22" s="1"/>
  <c r="J2032" i="22"/>
  <c r="H2033" i="22" l="1"/>
  <c r="J2033" i="22" l="1"/>
  <c r="C2034" i="22"/>
  <c r="D2034" i="22" s="1"/>
  <c r="G2034" i="22" s="1"/>
  <c r="H2034" i="22" l="1"/>
  <c r="J2034" i="22" l="1"/>
  <c r="C2035" i="22"/>
  <c r="D2035" i="22" s="1"/>
  <c r="G2035" i="22" s="1"/>
  <c r="H2035" i="22" l="1"/>
  <c r="J2035" i="22" l="1"/>
  <c r="C2036" i="22"/>
  <c r="D2036" i="22" s="1"/>
  <c r="G2036" i="22" s="1"/>
  <c r="H2036" i="22" l="1"/>
  <c r="J2036" i="22" l="1"/>
  <c r="C2037" i="22"/>
  <c r="D2037" i="22" s="1"/>
  <c r="G2037" i="22" s="1"/>
  <c r="H2037" i="22" l="1"/>
  <c r="J2037" i="22" l="1"/>
  <c r="C2038" i="22"/>
  <c r="D2038" i="22" s="1"/>
  <c r="G2038" i="22" s="1"/>
  <c r="H2038" i="22" l="1"/>
  <c r="J2038" i="22" l="1"/>
  <c r="C2039" i="22"/>
  <c r="D2039" i="22" s="1"/>
  <c r="G2039" i="22" s="1"/>
  <c r="H2039" i="22" l="1"/>
  <c r="J2039" i="22" l="1"/>
  <c r="C2040" i="22"/>
  <c r="D2040" i="22" s="1"/>
  <c r="G2040" i="22" s="1"/>
  <c r="H2040" i="22" l="1"/>
  <c r="C2041" i="22" l="1"/>
  <c r="D2041" i="22" s="1"/>
  <c r="G2041" i="22" s="1"/>
  <c r="J2040" i="22"/>
  <c r="H2041" i="22" l="1"/>
  <c r="J2041" i="22" l="1"/>
  <c r="C2042" i="22"/>
  <c r="D2042" i="22" s="1"/>
  <c r="G2042" i="22" s="1"/>
  <c r="H2042" i="22" l="1"/>
  <c r="J2042" i="22" l="1"/>
  <c r="C2043" i="22"/>
  <c r="D2043" i="22" s="1"/>
  <c r="G2043" i="22" s="1"/>
  <c r="H2043" i="22" l="1"/>
  <c r="J2043" i="22" l="1"/>
  <c r="C2044" i="22"/>
  <c r="D2044" i="22" s="1"/>
  <c r="G2044" i="22" s="1"/>
  <c r="H2044" i="22" l="1"/>
  <c r="J2044" i="22" l="1"/>
  <c r="C2045" i="22"/>
  <c r="D2045" i="22" s="1"/>
  <c r="G2045" i="22" s="1"/>
  <c r="H2045" i="22" l="1"/>
  <c r="J2045" i="22" l="1"/>
  <c r="C2046" i="22"/>
  <c r="D2046" i="22" s="1"/>
  <c r="G2046" i="22" s="1"/>
  <c r="H2046" i="22" l="1"/>
  <c r="J2046" i="22" l="1"/>
  <c r="C2047" i="22"/>
  <c r="D2047" i="22" s="1"/>
  <c r="G2047" i="22" s="1"/>
  <c r="H2047" i="22" l="1"/>
  <c r="J2047" i="22" l="1"/>
  <c r="C2048" i="22"/>
  <c r="D2048" i="22" s="1"/>
  <c r="G2048" i="22" s="1"/>
  <c r="H2048" i="22" l="1"/>
  <c r="C2049" i="22" l="1"/>
  <c r="D2049" i="22" s="1"/>
  <c r="G2049" i="22" s="1"/>
  <c r="J2048" i="22"/>
  <c r="H2049" i="22" l="1"/>
  <c r="J2049" i="22" l="1"/>
  <c r="C2050" i="22"/>
  <c r="D2050" i="22" s="1"/>
  <c r="G2050" i="22" s="1"/>
  <c r="H2050" i="22" l="1"/>
  <c r="J2050" i="22" l="1"/>
  <c r="C2051" i="22"/>
  <c r="D2051" i="22" s="1"/>
  <c r="G2051" i="22" s="1"/>
  <c r="H2051" i="22" l="1"/>
  <c r="J2051" i="22" l="1"/>
  <c r="C2052" i="22"/>
  <c r="D2052" i="22" s="1"/>
  <c r="G2052" i="22" s="1"/>
  <c r="H2052" i="22" l="1"/>
  <c r="J2052" i="22" l="1"/>
  <c r="C2053" i="22"/>
  <c r="D2053" i="22" s="1"/>
  <c r="G2053" i="22" s="1"/>
  <c r="H2053" i="22" l="1"/>
  <c r="J2053" i="22" l="1"/>
  <c r="C2054" i="22"/>
  <c r="D2054" i="22" s="1"/>
  <c r="G2054" i="22" s="1"/>
  <c r="H2054" i="22" l="1"/>
  <c r="J2054" i="22" l="1"/>
  <c r="C2055" i="22"/>
  <c r="D2055" i="22" s="1"/>
  <c r="G2055" i="22" s="1"/>
  <c r="H2055" i="22" l="1"/>
  <c r="J2055" i="22" l="1"/>
  <c r="C2056" i="22"/>
  <c r="D2056" i="22" s="1"/>
  <c r="G2056" i="22" s="1"/>
  <c r="H2056" i="22" l="1"/>
  <c r="C2057" i="22" l="1"/>
  <c r="D2057" i="22" s="1"/>
  <c r="G2057" i="22" s="1"/>
  <c r="J2056" i="22"/>
  <c r="H2057" i="22" l="1"/>
  <c r="J2057" i="22" l="1"/>
  <c r="C2058" i="22"/>
  <c r="D2058" i="22" s="1"/>
  <c r="G2058" i="22" s="1"/>
  <c r="H2058" i="22" l="1"/>
  <c r="J2058" i="22" l="1"/>
  <c r="C2059" i="22"/>
  <c r="D2059" i="22" s="1"/>
  <c r="G2059" i="22" s="1"/>
  <c r="H2059" i="22" l="1"/>
  <c r="J2059" i="22" l="1"/>
  <c r="C2060" i="22"/>
  <c r="D2060" i="22" s="1"/>
  <c r="G2060" i="22" s="1"/>
  <c r="H2060" i="22" l="1"/>
  <c r="J2060" i="22" l="1"/>
  <c r="C2061" i="22"/>
  <c r="D2061" i="22" s="1"/>
  <c r="G2061" i="22" s="1"/>
  <c r="H2061" i="22" l="1"/>
  <c r="J2061" i="22" l="1"/>
  <c r="C2062" i="22"/>
  <c r="D2062" i="22" s="1"/>
  <c r="G2062" i="22" s="1"/>
  <c r="H2062" i="22" l="1"/>
  <c r="J2062" i="22" l="1"/>
  <c r="C2063" i="22"/>
  <c r="D2063" i="22" s="1"/>
  <c r="G2063" i="22" s="1"/>
  <c r="H2063" i="22" l="1"/>
  <c r="J2063" i="22" l="1"/>
  <c r="C2064" i="22"/>
  <c r="D2064" i="22" s="1"/>
  <c r="G2064" i="22" s="1"/>
  <c r="H2064" i="22" l="1"/>
  <c r="C2065" i="22" l="1"/>
  <c r="D2065" i="22" s="1"/>
  <c r="G2065" i="22" s="1"/>
  <c r="J2064" i="22"/>
  <c r="H2065" i="22" l="1"/>
  <c r="J2065" i="22" l="1"/>
  <c r="C2066" i="22"/>
  <c r="D2066" i="22" s="1"/>
  <c r="G2066" i="22" s="1"/>
  <c r="H2066" i="22" l="1"/>
  <c r="J2066" i="22" l="1"/>
  <c r="C2067" i="22"/>
  <c r="D2067" i="22" s="1"/>
  <c r="G2067" i="22" s="1"/>
  <c r="H2067" i="22" l="1"/>
  <c r="J2067" i="22" l="1"/>
  <c r="C2068" i="22"/>
  <c r="D2068" i="22" s="1"/>
  <c r="G2068" i="22" s="1"/>
  <c r="H2068" i="22" l="1"/>
  <c r="J2068" i="22" l="1"/>
  <c r="C2069" i="22"/>
  <c r="D2069" i="22" s="1"/>
  <c r="G2069" i="22" s="1"/>
  <c r="H2069" i="22" l="1"/>
  <c r="J2069" i="22" l="1"/>
  <c r="C2070" i="22"/>
  <c r="D2070" i="22" s="1"/>
  <c r="G2070" i="22" s="1"/>
  <c r="H2070" i="22" l="1"/>
  <c r="J2070" i="22" l="1"/>
  <c r="C2071" i="22"/>
  <c r="D2071" i="22" s="1"/>
  <c r="G2071" i="22" s="1"/>
  <c r="H2071" i="22" l="1"/>
  <c r="J2071" i="22" l="1"/>
  <c r="C2072" i="22"/>
  <c r="D2072" i="22" s="1"/>
  <c r="G2072" i="22" s="1"/>
  <c r="H2072" i="22" l="1"/>
  <c r="C2073" i="22" l="1"/>
  <c r="D2073" i="22" s="1"/>
  <c r="G2073" i="22" s="1"/>
  <c r="J2072" i="22"/>
  <c r="H2073" i="22" l="1"/>
  <c r="J2073" i="22" l="1"/>
  <c r="C2074" i="22"/>
  <c r="D2074" i="22" s="1"/>
  <c r="G2074" i="22" s="1"/>
  <c r="H2074" i="22" l="1"/>
  <c r="J2074" i="22" l="1"/>
  <c r="C2075" i="22"/>
  <c r="D2075" i="22" s="1"/>
  <c r="G2075" i="22" s="1"/>
  <c r="H2075" i="22" l="1"/>
  <c r="J2075" i="22" l="1"/>
  <c r="C2076" i="22"/>
  <c r="D2076" i="22" s="1"/>
  <c r="G2076" i="22" s="1"/>
  <c r="H2076" i="22" l="1"/>
  <c r="J2076" i="22" l="1"/>
  <c r="C2077" i="22"/>
  <c r="D2077" i="22" s="1"/>
  <c r="G2077" i="22" s="1"/>
  <c r="H2077" i="22" l="1"/>
  <c r="J2077" i="22" l="1"/>
  <c r="C2078" i="22"/>
  <c r="D2078" i="22" s="1"/>
  <c r="G2078" i="22" s="1"/>
  <c r="H2078" i="22" l="1"/>
  <c r="J2078" i="22" l="1"/>
  <c r="C2079" i="22"/>
  <c r="D2079" i="22" s="1"/>
  <c r="G2079" i="22" s="1"/>
  <c r="H2079" i="22" l="1"/>
  <c r="J2079" i="22" l="1"/>
  <c r="C2080" i="22"/>
  <c r="D2080" i="22" s="1"/>
  <c r="G2080" i="22" s="1"/>
  <c r="H2080" i="22" l="1"/>
  <c r="C2081" i="22" l="1"/>
  <c r="D2081" i="22" s="1"/>
  <c r="G2081" i="22" s="1"/>
  <c r="J2080" i="22"/>
  <c r="H2081" i="22" l="1"/>
  <c r="J2081" i="22" l="1"/>
  <c r="C2082" i="22"/>
  <c r="D2082" i="22" s="1"/>
  <c r="G2082" i="22" s="1"/>
  <c r="H2082" i="22" l="1"/>
  <c r="J2082" i="22" l="1"/>
  <c r="C2083" i="22"/>
  <c r="D2083" i="22" s="1"/>
  <c r="G2083" i="22" s="1"/>
  <c r="H2083" i="22" l="1"/>
  <c r="J2083" i="22" l="1"/>
  <c r="C2084" i="22"/>
  <c r="D2084" i="22" s="1"/>
  <c r="G2084" i="22" s="1"/>
  <c r="H2084" i="22" l="1"/>
  <c r="J2084" i="22" l="1"/>
  <c r="C2085" i="22"/>
  <c r="D2085" i="22" s="1"/>
  <c r="G2085" i="22" s="1"/>
  <c r="H2085" i="22" l="1"/>
  <c r="J2085" i="22" l="1"/>
  <c r="C2086" i="22"/>
  <c r="D2086" i="22" s="1"/>
  <c r="G2086" i="22" s="1"/>
  <c r="H2086" i="22" l="1"/>
  <c r="J2086" i="22" l="1"/>
  <c r="C2087" i="22"/>
  <c r="D2087" i="22" s="1"/>
  <c r="G2087" i="22" s="1"/>
  <c r="H2087" i="22" l="1"/>
  <c r="J2087" i="22" l="1"/>
  <c r="C2088" i="22"/>
  <c r="D2088" i="22" s="1"/>
  <c r="G2088" i="22" s="1"/>
  <c r="H2088" i="22" l="1"/>
  <c r="C2089" i="22" l="1"/>
  <c r="D2089" i="22" s="1"/>
  <c r="G2089" i="22" s="1"/>
  <c r="J2088" i="22"/>
  <c r="H2089" i="22" l="1"/>
  <c r="J2089" i="22" l="1"/>
  <c r="C2090" i="22"/>
  <c r="D2090" i="22" s="1"/>
  <c r="G2090" i="22" s="1"/>
  <c r="H2090" i="22" l="1"/>
  <c r="J2090" i="22" l="1"/>
  <c r="C2091" i="22"/>
  <c r="D2091" i="22" s="1"/>
  <c r="G2091" i="22" s="1"/>
  <c r="H2091" i="22" l="1"/>
  <c r="J2091" i="22" l="1"/>
  <c r="C2092" i="22"/>
  <c r="D2092" i="22" s="1"/>
  <c r="G2092" i="22" s="1"/>
  <c r="H2092" i="22" l="1"/>
  <c r="J2092" i="22" l="1"/>
  <c r="C2093" i="22"/>
  <c r="D2093" i="22" s="1"/>
  <c r="G2093" i="22" s="1"/>
  <c r="H2093" i="22" l="1"/>
  <c r="J2093" i="22" l="1"/>
  <c r="C2094" i="22"/>
  <c r="D2094" i="22" s="1"/>
  <c r="G2094" i="22" s="1"/>
  <c r="H2094" i="22" l="1"/>
  <c r="J2094" i="22" l="1"/>
  <c r="C2095" i="22"/>
  <c r="D2095" i="22" s="1"/>
  <c r="G2095" i="22" s="1"/>
  <c r="H2095" i="22" l="1"/>
  <c r="J2095" i="22" l="1"/>
  <c r="C2096" i="22"/>
  <c r="D2096" i="22" s="1"/>
  <c r="G2096" i="22" s="1"/>
  <c r="H2096" i="22" l="1"/>
  <c r="C2097" i="22" l="1"/>
  <c r="D2097" i="22" s="1"/>
  <c r="G2097" i="22" s="1"/>
  <c r="J2096" i="22"/>
  <c r="H2097" i="22" l="1"/>
  <c r="J2097" i="22" l="1"/>
  <c r="C2098" i="22"/>
  <c r="D2098" i="22" s="1"/>
  <c r="G2098" i="22" s="1"/>
  <c r="H2098" i="22" l="1"/>
  <c r="J2098" i="22" l="1"/>
  <c r="C2099" i="22"/>
  <c r="D2099" i="22" s="1"/>
  <c r="G2099" i="22" s="1"/>
  <c r="H2099" i="22" l="1"/>
  <c r="J2099" i="22" l="1"/>
  <c r="C2100" i="22"/>
  <c r="D2100" i="22" s="1"/>
  <c r="G2100" i="22" s="1"/>
  <c r="H2100" i="22" l="1"/>
  <c r="J2100" i="22" l="1"/>
  <c r="C2101" i="22"/>
  <c r="D2101" i="22" s="1"/>
  <c r="G2101" i="22" s="1"/>
  <c r="H2101" i="22" l="1"/>
  <c r="J2101" i="22" l="1"/>
  <c r="C2102" i="22"/>
  <c r="D2102" i="22" s="1"/>
  <c r="G2102" i="22" s="1"/>
  <c r="H2102" i="22" l="1"/>
  <c r="J2102" i="22" l="1"/>
  <c r="C2103" i="22"/>
  <c r="D2103" i="22" s="1"/>
  <c r="G2103" i="22" s="1"/>
  <c r="H2103" i="22" l="1"/>
  <c r="J2103" i="22" l="1"/>
  <c r="C2104" i="22"/>
  <c r="D2104" i="22" s="1"/>
  <c r="G2104" i="22" s="1"/>
  <c r="H2104" i="22" l="1"/>
  <c r="C2105" i="22" l="1"/>
  <c r="D2105" i="22" s="1"/>
  <c r="G2105" i="22" s="1"/>
  <c r="J2104" i="22"/>
  <c r="H2105" i="22" l="1"/>
  <c r="J2105" i="22" l="1"/>
  <c r="C2106" i="22"/>
  <c r="D2106" i="22" s="1"/>
  <c r="G2106" i="22" s="1"/>
  <c r="H2106" i="22" l="1"/>
  <c r="J2106" i="22" l="1"/>
  <c r="C2107" i="22"/>
  <c r="D2107" i="22" s="1"/>
  <c r="G2107" i="22" s="1"/>
  <c r="H2107" i="22" l="1"/>
  <c r="J2107" i="22" l="1"/>
  <c r="C2108" i="22"/>
  <c r="D2108" i="22" s="1"/>
  <c r="G2108" i="22" s="1"/>
  <c r="H2108" i="22" l="1"/>
  <c r="J2108" i="22" l="1"/>
  <c r="C2109" i="22"/>
  <c r="D2109" i="22" s="1"/>
  <c r="G2109" i="22" s="1"/>
  <c r="H2109" i="22" l="1"/>
  <c r="J2109" i="22" l="1"/>
  <c r="C2110" i="22"/>
  <c r="D2110" i="22" s="1"/>
  <c r="G2110" i="22" s="1"/>
  <c r="H2110" i="22" l="1"/>
  <c r="J2110" i="22" l="1"/>
  <c r="C2111" i="22"/>
  <c r="D2111" i="22" s="1"/>
  <c r="G2111" i="22" s="1"/>
  <c r="H2111" i="22" l="1"/>
  <c r="J2111" i="22" l="1"/>
  <c r="C2112" i="22"/>
  <c r="D2112" i="22" s="1"/>
  <c r="G2112" i="22" s="1"/>
  <c r="H2112" i="22" l="1"/>
  <c r="C2113" i="22" l="1"/>
  <c r="D2113" i="22" s="1"/>
  <c r="G2113" i="22" s="1"/>
  <c r="J2112" i="22"/>
  <c r="H2113" i="22" l="1"/>
  <c r="J2113" i="22" l="1"/>
  <c r="C2114" i="22"/>
  <c r="D2114" i="22" s="1"/>
  <c r="G2114" i="22" s="1"/>
  <c r="H2114" i="22" l="1"/>
  <c r="J2114" i="22" l="1"/>
  <c r="C2115" i="22"/>
  <c r="D2115" i="22" s="1"/>
  <c r="G2115" i="22" s="1"/>
  <c r="H2115" i="22" l="1"/>
  <c r="J2115" i="22" l="1"/>
  <c r="C2116" i="22"/>
  <c r="D2116" i="22" s="1"/>
  <c r="G2116" i="22" s="1"/>
  <c r="H2116" i="22" l="1"/>
  <c r="J2116" i="22" l="1"/>
  <c r="C2117" i="22"/>
  <c r="D2117" i="22" s="1"/>
  <c r="G2117" i="22" s="1"/>
  <c r="H2117" i="22" l="1"/>
  <c r="J2117" i="22" l="1"/>
  <c r="C2118" i="22"/>
  <c r="D2118" i="22" s="1"/>
  <c r="G2118" i="22" s="1"/>
  <c r="H2118" i="22" l="1"/>
  <c r="C2119" i="22" l="1"/>
  <c r="D2119" i="22" s="1"/>
  <c r="G2119" i="22" s="1"/>
  <c r="J2118" i="22"/>
  <c r="H2119" i="22" l="1"/>
  <c r="J2119" i="22" l="1"/>
  <c r="C2120" i="22"/>
  <c r="D2120" i="22" s="1"/>
  <c r="G2120" i="22" s="1"/>
  <c r="H2120" i="22" l="1"/>
  <c r="C2121" i="22" l="1"/>
  <c r="D2121" i="22" s="1"/>
  <c r="G2121" i="22" s="1"/>
  <c r="J2120" i="22"/>
  <c r="H2121" i="22" l="1"/>
  <c r="J2121" i="22" l="1"/>
  <c r="C2122" i="22"/>
  <c r="D2122" i="22" s="1"/>
  <c r="G2122" i="22" s="1"/>
  <c r="H2122" i="22" l="1"/>
  <c r="J2122" i="22" l="1"/>
  <c r="C2123" i="22"/>
  <c r="D2123" i="22" s="1"/>
  <c r="G2123" i="22" s="1"/>
  <c r="H2123" i="22" l="1"/>
  <c r="J2123" i="22" l="1"/>
  <c r="C2124" i="22"/>
  <c r="D2124" i="22" s="1"/>
  <c r="G2124" i="22" s="1"/>
  <c r="H2124" i="22" l="1"/>
  <c r="J2124" i="22" l="1"/>
  <c r="C2125" i="22"/>
  <c r="D2125" i="22" s="1"/>
  <c r="G2125" i="22" s="1"/>
  <c r="H2125" i="22" l="1"/>
  <c r="J2125" i="22" l="1"/>
  <c r="C2126" i="22"/>
  <c r="D2126" i="22" s="1"/>
  <c r="G2126" i="22" s="1"/>
  <c r="H2126" i="22" l="1"/>
  <c r="C2127" i="22" l="1"/>
  <c r="D2127" i="22" s="1"/>
  <c r="G2127" i="22" s="1"/>
  <c r="J2126" i="22"/>
  <c r="H2127" i="22" l="1"/>
  <c r="J2127" i="22" l="1"/>
  <c r="C2128" i="22"/>
  <c r="D2128" i="22" s="1"/>
  <c r="G2128" i="22" s="1"/>
  <c r="H2128" i="22" l="1"/>
  <c r="C2129" i="22" l="1"/>
  <c r="D2129" i="22" s="1"/>
  <c r="G2129" i="22" s="1"/>
  <c r="J2128" i="22"/>
  <c r="H2129" i="22" l="1"/>
  <c r="C2130" i="22" l="1"/>
  <c r="D2130" i="22" s="1"/>
  <c r="G2130" i="22" s="1"/>
  <c r="J2129" i="22"/>
  <c r="H2130" i="22" l="1"/>
  <c r="J2130" i="22" l="1"/>
  <c r="C2131" i="22"/>
  <c r="D2131" i="22" s="1"/>
  <c r="G2131" i="22" s="1"/>
  <c r="H2131" i="22" l="1"/>
  <c r="J2131" i="22" l="1"/>
  <c r="C2132" i="22"/>
  <c r="D2132" i="22" s="1"/>
  <c r="G2132" i="22" s="1"/>
  <c r="H2132" i="22" l="1"/>
  <c r="J2132" i="22" l="1"/>
  <c r="C2133" i="22"/>
  <c r="D2133" i="22" s="1"/>
  <c r="G2133" i="22" s="1"/>
  <c r="H2133" i="22" l="1"/>
  <c r="J2133" i="22" l="1"/>
  <c r="C2134" i="22"/>
  <c r="D2134" i="22" s="1"/>
  <c r="G2134" i="22" s="1"/>
  <c r="H2134" i="22" l="1"/>
  <c r="C2135" i="22" l="1"/>
  <c r="D2135" i="22" s="1"/>
  <c r="G2135" i="22" s="1"/>
  <c r="J2134" i="22"/>
  <c r="H2135" i="22" l="1"/>
  <c r="J2135" i="22" l="1"/>
  <c r="C2136" i="22"/>
  <c r="D2136" i="22" s="1"/>
  <c r="G2136" i="22" s="1"/>
  <c r="H2136" i="22" l="1"/>
  <c r="C2137" i="22" l="1"/>
  <c r="D2137" i="22" s="1"/>
  <c r="G2137" i="22" s="1"/>
  <c r="J2136" i="22"/>
  <c r="H2137" i="22" l="1"/>
  <c r="C2138" i="22" l="1"/>
  <c r="D2138" i="22" s="1"/>
  <c r="G2138" i="22" s="1"/>
  <c r="J2137" i="22"/>
  <c r="H2138" i="22" l="1"/>
  <c r="J2138" i="22" l="1"/>
  <c r="C2139" i="22"/>
  <c r="D2139" i="22" s="1"/>
  <c r="G2139" i="22" s="1"/>
  <c r="H2139" i="22" l="1"/>
  <c r="J2139" i="22" l="1"/>
  <c r="C2140" i="22"/>
  <c r="D2140" i="22" s="1"/>
  <c r="G2140" i="22" s="1"/>
  <c r="H2140" i="22" l="1"/>
  <c r="J2140" i="22" l="1"/>
  <c r="C2141" i="22"/>
  <c r="D2141" i="22" s="1"/>
  <c r="G2141" i="22" s="1"/>
  <c r="H2141" i="22" l="1"/>
  <c r="J2141" i="22" l="1"/>
  <c r="C2142" i="22"/>
  <c r="D2142" i="22" s="1"/>
  <c r="G2142" i="22" s="1"/>
  <c r="H2142" i="22" l="1"/>
  <c r="C2143" i="22" l="1"/>
  <c r="D2143" i="22" s="1"/>
  <c r="G2143" i="22" s="1"/>
  <c r="J2142" i="22"/>
  <c r="H2143" i="22" l="1"/>
  <c r="C2144" i="22" l="1"/>
  <c r="D2144" i="22" s="1"/>
  <c r="G2144" i="22" s="1"/>
  <c r="J2143" i="22"/>
  <c r="H2144" i="22" l="1"/>
  <c r="C2145" i="22" l="1"/>
  <c r="D2145" i="22" s="1"/>
  <c r="G2145" i="22" s="1"/>
  <c r="J2144" i="22"/>
  <c r="H2145" i="22" l="1"/>
  <c r="C2146" i="22" l="1"/>
  <c r="D2146" i="22" s="1"/>
  <c r="G2146" i="22" s="1"/>
  <c r="J2145" i="22"/>
  <c r="H2146" i="22" l="1"/>
  <c r="J2146" i="22" l="1"/>
  <c r="C2147" i="22"/>
  <c r="D2147" i="22" s="1"/>
  <c r="G2147" i="22" s="1"/>
  <c r="H2147" i="22" l="1"/>
  <c r="C2148" i="22" l="1"/>
  <c r="D2148" i="22" s="1"/>
  <c r="G2148" i="22" s="1"/>
  <c r="J2147" i="22"/>
  <c r="H2148" i="22" l="1"/>
  <c r="J2148" i="22" l="1"/>
  <c r="C2149" i="22"/>
  <c r="D2149" i="22" s="1"/>
  <c r="G2149" i="22" s="1"/>
  <c r="H2149" i="22" l="1"/>
  <c r="J2149" i="22" l="1"/>
  <c r="C2150" i="22"/>
  <c r="D2150" i="22" s="1"/>
  <c r="G2150" i="22" s="1"/>
  <c r="H2150" i="22" l="1"/>
  <c r="J2150" i="22" l="1"/>
  <c r="C2151" i="22"/>
  <c r="D2151" i="22" s="1"/>
  <c r="G2151" i="22" s="1"/>
  <c r="H2151" i="22" l="1"/>
  <c r="C2152" i="22" l="1"/>
  <c r="D2152" i="22" s="1"/>
  <c r="G2152" i="22" s="1"/>
  <c r="J2151" i="22"/>
  <c r="H2152" i="22" l="1"/>
  <c r="C2153" i="22" l="1"/>
  <c r="D2153" i="22" s="1"/>
  <c r="G2153" i="22" s="1"/>
  <c r="J2152" i="22"/>
  <c r="H2153" i="22" l="1"/>
  <c r="J2153" i="22" l="1"/>
  <c r="C2154" i="22"/>
  <c r="D2154" i="22" s="1"/>
  <c r="G2154" i="22" s="1"/>
  <c r="H2154" i="22" l="1"/>
  <c r="J2154" i="22" l="1"/>
  <c r="C2155" i="22"/>
  <c r="D2155" i="22" s="1"/>
  <c r="G2155" i="22" s="1"/>
  <c r="H2155" i="22" l="1"/>
  <c r="J2155" i="22" l="1"/>
  <c r="C2156" i="22"/>
  <c r="D2156" i="22" s="1"/>
  <c r="G2156" i="22" s="1"/>
  <c r="H2156" i="22" l="1"/>
  <c r="J2156" i="22" l="1"/>
  <c r="C2157" i="22"/>
  <c r="D2157" i="22" s="1"/>
  <c r="G2157" i="22" s="1"/>
  <c r="H2157" i="22" l="1"/>
  <c r="J2157" i="22" l="1"/>
  <c r="C2158" i="22"/>
  <c r="D2158" i="22" s="1"/>
  <c r="G2158" i="22" s="1"/>
  <c r="H2158" i="22" l="1"/>
  <c r="J2158" i="22" l="1"/>
  <c r="C2159" i="22"/>
  <c r="D2159" i="22" s="1"/>
  <c r="G2159" i="22" s="1"/>
  <c r="H2159" i="22" l="1"/>
  <c r="C2160" i="22" l="1"/>
  <c r="D2160" i="22" s="1"/>
  <c r="G2160" i="22" s="1"/>
  <c r="J2159" i="22"/>
  <c r="H2160" i="22" l="1"/>
  <c r="J2160" i="22" l="1"/>
  <c r="C2161" i="22"/>
  <c r="D2161" i="22" s="1"/>
  <c r="G2161" i="22" s="1"/>
  <c r="H2161" i="22" l="1"/>
  <c r="J2161" i="22" l="1"/>
  <c r="C2162" i="22"/>
  <c r="D2162" i="22" s="1"/>
  <c r="G2162" i="22" s="1"/>
  <c r="H2162" i="22" l="1"/>
  <c r="C2163" i="22" l="1"/>
  <c r="D2163" i="22" s="1"/>
  <c r="G2163" i="22" s="1"/>
  <c r="J2162" i="22"/>
  <c r="H2163" i="22" l="1"/>
  <c r="J2163" i="22" l="1"/>
  <c r="C2164" i="22"/>
  <c r="D2164" i="22" s="1"/>
  <c r="G2164" i="22" s="1"/>
  <c r="H2164" i="22" l="1"/>
  <c r="J2164" i="22" l="1"/>
  <c r="C2165" i="22"/>
  <c r="D2165" i="22" s="1"/>
  <c r="G2165" i="22" s="1"/>
  <c r="H2165" i="22" l="1"/>
  <c r="J2165" i="22" l="1"/>
  <c r="C2166" i="22"/>
  <c r="D2166" i="22" s="1"/>
  <c r="G2166" i="22" s="1"/>
  <c r="H2166" i="22" l="1"/>
  <c r="J2166" i="22" l="1"/>
  <c r="C2167" i="22"/>
  <c r="D2167" i="22" s="1"/>
  <c r="G2167" i="22" s="1"/>
  <c r="H2167" i="22" l="1"/>
  <c r="C2168" i="22" l="1"/>
  <c r="D2168" i="22" s="1"/>
  <c r="G2168" i="22" s="1"/>
  <c r="J2167" i="22"/>
  <c r="H2168" i="22" l="1"/>
  <c r="J2168" i="22" l="1"/>
  <c r="C2169" i="22"/>
  <c r="D2169" i="22" s="1"/>
  <c r="G2169" i="22" s="1"/>
  <c r="H2169" i="22" l="1"/>
  <c r="J2169" i="22" l="1"/>
  <c r="C2170" i="22"/>
  <c r="D2170" i="22" s="1"/>
  <c r="G2170" i="22" s="1"/>
  <c r="H2170" i="22" l="1"/>
  <c r="C2171" i="22" l="1"/>
  <c r="D2171" i="22" s="1"/>
  <c r="G2171" i="22" s="1"/>
  <c r="J2170" i="22"/>
  <c r="H2171" i="22" l="1"/>
  <c r="J2171" i="22" l="1"/>
  <c r="C2172" i="22"/>
  <c r="D2172" i="22" s="1"/>
  <c r="G2172" i="22" s="1"/>
  <c r="H2172" i="22" l="1"/>
  <c r="J2172" i="22" l="1"/>
  <c r="C2173" i="22"/>
  <c r="D2173" i="22" s="1"/>
  <c r="G2173" i="22" s="1"/>
  <c r="H2173" i="22" l="1"/>
  <c r="J2173" i="22" l="1"/>
  <c r="C2174" i="22"/>
  <c r="D2174" i="22" s="1"/>
  <c r="G2174" i="22" s="1"/>
  <c r="H2174" i="22" l="1"/>
  <c r="J2174" i="22" l="1"/>
  <c r="C2175" i="22"/>
  <c r="D2175" i="22" s="1"/>
  <c r="G2175" i="22" s="1"/>
  <c r="H2175" i="22" l="1"/>
  <c r="C2176" i="22" l="1"/>
  <c r="D2176" i="22" s="1"/>
  <c r="G2176" i="22" s="1"/>
  <c r="J2175" i="22"/>
  <c r="H2176" i="22" l="1"/>
  <c r="J2176" i="22" l="1"/>
  <c r="C2177" i="22"/>
  <c r="D2177" i="22" s="1"/>
  <c r="G2177" i="22" s="1"/>
  <c r="H2177" i="22" l="1"/>
  <c r="J2177" i="22" l="1"/>
  <c r="C2178" i="22"/>
  <c r="D2178" i="22" s="1"/>
  <c r="G2178" i="22" s="1"/>
  <c r="H2178" i="22" l="1"/>
  <c r="C2179" i="22" l="1"/>
  <c r="D2179" i="22" s="1"/>
  <c r="G2179" i="22" s="1"/>
  <c r="J2178" i="22"/>
  <c r="H2179" i="22" l="1"/>
  <c r="J2179" i="22" l="1"/>
  <c r="C2180" i="22"/>
  <c r="D2180" i="22" s="1"/>
  <c r="G2180" i="22" s="1"/>
  <c r="H2180" i="22" l="1"/>
  <c r="J2180" i="22" l="1"/>
  <c r="C2181" i="22"/>
  <c r="D2181" i="22" s="1"/>
  <c r="G2181" i="22" s="1"/>
  <c r="H2181" i="22" l="1"/>
  <c r="J2181" i="22" l="1"/>
  <c r="C2182" i="22"/>
  <c r="D2182" i="22" s="1"/>
  <c r="G2182" i="22" s="1"/>
  <c r="H2182" i="22" l="1"/>
  <c r="J2182" i="22" l="1"/>
  <c r="C2183" i="22"/>
  <c r="D2183" i="22" s="1"/>
  <c r="G2183" i="22" s="1"/>
  <c r="H2183" i="22" l="1"/>
  <c r="C2184" i="22" l="1"/>
  <c r="D2184" i="22" s="1"/>
  <c r="G2184" i="22" s="1"/>
  <c r="J2183" i="22"/>
  <c r="H2184" i="22" l="1"/>
  <c r="J2184" i="22" l="1"/>
  <c r="C2185" i="22"/>
  <c r="D2185" i="22" s="1"/>
  <c r="G2185" i="22" s="1"/>
  <c r="H2185" i="22" l="1"/>
  <c r="J2185" i="22" l="1"/>
  <c r="C2186" i="22"/>
  <c r="D2186" i="22" s="1"/>
  <c r="G2186" i="22" s="1"/>
  <c r="H2186" i="22" l="1"/>
  <c r="C2187" i="22" l="1"/>
  <c r="D2187" i="22" s="1"/>
  <c r="G2187" i="22" s="1"/>
  <c r="H2187" i="22" s="1"/>
  <c r="J2187" i="22" s="1"/>
  <c r="J2186" i="22"/>
  <c r="G23" i="20" l="1" a="1"/>
  <c r="G23" i="20" s="1"/>
  <c r="F38" i="19" a="1"/>
  <c r="F38" i="19" s="1"/>
  <c r="G45" i="20" l="1"/>
  <c r="G46" i="20"/>
  <c r="G43" i="20"/>
  <c r="G47" i="20" l="1"/>
  <c r="J33" i="19" l="1"/>
  <c r="K32" i="19" s="1"/>
  <c r="F36" i="19"/>
  <c r="F2" i="36" s="1"/>
  <c r="H36" i="19"/>
  <c r="F39" i="19" s="1"/>
  <c r="F37" i="19"/>
  <c r="H37" i="19"/>
  <c r="H40" i="19"/>
  <c r="H41" i="19"/>
  <c r="N25" i="25" l="1"/>
  <c r="N28" i="25" s="1"/>
  <c r="O25" i="25"/>
  <c r="N26" i="25"/>
  <c r="N27" i="25"/>
  <c r="D2" i="25" l="1"/>
  <c r="B6" i="36"/>
  <c r="D6" i="36" l="1"/>
  <c r="D6" i="25"/>
  <c r="D8" i="25" s="1"/>
  <c r="D9" i="36" l="1"/>
  <c r="D13" i="36" l="1"/>
  <c r="E9" i="36"/>
  <c r="E7" i="36" l="1"/>
  <c r="G7" i="36" s="1"/>
  <c r="E8" i="36"/>
  <c r="G8" i="36" s="1"/>
  <c r="E11" i="36"/>
  <c r="E13" i="36" s="1"/>
  <c r="E6" i="36"/>
  <c r="G6" i="36" s="1"/>
  <c r="G9" i="36" l="1"/>
  <c r="L6" i="36"/>
  <c r="H6" i="36"/>
  <c r="I6" i="36"/>
  <c r="J6" i="36" s="1"/>
  <c r="I8" i="36"/>
  <c r="J8" i="36" s="1"/>
  <c r="H8" i="36"/>
  <c r="H7" i="36"/>
  <c r="I7" i="36"/>
  <c r="J7" i="36" l="1"/>
  <c r="M6" i="36"/>
  <c r="N6" i="36"/>
  <c r="O6" i="36"/>
  <c r="I9" i="36"/>
  <c r="H9" i="36"/>
  <c r="H13" i="36" s="1"/>
  <c r="L9" i="36"/>
  <c r="G13" i="36"/>
  <c r="L13" i="36" l="1"/>
  <c r="M9" i="36"/>
  <c r="M13" i="36" s="1"/>
  <c r="N9" i="36"/>
  <c r="N13" i="36" s="1"/>
  <c r="O9" i="36"/>
  <c r="O13" i="36" s="1"/>
  <c r="J9" i="36"/>
  <c r="J13" i="36" s="1"/>
  <c r="I13" i="36"/>
  <c r="O24" i="25" l="1"/>
  <c r="O28" i="25"/>
  <c r="P28" i="25"/>
  <c r="L30" i="25"/>
  <c r="L31" i="25" s="1"/>
  <c r="L32" i="25" l="1"/>
  <c r="L33" i="25" l="1"/>
  <c r="L34" i="25"/>
  <c r="L36" i="25" s="1"/>
  <c r="L38" i="25" l="1"/>
  <c r="B18" i="25"/>
  <c r="B30" i="35" l="1"/>
  <c r="Q5" i="35" l="1"/>
  <c r="Q6" i="35"/>
  <c r="Q4" i="35"/>
  <c r="Q7" i="35"/>
  <c r="B31" i="35"/>
  <c r="Q8" i="35"/>
  <c r="Q32" i="35"/>
  <c r="Q9" i="35" l="1"/>
  <c r="Q33" i="35"/>
  <c r="B32" i="35"/>
  <c r="Q56" i="35"/>
  <c r="B33" i="35" l="1"/>
  <c r="Q34" i="35"/>
  <c r="Q10" i="35"/>
  <c r="Q11" i="35" l="1"/>
  <c r="Q35" i="35"/>
  <c r="B34" i="35"/>
  <c r="B35" i="35" l="1"/>
  <c r="Q36" i="35"/>
  <c r="Q12" i="35"/>
  <c r="Q13" i="35" l="1"/>
  <c r="Q37" i="35"/>
  <c r="B36" i="35"/>
  <c r="B37" i="35" l="1"/>
  <c r="Q38" i="35"/>
  <c r="Q14" i="35"/>
  <c r="Q15" i="35" l="1"/>
  <c r="Q39" i="35"/>
  <c r="B38" i="35"/>
  <c r="Q40" i="35" l="1"/>
  <c r="B39" i="35"/>
  <c r="Q16" i="35"/>
  <c r="Q17" i="35" l="1"/>
  <c r="Q41" i="35"/>
  <c r="B40" i="35"/>
  <c r="Q42" i="35" l="1"/>
  <c r="B41" i="35"/>
  <c r="Q18" i="35"/>
  <c r="B42" i="35" l="1"/>
  <c r="Q19" i="35"/>
  <c r="Q43" i="35"/>
  <c r="Q44" i="35" l="1"/>
  <c r="B43" i="35"/>
  <c r="Q20" i="35"/>
  <c r="Q21" i="35" l="1"/>
  <c r="Q45" i="35"/>
  <c r="B44" i="35"/>
  <c r="Q46" i="35" l="1"/>
  <c r="B45" i="35"/>
  <c r="Q22" i="35"/>
  <c r="Q23" i="35" l="1"/>
  <c r="B46" i="35"/>
  <c r="Q47" i="35"/>
  <c r="Q48" i="35" l="1"/>
  <c r="B47" i="35"/>
  <c r="Q24" i="35"/>
  <c r="Q25" i="35" l="1"/>
  <c r="Q49" i="35"/>
  <c r="B48" i="35"/>
  <c r="B49" i="35" l="1"/>
  <c r="Q50" i="35"/>
  <c r="Q26" i="35"/>
  <c r="Q27" i="35" l="1"/>
  <c r="Q51" i="35"/>
  <c r="B50" i="35"/>
  <c r="Q52" i="35" l="1"/>
  <c r="B51" i="35"/>
  <c r="Q28" i="35"/>
  <c r="Q29" i="35" l="1"/>
  <c r="B52" i="35"/>
  <c r="Q53" i="35"/>
  <c r="B53" i="35" l="1"/>
  <c r="E46" i="35"/>
  <c r="Q54" i="35"/>
  <c r="E50" i="35"/>
  <c r="E47" i="35"/>
  <c r="E45" i="35"/>
  <c r="E44" i="35"/>
  <c r="E48" i="35"/>
  <c r="D50" i="35"/>
  <c r="Q30" i="35"/>
  <c r="D52" i="35" l="1"/>
  <c r="Q31" i="35"/>
  <c r="D30" i="35"/>
  <c r="D32" i="35"/>
  <c r="D31" i="35"/>
  <c r="D36" i="35"/>
  <c r="D33" i="35"/>
  <c r="D34" i="35"/>
  <c r="D37" i="35"/>
  <c r="D40" i="35"/>
  <c r="D35" i="35"/>
  <c r="D41" i="35"/>
  <c r="D38" i="35"/>
  <c r="D44" i="35"/>
  <c r="D39" i="35"/>
  <c r="D42" i="35"/>
  <c r="D47" i="35"/>
  <c r="D51" i="35"/>
  <c r="D45" i="35"/>
  <c r="D49" i="35"/>
  <c r="D46" i="35"/>
  <c r="D43" i="35"/>
  <c r="D48" i="35"/>
  <c r="E52" i="35"/>
  <c r="D53" i="35"/>
  <c r="B54" i="35"/>
  <c r="E53" i="35"/>
  <c r="Q55" i="35"/>
  <c r="E30" i="35"/>
  <c r="E31" i="35"/>
  <c r="E32" i="35"/>
  <c r="E33" i="35"/>
  <c r="E34" i="35"/>
  <c r="E35" i="35"/>
  <c r="E36" i="35"/>
  <c r="E37" i="35"/>
  <c r="E39" i="35"/>
  <c r="E38" i="35"/>
  <c r="E43" i="35"/>
  <c r="E40" i="35"/>
  <c r="E41" i="35"/>
  <c r="E42" i="35"/>
  <c r="E49" i="35"/>
  <c r="E51" i="35"/>
  <c r="E54" i="35" l="1"/>
  <c r="B55" i="35"/>
  <c r="D54" i="35"/>
  <c r="E55" i="35" l="1"/>
  <c r="D55" i="35"/>
  <c r="B56" i="35"/>
  <c r="B57" i="35" l="1"/>
  <c r="E56" i="35"/>
  <c r="D56" i="35"/>
  <c r="D57" i="35" l="1"/>
  <c r="E57" i="35"/>
  <c r="B58" i="35"/>
  <c r="D58" i="35" l="1"/>
  <c r="B59" i="35"/>
  <c r="E58" i="35"/>
  <c r="B60" i="35" l="1"/>
  <c r="E59" i="35"/>
  <c r="D59" i="35"/>
  <c r="E60" i="35" l="1"/>
  <c r="D60" i="35"/>
  <c r="B61" i="35"/>
  <c r="B62" i="35" l="1"/>
  <c r="E61" i="35"/>
  <c r="D61" i="35"/>
  <c r="D62" i="35" l="1"/>
  <c r="E62" i="35"/>
  <c r="B63" i="35"/>
  <c r="B64" i="35" l="1"/>
  <c r="E63" i="35"/>
  <c r="D63" i="35"/>
  <c r="B65" i="35" l="1"/>
  <c r="E64" i="35"/>
  <c r="D64" i="35"/>
  <c r="B66" i="35" l="1"/>
  <c r="E65" i="35"/>
  <c r="D65" i="35"/>
  <c r="B67" i="35" l="1"/>
  <c r="E66" i="35"/>
  <c r="D66" i="35"/>
  <c r="D67" i="35" l="1"/>
  <c r="E67" i="35"/>
  <c r="B68" i="35"/>
  <c r="B69" i="35" l="1"/>
  <c r="D68" i="35"/>
  <c r="E68" i="35"/>
  <c r="B70" i="35" l="1"/>
  <c r="D69" i="35"/>
  <c r="E69" i="35"/>
  <c r="E70" i="35" l="1"/>
  <c r="B71" i="35"/>
  <c r="D70" i="35"/>
  <c r="B72" i="35" l="1"/>
  <c r="E71" i="35"/>
  <c r="D71" i="35"/>
  <c r="B73" i="35" l="1"/>
  <c r="E72" i="35"/>
  <c r="D72" i="35"/>
  <c r="B74" i="35" l="1"/>
  <c r="D73" i="35"/>
  <c r="E73" i="35"/>
  <c r="B75" i="35" l="1"/>
  <c r="E74" i="35"/>
  <c r="D74" i="35"/>
  <c r="D75" i="35" l="1"/>
  <c r="B76" i="35"/>
  <c r="E75" i="35"/>
  <c r="E76" i="35" l="1"/>
  <c r="B77" i="35"/>
  <c r="D76" i="35"/>
  <c r="B78" i="35" l="1"/>
  <c r="E77" i="35"/>
  <c r="D77" i="35"/>
  <c r="B79" i="35" l="1"/>
  <c r="E78" i="35"/>
  <c r="D78" i="35"/>
  <c r="E79" i="35" l="1"/>
  <c r="B80" i="35"/>
  <c r="D79" i="35"/>
  <c r="B81" i="35" l="1"/>
  <c r="D80" i="35"/>
  <c r="E80" i="35"/>
  <c r="B82" i="35" l="1"/>
  <c r="D81" i="35"/>
  <c r="E81" i="35"/>
  <c r="B83" i="35" l="1"/>
  <c r="E82" i="35"/>
  <c r="D82" i="35"/>
  <c r="D83" i="35" l="1"/>
  <c r="B84" i="35"/>
  <c r="E83" i="35"/>
  <c r="E84" i="35" l="1"/>
  <c r="B85" i="35"/>
  <c r="D84" i="35"/>
  <c r="B86" i="35" l="1"/>
  <c r="E85" i="35"/>
  <c r="D85" i="35"/>
  <c r="B87" i="35" l="1"/>
  <c r="E86" i="35"/>
  <c r="D86" i="35"/>
  <c r="E87" i="35" l="1"/>
  <c r="B88" i="35"/>
  <c r="D87" i="35"/>
  <c r="B89" i="35" l="1"/>
  <c r="E88" i="35"/>
  <c r="D88" i="35"/>
  <c r="E89" i="35" l="1"/>
  <c r="B90" i="35"/>
  <c r="D89" i="35"/>
  <c r="B91" i="35" l="1"/>
  <c r="E90" i="35"/>
  <c r="D90" i="35"/>
  <c r="D91" i="35" l="1"/>
  <c r="E91" i="35"/>
  <c r="B92" i="35"/>
  <c r="E92" i="35" l="1"/>
  <c r="B93" i="35"/>
  <c r="D92" i="35"/>
  <c r="B94" i="35" l="1"/>
  <c r="E93" i="35"/>
  <c r="D93" i="35"/>
  <c r="D94" i="35" l="1"/>
  <c r="B95" i="35"/>
  <c r="E94" i="35"/>
  <c r="B96" i="35" l="1"/>
  <c r="E95" i="35"/>
  <c r="D95" i="35"/>
  <c r="B97" i="35" l="1"/>
  <c r="D96" i="35"/>
  <c r="E96" i="35"/>
  <c r="B98" i="35" l="1"/>
  <c r="E97" i="35"/>
  <c r="D97" i="35"/>
  <c r="B99" i="35" l="1"/>
  <c r="E98" i="35"/>
  <c r="D98" i="35"/>
  <c r="D99" i="35" l="1"/>
  <c r="E99" i="35"/>
  <c r="B100" i="35"/>
  <c r="E100" i="35" l="1"/>
  <c r="B101" i="35"/>
  <c r="D100" i="35"/>
  <c r="E101" i="35" l="1"/>
  <c r="B102" i="35"/>
  <c r="D101" i="35"/>
  <c r="D102" i="35" l="1"/>
  <c r="B103" i="35"/>
  <c r="E102" i="35"/>
  <c r="B104" i="35" l="1"/>
  <c r="E103" i="35"/>
  <c r="D103" i="35"/>
  <c r="B105" i="35" l="1"/>
  <c r="E104" i="35"/>
  <c r="D104" i="35"/>
  <c r="E105" i="35" l="1"/>
  <c r="B106" i="35"/>
  <c r="D105" i="35"/>
  <c r="B107" i="35" l="1"/>
  <c r="E106" i="35"/>
  <c r="D106" i="35"/>
  <c r="D107" i="35" l="1"/>
  <c r="E107" i="35"/>
  <c r="B108" i="35"/>
  <c r="E108" i="35" l="1"/>
  <c r="B109" i="35"/>
  <c r="D108" i="35"/>
  <c r="B110" i="35" l="1"/>
  <c r="E109" i="35"/>
  <c r="D109" i="35"/>
  <c r="E110" i="35" l="1"/>
  <c r="D110" i="35"/>
  <c r="B111" i="35"/>
  <c r="B112" i="35" l="1"/>
  <c r="E111" i="35"/>
  <c r="D111" i="35"/>
  <c r="B113" i="35" l="1"/>
  <c r="D112" i="35"/>
  <c r="E112" i="35"/>
  <c r="B114" i="35" l="1"/>
  <c r="E113" i="35"/>
  <c r="D113" i="35"/>
  <c r="B115" i="35" l="1"/>
  <c r="E114" i="35"/>
  <c r="D114" i="35"/>
  <c r="D115" i="35" l="1"/>
  <c r="E115" i="35"/>
  <c r="B116" i="35"/>
  <c r="E116" i="35" l="1"/>
  <c r="B117" i="35"/>
  <c r="D116" i="35"/>
  <c r="B118" i="35" l="1"/>
  <c r="E117" i="35"/>
  <c r="D117" i="35"/>
  <c r="E118" i="35" l="1"/>
  <c r="D118" i="35"/>
  <c r="B119" i="35"/>
  <c r="B120" i="35" l="1"/>
  <c r="E119" i="35"/>
  <c r="D119" i="35"/>
  <c r="B121" i="35" l="1"/>
  <c r="E120" i="35"/>
  <c r="D120" i="35"/>
  <c r="E121" i="35" l="1"/>
  <c r="D121" i="35"/>
  <c r="B122" i="35"/>
  <c r="D122" i="35" l="1"/>
  <c r="B123" i="35"/>
  <c r="E122" i="35"/>
  <c r="D123" i="35" l="1"/>
  <c r="B124" i="35"/>
  <c r="E123" i="35"/>
  <c r="E124" i="35" l="1"/>
  <c r="D124" i="35"/>
  <c r="B125" i="35"/>
  <c r="B126" i="35" l="1"/>
  <c r="E125" i="35"/>
  <c r="D125" i="35"/>
  <c r="D126" i="35" l="1"/>
  <c r="B127" i="35"/>
  <c r="E126" i="35"/>
  <c r="B128" i="35" l="1"/>
  <c r="E127" i="35"/>
  <c r="D127" i="35"/>
  <c r="B129" i="35" l="1"/>
  <c r="D128" i="35"/>
  <c r="E128" i="35"/>
  <c r="B130" i="35" l="1"/>
  <c r="E129" i="35"/>
  <c r="D129" i="35"/>
  <c r="B131" i="35" l="1"/>
  <c r="E130" i="35"/>
  <c r="D130" i="35"/>
  <c r="E131" i="35" l="1"/>
  <c r="D131" i="35"/>
  <c r="B132" i="35"/>
  <c r="E132" i="35" l="1"/>
  <c r="B133" i="35"/>
  <c r="D132" i="35"/>
  <c r="D133" i="35" l="1"/>
  <c r="B134" i="35"/>
  <c r="E133" i="35"/>
  <c r="B135" i="35" l="1"/>
  <c r="E134" i="35"/>
  <c r="D134" i="35"/>
  <c r="D135" i="35" l="1"/>
  <c r="B136" i="35"/>
  <c r="E135" i="35"/>
  <c r="D136" i="35" l="1"/>
  <c r="E136" i="35"/>
  <c r="B137" i="35"/>
  <c r="E137" i="35" l="1"/>
  <c r="D137" i="35"/>
  <c r="B138" i="35"/>
  <c r="E138" i="35" l="1"/>
  <c r="B139" i="35"/>
  <c r="D138" i="35"/>
  <c r="D139" i="35" l="1"/>
  <c r="E139" i="35"/>
  <c r="B140" i="35"/>
  <c r="B141" i="35" l="1"/>
  <c r="D140" i="35"/>
  <c r="E140" i="35"/>
  <c r="B142" i="35" l="1"/>
  <c r="E141" i="35"/>
  <c r="D141" i="35"/>
  <c r="E142" i="35" l="1"/>
  <c r="D142" i="35"/>
  <c r="B143" i="35"/>
  <c r="E143" i="35" l="1"/>
  <c r="B144" i="35"/>
  <c r="D143" i="35"/>
  <c r="B145" i="35" l="1"/>
  <c r="E144" i="35"/>
  <c r="D144" i="35"/>
  <c r="E145" i="35" l="1"/>
  <c r="D145" i="35"/>
  <c r="B146" i="35"/>
  <c r="B147" i="35" l="1"/>
  <c r="E146" i="35"/>
  <c r="D146" i="35"/>
  <c r="E147" i="35" l="1"/>
  <c r="B148" i="35"/>
  <c r="D147" i="35"/>
  <c r="D148" i="35" l="1"/>
  <c r="E148" i="35"/>
  <c r="B149" i="35"/>
  <c r="D149" i="35" l="1"/>
  <c r="E149" i="35"/>
  <c r="B150" i="35"/>
  <c r="B151" i="35" l="1"/>
  <c r="E150" i="35"/>
  <c r="D150" i="35"/>
  <c r="B152" i="35" l="1"/>
  <c r="D151" i="35"/>
  <c r="E151" i="35"/>
  <c r="B153" i="35" l="1"/>
  <c r="D152" i="35"/>
  <c r="E152" i="35"/>
  <c r="D153" i="35" l="1"/>
  <c r="B154" i="35"/>
  <c r="E153" i="35"/>
  <c r="E154" i="35" l="1"/>
  <c r="D154" i="35"/>
  <c r="B155" i="35"/>
  <c r="E155" i="35" l="1"/>
  <c r="D155" i="35"/>
  <c r="B156" i="35"/>
  <c r="E156" i="35" l="1"/>
  <c r="D156" i="35"/>
  <c r="B157" i="35"/>
  <c r="B158" i="35" l="1"/>
  <c r="E157" i="35"/>
  <c r="D157" i="35"/>
  <c r="E158" i="35" l="1"/>
  <c r="B159" i="35"/>
  <c r="D158" i="35"/>
  <c r="B160" i="35" l="1"/>
  <c r="D159" i="35"/>
  <c r="E159" i="35"/>
  <c r="E160" i="35" l="1"/>
  <c r="D160" i="35"/>
  <c r="B161" i="35"/>
  <c r="E161" i="35" l="1"/>
  <c r="B162" i="35"/>
  <c r="D161" i="35"/>
  <c r="B163" i="35" l="1"/>
  <c r="E162" i="35"/>
  <c r="D162" i="35"/>
  <c r="B164" i="35" l="1"/>
  <c r="E163" i="35"/>
  <c r="D163" i="35"/>
  <c r="B165" i="35" l="1"/>
  <c r="D164" i="35"/>
  <c r="E164" i="35"/>
  <c r="D165" i="35" l="1"/>
  <c r="E165" i="35"/>
  <c r="B166" i="35"/>
  <c r="E166" i="35" l="1"/>
  <c r="D166" i="35"/>
  <c r="B167" i="35"/>
  <c r="E167" i="35" l="1"/>
  <c r="D167" i="35"/>
  <c r="B168" i="35"/>
  <c r="E168" i="35" l="1"/>
  <c r="D168" i="35"/>
  <c r="B169" i="35"/>
  <c r="B170" i="35" l="1"/>
  <c r="E169" i="35"/>
  <c r="D169" i="35"/>
  <c r="D170" i="35" l="1"/>
  <c r="B171" i="35"/>
  <c r="E170" i="35"/>
  <c r="B172" i="35" l="1"/>
  <c r="D171" i="35"/>
  <c r="E171" i="35"/>
  <c r="E172" i="35" l="1"/>
  <c r="D172" i="35"/>
  <c r="B173" i="35"/>
  <c r="B174" i="35" l="1"/>
  <c r="E173" i="35"/>
  <c r="D173" i="35"/>
  <c r="E174" i="35" l="1"/>
  <c r="B175" i="35"/>
  <c r="D174" i="35"/>
  <c r="B176" i="35" l="1"/>
  <c r="E175" i="35"/>
  <c r="D175" i="35"/>
  <c r="B177" i="35" l="1"/>
  <c r="E176" i="35"/>
  <c r="D176" i="35"/>
  <c r="D177" i="35" l="1"/>
  <c r="E177" i="35"/>
  <c r="B178" i="35"/>
  <c r="B179" i="35" l="1"/>
  <c r="E178" i="35"/>
  <c r="D178" i="35"/>
  <c r="E179" i="35" l="1"/>
  <c r="D179" i="35"/>
  <c r="B180" i="35"/>
  <c r="B181" i="35" l="1"/>
  <c r="E180" i="35"/>
  <c r="D180" i="35"/>
  <c r="D181" i="35" l="1"/>
  <c r="B182" i="35"/>
  <c r="E181" i="35"/>
  <c r="D182" i="35" l="1"/>
  <c r="B183" i="35"/>
  <c r="E182" i="35"/>
  <c r="D183" i="35" l="1"/>
  <c r="B184" i="35"/>
  <c r="E183" i="35"/>
  <c r="E184" i="35" l="1"/>
  <c r="D184" i="35"/>
  <c r="B185" i="35"/>
  <c r="B186" i="35" l="1"/>
  <c r="E185" i="35"/>
  <c r="D185" i="35"/>
  <c r="B187" i="35" l="1"/>
  <c r="E186" i="35"/>
  <c r="D186" i="35"/>
  <c r="B188" i="35" l="1"/>
  <c r="E187" i="35"/>
  <c r="D187" i="35"/>
  <c r="B189" i="35" l="1"/>
  <c r="D188" i="35"/>
  <c r="E188" i="35"/>
  <c r="E189" i="35" l="1"/>
  <c r="D189" i="35"/>
  <c r="B190" i="35"/>
  <c r="E190" i="35" l="1"/>
  <c r="D190" i="35"/>
  <c r="B191" i="35"/>
  <c r="E191" i="35" l="1"/>
  <c r="B192" i="35"/>
  <c r="D191" i="35"/>
  <c r="B193" i="35" l="1"/>
  <c r="D192" i="35"/>
  <c r="E192" i="35"/>
  <c r="B194" i="35" l="1"/>
  <c r="D193" i="35"/>
  <c r="E193" i="35"/>
  <c r="B195" i="35" l="1"/>
  <c r="D194" i="35"/>
  <c r="E194" i="35"/>
  <c r="E195" i="35" l="1"/>
  <c r="D195" i="35"/>
  <c r="B196" i="35"/>
  <c r="E196" i="35" l="1"/>
  <c r="D196" i="35"/>
  <c r="B197" i="35"/>
  <c r="D197" i="35" l="1"/>
  <c r="E197" i="35"/>
  <c r="B198" i="35"/>
  <c r="B199" i="35" l="1"/>
  <c r="E198" i="35"/>
  <c r="D198" i="35"/>
  <c r="B200" i="35" l="1"/>
  <c r="E199" i="35"/>
  <c r="D199" i="35"/>
  <c r="B201" i="35" l="1"/>
  <c r="D200" i="35"/>
  <c r="E200" i="35"/>
  <c r="E201" i="35" l="1"/>
  <c r="D201" i="35"/>
  <c r="B202" i="35"/>
  <c r="B203" i="35" l="1"/>
  <c r="D202" i="35"/>
  <c r="E202" i="35"/>
  <c r="E203" i="35" l="1"/>
  <c r="D203" i="35"/>
  <c r="B204" i="35"/>
  <c r="B205" i="35" l="1"/>
  <c r="E204" i="35"/>
  <c r="D204" i="35"/>
  <c r="B206" i="35" l="1"/>
  <c r="E205" i="35"/>
  <c r="D205" i="35"/>
  <c r="E206" i="35" l="1"/>
  <c r="D206" i="35"/>
  <c r="B207" i="35"/>
  <c r="E207" i="35" l="1"/>
  <c r="B208" i="35"/>
  <c r="D207" i="35"/>
  <c r="E208" i="35" l="1"/>
  <c r="D208" i="35"/>
  <c r="B209" i="35"/>
  <c r="B210" i="35" l="1"/>
  <c r="E209" i="35"/>
  <c r="D209" i="35"/>
  <c r="B211" i="35" l="1"/>
  <c r="E210" i="35"/>
  <c r="D210" i="35"/>
  <c r="D211" i="35" l="1"/>
  <c r="E211" i="35"/>
  <c r="B212" i="35"/>
  <c r="B213" i="35" l="1"/>
  <c r="E212" i="35"/>
  <c r="D212" i="35"/>
  <c r="D213" i="35" l="1"/>
  <c r="E213" i="35"/>
  <c r="B214" i="35"/>
  <c r="B215" i="35" l="1"/>
  <c r="E214" i="35"/>
  <c r="D214" i="35"/>
  <c r="B216" i="35" l="1"/>
  <c r="E215" i="35"/>
  <c r="D215" i="35"/>
  <c r="B217" i="35" l="1"/>
  <c r="E216" i="35"/>
  <c r="D216" i="35"/>
  <c r="B218" i="35" l="1"/>
  <c r="E217" i="35"/>
  <c r="D217" i="35"/>
  <c r="E218" i="35" l="1"/>
  <c r="D218" i="35"/>
  <c r="B219" i="35"/>
  <c r="E219" i="35" l="1"/>
  <c r="B220" i="35"/>
  <c r="D219" i="35"/>
  <c r="E220" i="35" l="1"/>
  <c r="D220" i="35"/>
  <c r="B221" i="35"/>
  <c r="B222" i="35" l="1"/>
  <c r="E221" i="35"/>
  <c r="D221" i="35"/>
  <c r="E222" i="35" l="1"/>
  <c r="B223" i="35"/>
  <c r="D222" i="35"/>
  <c r="D223" i="35" l="1"/>
  <c r="E223" i="35"/>
  <c r="B224" i="35"/>
  <c r="B225" i="35" l="1"/>
  <c r="E224" i="35"/>
  <c r="D224" i="35"/>
  <c r="E225" i="35" l="1"/>
  <c r="B226" i="35"/>
  <c r="D225" i="35"/>
  <c r="B227" i="35" l="1"/>
  <c r="D226" i="35"/>
  <c r="E226" i="35"/>
  <c r="B228" i="35" l="1"/>
  <c r="E227" i="35"/>
  <c r="D227" i="35"/>
  <c r="B229" i="35" l="1"/>
  <c r="E228" i="35"/>
  <c r="D228" i="35"/>
  <c r="D229" i="35" l="1"/>
  <c r="B230" i="35"/>
  <c r="E229" i="35"/>
  <c r="E230" i="35" l="1"/>
  <c r="D230" i="35"/>
  <c r="B231" i="35"/>
  <c r="B232" i="35" l="1"/>
  <c r="E231" i="35"/>
  <c r="D231" i="35"/>
  <c r="E232" i="35" l="1"/>
  <c r="D232" i="35"/>
  <c r="B233" i="35"/>
  <c r="B234" i="35" l="1"/>
  <c r="D233" i="35"/>
  <c r="E233" i="35"/>
  <c r="B235" i="35" l="1"/>
  <c r="E234" i="35"/>
  <c r="D234" i="35"/>
  <c r="E235" i="35" l="1"/>
  <c r="D235" i="35"/>
  <c r="B236" i="35"/>
  <c r="B237" i="35" l="1"/>
  <c r="E236" i="35"/>
  <c r="D236" i="35"/>
  <c r="B238" i="35" l="1"/>
  <c r="E237" i="35"/>
  <c r="D237" i="35"/>
  <c r="E238" i="35" l="1"/>
  <c r="B239" i="35"/>
  <c r="D238" i="35"/>
  <c r="B240" i="35" l="1"/>
  <c r="E239" i="35"/>
  <c r="D239" i="35"/>
  <c r="E240" i="35" l="1"/>
  <c r="D240" i="35"/>
  <c r="B241" i="35"/>
  <c r="B242" i="35" l="1"/>
  <c r="E241" i="35"/>
  <c r="D241" i="35"/>
  <c r="B243" i="35" l="1"/>
  <c r="D242" i="35"/>
  <c r="E242" i="35"/>
  <c r="B244" i="35" l="1"/>
  <c r="D243" i="35"/>
  <c r="E243" i="35"/>
  <c r="B245" i="35" l="1"/>
  <c r="E244" i="35"/>
  <c r="D244" i="35"/>
  <c r="D245" i="35" l="1"/>
  <c r="E245" i="35"/>
  <c r="B246" i="35"/>
  <c r="B247" i="35" l="1"/>
  <c r="E246" i="35"/>
  <c r="D246" i="35"/>
  <c r="B248" i="35" l="1"/>
  <c r="D247" i="35"/>
  <c r="E247" i="35"/>
  <c r="D248" i="35" l="1"/>
  <c r="E248" i="35"/>
  <c r="B249" i="35"/>
  <c r="B250" i="35" l="1"/>
  <c r="E249" i="35"/>
  <c r="D249" i="35"/>
  <c r="E250" i="35" l="1"/>
  <c r="D250" i="35"/>
  <c r="B251" i="35"/>
  <c r="E251" i="35" l="1"/>
  <c r="B252" i="35"/>
  <c r="D251" i="35"/>
  <c r="B253" i="35" l="1"/>
  <c r="E252" i="35"/>
  <c r="D252" i="35"/>
  <c r="E253" i="35" l="1"/>
  <c r="D253" i="35"/>
  <c r="B254" i="35"/>
  <c r="E254" i="35" l="1"/>
  <c r="B255" i="35"/>
  <c r="D254" i="35"/>
  <c r="B256" i="35" l="1"/>
  <c r="E255" i="35"/>
  <c r="D255" i="35"/>
  <c r="B257" i="35" l="1"/>
  <c r="D256" i="35"/>
  <c r="E256" i="35"/>
  <c r="B258" i="35" l="1"/>
  <c r="E257" i="35"/>
  <c r="D257" i="35"/>
  <c r="B259" i="35" l="1"/>
  <c r="D258" i="35"/>
  <c r="E258" i="35"/>
  <c r="B260" i="35" l="1"/>
  <c r="E259" i="35"/>
  <c r="D259" i="35"/>
  <c r="B261" i="35" l="1"/>
  <c r="E260" i="35"/>
  <c r="D260" i="35"/>
  <c r="D261" i="35" l="1"/>
  <c r="B262" i="35"/>
  <c r="E261" i="35"/>
  <c r="E262" i="35" l="1"/>
  <c r="D262" i="35"/>
  <c r="B263" i="35"/>
  <c r="E263" i="35" l="1"/>
  <c r="D263" i="35"/>
  <c r="B264" i="35"/>
  <c r="B265" i="35" l="1"/>
  <c r="E264" i="35"/>
  <c r="D264" i="35"/>
  <c r="B266" i="35" l="1"/>
  <c r="E265" i="35"/>
  <c r="D265" i="35"/>
  <c r="B267" i="35" l="1"/>
  <c r="E266" i="35"/>
  <c r="D266" i="35"/>
  <c r="E267" i="35" l="1"/>
  <c r="B268" i="35"/>
  <c r="D267" i="35"/>
  <c r="B269" i="35" l="1"/>
  <c r="D268" i="35"/>
  <c r="E268" i="35"/>
  <c r="D269" i="35" l="1"/>
  <c r="B270" i="35"/>
  <c r="E269" i="35"/>
  <c r="E270" i="35" l="1"/>
  <c r="D270" i="35"/>
  <c r="B271" i="35"/>
  <c r="B272" i="35" l="1"/>
  <c r="E271" i="35"/>
  <c r="D271" i="35"/>
  <c r="B273" i="35" l="1"/>
  <c r="E272" i="35"/>
  <c r="D272" i="35"/>
  <c r="B274" i="35" l="1"/>
  <c r="E273" i="35"/>
  <c r="D273" i="35"/>
  <c r="B275" i="35" l="1"/>
  <c r="D274" i="35"/>
  <c r="E274" i="35"/>
  <c r="B276" i="35" l="1"/>
  <c r="E275" i="35"/>
  <c r="D275" i="35"/>
  <c r="B277" i="35" l="1"/>
  <c r="D276" i="35"/>
  <c r="E276" i="35"/>
  <c r="D277" i="35" l="1"/>
  <c r="E277" i="35"/>
  <c r="B278" i="35"/>
  <c r="E278" i="35" l="1"/>
  <c r="B279" i="35"/>
  <c r="D278" i="35"/>
  <c r="B280" i="35" l="1"/>
  <c r="E279" i="35"/>
  <c r="D279" i="35"/>
  <c r="B281" i="35" l="1"/>
  <c r="D280" i="35"/>
  <c r="E280" i="35"/>
  <c r="E281" i="35" l="1"/>
  <c r="D281" i="35"/>
  <c r="B282" i="35"/>
  <c r="B283" i="35" l="1"/>
  <c r="E282" i="35"/>
  <c r="D282" i="35"/>
  <c r="E283" i="35" l="1"/>
  <c r="B284" i="35"/>
  <c r="D283" i="35"/>
  <c r="B285" i="35" l="1"/>
  <c r="E284" i="35"/>
  <c r="D284" i="35"/>
  <c r="D285" i="35" l="1"/>
  <c r="E285" i="35"/>
  <c r="B286" i="35"/>
  <c r="E286" i="35" l="1"/>
  <c r="B287" i="35"/>
  <c r="D286" i="35"/>
  <c r="B288" i="35" l="1"/>
  <c r="E287" i="35"/>
  <c r="D287" i="35"/>
  <c r="D288" i="35" l="1"/>
  <c r="B289" i="35"/>
  <c r="E288" i="35"/>
  <c r="E289" i="35" l="1"/>
  <c r="D289" i="35"/>
  <c r="B290" i="35"/>
  <c r="B291" i="35" l="1"/>
  <c r="D290" i="35"/>
  <c r="E290" i="35"/>
  <c r="B292" i="35" l="1"/>
  <c r="E291" i="35"/>
  <c r="D291" i="35"/>
  <c r="B293" i="35" l="1"/>
  <c r="E292" i="35"/>
  <c r="D292" i="35"/>
  <c r="D293" i="35" l="1"/>
  <c r="E293" i="35"/>
  <c r="B294" i="35"/>
  <c r="E294" i="35" l="1"/>
  <c r="B295" i="35"/>
  <c r="D294" i="35"/>
  <c r="B296" i="35" l="1"/>
  <c r="E295" i="35"/>
  <c r="D295" i="35"/>
  <c r="E296" i="35" l="1"/>
  <c r="D296" i="35"/>
  <c r="B297" i="35"/>
  <c r="B298" i="35" l="1"/>
  <c r="E297" i="35"/>
  <c r="D297" i="35"/>
  <c r="B299" i="35" l="1"/>
  <c r="E298" i="35"/>
  <c r="D298" i="35"/>
  <c r="E299" i="35" l="1"/>
  <c r="B300" i="35"/>
  <c r="D299" i="35"/>
  <c r="B301" i="35" l="1"/>
  <c r="E300" i="35"/>
  <c r="D300" i="35"/>
  <c r="E301" i="35" l="1"/>
  <c r="B302" i="35"/>
  <c r="D301" i="35"/>
  <c r="B303" i="35" l="1"/>
  <c r="D302" i="35"/>
  <c r="E302" i="35"/>
  <c r="B304" i="35" l="1"/>
  <c r="E303" i="35"/>
  <c r="D303" i="35"/>
  <c r="E304" i="35" l="1"/>
  <c r="B305" i="35"/>
  <c r="D304" i="35"/>
  <c r="D305" i="35" l="1"/>
  <c r="E305" i="35"/>
  <c r="B306" i="35"/>
  <c r="B307" i="35" l="1"/>
  <c r="E306" i="35"/>
  <c r="D306" i="35"/>
  <c r="E307" i="35" l="1"/>
  <c r="B308" i="35"/>
  <c r="D307" i="35"/>
  <c r="E308" i="35" l="1"/>
  <c r="D308" i="35"/>
  <c r="B309" i="35"/>
  <c r="B310" i="35" l="1"/>
  <c r="E309" i="35"/>
  <c r="D309" i="35"/>
  <c r="E310" i="35" l="1"/>
  <c r="B311" i="35"/>
  <c r="D310" i="35"/>
  <c r="B312" i="35" l="1"/>
  <c r="E311" i="35"/>
  <c r="D311" i="35"/>
  <c r="B313" i="35" l="1"/>
  <c r="D312" i="35"/>
  <c r="E312" i="35"/>
  <c r="B314" i="35" l="1"/>
  <c r="E313" i="35"/>
  <c r="D313" i="35"/>
  <c r="E314" i="35" l="1"/>
  <c r="D314" i="35"/>
  <c r="B315" i="35"/>
  <c r="D315" i="35" l="1"/>
  <c r="E315" i="35"/>
  <c r="B316" i="35"/>
  <c r="B317" i="35" l="1"/>
  <c r="E316" i="35"/>
  <c r="D316" i="35"/>
  <c r="B318" i="35" l="1"/>
  <c r="D317" i="35"/>
  <c r="E317" i="35"/>
  <c r="B319" i="35" l="1"/>
  <c r="E318" i="35"/>
  <c r="D318" i="35"/>
  <c r="E319" i="35" l="1"/>
  <c r="B320" i="35"/>
  <c r="D319" i="35"/>
  <c r="D320" i="35" l="1"/>
  <c r="B321" i="35"/>
  <c r="E320" i="35"/>
  <c r="D321" i="35" l="1"/>
  <c r="B322" i="35"/>
  <c r="E321" i="35"/>
  <c r="E322" i="35" l="1"/>
  <c r="D322" i="35"/>
  <c r="B323" i="35"/>
  <c r="E323" i="35" l="1"/>
  <c r="D323" i="35"/>
  <c r="B324" i="35"/>
  <c r="B325" i="35" l="1"/>
  <c r="E324" i="35"/>
  <c r="D324" i="35"/>
  <c r="B326" i="35" l="1"/>
  <c r="E325" i="35"/>
  <c r="D325" i="35"/>
  <c r="B327" i="35" l="1"/>
  <c r="D326" i="35"/>
  <c r="E326" i="35"/>
  <c r="B328" i="35" l="1"/>
  <c r="E327" i="35"/>
  <c r="D327" i="35"/>
  <c r="E328" i="35" l="1"/>
  <c r="D328" i="35"/>
  <c r="B329" i="35"/>
  <c r="B330" i="35" l="1"/>
  <c r="E329" i="35"/>
  <c r="D329" i="35"/>
  <c r="E330" i="35" l="1"/>
  <c r="D330" i="35"/>
  <c r="B331" i="35"/>
  <c r="B332" i="35" l="1"/>
  <c r="E331" i="35"/>
  <c r="D331" i="35"/>
  <c r="D332" i="35" l="1"/>
  <c r="E332" i="35"/>
  <c r="B333" i="35"/>
  <c r="E333" i="35" l="1"/>
  <c r="D333" i="35"/>
  <c r="B334" i="35"/>
  <c r="B335" i="35" l="1"/>
  <c r="E334" i="35"/>
  <c r="D334" i="35"/>
  <c r="B336" i="35" l="1"/>
  <c r="D335" i="35"/>
  <c r="E335" i="35"/>
  <c r="E336" i="35" l="1"/>
  <c r="D336" i="35"/>
  <c r="B337" i="35"/>
  <c r="D337" i="35" l="1"/>
  <c r="E337" i="35"/>
  <c r="B338" i="35"/>
  <c r="D338" i="35" l="1"/>
  <c r="B339" i="35"/>
  <c r="E338" i="35"/>
  <c r="E339" i="35" l="1"/>
  <c r="B340" i="35"/>
  <c r="D339" i="35"/>
  <c r="E340" i="35" l="1"/>
  <c r="B341" i="35"/>
  <c r="D340" i="35"/>
  <c r="D341" i="35" l="1"/>
  <c r="B342" i="35"/>
  <c r="E341" i="35"/>
  <c r="E342" i="35" l="1"/>
  <c r="B343" i="35"/>
  <c r="D342" i="35"/>
  <c r="B344" i="35" l="1"/>
  <c r="D343" i="35"/>
  <c r="E343" i="35"/>
  <c r="B345" i="35" l="1"/>
  <c r="E344" i="35"/>
  <c r="D344" i="35"/>
  <c r="E345" i="35" l="1"/>
  <c r="B346" i="35"/>
  <c r="D345" i="35"/>
  <c r="E346" i="35" l="1"/>
  <c r="D346" i="35"/>
  <c r="B347" i="35"/>
  <c r="B348" i="35" l="1"/>
  <c r="D347" i="35"/>
  <c r="E347" i="35"/>
  <c r="B349" i="35" l="1"/>
  <c r="E348" i="35"/>
  <c r="D348" i="35"/>
  <c r="B350" i="35" l="1"/>
  <c r="E349" i="35"/>
  <c r="D349" i="35"/>
  <c r="B351" i="35" l="1"/>
  <c r="E350" i="35"/>
  <c r="D350" i="35"/>
  <c r="E351" i="35" l="1"/>
  <c r="D351" i="35"/>
  <c r="B352" i="35"/>
  <c r="B353" i="35" l="1"/>
  <c r="E352" i="35"/>
  <c r="D352" i="35"/>
  <c r="D353" i="35" l="1"/>
  <c r="B354" i="35"/>
  <c r="E353" i="35"/>
  <c r="B355" i="35" l="1"/>
  <c r="E354" i="35"/>
  <c r="D354" i="35"/>
  <c r="E355" i="35" l="1"/>
  <c r="D355" i="35"/>
  <c r="B356" i="35"/>
  <c r="E356" i="35" l="1"/>
  <c r="D356" i="35"/>
  <c r="B357" i="35"/>
  <c r="B358" i="35" l="1"/>
  <c r="E357" i="35"/>
  <c r="D357" i="35"/>
  <c r="B359" i="35" l="1"/>
  <c r="E358" i="35"/>
  <c r="D358" i="35"/>
  <c r="B360" i="35" l="1"/>
  <c r="D359" i="35"/>
  <c r="E359" i="35"/>
  <c r="E360" i="35" l="1"/>
  <c r="D360" i="35"/>
  <c r="B361" i="35"/>
  <c r="E361" i="35" l="1"/>
  <c r="D361" i="35"/>
  <c r="B362" i="35"/>
  <c r="E362" i="35" l="1"/>
  <c r="D362" i="35"/>
  <c r="B363" i="35"/>
  <c r="B364" i="35" l="1"/>
  <c r="E363" i="35"/>
  <c r="D363" i="35"/>
  <c r="D364" i="35" l="1"/>
  <c r="B365" i="35"/>
  <c r="E364" i="35"/>
  <c r="E365" i="35" l="1"/>
  <c r="B366" i="35"/>
  <c r="D365" i="35"/>
  <c r="B367" i="35" l="1"/>
  <c r="E366" i="35"/>
  <c r="D366" i="35"/>
  <c r="B368" i="35" l="1"/>
  <c r="E367" i="35"/>
  <c r="D367" i="35"/>
  <c r="B369" i="35" l="1"/>
  <c r="E368" i="35"/>
  <c r="D368" i="35"/>
  <c r="E369" i="35" l="1"/>
  <c r="D369" i="35"/>
  <c r="B370" i="35"/>
  <c r="B371" i="35" l="1"/>
  <c r="E370" i="35"/>
  <c r="D370" i="35"/>
  <c r="B372" i="35" l="1"/>
  <c r="E371" i="35"/>
  <c r="D371" i="35"/>
  <c r="E372" i="35" l="1"/>
  <c r="D372" i="35"/>
  <c r="B373" i="35"/>
  <c r="B374" i="35" l="1"/>
  <c r="D373" i="35"/>
  <c r="E373" i="35"/>
  <c r="E374" i="35" l="1"/>
  <c r="B375" i="35"/>
  <c r="D374" i="35"/>
  <c r="B376" i="35" l="1"/>
  <c r="E375" i="35"/>
  <c r="D375" i="35"/>
  <c r="D376" i="35" l="1"/>
  <c r="E376" i="35"/>
  <c r="B377" i="35"/>
  <c r="E377" i="35" l="1"/>
  <c r="D377" i="35"/>
  <c r="B378" i="35"/>
  <c r="B379" i="35" l="1"/>
  <c r="E378" i="35"/>
  <c r="D378" i="35"/>
  <c r="B380" i="35" l="1"/>
  <c r="E379" i="35"/>
  <c r="D379" i="35"/>
  <c r="D380" i="35" l="1"/>
  <c r="B381" i="35"/>
  <c r="E380" i="35"/>
  <c r="E381" i="35" l="1"/>
  <c r="D381" i="35"/>
  <c r="B382" i="35"/>
  <c r="B383" i="35" l="1"/>
  <c r="E382" i="35"/>
  <c r="D382" i="35"/>
  <c r="B384" i="35" l="1"/>
  <c r="D383" i="35"/>
  <c r="E383" i="35"/>
  <c r="B385" i="35" l="1"/>
  <c r="E384" i="35"/>
  <c r="D384" i="35"/>
  <c r="E385" i="35" l="1"/>
  <c r="B386" i="35"/>
  <c r="D385" i="35"/>
  <c r="E386" i="35" l="1"/>
  <c r="D386" i="35"/>
  <c r="B387" i="35"/>
  <c r="E387" i="35" l="1"/>
  <c r="B388" i="35"/>
  <c r="D387" i="35"/>
  <c r="B389" i="35" l="1"/>
  <c r="E388" i="35"/>
  <c r="D388" i="35"/>
  <c r="B390" i="35" l="1"/>
  <c r="D389" i="35"/>
  <c r="E389" i="35"/>
  <c r="E390" i="35" l="1"/>
  <c r="D390" i="35"/>
  <c r="B391" i="35"/>
  <c r="B392" i="35" l="1"/>
  <c r="E391" i="35"/>
  <c r="D391" i="35"/>
  <c r="D392" i="35" l="1"/>
  <c r="B393" i="35"/>
  <c r="E392" i="35"/>
  <c r="B394" i="35" l="1"/>
  <c r="E393" i="35"/>
  <c r="D393" i="35"/>
  <c r="D394" i="35" l="1"/>
  <c r="B395" i="35"/>
  <c r="E394" i="35"/>
  <c r="B396" i="35" l="1"/>
  <c r="E395" i="35"/>
  <c r="D395" i="35"/>
  <c r="E396" i="35" l="1"/>
  <c r="D396" i="35"/>
  <c r="B397" i="35"/>
  <c r="E397" i="35" l="1"/>
  <c r="D397" i="35"/>
  <c r="B398" i="35"/>
  <c r="B399" i="35" l="1"/>
  <c r="E398" i="35"/>
  <c r="D398" i="35"/>
  <c r="E399" i="35" l="1"/>
  <c r="D399" i="35"/>
  <c r="B400" i="35"/>
  <c r="E400" i="35" l="1"/>
  <c r="D400" i="35"/>
  <c r="B401" i="35"/>
  <c r="E401" i="35" l="1"/>
  <c r="B402" i="35"/>
  <c r="D401" i="35"/>
  <c r="B403" i="35" l="1"/>
  <c r="E402" i="35"/>
  <c r="D402" i="35"/>
  <c r="E403" i="35" l="1"/>
  <c r="D403" i="35"/>
  <c r="B404" i="35"/>
  <c r="E404" i="35" l="1"/>
  <c r="D404" i="35"/>
  <c r="B405" i="35"/>
  <c r="B406" i="35" l="1"/>
  <c r="D405" i="35"/>
  <c r="E405" i="35"/>
  <c r="D406" i="35" l="1"/>
  <c r="E406" i="35"/>
  <c r="B407" i="35"/>
  <c r="B408" i="35" l="1"/>
  <c r="E407" i="35"/>
  <c r="D407" i="35"/>
  <c r="D408" i="35" l="1"/>
  <c r="B409" i="35"/>
  <c r="E408" i="35"/>
  <c r="E409" i="35" l="1"/>
  <c r="B410" i="35"/>
  <c r="D409" i="35"/>
  <c r="D410" i="35" l="1"/>
  <c r="B411" i="35"/>
  <c r="E410" i="35"/>
  <c r="E411" i="35" l="1"/>
  <c r="D411" i="35"/>
  <c r="B412" i="35"/>
  <c r="D412" i="35" l="1"/>
  <c r="E412" i="35"/>
  <c r="B413" i="35"/>
  <c r="E413" i="35" l="1"/>
  <c r="B414" i="35"/>
  <c r="D413" i="35"/>
  <c r="E414" i="35" l="1"/>
  <c r="B415" i="35"/>
  <c r="D414" i="35"/>
  <c r="D415" i="35" l="1"/>
  <c r="E415" i="35"/>
  <c r="B416" i="35"/>
  <c r="B417" i="35" l="1"/>
  <c r="D416" i="35"/>
  <c r="E416" i="35"/>
  <c r="E417" i="35" l="1"/>
  <c r="D417" i="35"/>
  <c r="B418" i="35"/>
  <c r="D418" i="35" l="1"/>
  <c r="E418" i="35"/>
  <c r="B419" i="35"/>
  <c r="E419" i="35" l="1"/>
  <c r="D419" i="35"/>
  <c r="B420" i="35"/>
  <c r="E420" i="35" l="1"/>
  <c r="D420" i="35"/>
  <c r="B421" i="35"/>
  <c r="B422" i="35" l="1"/>
  <c r="E421" i="35"/>
  <c r="D421" i="35"/>
  <c r="D422" i="35" l="1"/>
  <c r="B423" i="35"/>
  <c r="E422" i="35"/>
  <c r="B424" i="35" l="1"/>
  <c r="E423" i="35"/>
  <c r="D423" i="35"/>
  <c r="D424" i="35" l="1"/>
  <c r="B425" i="35"/>
  <c r="E424" i="35"/>
  <c r="B426" i="35" l="1"/>
  <c r="D425" i="35"/>
  <c r="E425" i="35"/>
  <c r="D426" i="35" l="1"/>
  <c r="E426" i="35"/>
  <c r="B427" i="35"/>
  <c r="E427" i="35" l="1"/>
  <c r="D427" i="35"/>
  <c r="B428" i="35"/>
  <c r="B429" i="35" l="1"/>
  <c r="E428" i="35"/>
  <c r="D428" i="35"/>
  <c r="B430" i="35" l="1"/>
  <c r="D429" i="35"/>
  <c r="E429" i="35"/>
  <c r="B431" i="35" l="1"/>
  <c r="E430" i="35"/>
  <c r="D430" i="35"/>
  <c r="B432" i="35" l="1"/>
  <c r="D431" i="35"/>
  <c r="E431" i="35"/>
  <c r="E432" i="35" l="1"/>
  <c r="D432" i="35"/>
  <c r="B433" i="35"/>
  <c r="B434" i="35" l="1"/>
  <c r="E433" i="35"/>
  <c r="D433" i="35"/>
  <c r="B435" i="35" l="1"/>
  <c r="D434" i="35"/>
  <c r="E434" i="35"/>
  <c r="E435" i="35" l="1"/>
  <c r="D435" i="35"/>
  <c r="B436" i="35"/>
  <c r="D436" i="35" l="1"/>
  <c r="B437" i="35"/>
  <c r="E436" i="35"/>
  <c r="B438" i="35" l="1"/>
  <c r="E437" i="35"/>
  <c r="D437" i="35"/>
  <c r="D438" i="35" l="1"/>
  <c r="E438" i="35"/>
  <c r="B439" i="35"/>
  <c r="B440" i="35" l="1"/>
  <c r="E439" i="35"/>
  <c r="D439" i="35"/>
  <c r="D440" i="35" l="1"/>
  <c r="B441" i="35"/>
  <c r="E440" i="35"/>
  <c r="D441" i="35" l="1"/>
  <c r="E441" i="35"/>
  <c r="B442" i="35"/>
  <c r="D442" i="35" l="1"/>
  <c r="B443" i="35"/>
  <c r="E442" i="35"/>
  <c r="D443" i="35" l="1"/>
  <c r="E443" i="35"/>
  <c r="B444" i="35"/>
  <c r="B445" i="35" l="1"/>
  <c r="D444" i="35"/>
  <c r="E444" i="35"/>
  <c r="E445" i="35" l="1"/>
  <c r="B446" i="35"/>
  <c r="D445" i="35"/>
  <c r="B447" i="35" l="1"/>
  <c r="E446" i="35"/>
  <c r="D446" i="35"/>
  <c r="D447" i="35" l="1"/>
  <c r="B448" i="35"/>
  <c r="E447" i="35"/>
  <c r="D448" i="35" l="1"/>
  <c r="E448" i="35"/>
  <c r="B449" i="35"/>
  <c r="B450" i="35" l="1"/>
  <c r="E449" i="35"/>
  <c r="D449" i="35"/>
  <c r="D450" i="35" l="1"/>
  <c r="E450" i="35"/>
  <c r="B451" i="35"/>
  <c r="E451" i="35" l="1"/>
  <c r="B452" i="35"/>
  <c r="D451" i="35"/>
  <c r="E452" i="35" l="1"/>
  <c r="D452" i="35"/>
  <c r="B453" i="35"/>
  <c r="E453" i="35" l="1"/>
  <c r="D453" i="35"/>
  <c r="B454" i="35"/>
  <c r="B455" i="35" l="1"/>
  <c r="E454" i="35"/>
  <c r="D454" i="35"/>
  <c r="D455" i="35" l="1"/>
  <c r="B456" i="35"/>
  <c r="E455" i="35"/>
  <c r="B457" i="35" l="1"/>
  <c r="E456" i="35"/>
  <c r="D456" i="35"/>
  <c r="B458" i="35" l="1"/>
  <c r="E457" i="35"/>
  <c r="D457" i="35"/>
  <c r="E458" i="35" l="1"/>
  <c r="D458" i="35"/>
  <c r="B459" i="35"/>
  <c r="D459" i="35" l="1"/>
  <c r="B460" i="35"/>
  <c r="E459" i="35"/>
  <c r="B461" i="35" l="1"/>
  <c r="E460" i="35"/>
  <c r="D460" i="35"/>
  <c r="E461" i="35" l="1"/>
  <c r="D461" i="35"/>
  <c r="B462" i="35"/>
  <c r="B463" i="35" l="1"/>
  <c r="E462" i="35"/>
  <c r="D462" i="35"/>
  <c r="B464" i="35" l="1"/>
  <c r="D463" i="35"/>
  <c r="E463" i="35"/>
  <c r="B465" i="35" l="1"/>
  <c r="E464" i="35"/>
  <c r="D464" i="35"/>
  <c r="B466" i="35" l="1"/>
  <c r="E465" i="35"/>
  <c r="D465" i="35"/>
  <c r="E466" i="35" l="1"/>
  <c r="D466" i="35"/>
  <c r="B467" i="35"/>
  <c r="B468" i="35" l="1"/>
  <c r="E467" i="35"/>
  <c r="D467" i="35"/>
  <c r="E468" i="35" l="1"/>
  <c r="D468" i="35"/>
  <c r="B469" i="35"/>
  <c r="E469" i="35" l="1"/>
  <c r="D469" i="35"/>
  <c r="B470" i="35"/>
  <c r="D470" i="35" l="1"/>
  <c r="B471" i="35"/>
  <c r="E470" i="35"/>
  <c r="E471" i="35" l="1"/>
  <c r="D471" i="35"/>
  <c r="B472" i="35"/>
  <c r="B473" i="35" l="1"/>
  <c r="D472" i="35"/>
  <c r="E472" i="35"/>
  <c r="B474" i="35" l="1"/>
  <c r="E473" i="35"/>
  <c r="D473" i="35"/>
  <c r="D474" i="35" l="1"/>
  <c r="B475" i="35"/>
  <c r="E474" i="35"/>
  <c r="D475" i="35" l="1"/>
  <c r="B476" i="35"/>
  <c r="E475" i="35"/>
  <c r="E476" i="35" l="1"/>
  <c r="D476" i="35"/>
  <c r="B477" i="35"/>
  <c r="E477" i="35" l="1"/>
  <c r="B478" i="35"/>
  <c r="D477" i="35"/>
  <c r="B479" i="35" l="1"/>
  <c r="E478" i="35"/>
  <c r="D478" i="35"/>
  <c r="D479" i="35" l="1"/>
  <c r="B480" i="35"/>
  <c r="E479" i="35"/>
  <c r="B481" i="35" l="1"/>
  <c r="E480" i="35"/>
  <c r="D480" i="35"/>
  <c r="B482" i="35" l="1"/>
  <c r="E481" i="35"/>
  <c r="D481" i="35"/>
  <c r="B483" i="35" l="1"/>
  <c r="D482" i="35"/>
  <c r="E482" i="35"/>
  <c r="B484" i="35" l="1"/>
  <c r="E483" i="35"/>
  <c r="D483" i="35"/>
  <c r="D484" i="35" l="1"/>
  <c r="B485" i="35"/>
  <c r="E484" i="35"/>
  <c r="B486" i="35" l="1"/>
  <c r="D485" i="35"/>
  <c r="E485" i="35"/>
  <c r="B487" i="35" l="1"/>
  <c r="E486" i="35"/>
  <c r="D486" i="35"/>
  <c r="B488" i="35" l="1"/>
  <c r="E487" i="35"/>
  <c r="D487" i="35"/>
  <c r="B489" i="35" l="1"/>
  <c r="E488" i="35"/>
  <c r="D488" i="35"/>
  <c r="E489" i="35" l="1"/>
  <c r="D489" i="35"/>
  <c r="B490" i="35"/>
  <c r="B491" i="35" l="1"/>
  <c r="D490" i="35"/>
  <c r="E490" i="35"/>
  <c r="D491" i="35" l="1"/>
  <c r="B492" i="35"/>
  <c r="E491" i="35"/>
  <c r="B493" i="35" l="1"/>
  <c r="E492" i="35"/>
  <c r="D492" i="35"/>
  <c r="E493" i="35" l="1"/>
  <c r="B494" i="35"/>
  <c r="D493" i="35"/>
  <c r="E494" i="35" l="1"/>
  <c r="D494" i="35"/>
  <c r="B495" i="35"/>
  <c r="B496" i="35" l="1"/>
  <c r="E495" i="35"/>
  <c r="D495" i="35"/>
  <c r="B497" i="35" l="1"/>
  <c r="E496" i="35"/>
  <c r="D496" i="35"/>
  <c r="B498" i="35" l="1"/>
  <c r="E497" i="35"/>
  <c r="D497" i="35"/>
  <c r="B499" i="35" l="1"/>
  <c r="E498" i="35"/>
  <c r="D498" i="35"/>
  <c r="E499" i="35" l="1"/>
  <c r="B500" i="35"/>
  <c r="D499" i="35"/>
  <c r="E500" i="35" l="1"/>
  <c r="D500" i="35"/>
  <c r="B501" i="35"/>
  <c r="B502" i="35" l="1"/>
  <c r="E501" i="35"/>
  <c r="D501" i="35"/>
  <c r="D502" i="35" l="1"/>
  <c r="B503" i="35"/>
  <c r="E502" i="35"/>
  <c r="B504" i="35" l="1"/>
  <c r="E503" i="35"/>
  <c r="D503" i="35"/>
  <c r="B505" i="35" l="1"/>
  <c r="E504" i="35"/>
  <c r="D504" i="35"/>
  <c r="B506" i="35" l="1"/>
  <c r="E505" i="35"/>
  <c r="D505" i="35"/>
  <c r="B507" i="35" l="1"/>
  <c r="E506" i="35"/>
  <c r="D506" i="35"/>
  <c r="D507" i="35" l="1"/>
  <c r="E507" i="35"/>
  <c r="B508" i="35"/>
  <c r="E508" i="35" l="1"/>
  <c r="D508" i="35"/>
  <c r="B509" i="35"/>
  <c r="E509" i="35" l="1"/>
  <c r="B510" i="35"/>
  <c r="D509" i="35"/>
  <c r="E510" i="35" l="1"/>
  <c r="D510" i="35"/>
  <c r="B511" i="35"/>
  <c r="E511" i="35" l="1"/>
  <c r="D511" i="35"/>
  <c r="B512" i="35"/>
  <c r="E512" i="35" l="1"/>
  <c r="D512" i="35"/>
  <c r="B513" i="35"/>
  <c r="B514" i="35" l="1"/>
  <c r="E513" i="35"/>
  <c r="D513" i="35"/>
  <c r="B515" i="35" l="1"/>
  <c r="E514" i="35"/>
  <c r="D514" i="35"/>
  <c r="B516" i="35" l="1"/>
  <c r="E515" i="35"/>
  <c r="D515" i="35"/>
  <c r="E516" i="35" l="1"/>
  <c r="D516" i="35"/>
  <c r="B517" i="35"/>
  <c r="E517" i="35" l="1"/>
  <c r="B518" i="35"/>
  <c r="D517" i="35"/>
  <c r="B519" i="35" l="1"/>
  <c r="D518" i="35"/>
  <c r="E518" i="35"/>
  <c r="B520" i="35" l="1"/>
  <c r="E519" i="35"/>
  <c r="D519" i="35"/>
  <c r="B521" i="35" l="1"/>
  <c r="D520" i="35"/>
  <c r="E520" i="35"/>
  <c r="B522" i="35" l="1"/>
  <c r="E521" i="35"/>
  <c r="D521" i="35"/>
  <c r="E522" i="35" l="1"/>
  <c r="B523" i="35"/>
  <c r="D522" i="35"/>
  <c r="D523" i="35" l="1"/>
  <c r="B524" i="35"/>
  <c r="E523" i="35"/>
  <c r="B525" i="35" l="1"/>
  <c r="E524" i="35"/>
  <c r="D524" i="35"/>
  <c r="E525" i="35" l="1"/>
  <c r="D525" i="35"/>
  <c r="B526" i="35"/>
  <c r="B527" i="35" l="1"/>
  <c r="E526" i="35"/>
  <c r="D526" i="35"/>
  <c r="B528" i="35" l="1"/>
  <c r="E527" i="35"/>
  <c r="D527" i="35"/>
  <c r="B529" i="35" l="1"/>
  <c r="E528" i="35"/>
  <c r="D528" i="35"/>
  <c r="B530" i="35" l="1"/>
  <c r="E529" i="35"/>
  <c r="D529" i="35"/>
  <c r="E530" i="35" l="1"/>
  <c r="D530" i="35"/>
  <c r="B531" i="35"/>
  <c r="B532" i="35" l="1"/>
  <c r="E531" i="35"/>
  <c r="D531" i="35"/>
  <c r="E532" i="35" l="1"/>
  <c r="D532" i="35"/>
  <c r="B533" i="35"/>
  <c r="B534" i="35" l="1"/>
  <c r="D533" i="35"/>
  <c r="E533" i="35"/>
  <c r="B535" i="35" l="1"/>
  <c r="E534" i="35"/>
  <c r="D534" i="35"/>
  <c r="D535" i="35" l="1"/>
  <c r="B536" i="35"/>
  <c r="E535" i="35"/>
  <c r="B537" i="35" l="1"/>
  <c r="E536" i="35"/>
  <c r="D536" i="35"/>
  <c r="E537" i="35" l="1"/>
  <c r="D537" i="35"/>
  <c r="B538" i="35"/>
  <c r="B539" i="35" l="1"/>
  <c r="D538" i="35"/>
  <c r="E538" i="35"/>
  <c r="E539" i="35" l="1"/>
  <c r="D539" i="35"/>
  <c r="B540" i="35"/>
  <c r="E540" i="35" l="1"/>
  <c r="D540" i="35"/>
  <c r="B541" i="35"/>
  <c r="B542" i="35" l="1"/>
  <c r="E541" i="35"/>
  <c r="D541" i="35"/>
  <c r="B543" i="35" l="1"/>
  <c r="E542" i="35"/>
  <c r="D542" i="35"/>
  <c r="B544" i="35" l="1"/>
  <c r="E543" i="35"/>
  <c r="D543" i="35"/>
  <c r="E544" i="35" l="1"/>
  <c r="D544" i="35"/>
  <c r="B545" i="35"/>
  <c r="E545" i="35" l="1"/>
  <c r="D545" i="35"/>
  <c r="B546" i="35"/>
  <c r="E546" i="35" l="1"/>
  <c r="B547" i="35"/>
  <c r="D546" i="35"/>
  <c r="B548" i="35" l="1"/>
  <c r="E547" i="35"/>
  <c r="D547" i="35"/>
  <c r="B549" i="35" l="1"/>
  <c r="E548" i="35"/>
  <c r="D548" i="35"/>
  <c r="B550" i="35" l="1"/>
  <c r="E549" i="35"/>
  <c r="D549" i="35"/>
  <c r="B551" i="35" l="1"/>
  <c r="E550" i="35"/>
  <c r="D550" i="35"/>
  <c r="D551" i="35" l="1"/>
  <c r="E551" i="35"/>
  <c r="B552" i="35"/>
  <c r="B553" i="35" l="1"/>
  <c r="E552" i="35"/>
  <c r="D552" i="35"/>
  <c r="E553" i="35" l="1"/>
  <c r="D553" i="35"/>
  <c r="B554" i="35"/>
  <c r="E554" i="35" l="1"/>
  <c r="D554" i="35"/>
  <c r="B555" i="35"/>
  <c r="B556" i="35" l="1"/>
  <c r="E555" i="35"/>
  <c r="D555" i="35"/>
  <c r="B557" i="35" l="1"/>
  <c r="D556" i="35"/>
  <c r="E556" i="35"/>
  <c r="B558" i="35" l="1"/>
  <c r="E557" i="35"/>
  <c r="D557" i="35"/>
  <c r="B559" i="35" l="1"/>
  <c r="E558" i="35"/>
  <c r="D558" i="35"/>
  <c r="E559" i="35" l="1"/>
  <c r="D559" i="35"/>
  <c r="B560" i="35"/>
  <c r="E560" i="35" l="1"/>
  <c r="D560" i="35"/>
  <c r="B561" i="35"/>
  <c r="B562" i="35" l="1"/>
  <c r="E561" i="35"/>
  <c r="D561" i="35"/>
  <c r="E562" i="35" l="1"/>
  <c r="D562" i="35"/>
  <c r="B563" i="35"/>
  <c r="E563" i="35" l="1"/>
  <c r="D563" i="35"/>
  <c r="B564" i="35"/>
  <c r="B565" i="35" l="1"/>
  <c r="E564" i="35"/>
  <c r="D564" i="35"/>
  <c r="B566" i="35" l="1"/>
  <c r="E565" i="35"/>
  <c r="D565" i="35"/>
  <c r="B567" i="35" l="1"/>
  <c r="D566" i="35"/>
  <c r="E566" i="35"/>
  <c r="D567" i="35" l="1"/>
  <c r="B568" i="35"/>
  <c r="E567" i="35"/>
  <c r="B569" i="35" l="1"/>
  <c r="D568" i="35"/>
  <c r="E568" i="35"/>
  <c r="E569" i="35" l="1"/>
  <c r="D569" i="35"/>
  <c r="B570" i="35"/>
  <c r="E570" i="35" l="1"/>
  <c r="D570" i="35"/>
  <c r="B571" i="35"/>
  <c r="B572" i="35" l="1"/>
  <c r="D571" i="35"/>
  <c r="E571" i="35"/>
  <c r="B573" i="35" l="1"/>
  <c r="D572" i="35"/>
  <c r="E572" i="35"/>
  <c r="B574" i="35" l="1"/>
  <c r="E573" i="35"/>
  <c r="D573" i="35"/>
  <c r="B575" i="35" l="1"/>
  <c r="E574" i="35"/>
  <c r="D574" i="35"/>
  <c r="D575" i="35" l="1"/>
  <c r="B576" i="35"/>
  <c r="E575" i="35"/>
  <c r="E576" i="35" l="1"/>
  <c r="D576" i="35"/>
  <c r="B577" i="35"/>
  <c r="B578" i="35" l="1"/>
  <c r="E577" i="35"/>
  <c r="D577" i="35"/>
  <c r="E578" i="35" l="1"/>
  <c r="D578" i="35"/>
  <c r="B579" i="35"/>
  <c r="B580" i="35" l="1"/>
  <c r="E579" i="35"/>
  <c r="D579" i="35"/>
  <c r="B581" i="35" l="1"/>
  <c r="E580" i="35"/>
  <c r="D580" i="35"/>
  <c r="D581" i="35" l="1"/>
  <c r="E581" i="35"/>
  <c r="B582" i="35"/>
  <c r="B583" i="35" l="1"/>
  <c r="E582" i="35"/>
  <c r="D582" i="35"/>
  <c r="D583" i="35" l="1"/>
  <c r="B584" i="35"/>
  <c r="E583" i="35"/>
  <c r="E584" i="35" l="1"/>
  <c r="D584" i="35"/>
  <c r="B585" i="35"/>
  <c r="E585" i="35" l="1"/>
  <c r="D585" i="35"/>
  <c r="B586" i="35"/>
  <c r="B587" i="35" l="1"/>
  <c r="E586" i="35"/>
  <c r="D586" i="35"/>
  <c r="D587" i="35" l="1"/>
  <c r="E587" i="35"/>
  <c r="B588" i="35"/>
  <c r="E588" i="35" l="1"/>
  <c r="B589" i="35"/>
  <c r="D588" i="35"/>
  <c r="B590" i="35" l="1"/>
  <c r="E589" i="35"/>
  <c r="D589" i="35"/>
  <c r="E590" i="35" l="1"/>
  <c r="D590" i="35"/>
  <c r="B591" i="35"/>
  <c r="B592" i="35" l="1"/>
  <c r="E591" i="35"/>
  <c r="D591" i="35"/>
  <c r="B593" i="35" l="1"/>
  <c r="E592" i="35"/>
  <c r="D592" i="35"/>
  <c r="D593" i="35" l="1"/>
  <c r="B594" i="35"/>
  <c r="E593" i="35"/>
  <c r="E594" i="35" l="1"/>
  <c r="B595" i="35"/>
  <c r="D594" i="35"/>
  <c r="D595" i="35" l="1"/>
  <c r="E595" i="35"/>
  <c r="B596" i="35"/>
  <c r="B597" i="35" l="1"/>
  <c r="E596" i="35"/>
  <c r="D596" i="35"/>
  <c r="B598" i="35" l="1"/>
  <c r="E597" i="35"/>
  <c r="D597" i="35"/>
  <c r="B599" i="35" l="1"/>
  <c r="E598" i="35"/>
  <c r="D598" i="35"/>
  <c r="D599" i="35" l="1"/>
  <c r="E599" i="35"/>
  <c r="B600" i="35"/>
  <c r="B601" i="35" l="1"/>
  <c r="E600" i="35"/>
  <c r="D600" i="35"/>
  <c r="E601" i="35" l="1"/>
  <c r="D601" i="35"/>
  <c r="B602" i="35"/>
  <c r="E602" i="35" l="1"/>
  <c r="D602" i="35"/>
  <c r="B603" i="35"/>
  <c r="B604" i="35" l="1"/>
  <c r="E603" i="35"/>
  <c r="D603" i="35"/>
  <c r="E604" i="35" l="1"/>
  <c r="D604" i="35"/>
  <c r="B605" i="35"/>
  <c r="B606" i="35" l="1"/>
  <c r="E605" i="35"/>
  <c r="D605" i="35"/>
  <c r="B607" i="35" l="1"/>
  <c r="D606" i="35"/>
  <c r="E606" i="35"/>
  <c r="D607" i="35" l="1"/>
  <c r="E607" i="35"/>
  <c r="B608" i="35"/>
  <c r="B609" i="35" l="1"/>
  <c r="E608" i="35"/>
  <c r="D608" i="35"/>
  <c r="B610" i="35" l="1"/>
  <c r="E609" i="35"/>
  <c r="D609" i="35"/>
  <c r="E610" i="35" l="1"/>
  <c r="D610" i="35"/>
  <c r="B611" i="35"/>
  <c r="D611" i="35" l="1"/>
  <c r="B612" i="35"/>
  <c r="E611" i="35"/>
  <c r="B613" i="35" l="1"/>
  <c r="E612" i="35"/>
  <c r="D612" i="35"/>
  <c r="E613" i="35" l="1"/>
  <c r="D613" i="35"/>
  <c r="B614" i="35"/>
  <c r="B615" i="35" l="1"/>
  <c r="E614" i="35"/>
  <c r="D614" i="35"/>
  <c r="D615" i="35" l="1"/>
  <c r="B616" i="35"/>
  <c r="E615" i="35"/>
  <c r="E616" i="35" l="1"/>
  <c r="D616" i="35"/>
  <c r="B617" i="35"/>
  <c r="E617" i="35" l="1"/>
  <c r="D617" i="35"/>
  <c r="B618" i="35"/>
  <c r="B619" i="35" l="1"/>
  <c r="E618" i="35"/>
  <c r="D618" i="35"/>
  <c r="B620" i="35" l="1"/>
  <c r="E619" i="35"/>
  <c r="D619" i="35"/>
  <c r="E620" i="35" l="1"/>
  <c r="B621" i="35"/>
  <c r="D620" i="35"/>
  <c r="B622" i="35" l="1"/>
  <c r="E621" i="35"/>
  <c r="D621" i="35"/>
  <c r="B623" i="35" l="1"/>
  <c r="E622" i="35"/>
  <c r="D622" i="35"/>
  <c r="B624" i="35" l="1"/>
  <c r="E623" i="35"/>
  <c r="D623" i="35"/>
  <c r="B625" i="35" l="1"/>
  <c r="E624" i="35"/>
  <c r="D624" i="35"/>
  <c r="B626" i="35" l="1"/>
  <c r="E625" i="35"/>
  <c r="D625" i="35"/>
  <c r="E626" i="35" l="1"/>
  <c r="D626" i="35"/>
  <c r="B627" i="35"/>
  <c r="D627" i="35" l="1"/>
  <c r="E627" i="35"/>
  <c r="B628" i="35"/>
  <c r="B629" i="35" l="1"/>
  <c r="E628" i="35"/>
  <c r="D628" i="35"/>
  <c r="B630" i="35" l="1"/>
  <c r="E629" i="35"/>
  <c r="D629" i="35"/>
  <c r="B631" i="35" l="1"/>
  <c r="D630" i="35"/>
  <c r="E630" i="35"/>
  <c r="D631" i="35" l="1"/>
  <c r="B632" i="35"/>
  <c r="E631" i="35"/>
  <c r="E632" i="35" l="1"/>
  <c r="B633" i="35"/>
  <c r="D632" i="35"/>
  <c r="E633" i="35" l="1"/>
  <c r="D633" i="35"/>
  <c r="B634" i="35"/>
  <c r="B635" i="35" l="1"/>
  <c r="E634" i="35"/>
  <c r="D634" i="35"/>
  <c r="E635" i="35" l="1"/>
  <c r="D635" i="35"/>
  <c r="B636" i="35"/>
  <c r="E636" i="35" l="1"/>
  <c r="B637" i="35"/>
  <c r="D636" i="35"/>
  <c r="B638" i="35" l="1"/>
  <c r="D637" i="35"/>
  <c r="E637" i="35"/>
  <c r="B639" i="35" l="1"/>
  <c r="E638" i="35"/>
  <c r="D638" i="35"/>
  <c r="D639" i="35" l="1"/>
  <c r="E639" i="35"/>
  <c r="B640" i="35"/>
  <c r="B641" i="35" l="1"/>
  <c r="E640" i="35"/>
  <c r="D640" i="35"/>
  <c r="B642" i="35" l="1"/>
  <c r="D641" i="35"/>
  <c r="E641" i="35"/>
  <c r="E642" i="35" l="1"/>
  <c r="D642" i="35"/>
  <c r="B643" i="35"/>
  <c r="D643" i="35" l="1"/>
  <c r="B644" i="35"/>
  <c r="E643" i="35"/>
  <c r="B645" i="35" l="1"/>
  <c r="E644" i="35"/>
  <c r="D644" i="35"/>
  <c r="D645" i="35" l="1"/>
  <c r="B646" i="35"/>
  <c r="E645" i="35"/>
  <c r="B647" i="35" l="1"/>
  <c r="E646" i="35"/>
  <c r="D646" i="35"/>
  <c r="D647" i="35" l="1"/>
  <c r="E647" i="35"/>
  <c r="B648" i="35"/>
  <c r="E648" i="35" l="1"/>
  <c r="D648" i="35"/>
  <c r="B649" i="35"/>
  <c r="E649" i="35" l="1"/>
  <c r="D649" i="35"/>
  <c r="B650" i="35"/>
  <c r="B651" i="35" l="1"/>
  <c r="E650" i="35"/>
  <c r="D650" i="35"/>
  <c r="E651" i="35" l="1"/>
  <c r="B652" i="35"/>
  <c r="D651" i="35"/>
  <c r="E652" i="35" l="1"/>
  <c r="B653" i="35"/>
  <c r="D652" i="35"/>
  <c r="B654" i="35" l="1"/>
  <c r="E653" i="35"/>
  <c r="D653" i="35"/>
  <c r="B655" i="35" l="1"/>
  <c r="E654" i="35"/>
  <c r="D654" i="35"/>
  <c r="B656" i="35" l="1"/>
  <c r="D655" i="35"/>
  <c r="E655" i="35"/>
  <c r="B657" i="35" l="1"/>
  <c r="E656" i="35"/>
  <c r="D656" i="35"/>
  <c r="B658" i="35" l="1"/>
  <c r="E657" i="35"/>
  <c r="D657" i="35"/>
  <c r="E658" i="35" l="1"/>
  <c r="D658" i="35"/>
  <c r="B659" i="35"/>
  <c r="D659" i="35" l="1"/>
  <c r="E659" i="35"/>
  <c r="B660" i="35"/>
  <c r="B661" i="35" l="1"/>
  <c r="E660" i="35"/>
  <c r="D660" i="35"/>
  <c r="B662" i="35" l="1"/>
  <c r="E661" i="35"/>
  <c r="D661" i="35"/>
  <c r="B663" i="35" l="1"/>
  <c r="D662" i="35"/>
  <c r="E662" i="35"/>
  <c r="D663" i="35" l="1"/>
  <c r="B664" i="35"/>
  <c r="E663" i="35"/>
  <c r="E664" i="35" l="1"/>
  <c r="B665" i="35"/>
  <c r="D664" i="35"/>
  <c r="E665" i="35" l="1"/>
  <c r="D665" i="35"/>
  <c r="B666" i="35"/>
  <c r="E666" i="35" l="1"/>
  <c r="D666" i="35"/>
  <c r="B667" i="35"/>
  <c r="E667" i="35" l="1"/>
  <c r="D667" i="35"/>
  <c r="B668" i="35"/>
  <c r="E668" i="35" l="1"/>
  <c r="D668" i="35"/>
  <c r="B669" i="35"/>
  <c r="B670" i="35" l="1"/>
  <c r="D669" i="35"/>
  <c r="E669" i="35"/>
  <c r="E670" i="35" l="1"/>
  <c r="D670" i="35"/>
  <c r="B671" i="35"/>
  <c r="B672" i="35" l="1"/>
  <c r="D671" i="35"/>
  <c r="E671" i="35"/>
  <c r="B673" i="35" l="1"/>
  <c r="E672" i="35"/>
  <c r="D672" i="35"/>
  <c r="B674" i="35" l="1"/>
  <c r="D673" i="35"/>
  <c r="E673" i="35"/>
  <c r="E674" i="35" l="1"/>
  <c r="D674" i="35"/>
  <c r="B675" i="35"/>
  <c r="D675" i="35" l="1"/>
  <c r="B676" i="35"/>
  <c r="E675" i="35"/>
  <c r="B677" i="35" l="1"/>
  <c r="E676" i="35"/>
  <c r="D676" i="35"/>
  <c r="E677" i="35" l="1"/>
  <c r="D677" i="35"/>
  <c r="B678" i="35"/>
  <c r="B679" i="35" l="1"/>
  <c r="E678" i="35"/>
  <c r="D678" i="35"/>
  <c r="D679" i="35" l="1"/>
  <c r="B680" i="35"/>
  <c r="E679" i="35"/>
  <c r="B681" i="35" l="1"/>
  <c r="E680" i="35"/>
  <c r="D680" i="35"/>
  <c r="B682" i="35" l="1"/>
  <c r="E681" i="35"/>
  <c r="D681" i="35"/>
  <c r="D682" i="35" l="1"/>
  <c r="E682" i="35"/>
  <c r="B683" i="35"/>
  <c r="E683" i="35" l="1"/>
  <c r="D683" i="35"/>
  <c r="B684" i="35"/>
  <c r="E684" i="35" l="1"/>
  <c r="D684" i="35"/>
  <c r="B685" i="35"/>
  <c r="B686" i="35" l="1"/>
  <c r="E685" i="35"/>
  <c r="D685" i="35"/>
  <c r="B687" i="35" l="1"/>
  <c r="D686" i="35"/>
  <c r="E686" i="35"/>
  <c r="B688" i="35" l="1"/>
  <c r="D687" i="35"/>
  <c r="E687" i="35"/>
  <c r="B689" i="35" l="1"/>
  <c r="E688" i="35"/>
  <c r="D688" i="35"/>
  <c r="B690" i="35" l="1"/>
  <c r="E689" i="35"/>
  <c r="D689" i="35"/>
  <c r="E690" i="35" l="1"/>
  <c r="D690" i="35"/>
  <c r="B691" i="35"/>
  <c r="D691" i="35" l="1"/>
  <c r="B692" i="35"/>
  <c r="E691" i="35"/>
  <c r="B693" i="35" l="1"/>
  <c r="E692" i="35"/>
  <c r="D692" i="35"/>
  <c r="B694" i="35" l="1"/>
  <c r="D693" i="35"/>
  <c r="E693" i="35"/>
  <c r="B695" i="35" l="1"/>
  <c r="E694" i="35"/>
  <c r="D694" i="35"/>
  <c r="D695" i="35" l="1"/>
  <c r="E695" i="35"/>
  <c r="B696" i="35"/>
  <c r="B697" i="35" l="1"/>
  <c r="E696" i="35"/>
  <c r="D696" i="35"/>
  <c r="B698" i="35" l="1"/>
  <c r="E697" i="35"/>
  <c r="D697" i="35"/>
  <c r="B699" i="35" l="1"/>
  <c r="D698" i="35"/>
  <c r="E698" i="35"/>
  <c r="E699" i="35" l="1"/>
  <c r="D699" i="35"/>
  <c r="B700" i="35"/>
  <c r="E700" i="35" l="1"/>
  <c r="D700" i="35"/>
  <c r="B701" i="35"/>
  <c r="B702" i="35" l="1"/>
  <c r="E701" i="35"/>
  <c r="D701" i="35"/>
  <c r="E702" i="35" l="1"/>
  <c r="B703" i="35"/>
  <c r="D702" i="35"/>
  <c r="B704" i="35" l="1"/>
  <c r="D703" i="35"/>
  <c r="E703" i="35"/>
  <c r="B705" i="35" l="1"/>
  <c r="E704" i="35"/>
  <c r="D704" i="35"/>
  <c r="B706" i="35" l="1"/>
  <c r="E705" i="35"/>
  <c r="D705" i="35"/>
  <c r="B707" i="35" l="1"/>
  <c r="E706" i="35"/>
  <c r="D706" i="35"/>
  <c r="D707" i="35" l="1"/>
  <c r="B708" i="35"/>
  <c r="E707" i="35"/>
  <c r="B709" i="35" l="1"/>
  <c r="E708" i="35"/>
  <c r="D708" i="35"/>
  <c r="E709" i="35" l="1"/>
  <c r="D709" i="35"/>
  <c r="B710" i="35"/>
  <c r="B711" i="35" l="1"/>
  <c r="E710" i="35"/>
  <c r="D710" i="35"/>
  <c r="D711" i="35" l="1"/>
  <c r="E711" i="35"/>
  <c r="B712" i="35"/>
  <c r="B713" i="35" l="1"/>
  <c r="E712" i="35"/>
  <c r="D712" i="35"/>
  <c r="B714" i="35" l="1"/>
  <c r="E713" i="35"/>
  <c r="D713" i="35"/>
  <c r="B715" i="35" l="1"/>
  <c r="E714" i="35"/>
  <c r="D714" i="35"/>
  <c r="E715" i="35" l="1"/>
  <c r="D715" i="35"/>
  <c r="B716" i="35"/>
  <c r="E716" i="35" l="1"/>
  <c r="D716" i="35"/>
  <c r="B717" i="35"/>
  <c r="B718" i="35" l="1"/>
  <c r="E717" i="35"/>
  <c r="D717" i="35"/>
  <c r="E718" i="35" l="1"/>
  <c r="D718" i="35"/>
  <c r="B719" i="35"/>
  <c r="B720" i="35" l="1"/>
  <c r="D719" i="35"/>
  <c r="E719" i="35"/>
  <c r="B721" i="35" l="1"/>
  <c r="E720" i="35"/>
  <c r="D720" i="35"/>
  <c r="B722" i="35" l="1"/>
  <c r="E721" i="35"/>
  <c r="D721" i="35"/>
  <c r="B723" i="35" l="1"/>
  <c r="E722" i="35"/>
  <c r="D722" i="35"/>
  <c r="D723" i="35" l="1"/>
  <c r="B724" i="35"/>
  <c r="E723" i="35"/>
  <c r="B725" i="35" l="1"/>
  <c r="E724" i="35"/>
  <c r="D724" i="35"/>
  <c r="E725" i="35" l="1"/>
  <c r="D725" i="35"/>
  <c r="B726" i="35"/>
  <c r="B727" i="35" l="1"/>
  <c r="E726" i="35"/>
  <c r="D726" i="35"/>
  <c r="E727" i="35" l="1"/>
  <c r="D727" i="35"/>
  <c r="B728" i="35"/>
  <c r="B729" i="35" l="1"/>
  <c r="E728" i="35"/>
  <c r="D728" i="35"/>
  <c r="B730" i="35" l="1"/>
  <c r="E729" i="35"/>
  <c r="D729" i="35"/>
  <c r="B731" i="35" l="1"/>
  <c r="E730" i="35"/>
  <c r="D730" i="35"/>
  <c r="B732" i="35" l="1"/>
  <c r="E731" i="35"/>
  <c r="D731" i="35"/>
  <c r="E732" i="35" l="1"/>
  <c r="D732" i="35"/>
  <c r="B733" i="35"/>
  <c r="B734" i="35" l="1"/>
  <c r="E733" i="35"/>
  <c r="D733" i="35"/>
  <c r="E734" i="35" l="1"/>
  <c r="D734" i="35"/>
  <c r="B735" i="35"/>
  <c r="B736" i="35" l="1"/>
  <c r="E735" i="35"/>
  <c r="D735" i="35"/>
  <c r="B737" i="35" l="1"/>
  <c r="E736" i="35"/>
  <c r="D736" i="35"/>
  <c r="B738" i="35" l="1"/>
  <c r="E737" i="35"/>
  <c r="D737" i="35"/>
  <c r="B739" i="35" l="1"/>
  <c r="E738" i="35"/>
  <c r="D738" i="35"/>
  <c r="D739" i="35" l="1"/>
  <c r="B740" i="35"/>
  <c r="E739" i="35"/>
  <c r="B741" i="35" l="1"/>
  <c r="E740" i="35"/>
  <c r="D740" i="35"/>
  <c r="E741" i="35" l="1"/>
  <c r="D741" i="35"/>
  <c r="B742" i="35"/>
  <c r="B743" i="35" l="1"/>
  <c r="E742" i="35"/>
  <c r="D742" i="35"/>
  <c r="E743" i="35" l="1"/>
  <c r="D743" i="35"/>
  <c r="B744" i="35"/>
  <c r="B745" i="35" l="1"/>
  <c r="E744" i="35"/>
  <c r="D744" i="35"/>
  <c r="B746" i="35" l="1"/>
  <c r="E745" i="35"/>
  <c r="D745" i="35"/>
  <c r="B747" i="35" l="1"/>
  <c r="E746" i="35"/>
  <c r="D746" i="35"/>
  <c r="B748" i="35" l="1"/>
  <c r="E747" i="35"/>
  <c r="D747" i="35"/>
  <c r="E748" i="35" l="1"/>
  <c r="D748" i="35"/>
  <c r="B749" i="35"/>
  <c r="B750" i="35" l="1"/>
  <c r="E749" i="35"/>
  <c r="D749" i="35"/>
  <c r="E750" i="35" l="1"/>
  <c r="D750" i="35"/>
  <c r="B751" i="35"/>
  <c r="B752" i="35" l="1"/>
  <c r="E751" i="35"/>
  <c r="D751" i="35"/>
  <c r="B753" i="35" l="1"/>
  <c r="E752" i="35"/>
  <c r="D752" i="35"/>
  <c r="B754" i="35" l="1"/>
  <c r="E753" i="35"/>
  <c r="D753" i="35"/>
  <c r="B755" i="35" l="1"/>
  <c r="E754" i="35"/>
  <c r="D754" i="35"/>
  <c r="D755" i="35" l="1"/>
  <c r="B756" i="35"/>
  <c r="E755" i="35"/>
  <c r="B757" i="35" l="1"/>
  <c r="E756" i="35"/>
  <c r="D756" i="35"/>
  <c r="E757" i="35" l="1"/>
  <c r="D757" i="35"/>
  <c r="B758" i="35"/>
  <c r="B759" i="35" l="1"/>
  <c r="E758" i="35"/>
  <c r="D758" i="35"/>
  <c r="E759" i="35" l="1"/>
  <c r="D759" i="35"/>
  <c r="C2" i="35" l="1"/>
  <c r="R2" i="35"/>
  <c r="R4" i="35"/>
  <c r="C5" i="35"/>
  <c r="D5" i="35"/>
  <c r="X5" i="35"/>
  <c r="C6" i="35"/>
  <c r="R6" i="35"/>
  <c r="X12" i="35"/>
  <c r="W27" i="35"/>
  <c r="C29" i="35"/>
  <c r="F29" i="35"/>
  <c r="G29" i="35"/>
  <c r="H29" i="35"/>
  <c r="C30" i="35"/>
  <c r="F30" i="35"/>
  <c r="G30" i="35"/>
  <c r="H30" i="35"/>
  <c r="C31" i="35"/>
  <c r="F31" i="35"/>
  <c r="G31" i="35"/>
  <c r="H31" i="35"/>
  <c r="C32" i="35"/>
  <c r="F32" i="35"/>
  <c r="G32" i="35"/>
  <c r="H32" i="35"/>
  <c r="C33" i="35"/>
  <c r="F33" i="35"/>
  <c r="G33" i="35"/>
  <c r="H33" i="35"/>
  <c r="C34" i="35"/>
  <c r="F34" i="35"/>
  <c r="G34" i="35"/>
  <c r="H34" i="35"/>
  <c r="C35" i="35"/>
  <c r="F35" i="35"/>
  <c r="G35" i="35"/>
  <c r="H35" i="35"/>
  <c r="C36" i="35"/>
  <c r="F36" i="35"/>
  <c r="G36" i="35"/>
  <c r="H36" i="35"/>
  <c r="C37" i="35"/>
  <c r="F37" i="35"/>
  <c r="G37" i="35"/>
  <c r="H37" i="35"/>
  <c r="C38" i="35"/>
  <c r="F38" i="35"/>
  <c r="G38" i="35"/>
  <c r="H38" i="35"/>
  <c r="C39" i="35"/>
  <c r="F39" i="35"/>
  <c r="G39" i="35"/>
  <c r="H39" i="35"/>
  <c r="C40" i="35"/>
  <c r="F40" i="35"/>
  <c r="G40" i="35"/>
  <c r="H40" i="35"/>
  <c r="C41" i="35"/>
  <c r="F41" i="35"/>
  <c r="G41" i="35"/>
  <c r="H41" i="35"/>
  <c r="C42" i="35"/>
  <c r="F42" i="35"/>
  <c r="G42" i="35"/>
  <c r="H42" i="35"/>
  <c r="C43" i="35"/>
  <c r="F43" i="35"/>
  <c r="G43" i="35"/>
  <c r="H43" i="35"/>
  <c r="C44" i="35"/>
  <c r="F44" i="35"/>
  <c r="G44" i="35"/>
  <c r="H44" i="35"/>
  <c r="C45" i="35"/>
  <c r="F45" i="35"/>
  <c r="G45" i="35"/>
  <c r="H45" i="35"/>
  <c r="C46" i="35"/>
  <c r="F46" i="35"/>
  <c r="G46" i="35"/>
  <c r="H46" i="35"/>
  <c r="C47" i="35"/>
  <c r="F47" i="35"/>
  <c r="G47" i="35"/>
  <c r="H47" i="35"/>
  <c r="C48" i="35"/>
  <c r="F48" i="35"/>
  <c r="G48" i="35"/>
  <c r="H48" i="35"/>
  <c r="C49" i="35"/>
  <c r="F49" i="35"/>
  <c r="G49" i="35"/>
  <c r="H49" i="35"/>
  <c r="C50" i="35"/>
  <c r="F50" i="35"/>
  <c r="G50" i="35"/>
  <c r="H50" i="35"/>
  <c r="C51" i="35"/>
  <c r="F51" i="35"/>
  <c r="G51" i="35"/>
  <c r="H51" i="35"/>
  <c r="C52" i="35"/>
  <c r="F52" i="35"/>
  <c r="G52" i="35"/>
  <c r="H52" i="35"/>
  <c r="C53" i="35"/>
  <c r="F53" i="35"/>
  <c r="G53" i="35"/>
  <c r="H53" i="35"/>
  <c r="C54" i="35"/>
  <c r="F54" i="35"/>
  <c r="G54" i="35"/>
  <c r="H54" i="35"/>
  <c r="C55" i="35"/>
  <c r="F55" i="35"/>
  <c r="G55" i="35"/>
  <c r="H55" i="35"/>
  <c r="C56" i="35"/>
  <c r="F56" i="35"/>
  <c r="G56" i="35"/>
  <c r="H56" i="35"/>
  <c r="R56" i="35"/>
  <c r="C57" i="35"/>
  <c r="F57" i="35"/>
  <c r="G57" i="35"/>
  <c r="H57" i="35"/>
  <c r="C58" i="35"/>
  <c r="F58" i="35"/>
  <c r="G58" i="35"/>
  <c r="H58" i="35"/>
  <c r="C59" i="35"/>
  <c r="F59" i="35"/>
  <c r="G59" i="35"/>
  <c r="H59" i="35"/>
  <c r="C60" i="35"/>
  <c r="F60" i="35"/>
  <c r="G60" i="35"/>
  <c r="H60" i="35"/>
  <c r="C61" i="35"/>
  <c r="F61" i="35"/>
  <c r="G61" i="35"/>
  <c r="H61" i="35"/>
  <c r="C62" i="35"/>
  <c r="F62" i="35"/>
  <c r="G62" i="35"/>
  <c r="H62" i="35"/>
  <c r="C63" i="35"/>
  <c r="F63" i="35"/>
  <c r="G63" i="35"/>
  <c r="H63" i="35"/>
  <c r="C64" i="35"/>
  <c r="F64" i="35"/>
  <c r="G64" i="35"/>
  <c r="H64" i="35"/>
  <c r="C65" i="35"/>
  <c r="F65" i="35"/>
  <c r="G65" i="35"/>
  <c r="H65" i="35"/>
  <c r="C66" i="35"/>
  <c r="F66" i="35"/>
  <c r="G66" i="35"/>
  <c r="H66" i="35"/>
  <c r="C67" i="35"/>
  <c r="F67" i="35"/>
  <c r="G67" i="35"/>
  <c r="H67" i="35"/>
  <c r="C68" i="35"/>
  <c r="F68" i="35"/>
  <c r="G68" i="35"/>
  <c r="H68" i="35"/>
  <c r="C69" i="35"/>
  <c r="F69" i="35"/>
  <c r="G69" i="35"/>
  <c r="H69" i="35"/>
  <c r="C70" i="35"/>
  <c r="F70" i="35"/>
  <c r="G70" i="35"/>
  <c r="H70" i="35"/>
  <c r="C71" i="35"/>
  <c r="F71" i="35"/>
  <c r="G71" i="35"/>
  <c r="H71" i="35"/>
  <c r="C72" i="35"/>
  <c r="F72" i="35"/>
  <c r="G72" i="35"/>
  <c r="H72" i="35"/>
  <c r="C73" i="35"/>
  <c r="F73" i="35"/>
  <c r="G73" i="35"/>
  <c r="H73" i="35"/>
  <c r="C74" i="35"/>
  <c r="F74" i="35"/>
  <c r="G74" i="35"/>
  <c r="H74" i="35"/>
  <c r="C75" i="35"/>
  <c r="F75" i="35"/>
  <c r="G75" i="35"/>
  <c r="H75" i="35"/>
  <c r="C76" i="35"/>
  <c r="F76" i="35"/>
  <c r="G76" i="35"/>
  <c r="H76" i="35"/>
  <c r="C77" i="35"/>
  <c r="F77" i="35"/>
  <c r="G77" i="35"/>
  <c r="H77" i="35"/>
  <c r="C78" i="35"/>
  <c r="F78" i="35"/>
  <c r="G78" i="35"/>
  <c r="H78" i="35"/>
  <c r="C79" i="35"/>
  <c r="F79" i="35"/>
  <c r="G79" i="35"/>
  <c r="H79" i="35"/>
  <c r="C80" i="35"/>
  <c r="F80" i="35"/>
  <c r="G80" i="35"/>
  <c r="H80" i="35"/>
  <c r="C81" i="35"/>
  <c r="F81" i="35"/>
  <c r="G81" i="35"/>
  <c r="H81" i="35"/>
  <c r="C82" i="35"/>
  <c r="F82" i="35"/>
  <c r="G82" i="35"/>
  <c r="H82" i="35"/>
  <c r="C83" i="35"/>
  <c r="F83" i="35"/>
  <c r="G83" i="35"/>
  <c r="H83" i="35"/>
  <c r="C84" i="35"/>
  <c r="F84" i="35"/>
  <c r="G84" i="35"/>
  <c r="H84" i="35"/>
  <c r="C85" i="35"/>
  <c r="F85" i="35"/>
  <c r="G85" i="35"/>
  <c r="H85" i="35"/>
  <c r="C86" i="35"/>
  <c r="F86" i="35"/>
  <c r="G86" i="35"/>
  <c r="H86" i="35"/>
  <c r="C87" i="35"/>
  <c r="F87" i="35"/>
  <c r="G87" i="35"/>
  <c r="H87" i="35"/>
  <c r="C88" i="35"/>
  <c r="F88" i="35"/>
  <c r="G88" i="35"/>
  <c r="H88" i="35"/>
  <c r="C89" i="35"/>
  <c r="F89" i="35"/>
  <c r="G89" i="35"/>
  <c r="H89" i="35"/>
  <c r="C90" i="35"/>
  <c r="F90" i="35"/>
  <c r="G90" i="35"/>
  <c r="H90" i="35"/>
  <c r="C91" i="35"/>
  <c r="F91" i="35"/>
  <c r="G91" i="35"/>
  <c r="H91" i="35"/>
  <c r="C92" i="35"/>
  <c r="F92" i="35"/>
  <c r="G92" i="35"/>
  <c r="H92" i="35"/>
  <c r="C93" i="35"/>
  <c r="F93" i="35"/>
  <c r="G93" i="35"/>
  <c r="H93" i="35"/>
  <c r="C94" i="35"/>
  <c r="F94" i="35"/>
  <c r="G94" i="35"/>
  <c r="H94" i="35"/>
  <c r="C95" i="35"/>
  <c r="F95" i="35"/>
  <c r="G95" i="35"/>
  <c r="H95" i="35"/>
  <c r="C96" i="35"/>
  <c r="F96" i="35"/>
  <c r="G96" i="35"/>
  <c r="H96" i="35"/>
  <c r="C97" i="35"/>
  <c r="F97" i="35"/>
  <c r="G97" i="35"/>
  <c r="H97" i="35"/>
  <c r="C98" i="35"/>
  <c r="F98" i="35"/>
  <c r="G98" i="35"/>
  <c r="H98" i="35"/>
  <c r="C99" i="35"/>
  <c r="F99" i="35"/>
  <c r="G99" i="35"/>
  <c r="H99" i="35"/>
  <c r="C100" i="35"/>
  <c r="F100" i="35"/>
  <c r="G100" i="35"/>
  <c r="H100" i="35"/>
  <c r="C101" i="35"/>
  <c r="F101" i="35"/>
  <c r="G101" i="35"/>
  <c r="H101" i="35"/>
  <c r="C102" i="35"/>
  <c r="F102" i="35"/>
  <c r="G102" i="35"/>
  <c r="H102" i="35"/>
  <c r="C103" i="35"/>
  <c r="F103" i="35"/>
  <c r="G103" i="35"/>
  <c r="H103" i="35"/>
  <c r="C104" i="35"/>
  <c r="F104" i="35"/>
  <c r="G104" i="35"/>
  <c r="H104" i="35"/>
  <c r="C105" i="35"/>
  <c r="F105" i="35"/>
  <c r="G105" i="35"/>
  <c r="H105" i="35"/>
  <c r="C106" i="35"/>
  <c r="F106" i="35"/>
  <c r="G106" i="35"/>
  <c r="H106" i="35"/>
  <c r="C107" i="35"/>
  <c r="F107" i="35"/>
  <c r="G107" i="35"/>
  <c r="H107" i="35"/>
  <c r="C108" i="35"/>
  <c r="F108" i="35"/>
  <c r="G108" i="35"/>
  <c r="H108" i="35"/>
  <c r="C109" i="35"/>
  <c r="F109" i="35"/>
  <c r="G109" i="35"/>
  <c r="H109" i="35"/>
  <c r="C110" i="35"/>
  <c r="F110" i="35"/>
  <c r="G110" i="35"/>
  <c r="H110" i="35"/>
  <c r="C111" i="35"/>
  <c r="F111" i="35"/>
  <c r="G111" i="35"/>
  <c r="H111" i="35"/>
  <c r="C112" i="35"/>
  <c r="F112" i="35"/>
  <c r="G112" i="35"/>
  <c r="H112" i="35"/>
  <c r="C113" i="35"/>
  <c r="F113" i="35"/>
  <c r="G113" i="35"/>
  <c r="H113" i="35"/>
  <c r="C114" i="35"/>
  <c r="F114" i="35"/>
  <c r="G114" i="35"/>
  <c r="H114" i="35"/>
  <c r="C115" i="35"/>
  <c r="F115" i="35"/>
  <c r="G115" i="35"/>
  <c r="H115" i="35"/>
  <c r="C116" i="35"/>
  <c r="F116" i="35"/>
  <c r="G116" i="35"/>
  <c r="H116" i="35"/>
  <c r="C117" i="35"/>
  <c r="F117" i="35"/>
  <c r="G117" i="35"/>
  <c r="H117" i="35"/>
  <c r="C118" i="35"/>
  <c r="F118" i="35"/>
  <c r="G118" i="35"/>
  <c r="H118" i="35"/>
  <c r="C119" i="35"/>
  <c r="F119" i="35"/>
  <c r="G119" i="35"/>
  <c r="H119" i="35"/>
  <c r="C120" i="35"/>
  <c r="F120" i="35"/>
  <c r="G120" i="35"/>
  <c r="H120" i="35"/>
  <c r="C121" i="35"/>
  <c r="F121" i="35"/>
  <c r="G121" i="35"/>
  <c r="H121" i="35"/>
  <c r="C122" i="35"/>
  <c r="F122" i="35"/>
  <c r="G122" i="35"/>
  <c r="H122" i="35"/>
  <c r="C123" i="35"/>
  <c r="F123" i="35"/>
  <c r="G123" i="35"/>
  <c r="H123" i="35"/>
  <c r="C124" i="35"/>
  <c r="F124" i="35"/>
  <c r="G124" i="35"/>
  <c r="H124" i="35"/>
  <c r="C125" i="35"/>
  <c r="F125" i="35"/>
  <c r="G125" i="35"/>
  <c r="H125" i="35"/>
  <c r="C126" i="35"/>
  <c r="F126" i="35"/>
  <c r="G126" i="35"/>
  <c r="H126" i="35"/>
  <c r="C127" i="35"/>
  <c r="F127" i="35"/>
  <c r="G127" i="35"/>
  <c r="H127" i="35"/>
  <c r="C128" i="35"/>
  <c r="F128" i="35"/>
  <c r="G128" i="35"/>
  <c r="H128" i="35"/>
  <c r="C129" i="35"/>
  <c r="F129" i="35"/>
  <c r="G129" i="35"/>
  <c r="H129" i="35"/>
  <c r="C130" i="35"/>
  <c r="F130" i="35"/>
  <c r="G130" i="35"/>
  <c r="H130" i="35"/>
  <c r="C131" i="35"/>
  <c r="F131" i="35"/>
  <c r="G131" i="35"/>
  <c r="H131" i="35"/>
  <c r="C132" i="35"/>
  <c r="F132" i="35"/>
  <c r="G132" i="35"/>
  <c r="H132" i="35"/>
  <c r="C133" i="35"/>
  <c r="F133" i="35"/>
  <c r="G133" i="35"/>
  <c r="H133" i="35"/>
  <c r="C134" i="35"/>
  <c r="F134" i="35"/>
  <c r="G134" i="35"/>
  <c r="H134" i="35"/>
  <c r="C135" i="35"/>
  <c r="F135" i="35"/>
  <c r="G135" i="35"/>
  <c r="H135" i="35"/>
  <c r="C136" i="35"/>
  <c r="F136" i="35"/>
  <c r="G136" i="35"/>
  <c r="H136" i="35"/>
  <c r="C137" i="35"/>
  <c r="F137" i="35"/>
  <c r="G137" i="35"/>
  <c r="H137" i="35"/>
  <c r="C138" i="35"/>
  <c r="F138" i="35"/>
  <c r="G138" i="35"/>
  <c r="H138" i="35"/>
  <c r="C139" i="35"/>
  <c r="F139" i="35"/>
  <c r="G139" i="35"/>
  <c r="H139" i="35"/>
  <c r="C140" i="35"/>
  <c r="F140" i="35"/>
  <c r="G140" i="35"/>
  <c r="H140" i="35"/>
  <c r="C141" i="35"/>
  <c r="F141" i="35"/>
  <c r="G141" i="35"/>
  <c r="H141" i="35"/>
  <c r="C142" i="35"/>
  <c r="F142" i="35"/>
  <c r="G142" i="35"/>
  <c r="H142" i="35"/>
  <c r="C143" i="35"/>
  <c r="F143" i="35"/>
  <c r="G143" i="35"/>
  <c r="H143" i="35"/>
  <c r="C144" i="35"/>
  <c r="F144" i="35"/>
  <c r="G144" i="35"/>
  <c r="H144" i="35"/>
  <c r="C145" i="35"/>
  <c r="F145" i="35"/>
  <c r="G145" i="35"/>
  <c r="H145" i="35"/>
  <c r="C146" i="35"/>
  <c r="F146" i="35"/>
  <c r="G146" i="35"/>
  <c r="H146" i="35"/>
  <c r="C147" i="35"/>
  <c r="F147" i="35"/>
  <c r="G147" i="35"/>
  <c r="H147" i="35"/>
  <c r="C148" i="35"/>
  <c r="F148" i="35"/>
  <c r="G148" i="35"/>
  <c r="H148" i="35"/>
  <c r="C149" i="35"/>
  <c r="F149" i="35"/>
  <c r="G149" i="35"/>
  <c r="H149" i="35"/>
  <c r="C150" i="35"/>
  <c r="F150" i="35"/>
  <c r="G150" i="35"/>
  <c r="H150" i="35"/>
  <c r="C151" i="35"/>
  <c r="F151" i="35"/>
  <c r="G151" i="35"/>
  <c r="H151" i="35"/>
  <c r="C152" i="35"/>
  <c r="F152" i="35"/>
  <c r="G152" i="35"/>
  <c r="H152" i="35"/>
  <c r="C153" i="35"/>
  <c r="F153" i="35"/>
  <c r="G153" i="35"/>
  <c r="H153" i="35"/>
  <c r="C154" i="35"/>
  <c r="F154" i="35"/>
  <c r="G154" i="35"/>
  <c r="H154" i="35"/>
  <c r="C155" i="35"/>
  <c r="F155" i="35"/>
  <c r="G155" i="35"/>
  <c r="H155" i="35"/>
  <c r="C156" i="35"/>
  <c r="F156" i="35"/>
  <c r="G156" i="35"/>
  <c r="H156" i="35"/>
  <c r="C157" i="35"/>
  <c r="F157" i="35"/>
  <c r="G157" i="35"/>
  <c r="H157" i="35"/>
  <c r="C158" i="35"/>
  <c r="F158" i="35"/>
  <c r="G158" i="35"/>
  <c r="H158" i="35"/>
  <c r="C159" i="35"/>
  <c r="F159" i="35"/>
  <c r="G159" i="35"/>
  <c r="H159" i="35"/>
  <c r="C160" i="35"/>
  <c r="F160" i="35"/>
  <c r="G160" i="35"/>
  <c r="H160" i="35"/>
  <c r="C161" i="35"/>
  <c r="F161" i="35"/>
  <c r="G161" i="35"/>
  <c r="H161" i="35"/>
  <c r="C162" i="35"/>
  <c r="F162" i="35"/>
  <c r="G162" i="35"/>
  <c r="H162" i="35"/>
  <c r="C163" i="35"/>
  <c r="F163" i="35"/>
  <c r="G163" i="35"/>
  <c r="H163" i="35"/>
  <c r="C164" i="35"/>
  <c r="F164" i="35"/>
  <c r="G164" i="35"/>
  <c r="H164" i="35"/>
  <c r="C165" i="35"/>
  <c r="F165" i="35"/>
  <c r="G165" i="35"/>
  <c r="H165" i="35"/>
  <c r="C166" i="35"/>
  <c r="F166" i="35"/>
  <c r="G166" i="35"/>
  <c r="H166" i="35"/>
  <c r="C167" i="35"/>
  <c r="F167" i="35"/>
  <c r="G167" i="35"/>
  <c r="H167" i="35"/>
  <c r="C168" i="35"/>
  <c r="F168" i="35"/>
  <c r="G168" i="35"/>
  <c r="H168" i="35"/>
  <c r="C169" i="35"/>
  <c r="F169" i="35"/>
  <c r="G169" i="35"/>
  <c r="H169" i="35"/>
  <c r="C170" i="35"/>
  <c r="F170" i="35"/>
  <c r="G170" i="35"/>
  <c r="H170" i="35"/>
  <c r="C171" i="35"/>
  <c r="F171" i="35"/>
  <c r="G171" i="35"/>
  <c r="H171" i="35"/>
  <c r="C172" i="35"/>
  <c r="F172" i="35"/>
  <c r="G172" i="35"/>
  <c r="H172" i="35"/>
  <c r="C173" i="35"/>
  <c r="F173" i="35"/>
  <c r="G173" i="35"/>
  <c r="H173" i="35"/>
  <c r="C174" i="35"/>
  <c r="F174" i="35"/>
  <c r="G174" i="35"/>
  <c r="H174" i="35"/>
  <c r="C175" i="35"/>
  <c r="F175" i="35"/>
  <c r="G175" i="35"/>
  <c r="H175" i="35"/>
  <c r="C176" i="35"/>
  <c r="F176" i="35"/>
  <c r="G176" i="35"/>
  <c r="H176" i="35"/>
  <c r="C177" i="35"/>
  <c r="F177" i="35"/>
  <c r="G177" i="35"/>
  <c r="H177" i="35"/>
  <c r="C178" i="35"/>
  <c r="F178" i="35"/>
  <c r="G178" i="35"/>
  <c r="H178" i="35"/>
  <c r="C179" i="35"/>
  <c r="F179" i="35"/>
  <c r="G179" i="35"/>
  <c r="H179" i="35"/>
  <c r="C180" i="35"/>
  <c r="F180" i="35"/>
  <c r="G180" i="35"/>
  <c r="H180" i="35"/>
  <c r="C181" i="35"/>
  <c r="F181" i="35"/>
  <c r="G181" i="35"/>
  <c r="H181" i="35"/>
  <c r="C182" i="35"/>
  <c r="F182" i="35"/>
  <c r="G182" i="35"/>
  <c r="H182" i="35"/>
  <c r="C183" i="35"/>
  <c r="F183" i="35"/>
  <c r="G183" i="35"/>
  <c r="H183" i="35"/>
  <c r="C184" i="35"/>
  <c r="F184" i="35"/>
  <c r="G184" i="35"/>
  <c r="H184" i="35"/>
  <c r="C185" i="35"/>
  <c r="F185" i="35"/>
  <c r="G185" i="35"/>
  <c r="H185" i="35"/>
  <c r="C186" i="35"/>
  <c r="F186" i="35"/>
  <c r="G186" i="35"/>
  <c r="H186" i="35"/>
  <c r="C187" i="35"/>
  <c r="F187" i="35"/>
  <c r="G187" i="35"/>
  <c r="H187" i="35"/>
  <c r="C188" i="35"/>
  <c r="F188" i="35"/>
  <c r="G188" i="35"/>
  <c r="H188" i="35"/>
  <c r="C189" i="35"/>
  <c r="F189" i="35"/>
  <c r="G189" i="35"/>
  <c r="H189" i="35"/>
  <c r="C190" i="35"/>
  <c r="F190" i="35"/>
  <c r="G190" i="35"/>
  <c r="H190" i="35"/>
  <c r="C191" i="35"/>
  <c r="F191" i="35"/>
  <c r="G191" i="35"/>
  <c r="H191" i="35"/>
  <c r="C192" i="35"/>
  <c r="F192" i="35"/>
  <c r="G192" i="35"/>
  <c r="H192" i="35"/>
  <c r="C193" i="35"/>
  <c r="F193" i="35"/>
  <c r="G193" i="35"/>
  <c r="H193" i="35"/>
  <c r="C194" i="35"/>
  <c r="F194" i="35"/>
  <c r="G194" i="35"/>
  <c r="H194" i="35"/>
  <c r="C195" i="35"/>
  <c r="F195" i="35"/>
  <c r="G195" i="35"/>
  <c r="H195" i="35"/>
  <c r="C196" i="35"/>
  <c r="F196" i="35"/>
  <c r="G196" i="35"/>
  <c r="H196" i="35"/>
  <c r="C197" i="35"/>
  <c r="F197" i="35"/>
  <c r="G197" i="35"/>
  <c r="H197" i="35"/>
  <c r="C198" i="35"/>
  <c r="F198" i="35"/>
  <c r="G198" i="35"/>
  <c r="H198" i="35"/>
  <c r="C199" i="35"/>
  <c r="F199" i="35"/>
  <c r="G199" i="35"/>
  <c r="H199" i="35"/>
  <c r="C200" i="35"/>
  <c r="F200" i="35"/>
  <c r="G200" i="35"/>
  <c r="H200" i="35"/>
  <c r="C201" i="35"/>
  <c r="F201" i="35"/>
  <c r="G201" i="35"/>
  <c r="H201" i="35"/>
  <c r="C202" i="35"/>
  <c r="F202" i="35"/>
  <c r="G202" i="35"/>
  <c r="H202" i="35"/>
  <c r="C203" i="35"/>
  <c r="F203" i="35"/>
  <c r="G203" i="35"/>
  <c r="H203" i="35"/>
  <c r="C204" i="35"/>
  <c r="F204" i="35"/>
  <c r="G204" i="35"/>
  <c r="H204" i="35"/>
  <c r="C205" i="35"/>
  <c r="F205" i="35"/>
  <c r="G205" i="35"/>
  <c r="H205" i="35"/>
  <c r="C206" i="35"/>
  <c r="F206" i="35"/>
  <c r="G206" i="35"/>
  <c r="H206" i="35"/>
  <c r="C207" i="35"/>
  <c r="F207" i="35"/>
  <c r="G207" i="35"/>
  <c r="H207" i="35"/>
  <c r="C208" i="35"/>
  <c r="F208" i="35"/>
  <c r="G208" i="35"/>
  <c r="H208" i="35"/>
  <c r="C209" i="35"/>
  <c r="F209" i="35"/>
  <c r="G209" i="35"/>
  <c r="H209" i="35"/>
  <c r="C210" i="35"/>
  <c r="F210" i="35"/>
  <c r="G210" i="35"/>
  <c r="H210" i="35"/>
  <c r="C211" i="35"/>
  <c r="F211" i="35"/>
  <c r="G211" i="35"/>
  <c r="H211" i="35"/>
  <c r="C212" i="35"/>
  <c r="F212" i="35"/>
  <c r="G212" i="35"/>
  <c r="H212" i="35"/>
  <c r="C213" i="35"/>
  <c r="F213" i="35"/>
  <c r="G213" i="35"/>
  <c r="H213" i="35"/>
  <c r="C214" i="35"/>
  <c r="F214" i="35"/>
  <c r="G214" i="35"/>
  <c r="H214" i="35"/>
  <c r="C215" i="35"/>
  <c r="F215" i="35"/>
  <c r="G215" i="35"/>
  <c r="H215" i="35"/>
  <c r="C216" i="35"/>
  <c r="F216" i="35"/>
  <c r="G216" i="35"/>
  <c r="H216" i="35"/>
  <c r="C217" i="35"/>
  <c r="F217" i="35"/>
  <c r="G217" i="35"/>
  <c r="H217" i="35"/>
  <c r="C218" i="35"/>
  <c r="F218" i="35"/>
  <c r="G218" i="35"/>
  <c r="H218" i="35"/>
  <c r="C219" i="35"/>
  <c r="F219" i="35"/>
  <c r="G219" i="35"/>
  <c r="H219" i="35"/>
  <c r="C220" i="35"/>
  <c r="F220" i="35"/>
  <c r="G220" i="35"/>
  <c r="H220" i="35"/>
  <c r="C221" i="35"/>
  <c r="F221" i="35"/>
  <c r="G221" i="35"/>
  <c r="H221" i="35"/>
  <c r="C222" i="35"/>
  <c r="F222" i="35"/>
  <c r="G222" i="35"/>
  <c r="H222" i="35"/>
  <c r="C223" i="35"/>
  <c r="F223" i="35"/>
  <c r="G223" i="35"/>
  <c r="H223" i="35"/>
  <c r="C224" i="35"/>
  <c r="F224" i="35"/>
  <c r="G224" i="35"/>
  <c r="H224" i="35"/>
  <c r="C225" i="35"/>
  <c r="F225" i="35"/>
  <c r="G225" i="35"/>
  <c r="H225" i="35"/>
  <c r="C226" i="35"/>
  <c r="F226" i="35"/>
  <c r="G226" i="35"/>
  <c r="H226" i="35"/>
  <c r="C227" i="35"/>
  <c r="F227" i="35"/>
  <c r="G227" i="35"/>
  <c r="H227" i="35"/>
  <c r="C228" i="35"/>
  <c r="F228" i="35"/>
  <c r="G228" i="35"/>
  <c r="H228" i="35"/>
  <c r="C229" i="35"/>
  <c r="F229" i="35"/>
  <c r="G229" i="35"/>
  <c r="H229" i="35"/>
  <c r="C230" i="35"/>
  <c r="F230" i="35"/>
  <c r="G230" i="35"/>
  <c r="H230" i="35"/>
  <c r="C231" i="35"/>
  <c r="F231" i="35"/>
  <c r="G231" i="35"/>
  <c r="H231" i="35"/>
  <c r="C232" i="35"/>
  <c r="F232" i="35"/>
  <c r="G232" i="35"/>
  <c r="H232" i="35"/>
  <c r="C233" i="35"/>
  <c r="F233" i="35"/>
  <c r="G233" i="35"/>
  <c r="H233" i="35"/>
  <c r="C234" i="35"/>
  <c r="F234" i="35"/>
  <c r="G234" i="35"/>
  <c r="H234" i="35"/>
  <c r="C235" i="35"/>
  <c r="F235" i="35"/>
  <c r="G235" i="35"/>
  <c r="H235" i="35"/>
  <c r="C236" i="35"/>
  <c r="F236" i="35"/>
  <c r="G236" i="35"/>
  <c r="H236" i="35"/>
  <c r="C237" i="35"/>
  <c r="F237" i="35"/>
  <c r="G237" i="35"/>
  <c r="H237" i="35"/>
  <c r="C238" i="35"/>
  <c r="F238" i="35"/>
  <c r="G238" i="35"/>
  <c r="H238" i="35"/>
  <c r="C239" i="35"/>
  <c r="F239" i="35"/>
  <c r="G239" i="35"/>
  <c r="H239" i="35"/>
  <c r="C240" i="35"/>
  <c r="F240" i="35"/>
  <c r="G240" i="35"/>
  <c r="H240" i="35"/>
  <c r="C241" i="35"/>
  <c r="F241" i="35"/>
  <c r="G241" i="35"/>
  <c r="H241" i="35"/>
  <c r="C242" i="35"/>
  <c r="F242" i="35"/>
  <c r="G242" i="35"/>
  <c r="H242" i="35"/>
  <c r="C243" i="35"/>
  <c r="F243" i="35"/>
  <c r="G243" i="35"/>
  <c r="H243" i="35"/>
  <c r="C244" i="35"/>
  <c r="F244" i="35"/>
  <c r="G244" i="35"/>
  <c r="H244" i="35"/>
  <c r="C245" i="35"/>
  <c r="F245" i="35"/>
  <c r="G245" i="35"/>
  <c r="H245" i="35"/>
  <c r="C246" i="35"/>
  <c r="F246" i="35"/>
  <c r="G246" i="35"/>
  <c r="H246" i="35"/>
  <c r="C247" i="35"/>
  <c r="F247" i="35"/>
  <c r="G247" i="35"/>
  <c r="H247" i="35"/>
  <c r="C248" i="35"/>
  <c r="F248" i="35"/>
  <c r="G248" i="35"/>
  <c r="H248" i="35"/>
  <c r="C249" i="35"/>
  <c r="F249" i="35"/>
  <c r="G249" i="35"/>
  <c r="H249" i="35"/>
  <c r="C250" i="35"/>
  <c r="F250" i="35"/>
  <c r="G250" i="35"/>
  <c r="H250" i="35"/>
  <c r="C251" i="35"/>
  <c r="F251" i="35"/>
  <c r="G251" i="35"/>
  <c r="H251" i="35"/>
  <c r="C252" i="35"/>
  <c r="F252" i="35"/>
  <c r="G252" i="35"/>
  <c r="H252" i="35"/>
  <c r="C253" i="35"/>
  <c r="F253" i="35"/>
  <c r="G253" i="35"/>
  <c r="H253" i="35"/>
  <c r="C254" i="35"/>
  <c r="F254" i="35"/>
  <c r="G254" i="35"/>
  <c r="H254" i="35"/>
  <c r="C255" i="35"/>
  <c r="F255" i="35"/>
  <c r="G255" i="35"/>
  <c r="H255" i="35"/>
  <c r="C256" i="35"/>
  <c r="F256" i="35"/>
  <c r="G256" i="35"/>
  <c r="H256" i="35"/>
  <c r="C257" i="35"/>
  <c r="F257" i="35"/>
  <c r="G257" i="35"/>
  <c r="H257" i="35"/>
  <c r="C258" i="35"/>
  <c r="F258" i="35"/>
  <c r="G258" i="35"/>
  <c r="H258" i="35"/>
  <c r="C259" i="35"/>
  <c r="F259" i="35"/>
  <c r="G259" i="35"/>
  <c r="H259" i="35"/>
  <c r="C260" i="35"/>
  <c r="F260" i="35"/>
  <c r="G260" i="35"/>
  <c r="H260" i="35"/>
  <c r="C261" i="35"/>
  <c r="F261" i="35"/>
  <c r="G261" i="35"/>
  <c r="H261" i="35"/>
  <c r="C262" i="35"/>
  <c r="F262" i="35"/>
  <c r="G262" i="35"/>
  <c r="H262" i="35"/>
  <c r="C263" i="35"/>
  <c r="F263" i="35"/>
  <c r="G263" i="35"/>
  <c r="H263" i="35"/>
  <c r="C264" i="35"/>
  <c r="F264" i="35"/>
  <c r="G264" i="35"/>
  <c r="H264" i="35"/>
  <c r="C265" i="35"/>
  <c r="F265" i="35"/>
  <c r="G265" i="35"/>
  <c r="H265" i="35"/>
  <c r="C266" i="35"/>
  <c r="F266" i="35"/>
  <c r="G266" i="35"/>
  <c r="H266" i="35"/>
  <c r="C267" i="35"/>
  <c r="F267" i="35"/>
  <c r="G267" i="35"/>
  <c r="H267" i="35"/>
  <c r="C268" i="35"/>
  <c r="F268" i="35"/>
  <c r="G268" i="35"/>
  <c r="H268" i="35"/>
  <c r="C269" i="35"/>
  <c r="F269" i="35"/>
  <c r="G269" i="35"/>
  <c r="H269" i="35"/>
  <c r="C270" i="35"/>
  <c r="F270" i="35"/>
  <c r="G270" i="35"/>
  <c r="H270" i="35"/>
  <c r="C271" i="35"/>
  <c r="F271" i="35"/>
  <c r="G271" i="35"/>
  <c r="H271" i="35"/>
  <c r="C272" i="35"/>
  <c r="F272" i="35"/>
  <c r="G272" i="35"/>
  <c r="H272" i="35"/>
  <c r="C273" i="35"/>
  <c r="F273" i="35"/>
  <c r="G273" i="35"/>
  <c r="H273" i="35"/>
  <c r="C274" i="35"/>
  <c r="F274" i="35"/>
  <c r="G274" i="35"/>
  <c r="H274" i="35"/>
  <c r="C275" i="35"/>
  <c r="F275" i="35"/>
  <c r="G275" i="35"/>
  <c r="H275" i="35"/>
  <c r="C276" i="35"/>
  <c r="F276" i="35"/>
  <c r="G276" i="35"/>
  <c r="H276" i="35"/>
  <c r="C277" i="35"/>
  <c r="F277" i="35"/>
  <c r="G277" i="35"/>
  <c r="H277" i="35"/>
  <c r="C278" i="35"/>
  <c r="F278" i="35"/>
  <c r="G278" i="35"/>
  <c r="H278" i="35"/>
  <c r="C279" i="35"/>
  <c r="F279" i="35"/>
  <c r="G279" i="35"/>
  <c r="H279" i="35"/>
  <c r="C280" i="35"/>
  <c r="F280" i="35"/>
  <c r="G280" i="35"/>
  <c r="H280" i="35"/>
  <c r="C281" i="35"/>
  <c r="F281" i="35"/>
  <c r="G281" i="35"/>
  <c r="H281" i="35"/>
  <c r="C282" i="35"/>
  <c r="F282" i="35"/>
  <c r="G282" i="35"/>
  <c r="H282" i="35"/>
  <c r="C283" i="35"/>
  <c r="F283" i="35"/>
  <c r="G283" i="35"/>
  <c r="H283" i="35"/>
  <c r="C284" i="35"/>
  <c r="F284" i="35"/>
  <c r="G284" i="35"/>
  <c r="H284" i="35"/>
  <c r="C285" i="35"/>
  <c r="F285" i="35"/>
  <c r="G285" i="35"/>
  <c r="H285" i="35"/>
  <c r="C286" i="35"/>
  <c r="F286" i="35"/>
  <c r="G286" i="35"/>
  <c r="H286" i="35"/>
  <c r="C287" i="35"/>
  <c r="F287" i="35"/>
  <c r="G287" i="35"/>
  <c r="H287" i="35"/>
  <c r="C288" i="35"/>
  <c r="F288" i="35"/>
  <c r="G288" i="35"/>
  <c r="H288" i="35"/>
  <c r="C289" i="35"/>
  <c r="F289" i="35"/>
  <c r="G289" i="35"/>
  <c r="H289" i="35"/>
  <c r="C290" i="35"/>
  <c r="F290" i="35"/>
  <c r="G290" i="35"/>
  <c r="H290" i="35"/>
  <c r="C291" i="35"/>
  <c r="F291" i="35"/>
  <c r="G291" i="35"/>
  <c r="H291" i="35"/>
  <c r="C292" i="35"/>
  <c r="F292" i="35"/>
  <c r="G292" i="35"/>
  <c r="H292" i="35"/>
  <c r="C293" i="35"/>
  <c r="F293" i="35"/>
  <c r="G293" i="35"/>
  <c r="H293" i="35"/>
  <c r="C294" i="35"/>
  <c r="F294" i="35"/>
  <c r="G294" i="35"/>
  <c r="H294" i="35"/>
  <c r="C295" i="35"/>
  <c r="F295" i="35"/>
  <c r="G295" i="35"/>
  <c r="H295" i="35"/>
  <c r="C296" i="35"/>
  <c r="F296" i="35"/>
  <c r="G296" i="35"/>
  <c r="H296" i="35"/>
  <c r="C297" i="35"/>
  <c r="F297" i="35"/>
  <c r="G297" i="35"/>
  <c r="H297" i="35"/>
  <c r="C298" i="35"/>
  <c r="F298" i="35"/>
  <c r="G298" i="35"/>
  <c r="H298" i="35"/>
  <c r="C299" i="35"/>
  <c r="F299" i="35"/>
  <c r="G299" i="35"/>
  <c r="H299" i="35"/>
  <c r="C300" i="35"/>
  <c r="F300" i="35"/>
  <c r="G300" i="35"/>
  <c r="H300" i="35"/>
  <c r="C301" i="35"/>
  <c r="F301" i="35"/>
  <c r="G301" i="35"/>
  <c r="H301" i="35"/>
  <c r="C302" i="35"/>
  <c r="F302" i="35"/>
  <c r="G302" i="35"/>
  <c r="H302" i="35"/>
  <c r="C303" i="35"/>
  <c r="F303" i="35"/>
  <c r="G303" i="35"/>
  <c r="H303" i="35"/>
  <c r="C304" i="35"/>
  <c r="F304" i="35"/>
  <c r="G304" i="35"/>
  <c r="H304" i="35"/>
  <c r="C305" i="35"/>
  <c r="F305" i="35"/>
  <c r="G305" i="35"/>
  <c r="H305" i="35"/>
  <c r="C306" i="35"/>
  <c r="F306" i="35"/>
  <c r="G306" i="35"/>
  <c r="H306" i="35"/>
  <c r="C307" i="35"/>
  <c r="F307" i="35"/>
  <c r="G307" i="35"/>
  <c r="H307" i="35"/>
  <c r="C308" i="35"/>
  <c r="F308" i="35"/>
  <c r="G308" i="35"/>
  <c r="H308" i="35"/>
  <c r="C309" i="35"/>
  <c r="F309" i="35"/>
  <c r="G309" i="35"/>
  <c r="H309" i="35"/>
  <c r="C310" i="35"/>
  <c r="F310" i="35"/>
  <c r="G310" i="35"/>
  <c r="H310" i="35"/>
  <c r="C311" i="35"/>
  <c r="F311" i="35"/>
  <c r="G311" i="35"/>
  <c r="H311" i="35"/>
  <c r="C312" i="35"/>
  <c r="F312" i="35"/>
  <c r="G312" i="35"/>
  <c r="H312" i="35"/>
  <c r="C313" i="35"/>
  <c r="F313" i="35"/>
  <c r="G313" i="35"/>
  <c r="H313" i="35"/>
  <c r="C314" i="35"/>
  <c r="F314" i="35"/>
  <c r="G314" i="35"/>
  <c r="H314" i="35"/>
  <c r="C315" i="35"/>
  <c r="F315" i="35"/>
  <c r="G315" i="35"/>
  <c r="H315" i="35"/>
  <c r="C316" i="35"/>
  <c r="F316" i="35"/>
  <c r="G316" i="35"/>
  <c r="H316" i="35"/>
  <c r="C317" i="35"/>
  <c r="F317" i="35"/>
  <c r="G317" i="35"/>
  <c r="H317" i="35"/>
  <c r="C318" i="35"/>
  <c r="F318" i="35"/>
  <c r="G318" i="35"/>
  <c r="H318" i="35"/>
  <c r="C319" i="35"/>
  <c r="F319" i="35"/>
  <c r="G319" i="35"/>
  <c r="H319" i="35"/>
  <c r="C320" i="35"/>
  <c r="F320" i="35"/>
  <c r="G320" i="35"/>
  <c r="H320" i="35"/>
  <c r="C321" i="35"/>
  <c r="F321" i="35"/>
  <c r="G321" i="35"/>
  <c r="H321" i="35"/>
  <c r="C322" i="35"/>
  <c r="F322" i="35"/>
  <c r="G322" i="35"/>
  <c r="H322" i="35"/>
  <c r="C323" i="35"/>
  <c r="F323" i="35"/>
  <c r="G323" i="35"/>
  <c r="H323" i="35"/>
  <c r="C324" i="35"/>
  <c r="F324" i="35"/>
  <c r="G324" i="35"/>
  <c r="H324" i="35"/>
  <c r="C325" i="35"/>
  <c r="F325" i="35"/>
  <c r="G325" i="35"/>
  <c r="H325" i="35"/>
  <c r="C326" i="35"/>
  <c r="F326" i="35"/>
  <c r="G326" i="35"/>
  <c r="H326" i="35"/>
  <c r="C327" i="35"/>
  <c r="F327" i="35"/>
  <c r="G327" i="35"/>
  <c r="H327" i="35"/>
  <c r="C328" i="35"/>
  <c r="F328" i="35"/>
  <c r="G328" i="35"/>
  <c r="H328" i="35"/>
  <c r="C329" i="35"/>
  <c r="F329" i="35"/>
  <c r="G329" i="35"/>
  <c r="H329" i="35"/>
  <c r="C330" i="35"/>
  <c r="F330" i="35"/>
  <c r="G330" i="35"/>
  <c r="H330" i="35"/>
  <c r="C331" i="35"/>
  <c r="F331" i="35"/>
  <c r="G331" i="35"/>
  <c r="H331" i="35"/>
  <c r="C332" i="35"/>
  <c r="F332" i="35"/>
  <c r="G332" i="35"/>
  <c r="H332" i="35"/>
  <c r="C333" i="35"/>
  <c r="F333" i="35"/>
  <c r="G333" i="35"/>
  <c r="H333" i="35"/>
  <c r="C334" i="35"/>
  <c r="F334" i="35"/>
  <c r="G334" i="35"/>
  <c r="H334" i="35"/>
  <c r="C335" i="35"/>
  <c r="F335" i="35"/>
  <c r="G335" i="35"/>
  <c r="H335" i="35"/>
  <c r="C336" i="35"/>
  <c r="F336" i="35"/>
  <c r="G336" i="35"/>
  <c r="H336" i="35"/>
  <c r="C337" i="35"/>
  <c r="F337" i="35"/>
  <c r="G337" i="35"/>
  <c r="H337" i="35"/>
  <c r="C338" i="35"/>
  <c r="F338" i="35"/>
  <c r="G338" i="35"/>
  <c r="H338" i="35"/>
  <c r="C339" i="35"/>
  <c r="F339" i="35"/>
  <c r="G339" i="35"/>
  <c r="H339" i="35"/>
  <c r="C340" i="35"/>
  <c r="F340" i="35"/>
  <c r="G340" i="35"/>
  <c r="H340" i="35"/>
  <c r="C341" i="35"/>
  <c r="F341" i="35"/>
  <c r="G341" i="35"/>
  <c r="H341" i="35"/>
  <c r="C342" i="35"/>
  <c r="F342" i="35"/>
  <c r="G342" i="35"/>
  <c r="H342" i="35"/>
  <c r="C343" i="35"/>
  <c r="F343" i="35"/>
  <c r="G343" i="35"/>
  <c r="H343" i="35"/>
  <c r="C344" i="35"/>
  <c r="F344" i="35"/>
  <c r="G344" i="35"/>
  <c r="H344" i="35"/>
  <c r="C345" i="35"/>
  <c r="F345" i="35"/>
  <c r="G345" i="35"/>
  <c r="H345" i="35"/>
  <c r="C346" i="35"/>
  <c r="F346" i="35"/>
  <c r="G346" i="35"/>
  <c r="H346" i="35"/>
  <c r="C347" i="35"/>
  <c r="F347" i="35"/>
  <c r="G347" i="35"/>
  <c r="H347" i="35"/>
  <c r="C348" i="35"/>
  <c r="F348" i="35"/>
  <c r="G348" i="35"/>
  <c r="H348" i="35"/>
  <c r="C349" i="35"/>
  <c r="F349" i="35"/>
  <c r="G349" i="35"/>
  <c r="H349" i="35"/>
  <c r="C350" i="35"/>
  <c r="F350" i="35"/>
  <c r="G350" i="35"/>
  <c r="H350" i="35"/>
  <c r="C351" i="35"/>
  <c r="F351" i="35"/>
  <c r="G351" i="35"/>
  <c r="H351" i="35"/>
  <c r="C352" i="35"/>
  <c r="F352" i="35"/>
  <c r="G352" i="35"/>
  <c r="H352" i="35"/>
  <c r="C353" i="35"/>
  <c r="F353" i="35"/>
  <c r="G353" i="35"/>
  <c r="H353" i="35"/>
  <c r="C354" i="35"/>
  <c r="F354" i="35"/>
  <c r="G354" i="35"/>
  <c r="H354" i="35"/>
  <c r="C355" i="35"/>
  <c r="F355" i="35"/>
  <c r="G355" i="35"/>
  <c r="H355" i="35"/>
  <c r="C356" i="35"/>
  <c r="F356" i="35"/>
  <c r="G356" i="35"/>
  <c r="H356" i="35"/>
  <c r="C357" i="35"/>
  <c r="F357" i="35"/>
  <c r="G357" i="35"/>
  <c r="H357" i="35"/>
  <c r="C358" i="35"/>
  <c r="F358" i="35"/>
  <c r="G358" i="35"/>
  <c r="H358" i="35"/>
  <c r="C359" i="35"/>
  <c r="F359" i="35"/>
  <c r="G359" i="35"/>
  <c r="H359" i="35"/>
  <c r="C360" i="35"/>
  <c r="F360" i="35"/>
  <c r="G360" i="35"/>
  <c r="H360" i="35"/>
  <c r="C361" i="35"/>
  <c r="F361" i="35"/>
  <c r="G361" i="35"/>
  <c r="H361" i="35"/>
  <c r="C362" i="35"/>
  <c r="F362" i="35"/>
  <c r="G362" i="35"/>
  <c r="H362" i="35"/>
  <c r="C363" i="35"/>
  <c r="F363" i="35"/>
  <c r="G363" i="35"/>
  <c r="H363" i="35"/>
  <c r="C364" i="35"/>
  <c r="F364" i="35"/>
  <c r="G364" i="35"/>
  <c r="H364" i="35"/>
  <c r="C365" i="35"/>
  <c r="F365" i="35"/>
  <c r="G365" i="35"/>
  <c r="H365" i="35"/>
  <c r="C366" i="35"/>
  <c r="F366" i="35"/>
  <c r="G366" i="35"/>
  <c r="H366" i="35"/>
  <c r="C367" i="35"/>
  <c r="F367" i="35"/>
  <c r="G367" i="35"/>
  <c r="H367" i="35"/>
  <c r="C368" i="35"/>
  <c r="F368" i="35"/>
  <c r="G368" i="35"/>
  <c r="H368" i="35"/>
  <c r="C369" i="35"/>
  <c r="F369" i="35"/>
  <c r="G369" i="35"/>
  <c r="H369" i="35"/>
  <c r="C370" i="35"/>
  <c r="F370" i="35"/>
  <c r="G370" i="35"/>
  <c r="H370" i="35"/>
  <c r="C371" i="35"/>
  <c r="F371" i="35"/>
  <c r="G371" i="35"/>
  <c r="H371" i="35"/>
  <c r="C372" i="35"/>
  <c r="F372" i="35"/>
  <c r="G372" i="35"/>
  <c r="H372" i="35"/>
  <c r="C373" i="35"/>
  <c r="F373" i="35"/>
  <c r="G373" i="35"/>
  <c r="H373" i="35"/>
  <c r="C374" i="35"/>
  <c r="F374" i="35"/>
  <c r="G374" i="35"/>
  <c r="H374" i="35"/>
  <c r="C375" i="35"/>
  <c r="F375" i="35"/>
  <c r="G375" i="35"/>
  <c r="H375" i="35"/>
  <c r="C376" i="35"/>
  <c r="F376" i="35"/>
  <c r="G376" i="35"/>
  <c r="H376" i="35"/>
  <c r="C377" i="35"/>
  <c r="F377" i="35"/>
  <c r="G377" i="35"/>
  <c r="H377" i="35"/>
  <c r="C378" i="35"/>
  <c r="F378" i="35"/>
  <c r="G378" i="35"/>
  <c r="H378" i="35"/>
  <c r="C379" i="35"/>
  <c r="F379" i="35"/>
  <c r="G379" i="35"/>
  <c r="H379" i="35"/>
  <c r="C380" i="35"/>
  <c r="F380" i="35"/>
  <c r="G380" i="35"/>
  <c r="H380" i="35"/>
  <c r="C381" i="35"/>
  <c r="F381" i="35"/>
  <c r="G381" i="35"/>
  <c r="H381" i="35"/>
  <c r="C382" i="35"/>
  <c r="F382" i="35"/>
  <c r="G382" i="35"/>
  <c r="H382" i="35"/>
  <c r="C383" i="35"/>
  <c r="F383" i="35"/>
  <c r="G383" i="35"/>
  <c r="H383" i="35"/>
  <c r="C384" i="35"/>
  <c r="F384" i="35"/>
  <c r="G384" i="35"/>
  <c r="H384" i="35"/>
  <c r="C385" i="35"/>
  <c r="F385" i="35"/>
  <c r="G385" i="35"/>
  <c r="H385" i="35"/>
  <c r="C386" i="35"/>
  <c r="F386" i="35"/>
  <c r="G386" i="35"/>
  <c r="H386" i="35"/>
  <c r="C387" i="35"/>
  <c r="F387" i="35"/>
  <c r="G387" i="35"/>
  <c r="H387" i="35"/>
  <c r="C388" i="35"/>
  <c r="F388" i="35"/>
  <c r="G388" i="35"/>
  <c r="H388" i="35"/>
  <c r="C389" i="35"/>
  <c r="F389" i="35"/>
  <c r="G389" i="35"/>
  <c r="H389" i="35"/>
  <c r="C390" i="35"/>
  <c r="F390" i="35"/>
  <c r="G390" i="35"/>
  <c r="H390" i="35"/>
  <c r="C391" i="35"/>
  <c r="F391" i="35"/>
  <c r="G391" i="35"/>
  <c r="H391" i="35"/>
  <c r="C392" i="35"/>
  <c r="F392" i="35"/>
  <c r="G392" i="35"/>
  <c r="H392" i="35"/>
  <c r="C393" i="35"/>
  <c r="F393" i="35"/>
  <c r="G393" i="35"/>
  <c r="H393" i="35"/>
  <c r="C394" i="35"/>
  <c r="F394" i="35"/>
  <c r="G394" i="35"/>
  <c r="H394" i="35"/>
  <c r="C395" i="35"/>
  <c r="F395" i="35"/>
  <c r="G395" i="35"/>
  <c r="H395" i="35"/>
  <c r="C396" i="35"/>
  <c r="F396" i="35"/>
  <c r="G396" i="35"/>
  <c r="H396" i="35"/>
  <c r="C397" i="35"/>
  <c r="F397" i="35"/>
  <c r="G397" i="35"/>
  <c r="H397" i="35"/>
  <c r="C398" i="35"/>
  <c r="F398" i="35"/>
  <c r="G398" i="35"/>
  <c r="H398" i="35"/>
  <c r="C399" i="35"/>
  <c r="F399" i="35"/>
  <c r="G399" i="35"/>
  <c r="H399" i="35"/>
  <c r="C400" i="35"/>
  <c r="F400" i="35"/>
  <c r="G400" i="35"/>
  <c r="H400" i="35"/>
  <c r="C401" i="35"/>
  <c r="F401" i="35"/>
  <c r="G401" i="35"/>
  <c r="H401" i="35"/>
  <c r="C402" i="35"/>
  <c r="F402" i="35"/>
  <c r="G402" i="35"/>
  <c r="H402" i="35"/>
  <c r="C403" i="35"/>
  <c r="F403" i="35"/>
  <c r="G403" i="35"/>
  <c r="H403" i="35"/>
  <c r="C404" i="35"/>
  <c r="F404" i="35"/>
  <c r="G404" i="35"/>
  <c r="H404" i="35"/>
  <c r="C405" i="35"/>
  <c r="F405" i="35"/>
  <c r="G405" i="35"/>
  <c r="H405" i="35"/>
  <c r="C406" i="35"/>
  <c r="F406" i="35"/>
  <c r="G406" i="35"/>
  <c r="H406" i="35"/>
  <c r="C407" i="35"/>
  <c r="F407" i="35"/>
  <c r="G407" i="35"/>
  <c r="H407" i="35"/>
  <c r="C408" i="35"/>
  <c r="F408" i="35"/>
  <c r="G408" i="35"/>
  <c r="H408" i="35"/>
  <c r="C409" i="35"/>
  <c r="F409" i="35"/>
  <c r="G409" i="35"/>
  <c r="H409" i="35"/>
  <c r="C410" i="35"/>
  <c r="F410" i="35"/>
  <c r="G410" i="35"/>
  <c r="H410" i="35"/>
  <c r="C411" i="35"/>
  <c r="F411" i="35"/>
  <c r="G411" i="35"/>
  <c r="H411" i="35"/>
  <c r="C412" i="35"/>
  <c r="F412" i="35"/>
  <c r="G412" i="35"/>
  <c r="H412" i="35"/>
  <c r="C413" i="35"/>
  <c r="F413" i="35"/>
  <c r="G413" i="35"/>
  <c r="H413" i="35"/>
  <c r="C414" i="35"/>
  <c r="F414" i="35"/>
  <c r="G414" i="35"/>
  <c r="H414" i="35"/>
  <c r="C415" i="35"/>
  <c r="F415" i="35"/>
  <c r="G415" i="35"/>
  <c r="H415" i="35"/>
  <c r="C416" i="35"/>
  <c r="F416" i="35"/>
  <c r="G416" i="35"/>
  <c r="H416" i="35"/>
  <c r="C417" i="35"/>
  <c r="F417" i="35"/>
  <c r="G417" i="35"/>
  <c r="H417" i="35"/>
  <c r="C418" i="35"/>
  <c r="F418" i="35"/>
  <c r="G418" i="35"/>
  <c r="H418" i="35"/>
  <c r="C419" i="35"/>
  <c r="F419" i="35"/>
  <c r="G419" i="35"/>
  <c r="H419" i="35"/>
  <c r="C420" i="35"/>
  <c r="F420" i="35"/>
  <c r="G420" i="35"/>
  <c r="H420" i="35"/>
  <c r="C421" i="35"/>
  <c r="F421" i="35"/>
  <c r="G421" i="35"/>
  <c r="H421" i="35"/>
  <c r="C422" i="35"/>
  <c r="F422" i="35"/>
  <c r="G422" i="35"/>
  <c r="H422" i="35"/>
  <c r="C423" i="35"/>
  <c r="F423" i="35"/>
  <c r="G423" i="35"/>
  <c r="H423" i="35"/>
  <c r="C424" i="35"/>
  <c r="F424" i="35"/>
  <c r="G424" i="35"/>
  <c r="H424" i="35"/>
  <c r="C425" i="35"/>
  <c r="F425" i="35"/>
  <c r="G425" i="35"/>
  <c r="H425" i="35"/>
  <c r="C426" i="35"/>
  <c r="F426" i="35"/>
  <c r="G426" i="35"/>
  <c r="H426" i="35"/>
  <c r="C427" i="35"/>
  <c r="F427" i="35"/>
  <c r="G427" i="35"/>
  <c r="H427" i="35"/>
  <c r="C428" i="35"/>
  <c r="F428" i="35"/>
  <c r="G428" i="35"/>
  <c r="H428" i="35"/>
  <c r="C429" i="35"/>
  <c r="F429" i="35"/>
  <c r="G429" i="35"/>
  <c r="H429" i="35"/>
  <c r="C430" i="35"/>
  <c r="F430" i="35"/>
  <c r="G430" i="35"/>
  <c r="H430" i="35"/>
  <c r="C431" i="35"/>
  <c r="F431" i="35"/>
  <c r="G431" i="35"/>
  <c r="H431" i="35"/>
  <c r="C432" i="35"/>
  <c r="F432" i="35"/>
  <c r="G432" i="35"/>
  <c r="H432" i="35"/>
  <c r="C433" i="35"/>
  <c r="F433" i="35"/>
  <c r="G433" i="35"/>
  <c r="H433" i="35"/>
  <c r="C434" i="35"/>
  <c r="F434" i="35"/>
  <c r="G434" i="35"/>
  <c r="H434" i="35"/>
  <c r="C435" i="35"/>
  <c r="F435" i="35"/>
  <c r="G435" i="35"/>
  <c r="H435" i="35"/>
  <c r="C436" i="35"/>
  <c r="F436" i="35"/>
  <c r="G436" i="35"/>
  <c r="H436" i="35"/>
  <c r="C437" i="35"/>
  <c r="F437" i="35"/>
  <c r="G437" i="35"/>
  <c r="H437" i="35"/>
  <c r="C438" i="35"/>
  <c r="F438" i="35"/>
  <c r="G438" i="35"/>
  <c r="H438" i="35"/>
  <c r="C439" i="35"/>
  <c r="F439" i="35"/>
  <c r="G439" i="35"/>
  <c r="H439" i="35"/>
  <c r="C440" i="35"/>
  <c r="F440" i="35"/>
  <c r="G440" i="35"/>
  <c r="H440" i="35"/>
  <c r="C441" i="35"/>
  <c r="F441" i="35"/>
  <c r="G441" i="35"/>
  <c r="H441" i="35"/>
  <c r="C442" i="35"/>
  <c r="F442" i="35"/>
  <c r="G442" i="35"/>
  <c r="H442" i="35"/>
  <c r="C443" i="35"/>
  <c r="F443" i="35"/>
  <c r="G443" i="35"/>
  <c r="H443" i="35"/>
  <c r="C444" i="35"/>
  <c r="F444" i="35"/>
  <c r="G444" i="35"/>
  <c r="H444" i="35"/>
  <c r="C445" i="35"/>
  <c r="F445" i="35"/>
  <c r="G445" i="35"/>
  <c r="H445" i="35"/>
  <c r="C446" i="35"/>
  <c r="F446" i="35"/>
  <c r="G446" i="35"/>
  <c r="H446" i="35"/>
  <c r="C447" i="35"/>
  <c r="F447" i="35"/>
  <c r="G447" i="35"/>
  <c r="H447" i="35"/>
  <c r="C448" i="35"/>
  <c r="F448" i="35"/>
  <c r="G448" i="35"/>
  <c r="H448" i="35"/>
  <c r="C449" i="35"/>
  <c r="F449" i="35"/>
  <c r="G449" i="35"/>
  <c r="H449" i="35"/>
  <c r="C450" i="35"/>
  <c r="F450" i="35"/>
  <c r="G450" i="35"/>
  <c r="H450" i="35"/>
  <c r="C451" i="35"/>
  <c r="F451" i="35"/>
  <c r="G451" i="35"/>
  <c r="H451" i="35"/>
  <c r="C452" i="35"/>
  <c r="F452" i="35"/>
  <c r="G452" i="35"/>
  <c r="H452" i="35"/>
  <c r="C453" i="35"/>
  <c r="F453" i="35"/>
  <c r="G453" i="35"/>
  <c r="H453" i="35"/>
  <c r="C454" i="35"/>
  <c r="F454" i="35"/>
  <c r="G454" i="35"/>
  <c r="H454" i="35"/>
  <c r="C455" i="35"/>
  <c r="F455" i="35"/>
  <c r="G455" i="35"/>
  <c r="H455" i="35"/>
  <c r="C456" i="35"/>
  <c r="F456" i="35"/>
  <c r="G456" i="35"/>
  <c r="H456" i="35"/>
  <c r="C457" i="35"/>
  <c r="F457" i="35"/>
  <c r="G457" i="35"/>
  <c r="H457" i="35"/>
  <c r="C458" i="35"/>
  <c r="F458" i="35"/>
  <c r="G458" i="35"/>
  <c r="H458" i="35"/>
  <c r="C459" i="35"/>
  <c r="F459" i="35"/>
  <c r="G459" i="35"/>
  <c r="H459" i="35"/>
  <c r="C460" i="35"/>
  <c r="F460" i="35"/>
  <c r="G460" i="35"/>
  <c r="H460" i="35"/>
  <c r="C461" i="35"/>
  <c r="F461" i="35"/>
  <c r="G461" i="35"/>
  <c r="H461" i="35"/>
  <c r="C462" i="35"/>
  <c r="F462" i="35"/>
  <c r="G462" i="35"/>
  <c r="H462" i="35"/>
  <c r="C463" i="35"/>
  <c r="F463" i="35"/>
  <c r="G463" i="35"/>
  <c r="H463" i="35"/>
  <c r="C464" i="35"/>
  <c r="F464" i="35"/>
  <c r="G464" i="35"/>
  <c r="H464" i="35"/>
  <c r="C465" i="35"/>
  <c r="F465" i="35"/>
  <c r="G465" i="35"/>
  <c r="H465" i="35"/>
  <c r="C466" i="35"/>
  <c r="F466" i="35"/>
  <c r="G466" i="35"/>
  <c r="H466" i="35"/>
  <c r="C467" i="35"/>
  <c r="F467" i="35"/>
  <c r="G467" i="35"/>
  <c r="H467" i="35"/>
  <c r="C468" i="35"/>
  <c r="F468" i="35"/>
  <c r="G468" i="35"/>
  <c r="H468" i="35"/>
  <c r="C469" i="35"/>
  <c r="F469" i="35"/>
  <c r="G469" i="35"/>
  <c r="H469" i="35"/>
  <c r="C470" i="35"/>
  <c r="F470" i="35"/>
  <c r="G470" i="35"/>
  <c r="H470" i="35"/>
  <c r="C471" i="35"/>
  <c r="F471" i="35"/>
  <c r="G471" i="35"/>
  <c r="H471" i="35"/>
  <c r="C472" i="35"/>
  <c r="F472" i="35"/>
  <c r="G472" i="35"/>
  <c r="H472" i="35"/>
  <c r="C473" i="35"/>
  <c r="F473" i="35"/>
  <c r="G473" i="35"/>
  <c r="H473" i="35"/>
  <c r="C474" i="35"/>
  <c r="F474" i="35"/>
  <c r="G474" i="35"/>
  <c r="H474" i="35"/>
  <c r="C475" i="35"/>
  <c r="F475" i="35"/>
  <c r="G475" i="35"/>
  <c r="H475" i="35"/>
  <c r="C476" i="35"/>
  <c r="F476" i="35"/>
  <c r="G476" i="35"/>
  <c r="H476" i="35"/>
  <c r="C477" i="35"/>
  <c r="F477" i="35"/>
  <c r="G477" i="35"/>
  <c r="H477" i="35"/>
  <c r="C478" i="35"/>
  <c r="F478" i="35"/>
  <c r="G478" i="35"/>
  <c r="H478" i="35"/>
  <c r="C479" i="35"/>
  <c r="F479" i="35"/>
  <c r="G479" i="35"/>
  <c r="H479" i="35"/>
  <c r="C480" i="35"/>
  <c r="F480" i="35"/>
  <c r="G480" i="35"/>
  <c r="H480" i="35"/>
  <c r="C481" i="35"/>
  <c r="F481" i="35"/>
  <c r="G481" i="35"/>
  <c r="H481" i="35"/>
  <c r="C482" i="35"/>
  <c r="F482" i="35"/>
  <c r="G482" i="35"/>
  <c r="H482" i="35"/>
  <c r="C483" i="35"/>
  <c r="F483" i="35"/>
  <c r="G483" i="35"/>
  <c r="H483" i="35"/>
  <c r="C484" i="35"/>
  <c r="F484" i="35"/>
  <c r="G484" i="35"/>
  <c r="H484" i="35"/>
  <c r="C485" i="35"/>
  <c r="F485" i="35"/>
  <c r="G485" i="35"/>
  <c r="H485" i="35"/>
  <c r="C486" i="35"/>
  <c r="F486" i="35"/>
  <c r="G486" i="35"/>
  <c r="H486" i="35"/>
  <c r="C487" i="35"/>
  <c r="F487" i="35"/>
  <c r="G487" i="35"/>
  <c r="H487" i="35"/>
  <c r="C488" i="35"/>
  <c r="F488" i="35"/>
  <c r="G488" i="35"/>
  <c r="H488" i="35"/>
  <c r="C489" i="35"/>
  <c r="F489" i="35"/>
  <c r="G489" i="35"/>
  <c r="H489" i="35"/>
  <c r="C490" i="35"/>
  <c r="F490" i="35"/>
  <c r="G490" i="35"/>
  <c r="H490" i="35"/>
  <c r="C491" i="35"/>
  <c r="F491" i="35"/>
  <c r="G491" i="35"/>
  <c r="H491" i="35"/>
  <c r="C492" i="35"/>
  <c r="F492" i="35"/>
  <c r="G492" i="35"/>
  <c r="H492" i="35"/>
  <c r="C493" i="35"/>
  <c r="F493" i="35"/>
  <c r="G493" i="35"/>
  <c r="H493" i="35"/>
  <c r="C494" i="35"/>
  <c r="F494" i="35"/>
  <c r="G494" i="35"/>
  <c r="H494" i="35"/>
  <c r="C495" i="35"/>
  <c r="F495" i="35"/>
  <c r="G495" i="35"/>
  <c r="H495" i="35"/>
  <c r="C496" i="35"/>
  <c r="F496" i="35"/>
  <c r="G496" i="35"/>
  <c r="H496" i="35"/>
  <c r="C497" i="35"/>
  <c r="F497" i="35"/>
  <c r="G497" i="35"/>
  <c r="H497" i="35"/>
  <c r="C498" i="35"/>
  <c r="F498" i="35"/>
  <c r="G498" i="35"/>
  <c r="H498" i="35"/>
  <c r="C499" i="35"/>
  <c r="F499" i="35"/>
  <c r="G499" i="35"/>
  <c r="H499" i="35"/>
  <c r="C500" i="35"/>
  <c r="F500" i="35"/>
  <c r="G500" i="35"/>
  <c r="H500" i="35"/>
  <c r="C501" i="35"/>
  <c r="F501" i="35"/>
  <c r="G501" i="35"/>
  <c r="H501" i="35"/>
  <c r="C502" i="35"/>
  <c r="F502" i="35"/>
  <c r="G502" i="35"/>
  <c r="H502" i="35"/>
  <c r="C503" i="35"/>
  <c r="F503" i="35"/>
  <c r="G503" i="35"/>
  <c r="H503" i="35"/>
  <c r="C504" i="35"/>
  <c r="F504" i="35"/>
  <c r="G504" i="35"/>
  <c r="H504" i="35"/>
  <c r="C505" i="35"/>
  <c r="F505" i="35"/>
  <c r="G505" i="35"/>
  <c r="H505" i="35"/>
  <c r="C506" i="35"/>
  <c r="F506" i="35"/>
  <c r="G506" i="35"/>
  <c r="H506" i="35"/>
  <c r="C507" i="35"/>
  <c r="F507" i="35"/>
  <c r="G507" i="35"/>
  <c r="H507" i="35"/>
  <c r="C508" i="35"/>
  <c r="F508" i="35"/>
  <c r="G508" i="35"/>
  <c r="H508" i="35"/>
  <c r="C509" i="35"/>
  <c r="F509" i="35"/>
  <c r="G509" i="35"/>
  <c r="H509" i="35"/>
  <c r="C510" i="35"/>
  <c r="F510" i="35"/>
  <c r="G510" i="35"/>
  <c r="H510" i="35"/>
  <c r="C511" i="35"/>
  <c r="F511" i="35"/>
  <c r="G511" i="35"/>
  <c r="H511" i="35"/>
  <c r="C512" i="35"/>
  <c r="F512" i="35"/>
  <c r="G512" i="35"/>
  <c r="H512" i="35"/>
  <c r="C513" i="35"/>
  <c r="F513" i="35"/>
  <c r="G513" i="35"/>
  <c r="H513" i="35"/>
  <c r="C514" i="35"/>
  <c r="F514" i="35"/>
  <c r="G514" i="35"/>
  <c r="H514" i="35"/>
  <c r="C515" i="35"/>
  <c r="F515" i="35"/>
  <c r="G515" i="35"/>
  <c r="H515" i="35"/>
  <c r="C516" i="35"/>
  <c r="F516" i="35"/>
  <c r="G516" i="35"/>
  <c r="H516" i="35"/>
  <c r="C517" i="35"/>
  <c r="F517" i="35"/>
  <c r="G517" i="35"/>
  <c r="H517" i="35"/>
  <c r="C518" i="35"/>
  <c r="F518" i="35"/>
  <c r="G518" i="35"/>
  <c r="H518" i="35"/>
  <c r="C519" i="35"/>
  <c r="F519" i="35"/>
  <c r="G519" i="35"/>
  <c r="H519" i="35"/>
  <c r="C520" i="35"/>
  <c r="F520" i="35"/>
  <c r="G520" i="35"/>
  <c r="H520" i="35"/>
  <c r="C521" i="35"/>
  <c r="F521" i="35"/>
  <c r="G521" i="35"/>
  <c r="H521" i="35"/>
  <c r="C522" i="35"/>
  <c r="F522" i="35"/>
  <c r="G522" i="35"/>
  <c r="H522" i="35"/>
  <c r="C523" i="35"/>
  <c r="F523" i="35"/>
  <c r="G523" i="35"/>
  <c r="H523" i="35"/>
  <c r="C524" i="35"/>
  <c r="F524" i="35"/>
  <c r="G524" i="35"/>
  <c r="H524" i="35"/>
  <c r="C525" i="35"/>
  <c r="F525" i="35"/>
  <c r="G525" i="35"/>
  <c r="H525" i="35"/>
  <c r="C526" i="35"/>
  <c r="F526" i="35"/>
  <c r="G526" i="35"/>
  <c r="H526" i="35"/>
  <c r="C527" i="35"/>
  <c r="F527" i="35"/>
  <c r="G527" i="35"/>
  <c r="H527" i="35"/>
  <c r="C528" i="35"/>
  <c r="F528" i="35"/>
  <c r="G528" i="35"/>
  <c r="H528" i="35"/>
  <c r="C529" i="35"/>
  <c r="F529" i="35"/>
  <c r="G529" i="35"/>
  <c r="H529" i="35"/>
  <c r="C530" i="35"/>
  <c r="F530" i="35"/>
  <c r="G530" i="35"/>
  <c r="H530" i="35"/>
  <c r="C531" i="35"/>
  <c r="F531" i="35"/>
  <c r="G531" i="35"/>
  <c r="H531" i="35"/>
  <c r="C532" i="35"/>
  <c r="F532" i="35"/>
  <c r="G532" i="35"/>
  <c r="H532" i="35"/>
  <c r="C533" i="35"/>
  <c r="F533" i="35"/>
  <c r="G533" i="35"/>
  <c r="H533" i="35"/>
  <c r="C534" i="35"/>
  <c r="F534" i="35"/>
  <c r="G534" i="35"/>
  <c r="H534" i="35"/>
  <c r="C535" i="35"/>
  <c r="F535" i="35"/>
  <c r="G535" i="35"/>
  <c r="H535" i="35"/>
  <c r="C536" i="35"/>
  <c r="F536" i="35"/>
  <c r="G536" i="35"/>
  <c r="H536" i="35"/>
  <c r="C537" i="35"/>
  <c r="F537" i="35"/>
  <c r="G537" i="35"/>
  <c r="H537" i="35"/>
  <c r="C538" i="35"/>
  <c r="F538" i="35"/>
  <c r="G538" i="35"/>
  <c r="H538" i="35"/>
  <c r="C539" i="35"/>
  <c r="F539" i="35"/>
  <c r="G539" i="35"/>
  <c r="H539" i="35"/>
  <c r="C540" i="35"/>
  <c r="F540" i="35"/>
  <c r="G540" i="35"/>
  <c r="H540" i="35"/>
  <c r="C541" i="35"/>
  <c r="F541" i="35"/>
  <c r="G541" i="35"/>
  <c r="H541" i="35"/>
  <c r="C542" i="35"/>
  <c r="F542" i="35"/>
  <c r="G542" i="35"/>
  <c r="H542" i="35"/>
  <c r="C543" i="35"/>
  <c r="F543" i="35"/>
  <c r="G543" i="35"/>
  <c r="H543" i="35"/>
  <c r="C544" i="35"/>
  <c r="F544" i="35"/>
  <c r="G544" i="35"/>
  <c r="H544" i="35"/>
  <c r="C545" i="35"/>
  <c r="F545" i="35"/>
  <c r="G545" i="35"/>
  <c r="H545" i="35"/>
  <c r="C546" i="35"/>
  <c r="F546" i="35"/>
  <c r="G546" i="35"/>
  <c r="H546" i="35"/>
  <c r="C547" i="35"/>
  <c r="F547" i="35"/>
  <c r="G547" i="35"/>
  <c r="H547" i="35"/>
  <c r="C548" i="35"/>
  <c r="F548" i="35"/>
  <c r="G548" i="35"/>
  <c r="H548" i="35"/>
  <c r="C549" i="35"/>
  <c r="F549" i="35"/>
  <c r="G549" i="35"/>
  <c r="H549" i="35"/>
  <c r="C550" i="35"/>
  <c r="F550" i="35"/>
  <c r="G550" i="35"/>
  <c r="H550" i="35"/>
  <c r="C551" i="35"/>
  <c r="F551" i="35"/>
  <c r="G551" i="35"/>
  <c r="H551" i="35"/>
  <c r="C552" i="35"/>
  <c r="F552" i="35"/>
  <c r="G552" i="35"/>
  <c r="H552" i="35"/>
  <c r="C553" i="35"/>
  <c r="F553" i="35"/>
  <c r="G553" i="35"/>
  <c r="H553" i="35"/>
  <c r="C554" i="35"/>
  <c r="F554" i="35"/>
  <c r="G554" i="35"/>
  <c r="H554" i="35"/>
  <c r="C555" i="35"/>
  <c r="F555" i="35"/>
  <c r="G555" i="35"/>
  <c r="H555" i="35"/>
  <c r="C556" i="35"/>
  <c r="F556" i="35"/>
  <c r="G556" i="35"/>
  <c r="H556" i="35"/>
  <c r="C557" i="35"/>
  <c r="F557" i="35"/>
  <c r="G557" i="35"/>
  <c r="H557" i="35"/>
  <c r="C558" i="35"/>
  <c r="F558" i="35"/>
  <c r="G558" i="35"/>
  <c r="H558" i="35"/>
  <c r="C559" i="35"/>
  <c r="F559" i="35"/>
  <c r="G559" i="35"/>
  <c r="H559" i="35"/>
  <c r="C560" i="35"/>
  <c r="F560" i="35"/>
  <c r="G560" i="35"/>
  <c r="H560" i="35"/>
  <c r="C561" i="35"/>
  <c r="F561" i="35"/>
  <c r="G561" i="35"/>
  <c r="H561" i="35"/>
  <c r="C562" i="35"/>
  <c r="F562" i="35"/>
  <c r="G562" i="35"/>
  <c r="H562" i="35"/>
  <c r="C563" i="35"/>
  <c r="F563" i="35"/>
  <c r="G563" i="35"/>
  <c r="H563" i="35"/>
  <c r="C564" i="35"/>
  <c r="F564" i="35"/>
  <c r="G564" i="35"/>
  <c r="H564" i="35"/>
  <c r="C565" i="35"/>
  <c r="F565" i="35"/>
  <c r="G565" i="35"/>
  <c r="H565" i="35"/>
  <c r="C566" i="35"/>
  <c r="F566" i="35"/>
  <c r="G566" i="35"/>
  <c r="H566" i="35"/>
  <c r="C567" i="35"/>
  <c r="F567" i="35"/>
  <c r="G567" i="35"/>
  <c r="H567" i="35"/>
  <c r="C568" i="35"/>
  <c r="F568" i="35"/>
  <c r="G568" i="35"/>
  <c r="H568" i="35"/>
  <c r="C569" i="35"/>
  <c r="F569" i="35"/>
  <c r="G569" i="35"/>
  <c r="H569" i="35"/>
  <c r="C570" i="35"/>
  <c r="F570" i="35"/>
  <c r="G570" i="35"/>
  <c r="H570" i="35"/>
  <c r="C571" i="35"/>
  <c r="F571" i="35"/>
  <c r="G571" i="35"/>
  <c r="H571" i="35"/>
  <c r="C572" i="35"/>
  <c r="F572" i="35"/>
  <c r="G572" i="35"/>
  <c r="H572" i="35"/>
  <c r="C573" i="35"/>
  <c r="F573" i="35"/>
  <c r="G573" i="35"/>
  <c r="H573" i="35"/>
  <c r="C574" i="35"/>
  <c r="F574" i="35"/>
  <c r="G574" i="35"/>
  <c r="H574" i="35"/>
  <c r="C575" i="35"/>
  <c r="F575" i="35"/>
  <c r="G575" i="35"/>
  <c r="H575" i="35"/>
  <c r="C576" i="35"/>
  <c r="F576" i="35"/>
  <c r="G576" i="35"/>
  <c r="H576" i="35"/>
  <c r="C577" i="35"/>
  <c r="F577" i="35"/>
  <c r="G577" i="35"/>
  <c r="H577" i="35"/>
  <c r="C578" i="35"/>
  <c r="F578" i="35"/>
  <c r="G578" i="35"/>
  <c r="H578" i="35"/>
  <c r="C579" i="35"/>
  <c r="F579" i="35"/>
  <c r="G579" i="35"/>
  <c r="H579" i="35"/>
  <c r="C580" i="35"/>
  <c r="F580" i="35"/>
  <c r="G580" i="35"/>
  <c r="H580" i="35"/>
  <c r="C581" i="35"/>
  <c r="F581" i="35"/>
  <c r="G581" i="35"/>
  <c r="H581" i="35"/>
  <c r="C582" i="35"/>
  <c r="F582" i="35"/>
  <c r="G582" i="35"/>
  <c r="H582" i="35"/>
  <c r="C583" i="35"/>
  <c r="F583" i="35"/>
  <c r="G583" i="35"/>
  <c r="H583" i="35"/>
  <c r="C584" i="35"/>
  <c r="F584" i="35"/>
  <c r="G584" i="35"/>
  <c r="H584" i="35"/>
  <c r="C585" i="35"/>
  <c r="F585" i="35"/>
  <c r="G585" i="35"/>
  <c r="H585" i="35"/>
  <c r="C586" i="35"/>
  <c r="F586" i="35"/>
  <c r="G586" i="35"/>
  <c r="H586" i="35"/>
  <c r="C587" i="35"/>
  <c r="F587" i="35"/>
  <c r="G587" i="35"/>
  <c r="H587" i="35"/>
  <c r="C588" i="35"/>
  <c r="F588" i="35"/>
  <c r="G588" i="35"/>
  <c r="H588" i="35"/>
  <c r="C589" i="35"/>
  <c r="F589" i="35"/>
  <c r="G589" i="35"/>
  <c r="H589" i="35"/>
  <c r="C590" i="35"/>
  <c r="F590" i="35"/>
  <c r="G590" i="35"/>
  <c r="H590" i="35"/>
  <c r="C591" i="35"/>
  <c r="F591" i="35"/>
  <c r="G591" i="35"/>
  <c r="H591" i="35"/>
  <c r="C592" i="35"/>
  <c r="F592" i="35"/>
  <c r="G592" i="35"/>
  <c r="H592" i="35"/>
  <c r="C593" i="35"/>
  <c r="F593" i="35"/>
  <c r="G593" i="35"/>
  <c r="H593" i="35"/>
  <c r="C594" i="35"/>
  <c r="F594" i="35"/>
  <c r="G594" i="35"/>
  <c r="H594" i="35"/>
  <c r="C595" i="35"/>
  <c r="F595" i="35"/>
  <c r="G595" i="35"/>
  <c r="H595" i="35"/>
  <c r="C596" i="35"/>
  <c r="F596" i="35"/>
  <c r="G596" i="35"/>
  <c r="H596" i="35"/>
  <c r="C597" i="35"/>
  <c r="F597" i="35"/>
  <c r="G597" i="35"/>
  <c r="H597" i="35"/>
  <c r="C598" i="35"/>
  <c r="F598" i="35"/>
  <c r="G598" i="35"/>
  <c r="H598" i="35"/>
  <c r="C599" i="35"/>
  <c r="F599" i="35"/>
  <c r="G599" i="35"/>
  <c r="H599" i="35"/>
  <c r="C600" i="35"/>
  <c r="F600" i="35"/>
  <c r="G600" i="35"/>
  <c r="H600" i="35"/>
  <c r="C601" i="35"/>
  <c r="F601" i="35"/>
  <c r="G601" i="35"/>
  <c r="H601" i="35"/>
  <c r="C602" i="35"/>
  <c r="F602" i="35"/>
  <c r="G602" i="35"/>
  <c r="H602" i="35"/>
  <c r="C603" i="35"/>
  <c r="F603" i="35"/>
  <c r="G603" i="35"/>
  <c r="H603" i="35"/>
  <c r="C604" i="35"/>
  <c r="F604" i="35"/>
  <c r="G604" i="35"/>
  <c r="H604" i="35"/>
  <c r="C605" i="35"/>
  <c r="F605" i="35"/>
  <c r="G605" i="35"/>
  <c r="H605" i="35"/>
  <c r="C606" i="35"/>
  <c r="F606" i="35"/>
  <c r="G606" i="35"/>
  <c r="H606" i="35"/>
  <c r="C607" i="35"/>
  <c r="F607" i="35"/>
  <c r="G607" i="35"/>
  <c r="H607" i="35"/>
  <c r="C608" i="35"/>
  <c r="F608" i="35"/>
  <c r="G608" i="35"/>
  <c r="H608" i="35"/>
  <c r="C609" i="35"/>
  <c r="F609" i="35"/>
  <c r="G609" i="35"/>
  <c r="H609" i="35"/>
  <c r="C610" i="35"/>
  <c r="F610" i="35"/>
  <c r="G610" i="35"/>
  <c r="H610" i="35"/>
  <c r="C611" i="35"/>
  <c r="F611" i="35"/>
  <c r="G611" i="35"/>
  <c r="H611" i="35"/>
  <c r="C612" i="35"/>
  <c r="F612" i="35"/>
  <c r="G612" i="35"/>
  <c r="H612" i="35"/>
  <c r="C613" i="35"/>
  <c r="F613" i="35"/>
  <c r="G613" i="35"/>
  <c r="H613" i="35"/>
  <c r="C614" i="35"/>
  <c r="F614" i="35"/>
  <c r="G614" i="35"/>
  <c r="H614" i="35"/>
  <c r="C615" i="35"/>
  <c r="F615" i="35"/>
  <c r="G615" i="35"/>
  <c r="H615" i="35"/>
  <c r="C616" i="35"/>
  <c r="F616" i="35"/>
  <c r="G616" i="35"/>
  <c r="H616" i="35"/>
  <c r="C617" i="35"/>
  <c r="F617" i="35"/>
  <c r="G617" i="35"/>
  <c r="H617" i="35"/>
  <c r="C618" i="35"/>
  <c r="F618" i="35"/>
  <c r="G618" i="35"/>
  <c r="H618" i="35"/>
  <c r="C619" i="35"/>
  <c r="F619" i="35"/>
  <c r="G619" i="35"/>
  <c r="H619" i="35"/>
  <c r="C620" i="35"/>
  <c r="F620" i="35"/>
  <c r="G620" i="35"/>
  <c r="H620" i="35"/>
  <c r="C621" i="35"/>
  <c r="F621" i="35"/>
  <c r="G621" i="35"/>
  <c r="H621" i="35"/>
  <c r="C622" i="35"/>
  <c r="F622" i="35"/>
  <c r="G622" i="35"/>
  <c r="H622" i="35"/>
  <c r="C623" i="35"/>
  <c r="F623" i="35"/>
  <c r="G623" i="35"/>
  <c r="H623" i="35"/>
  <c r="C624" i="35"/>
  <c r="F624" i="35"/>
  <c r="G624" i="35"/>
  <c r="H624" i="35"/>
  <c r="C625" i="35"/>
  <c r="F625" i="35"/>
  <c r="G625" i="35"/>
  <c r="H625" i="35"/>
  <c r="C626" i="35"/>
  <c r="F626" i="35"/>
  <c r="G626" i="35"/>
  <c r="H626" i="35"/>
  <c r="C627" i="35"/>
  <c r="F627" i="35"/>
  <c r="G627" i="35"/>
  <c r="H627" i="35"/>
  <c r="C628" i="35"/>
  <c r="F628" i="35"/>
  <c r="G628" i="35"/>
  <c r="H628" i="35"/>
  <c r="C629" i="35"/>
  <c r="F629" i="35"/>
  <c r="G629" i="35"/>
  <c r="H629" i="35"/>
  <c r="C630" i="35"/>
  <c r="F630" i="35"/>
  <c r="G630" i="35"/>
  <c r="H630" i="35"/>
  <c r="C631" i="35"/>
  <c r="F631" i="35"/>
  <c r="G631" i="35"/>
  <c r="H631" i="35"/>
  <c r="C632" i="35"/>
  <c r="F632" i="35"/>
  <c r="G632" i="35"/>
  <c r="H632" i="35"/>
  <c r="C633" i="35"/>
  <c r="F633" i="35"/>
  <c r="G633" i="35"/>
  <c r="H633" i="35"/>
  <c r="C634" i="35"/>
  <c r="F634" i="35"/>
  <c r="G634" i="35"/>
  <c r="H634" i="35"/>
  <c r="C635" i="35"/>
  <c r="F635" i="35"/>
  <c r="G635" i="35"/>
  <c r="H635" i="35"/>
  <c r="C636" i="35"/>
  <c r="F636" i="35"/>
  <c r="G636" i="35"/>
  <c r="H636" i="35"/>
  <c r="C637" i="35"/>
  <c r="F637" i="35"/>
  <c r="G637" i="35"/>
  <c r="H637" i="35"/>
  <c r="C638" i="35"/>
  <c r="F638" i="35"/>
  <c r="G638" i="35"/>
  <c r="H638" i="35"/>
  <c r="C639" i="35"/>
  <c r="F639" i="35"/>
  <c r="G639" i="35"/>
  <c r="H639" i="35"/>
  <c r="C640" i="35"/>
  <c r="F640" i="35"/>
  <c r="G640" i="35"/>
  <c r="H640" i="35"/>
  <c r="C641" i="35"/>
  <c r="F641" i="35"/>
  <c r="G641" i="35"/>
  <c r="H641" i="35"/>
  <c r="C642" i="35"/>
  <c r="F642" i="35"/>
  <c r="G642" i="35"/>
  <c r="H642" i="35"/>
  <c r="C643" i="35"/>
  <c r="F643" i="35"/>
  <c r="G643" i="35"/>
  <c r="H643" i="35"/>
  <c r="C644" i="35"/>
  <c r="F644" i="35"/>
  <c r="G644" i="35"/>
  <c r="H644" i="35"/>
  <c r="C645" i="35"/>
  <c r="F645" i="35"/>
  <c r="G645" i="35"/>
  <c r="H645" i="35"/>
  <c r="C646" i="35"/>
  <c r="F646" i="35"/>
  <c r="G646" i="35"/>
  <c r="H646" i="35"/>
  <c r="C647" i="35"/>
  <c r="F647" i="35"/>
  <c r="G647" i="35"/>
  <c r="H647" i="35"/>
  <c r="C648" i="35"/>
  <c r="F648" i="35"/>
  <c r="G648" i="35"/>
  <c r="H648" i="35"/>
  <c r="C649" i="35"/>
  <c r="F649" i="35"/>
  <c r="G649" i="35"/>
  <c r="H649" i="35"/>
  <c r="C650" i="35"/>
  <c r="F650" i="35"/>
  <c r="G650" i="35"/>
  <c r="H650" i="35"/>
  <c r="C651" i="35"/>
  <c r="F651" i="35"/>
  <c r="G651" i="35"/>
  <c r="H651" i="35"/>
  <c r="C652" i="35"/>
  <c r="F652" i="35"/>
  <c r="G652" i="35"/>
  <c r="H652" i="35"/>
  <c r="C653" i="35"/>
  <c r="F653" i="35"/>
  <c r="G653" i="35"/>
  <c r="H653" i="35"/>
  <c r="C654" i="35"/>
  <c r="F654" i="35"/>
  <c r="G654" i="35"/>
  <c r="H654" i="35"/>
  <c r="C655" i="35"/>
  <c r="F655" i="35"/>
  <c r="G655" i="35"/>
  <c r="H655" i="35"/>
  <c r="C656" i="35"/>
  <c r="F656" i="35"/>
  <c r="G656" i="35"/>
  <c r="H656" i="35"/>
  <c r="C657" i="35"/>
  <c r="F657" i="35"/>
  <c r="G657" i="35"/>
  <c r="H657" i="35"/>
  <c r="C658" i="35"/>
  <c r="F658" i="35"/>
  <c r="G658" i="35"/>
  <c r="H658" i="35"/>
  <c r="C659" i="35"/>
  <c r="F659" i="35"/>
  <c r="G659" i="35"/>
  <c r="H659" i="35"/>
  <c r="C660" i="35"/>
  <c r="F660" i="35"/>
  <c r="G660" i="35"/>
  <c r="H660" i="35"/>
  <c r="C661" i="35"/>
  <c r="F661" i="35"/>
  <c r="G661" i="35"/>
  <c r="H661" i="35"/>
  <c r="C662" i="35"/>
  <c r="F662" i="35"/>
  <c r="G662" i="35"/>
  <c r="H662" i="35"/>
  <c r="C663" i="35"/>
  <c r="F663" i="35"/>
  <c r="G663" i="35"/>
  <c r="H663" i="35"/>
  <c r="C664" i="35"/>
  <c r="F664" i="35"/>
  <c r="G664" i="35"/>
  <c r="H664" i="35"/>
  <c r="C665" i="35"/>
  <c r="F665" i="35"/>
  <c r="G665" i="35"/>
  <c r="H665" i="35"/>
  <c r="C666" i="35"/>
  <c r="F666" i="35"/>
  <c r="G666" i="35"/>
  <c r="H666" i="35"/>
  <c r="C667" i="35"/>
  <c r="F667" i="35"/>
  <c r="G667" i="35"/>
  <c r="H667" i="35"/>
  <c r="C668" i="35"/>
  <c r="F668" i="35"/>
  <c r="G668" i="35"/>
  <c r="H668" i="35"/>
  <c r="C669" i="35"/>
  <c r="F669" i="35"/>
  <c r="G669" i="35"/>
  <c r="H669" i="35"/>
  <c r="C670" i="35"/>
  <c r="F670" i="35"/>
  <c r="G670" i="35"/>
  <c r="H670" i="35"/>
  <c r="C671" i="35"/>
  <c r="F671" i="35"/>
  <c r="G671" i="35"/>
  <c r="H671" i="35"/>
  <c r="C672" i="35"/>
  <c r="F672" i="35"/>
  <c r="G672" i="35"/>
  <c r="H672" i="35"/>
  <c r="C673" i="35"/>
  <c r="F673" i="35"/>
  <c r="G673" i="35"/>
  <c r="H673" i="35"/>
  <c r="C674" i="35"/>
  <c r="F674" i="35"/>
  <c r="G674" i="35"/>
  <c r="H674" i="35"/>
  <c r="C675" i="35"/>
  <c r="F675" i="35"/>
  <c r="G675" i="35"/>
  <c r="H675" i="35"/>
  <c r="C676" i="35"/>
  <c r="F676" i="35"/>
  <c r="G676" i="35"/>
  <c r="H676" i="35"/>
  <c r="C677" i="35"/>
  <c r="F677" i="35"/>
  <c r="G677" i="35"/>
  <c r="H677" i="35"/>
  <c r="C678" i="35"/>
  <c r="F678" i="35"/>
  <c r="G678" i="35"/>
  <c r="H678" i="35"/>
  <c r="C679" i="35"/>
  <c r="F679" i="35"/>
  <c r="G679" i="35"/>
  <c r="H679" i="35"/>
  <c r="C680" i="35"/>
  <c r="F680" i="35"/>
  <c r="G680" i="35"/>
  <c r="H680" i="35"/>
  <c r="C681" i="35"/>
  <c r="F681" i="35"/>
  <c r="G681" i="35"/>
  <c r="H681" i="35"/>
  <c r="C682" i="35"/>
  <c r="F682" i="35"/>
  <c r="G682" i="35"/>
  <c r="H682" i="35"/>
  <c r="C683" i="35"/>
  <c r="F683" i="35"/>
  <c r="G683" i="35"/>
  <c r="H683" i="35"/>
  <c r="C684" i="35"/>
  <c r="F684" i="35"/>
  <c r="G684" i="35"/>
  <c r="H684" i="35"/>
  <c r="C685" i="35"/>
  <c r="F685" i="35"/>
  <c r="G685" i="35"/>
  <c r="H685" i="35"/>
  <c r="C686" i="35"/>
  <c r="F686" i="35"/>
  <c r="G686" i="35"/>
  <c r="H686" i="35"/>
  <c r="C687" i="35"/>
  <c r="F687" i="35"/>
  <c r="G687" i="35"/>
  <c r="H687" i="35"/>
  <c r="C688" i="35"/>
  <c r="F688" i="35"/>
  <c r="G688" i="35"/>
  <c r="H688" i="35"/>
  <c r="C689" i="35"/>
  <c r="F689" i="35"/>
  <c r="G689" i="35"/>
  <c r="H689" i="35"/>
  <c r="C690" i="35"/>
  <c r="F690" i="35"/>
  <c r="G690" i="35"/>
  <c r="H690" i="35"/>
  <c r="C691" i="35"/>
  <c r="F691" i="35"/>
  <c r="G691" i="35"/>
  <c r="H691" i="35"/>
  <c r="C692" i="35"/>
  <c r="F692" i="35"/>
  <c r="G692" i="35"/>
  <c r="H692" i="35"/>
  <c r="C693" i="35"/>
  <c r="F693" i="35"/>
  <c r="G693" i="35"/>
  <c r="H693" i="35"/>
  <c r="C694" i="35"/>
  <c r="F694" i="35"/>
  <c r="G694" i="35"/>
  <c r="H694" i="35"/>
  <c r="C695" i="35"/>
  <c r="F695" i="35"/>
  <c r="G695" i="35"/>
  <c r="H695" i="35"/>
  <c r="C696" i="35"/>
  <c r="F696" i="35"/>
  <c r="G696" i="35"/>
  <c r="H696" i="35"/>
  <c r="C697" i="35"/>
  <c r="F697" i="35"/>
  <c r="G697" i="35"/>
  <c r="H697" i="35"/>
  <c r="C698" i="35"/>
  <c r="F698" i="35"/>
  <c r="G698" i="35"/>
  <c r="H698" i="35"/>
  <c r="C699" i="35"/>
  <c r="F699" i="35"/>
  <c r="G699" i="35"/>
  <c r="H699" i="35"/>
  <c r="C700" i="35"/>
  <c r="F700" i="35"/>
  <c r="G700" i="35"/>
  <c r="H700" i="35"/>
  <c r="C701" i="35"/>
  <c r="F701" i="35"/>
  <c r="G701" i="35"/>
  <c r="H701" i="35"/>
  <c r="C702" i="35"/>
  <c r="F702" i="35"/>
  <c r="G702" i="35"/>
  <c r="H702" i="35"/>
  <c r="C703" i="35"/>
  <c r="F703" i="35"/>
  <c r="G703" i="35"/>
  <c r="H703" i="35"/>
  <c r="C704" i="35"/>
  <c r="F704" i="35"/>
  <c r="G704" i="35"/>
  <c r="H704" i="35"/>
  <c r="C705" i="35"/>
  <c r="F705" i="35"/>
  <c r="G705" i="35"/>
  <c r="H705" i="35"/>
  <c r="C706" i="35"/>
  <c r="F706" i="35"/>
  <c r="G706" i="35"/>
  <c r="H706" i="35"/>
  <c r="C707" i="35"/>
  <c r="F707" i="35"/>
  <c r="G707" i="35"/>
  <c r="H707" i="35"/>
  <c r="C708" i="35"/>
  <c r="F708" i="35"/>
  <c r="G708" i="35"/>
  <c r="H708" i="35"/>
  <c r="C709" i="35"/>
  <c r="F709" i="35"/>
  <c r="G709" i="35"/>
  <c r="H709" i="35"/>
  <c r="C710" i="35"/>
  <c r="F710" i="35"/>
  <c r="G710" i="35"/>
  <c r="H710" i="35"/>
  <c r="C711" i="35"/>
  <c r="F711" i="35"/>
  <c r="G711" i="35"/>
  <c r="H711" i="35"/>
  <c r="C712" i="35"/>
  <c r="F712" i="35"/>
  <c r="G712" i="35"/>
  <c r="H712" i="35"/>
  <c r="C713" i="35"/>
  <c r="F713" i="35"/>
  <c r="G713" i="35"/>
  <c r="H713" i="35"/>
  <c r="C714" i="35"/>
  <c r="F714" i="35"/>
  <c r="G714" i="35"/>
  <c r="H714" i="35"/>
  <c r="C715" i="35"/>
  <c r="F715" i="35"/>
  <c r="G715" i="35"/>
  <c r="H715" i="35"/>
  <c r="C716" i="35"/>
  <c r="F716" i="35"/>
  <c r="G716" i="35"/>
  <c r="H716" i="35"/>
  <c r="C717" i="35"/>
  <c r="F717" i="35"/>
  <c r="G717" i="35"/>
  <c r="H717" i="35"/>
  <c r="C718" i="35"/>
  <c r="F718" i="35"/>
  <c r="G718" i="35"/>
  <c r="H718" i="35"/>
  <c r="C719" i="35"/>
  <c r="F719" i="35"/>
  <c r="G719" i="35"/>
  <c r="H719" i="35"/>
  <c r="C720" i="35"/>
  <c r="F720" i="35"/>
  <c r="G720" i="35"/>
  <c r="H720" i="35"/>
  <c r="C721" i="35"/>
  <c r="F721" i="35"/>
  <c r="G721" i="35"/>
  <c r="H721" i="35"/>
  <c r="C722" i="35"/>
  <c r="F722" i="35"/>
  <c r="G722" i="35"/>
  <c r="H722" i="35"/>
  <c r="C723" i="35"/>
  <c r="F723" i="35"/>
  <c r="G723" i="35"/>
  <c r="H723" i="35"/>
  <c r="C724" i="35"/>
  <c r="F724" i="35"/>
  <c r="G724" i="35"/>
  <c r="H724" i="35"/>
  <c r="C725" i="35"/>
  <c r="F725" i="35"/>
  <c r="G725" i="35"/>
  <c r="H725" i="35"/>
  <c r="C726" i="35"/>
  <c r="F726" i="35"/>
  <c r="G726" i="35"/>
  <c r="H726" i="35"/>
  <c r="C727" i="35"/>
  <c r="F727" i="35"/>
  <c r="G727" i="35"/>
  <c r="H727" i="35"/>
  <c r="C728" i="35"/>
  <c r="F728" i="35"/>
  <c r="G728" i="35"/>
  <c r="H728" i="35"/>
  <c r="C729" i="35"/>
  <c r="F729" i="35"/>
  <c r="G729" i="35"/>
  <c r="H729" i="35"/>
  <c r="C730" i="35"/>
  <c r="F730" i="35"/>
  <c r="G730" i="35"/>
  <c r="H730" i="35"/>
  <c r="C731" i="35"/>
  <c r="F731" i="35"/>
  <c r="G731" i="35"/>
  <c r="H731" i="35"/>
  <c r="C732" i="35"/>
  <c r="F732" i="35"/>
  <c r="G732" i="35"/>
  <c r="H732" i="35"/>
  <c r="C733" i="35"/>
  <c r="F733" i="35"/>
  <c r="G733" i="35"/>
  <c r="H733" i="35"/>
  <c r="C734" i="35"/>
  <c r="F734" i="35"/>
  <c r="G734" i="35"/>
  <c r="H734" i="35"/>
  <c r="C735" i="35"/>
  <c r="F735" i="35"/>
  <c r="G735" i="35"/>
  <c r="H735" i="35"/>
  <c r="C736" i="35"/>
  <c r="F736" i="35"/>
  <c r="G736" i="35"/>
  <c r="H736" i="35"/>
  <c r="C737" i="35"/>
  <c r="F737" i="35"/>
  <c r="G737" i="35"/>
  <c r="H737" i="35"/>
  <c r="C738" i="35"/>
  <c r="F738" i="35"/>
  <c r="G738" i="35"/>
  <c r="H738" i="35"/>
  <c r="C739" i="35"/>
  <c r="F739" i="35"/>
  <c r="G739" i="35"/>
  <c r="H739" i="35"/>
  <c r="C740" i="35"/>
  <c r="F740" i="35"/>
  <c r="G740" i="35"/>
  <c r="H740" i="35"/>
  <c r="C741" i="35"/>
  <c r="F741" i="35"/>
  <c r="G741" i="35"/>
  <c r="H741" i="35"/>
  <c r="C742" i="35"/>
  <c r="F742" i="35"/>
  <c r="G742" i="35"/>
  <c r="H742" i="35"/>
  <c r="C743" i="35"/>
  <c r="F743" i="35"/>
  <c r="G743" i="35"/>
  <c r="H743" i="35"/>
  <c r="C744" i="35"/>
  <c r="F744" i="35"/>
  <c r="G744" i="35"/>
  <c r="H744" i="35"/>
  <c r="C745" i="35"/>
  <c r="F745" i="35"/>
  <c r="G745" i="35"/>
  <c r="H745" i="35"/>
  <c r="C746" i="35"/>
  <c r="F746" i="35"/>
  <c r="G746" i="35"/>
  <c r="H746" i="35"/>
  <c r="C747" i="35"/>
  <c r="F747" i="35"/>
  <c r="G747" i="35"/>
  <c r="H747" i="35"/>
  <c r="C748" i="35"/>
  <c r="F748" i="35"/>
  <c r="G748" i="35"/>
  <c r="H748" i="35"/>
  <c r="C749" i="35"/>
  <c r="F749" i="35"/>
  <c r="G749" i="35"/>
  <c r="H749" i="35"/>
  <c r="C750" i="35"/>
  <c r="F750" i="35"/>
  <c r="G750" i="35"/>
  <c r="H750" i="35"/>
  <c r="C751" i="35"/>
  <c r="F751" i="35"/>
  <c r="G751" i="35"/>
  <c r="H751" i="35"/>
  <c r="C752" i="35"/>
  <c r="F752" i="35"/>
  <c r="G752" i="35"/>
  <c r="H752" i="35"/>
  <c r="C753" i="35"/>
  <c r="F753" i="35"/>
  <c r="G753" i="35"/>
  <c r="H753" i="35"/>
  <c r="C754" i="35"/>
  <c r="F754" i="35"/>
  <c r="G754" i="35"/>
  <c r="H754" i="35"/>
  <c r="C755" i="35"/>
  <c r="F755" i="35"/>
  <c r="G755" i="35"/>
  <c r="H755" i="35"/>
  <c r="C756" i="35"/>
  <c r="F756" i="35"/>
  <c r="G756" i="35"/>
  <c r="H756" i="35"/>
  <c r="C757" i="35"/>
  <c r="F757" i="35"/>
  <c r="G757" i="35"/>
  <c r="H757" i="35"/>
  <c r="C758" i="35"/>
  <c r="F758" i="35"/>
  <c r="G758" i="35"/>
  <c r="H758" i="35"/>
  <c r="C759" i="35"/>
  <c r="F759" i="35"/>
  <c r="G759" i="35"/>
  <c r="H759" i="3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<sst xmlns="http://schemas.openxmlformats.org/spreadsheetml/2006/main" count="917" uniqueCount="580">
  <si>
    <t>Please note modifications to DD files</t>
  </si>
  <si>
    <t>Date</t>
  </si>
  <si>
    <t>Modifications</t>
  </si>
  <si>
    <t>Version #</t>
  </si>
  <si>
    <t>Project Name</t>
  </si>
  <si>
    <t>Deal Summary:</t>
  </si>
  <si>
    <t>State</t>
  </si>
  <si>
    <t>City</t>
  </si>
  <si>
    <t>Cross Streets</t>
  </si>
  <si>
    <t>Project County</t>
  </si>
  <si>
    <t>Units</t>
  </si>
  <si>
    <t>Sponsor</t>
  </si>
  <si>
    <t>Project Entity</t>
  </si>
  <si>
    <t>Project Type</t>
  </si>
  <si>
    <t>Deal Broker</t>
  </si>
  <si>
    <t>MB Broker Fee</t>
  </si>
  <si>
    <t>Product Type</t>
  </si>
  <si>
    <t>Current State</t>
  </si>
  <si>
    <t xml:space="preserve"> </t>
  </si>
  <si>
    <t>Senior Lender</t>
  </si>
  <si>
    <t>Senior %</t>
  </si>
  <si>
    <t>Senior points</t>
  </si>
  <si>
    <t>Senior Length</t>
  </si>
  <si>
    <t>Senior Loan Amount</t>
  </si>
  <si>
    <t>Total Costs</t>
  </si>
  <si>
    <t>75% LTC Limit</t>
  </si>
  <si>
    <t>65% LTV Limit</t>
  </si>
  <si>
    <t>Start Date</t>
  </si>
  <si>
    <t>65% LTC Limit</t>
  </si>
  <si>
    <t>60% LTV Limit</t>
  </si>
  <si>
    <t>Land Cost</t>
  </si>
  <si>
    <t>50% LTC Limit</t>
  </si>
  <si>
    <t>50% LTV Limit</t>
  </si>
  <si>
    <t>Per Unit Sales Price</t>
  </si>
  <si>
    <t>Processing Fee</t>
  </si>
  <si>
    <t>Legal Fees</t>
  </si>
  <si>
    <t>Title and Closing Costs</t>
  </si>
  <si>
    <t>Sponsor Cash</t>
  </si>
  <si>
    <t>Intake Date</t>
  </si>
  <si>
    <t>Borrower/Ownership Entity</t>
  </si>
  <si>
    <t>Contact Name</t>
  </si>
  <si>
    <t>Location (City)</t>
  </si>
  <si>
    <t>Location (State)</t>
  </si>
  <si>
    <t>Address</t>
  </si>
  <si>
    <t>1st or *2nd</t>
  </si>
  <si>
    <t>Proposed Net Loan Amount</t>
  </si>
  <si>
    <t>Gross Loan Amount</t>
  </si>
  <si>
    <t>Borrower Contribution</t>
  </si>
  <si>
    <t>Points</t>
  </si>
  <si>
    <t>Rate</t>
  </si>
  <si>
    <t>Term</t>
  </si>
  <si>
    <t>Est. Funding Date</t>
  </si>
  <si>
    <t>Intended Loan Use</t>
  </si>
  <si>
    <t>Current Constr. Status</t>
  </si>
  <si>
    <t>Source of Deal</t>
  </si>
  <si>
    <t>EOI</t>
  </si>
  <si>
    <t>DD List Sent</t>
  </si>
  <si>
    <t>LOI Issued Date</t>
  </si>
  <si>
    <t>DD Money Received</t>
  </si>
  <si>
    <t>Signed LOI Received Date</t>
  </si>
  <si>
    <t>Board Approval</t>
  </si>
  <si>
    <t>Site Visit Done</t>
  </si>
  <si>
    <t>Communication Status</t>
  </si>
  <si>
    <t>Additional Comments</t>
  </si>
  <si>
    <t>*First Position Lender &amp; General Terms</t>
  </si>
  <si>
    <t>SF</t>
  </si>
  <si>
    <t>Avg SF</t>
  </si>
  <si>
    <t>Avg Price</t>
  </si>
  <si>
    <t>Avg Price/SF</t>
  </si>
  <si>
    <t>Rent/Unit</t>
  </si>
  <si>
    <t>Rent/SF</t>
  </si>
  <si>
    <t>Studio</t>
  </si>
  <si>
    <t>1 Bed</t>
  </si>
  <si>
    <t>2 Bed</t>
  </si>
  <si>
    <t>3 Bed</t>
  </si>
  <si>
    <t>Property Mix</t>
  </si>
  <si>
    <t>Value</t>
  </si>
  <si>
    <t>Lots</t>
  </si>
  <si>
    <t>Total</t>
  </si>
  <si>
    <t>Townhomes</t>
  </si>
  <si>
    <t>Comp Sales</t>
  </si>
  <si>
    <t>Reduce by selling price</t>
  </si>
  <si>
    <t>Comp Home Sales</t>
  </si>
  <si>
    <t>Residual Lot Value</t>
  </si>
  <si>
    <t>Costs to Finish Lot</t>
  </si>
  <si>
    <t>Per Unit</t>
  </si>
  <si>
    <t>EI</t>
  </si>
  <si>
    <t>15-25%</t>
  </si>
  <si>
    <t>Papered Lot</t>
  </si>
  <si>
    <t>Town Home Value</t>
  </si>
  <si>
    <t>Engineering/Surveys</t>
  </si>
  <si>
    <t>100k (divide by # lots)</t>
  </si>
  <si>
    <t>Land</t>
  </si>
  <si>
    <t>Single Family</t>
  </si>
  <si>
    <t>Single Family Value</t>
  </si>
  <si>
    <t>150k (divide by # lots)</t>
  </si>
  <si>
    <t>Multifamily</t>
  </si>
  <si>
    <t>Unit Type</t>
  </si>
  <si>
    <t>Cap Rate</t>
  </si>
  <si>
    <t>Gross Rents</t>
  </si>
  <si>
    <t>Vacancy</t>
  </si>
  <si>
    <t>NOI</t>
  </si>
  <si>
    <t>Operating Expense</t>
  </si>
  <si>
    <t>Value at Cap</t>
  </si>
  <si>
    <t>Value/Unit</t>
  </si>
  <si>
    <t>Summary and Exit Strategy</t>
  </si>
  <si>
    <t xml:space="preserve">Notes </t>
  </si>
  <si>
    <t>Parties Involved</t>
  </si>
  <si>
    <t>Name/Company</t>
  </si>
  <si>
    <t>Project Information</t>
  </si>
  <si>
    <t>Project Number</t>
  </si>
  <si>
    <t>Seller</t>
  </si>
  <si>
    <t>1st Position Lender</t>
  </si>
  <si>
    <t>Closing Date</t>
  </si>
  <si>
    <t>Builder/Developer</t>
  </si>
  <si>
    <t>Guarantor(s)</t>
  </si>
  <si>
    <t>City/State/Zip</t>
  </si>
  <si>
    <t>County</t>
  </si>
  <si>
    <t>Jurisdiction</t>
  </si>
  <si>
    <t>Project P&amp;L - without MB Investment</t>
  </si>
  <si>
    <t xml:space="preserve">P&amp;L - With MB Investment </t>
  </si>
  <si>
    <t>Revenue</t>
  </si>
  <si>
    <t>Amount</t>
  </si>
  <si>
    <t>Source</t>
  </si>
  <si>
    <t>Number of Units/Lots</t>
  </si>
  <si>
    <t>Total Exit Price/Value</t>
  </si>
  <si>
    <t>Gross Income from Rents</t>
  </si>
  <si>
    <t>Total Revenue</t>
  </si>
  <si>
    <t>Project Costs</t>
  </si>
  <si>
    <t>Acquisition</t>
  </si>
  <si>
    <t>Land Development</t>
  </si>
  <si>
    <t>Soft Costs/city fees/Taxes</t>
  </si>
  <si>
    <t>1st Position Lender Costs</t>
  </si>
  <si>
    <t>Sales and Closing</t>
  </si>
  <si>
    <t>WB Cost of Capital</t>
  </si>
  <si>
    <t xml:space="preserve">Acq. + Dev.  </t>
  </si>
  <si>
    <t>Acq. + Dev. + Con.</t>
  </si>
  <si>
    <t>Acq. + Dev. + Con. + Cost of Debt</t>
  </si>
  <si>
    <t>Profit</t>
  </si>
  <si>
    <t>Total Cost</t>
  </si>
  <si>
    <t>Total Profit</t>
  </si>
  <si>
    <t>Margin/Unit</t>
  </si>
  <si>
    <t>Terms</t>
  </si>
  <si>
    <t>Mesa Bridge</t>
  </si>
  <si>
    <t>Total Cost/Total Value</t>
  </si>
  <si>
    <t>Project Cash Need</t>
  </si>
  <si>
    <t xml:space="preserve">Loan Amount </t>
  </si>
  <si>
    <t>Annualized ROI</t>
  </si>
  <si>
    <t>Loan Maturity (months)</t>
  </si>
  <si>
    <t>LTC/LTV</t>
  </si>
  <si>
    <t xml:space="preserve">Adusted Cash Need </t>
  </si>
  <si>
    <t>Days of loan</t>
  </si>
  <si>
    <t>Broker Points</t>
  </si>
  <si>
    <t>Preferred Return</t>
  </si>
  <si>
    <t>compounding</t>
  </si>
  <si>
    <t>Interest</t>
  </si>
  <si>
    <t>WB Points</t>
  </si>
  <si>
    <t>Additional Fees</t>
  </si>
  <si>
    <t>Closing Fees</t>
  </si>
  <si>
    <t>Exit Fee (% of Investment)</t>
  </si>
  <si>
    <t>Points/Fees</t>
  </si>
  <si>
    <t>Monthly Escalator</t>
  </si>
  <si>
    <t>% of profits</t>
  </si>
  <si>
    <t>Loan Amount</t>
  </si>
  <si>
    <t>Legal and Processing Fee</t>
  </si>
  <si>
    <t>Net Available at Closing</t>
  </si>
  <si>
    <t>per unit/lot</t>
  </si>
  <si>
    <t>Total Debt Finance Costs</t>
  </si>
  <si>
    <t>Total Investment (principal)</t>
  </si>
  <si>
    <t>Equity Needed</t>
  </si>
  <si>
    <t>CLTV (loan principal)</t>
  </si>
  <si>
    <t>short fall</t>
  </si>
  <si>
    <t>CLTV (after all cost of capital)</t>
  </si>
  <si>
    <t>Return</t>
  </si>
  <si>
    <t>Total Return</t>
  </si>
  <si>
    <t>ROI</t>
  </si>
  <si>
    <t>Project Summary</t>
  </si>
  <si>
    <t>Sponsor Information</t>
  </si>
  <si>
    <t>Strengths</t>
  </si>
  <si>
    <t>Product Type:</t>
  </si>
  <si>
    <t>Current State:</t>
  </si>
  <si>
    <t xml:space="preserve">Location: </t>
  </si>
  <si>
    <t xml:space="preserve">Project Entity </t>
  </si>
  <si>
    <t>Cross Streets:</t>
  </si>
  <si>
    <t>Units:</t>
  </si>
  <si>
    <t>Summary</t>
  </si>
  <si>
    <t>Red Flags</t>
  </si>
  <si>
    <t>Loan Basics</t>
  </si>
  <si>
    <t>Impairment and Maturity</t>
  </si>
  <si>
    <t>Length of Loan</t>
  </si>
  <si>
    <t>Requested Cambia Capital</t>
  </si>
  <si>
    <t>Length of Impairment</t>
  </si>
  <si>
    <t>Gross First Position Debt</t>
  </si>
  <si>
    <t>Impairment Date</t>
  </si>
  <si>
    <t>Sponsor Participation</t>
  </si>
  <si>
    <t>95% LTV Date</t>
  </si>
  <si>
    <t>Sponsor Participation/Unit</t>
  </si>
  <si>
    <t>90% LTV Date</t>
  </si>
  <si>
    <t>Project LTV</t>
  </si>
  <si>
    <t>Maturity Date</t>
  </si>
  <si>
    <t>Project LTV at Maturity</t>
  </si>
  <si>
    <t>Project Length (Days)</t>
  </si>
  <si>
    <t>Exit Revenues</t>
  </si>
  <si>
    <t>Projected IRR at Maturity</t>
  </si>
  <si>
    <t>Sales Price</t>
  </si>
  <si>
    <t>Cambia Points</t>
  </si>
  <si>
    <t>Size (Sq. Ft)</t>
  </si>
  <si>
    <t>Due Diligence</t>
  </si>
  <si>
    <t>Price/Sq Ft</t>
  </si>
  <si>
    <t>Processing</t>
  </si>
  <si>
    <t>Sales Commission %</t>
  </si>
  <si>
    <t>Cambia Interest</t>
  </si>
  <si>
    <t>Sales Commission $</t>
  </si>
  <si>
    <t>Total Cambia Profit</t>
  </si>
  <si>
    <t>Net Revenues</t>
  </si>
  <si>
    <t>Senior Loan Profits</t>
  </si>
  <si>
    <t>Sponsor Profits*</t>
  </si>
  <si>
    <t>Cambia Loan %</t>
  </si>
  <si>
    <t>Senior Loan %</t>
  </si>
  <si>
    <t xml:space="preserve">Acquisition Cost </t>
  </si>
  <si>
    <t>Development Cost Per Unit</t>
  </si>
  <si>
    <t>Soft Cost Per Unit</t>
  </si>
  <si>
    <t>Impairment Calculations</t>
  </si>
  <si>
    <t>Senior Debt Per Unit</t>
  </si>
  <si>
    <t>Sales Cost</t>
  </si>
  <si>
    <t xml:space="preserve">Total Cost </t>
  </si>
  <si>
    <t>Cambia Loan at Impairment</t>
  </si>
  <si>
    <t>Cost/Sq Ft</t>
  </si>
  <si>
    <t>Senior Loan at Impairment</t>
  </si>
  <si>
    <t>Total Loan</t>
  </si>
  <si>
    <t>Notes</t>
  </si>
  <si>
    <t>Net Realizable Value</t>
  </si>
  <si>
    <t>95% CLTV</t>
  </si>
  <si>
    <t>95% Net Realizable Value</t>
  </si>
  <si>
    <t>90% CLTV</t>
  </si>
  <si>
    <t>90% Net Realizable Value</t>
  </si>
  <si>
    <t>Senior Note</t>
  </si>
  <si>
    <t>Cambia Default Date</t>
  </si>
  <si>
    <t>Current LTV</t>
  </si>
  <si>
    <t>Senior Default Date</t>
  </si>
  <si>
    <t>Senior Default rate</t>
  </si>
  <si>
    <t>3 Month Default LTV</t>
  </si>
  <si>
    <t>6 Month Default LTV</t>
  </si>
  <si>
    <t>9 Month Default LTV</t>
  </si>
  <si>
    <t>Loan 1</t>
  </si>
  <si>
    <t>Senior Loan Balance</t>
  </si>
  <si>
    <t>Cambia Balance</t>
  </si>
  <si>
    <t>Project Value</t>
  </si>
  <si>
    <t>Today</t>
  </si>
  <si>
    <t>Maturity</t>
  </si>
  <si>
    <t>Maturity + 90</t>
  </si>
  <si>
    <t>Maturity + 180</t>
  </si>
  <si>
    <t>Maturity + 270</t>
  </si>
  <si>
    <t>Institution</t>
  </si>
  <si>
    <t xml:space="preserve">This note is not yet finalized. Assumptions were made on default interest rates. </t>
  </si>
  <si>
    <t>Total Amount</t>
  </si>
  <si>
    <t xml:space="preserve">Rate </t>
  </si>
  <si>
    <t>Value of total Collateral</t>
  </si>
  <si>
    <t>LTV</t>
  </si>
  <si>
    <t>Origination Fee</t>
  </si>
  <si>
    <t>Default</t>
  </si>
  <si>
    <t>Reserves</t>
  </si>
  <si>
    <t>Default +90</t>
  </si>
  <si>
    <t>Orig. Maturity Date</t>
  </si>
  <si>
    <t>Default +180</t>
  </si>
  <si>
    <t>Extended Maturity</t>
  </si>
  <si>
    <t>NA</t>
  </si>
  <si>
    <t>Default +270</t>
  </si>
  <si>
    <t>Default Interest</t>
  </si>
  <si>
    <t>Extension Fees</t>
  </si>
  <si>
    <t>Balance</t>
  </si>
  <si>
    <t>Left to Draw</t>
  </si>
  <si>
    <t>Minimum Interest</t>
  </si>
  <si>
    <t>Valuation</t>
  </si>
  <si>
    <t>Loan</t>
  </si>
  <si>
    <t>Basis Per Lot</t>
  </si>
  <si>
    <t>Minimum Balance</t>
  </si>
  <si>
    <t>Valuation Date</t>
  </si>
  <si>
    <t>Total Debt + Liabilities</t>
  </si>
  <si>
    <t>Construction holdback</t>
  </si>
  <si>
    <t>Payoff Acceleration</t>
  </si>
  <si>
    <t>Remaining Construction</t>
  </si>
  <si>
    <t>Method</t>
  </si>
  <si>
    <t>Comparable Sales</t>
  </si>
  <si>
    <t>dispersed at closing</t>
  </si>
  <si>
    <t>Lot Payoff Price</t>
  </si>
  <si>
    <t>Construction Spent</t>
  </si>
  <si>
    <t>Cambia Cost/Day</t>
  </si>
  <si>
    <t>Interest Reserve</t>
  </si>
  <si>
    <t>Senior Cost/Day</t>
  </si>
  <si>
    <t>Finance cost/Day</t>
  </si>
  <si>
    <t>Loan start date</t>
  </si>
  <si>
    <t>Loan Term (Months)</t>
  </si>
  <si>
    <t xml:space="preserve">Loan Maturity </t>
  </si>
  <si>
    <t>Running Balance</t>
  </si>
  <si>
    <t>Draws</t>
  </si>
  <si>
    <t>Loan Exit</t>
  </si>
  <si>
    <t xml:space="preserve">Date </t>
  </si>
  <si>
    <t># Lots</t>
  </si>
  <si>
    <t>Loan Principle</t>
  </si>
  <si>
    <t>Period</t>
  </si>
  <si>
    <t>Interest Reserve Balance</t>
  </si>
  <si>
    <t>Sum of Interest</t>
  </si>
  <si>
    <t>Payment</t>
  </si>
  <si>
    <t>Payoff</t>
  </si>
  <si>
    <t>insulation/rock</t>
  </si>
  <si>
    <t>cabinets</t>
  </si>
  <si>
    <t>drywall/fireplace</t>
  </si>
  <si>
    <t>IRR if paid off today</t>
  </si>
  <si>
    <t>IRR</t>
  </si>
  <si>
    <t>Days of Project</t>
  </si>
  <si>
    <t>Interest Reserve Start</t>
  </si>
  <si>
    <t>Total Interest at Date</t>
  </si>
  <si>
    <t>Interest Reserve Remaining</t>
  </si>
  <si>
    <t>Payoff Amount</t>
  </si>
  <si>
    <t>(Total Loan)-(Payments)-(Interest Reserve Remaining)</t>
  </si>
  <si>
    <t>Default Interest Begins</t>
  </si>
  <si>
    <t>Mesa Bridge Capital</t>
  </si>
  <si>
    <t>IRR if Paid off Today</t>
  </si>
  <si>
    <t>IRR if Paid off at Maturity</t>
  </si>
  <si>
    <t>principal</t>
  </si>
  <si>
    <t>Loan principal</t>
  </si>
  <si>
    <t>Broker Fee</t>
  </si>
  <si>
    <t>Reserve</t>
  </si>
  <si>
    <t>Exit fee</t>
  </si>
  <si>
    <t>Inspection Fee</t>
  </si>
  <si>
    <t>Total Interest</t>
  </si>
  <si>
    <t>Beginning</t>
  </si>
  <si>
    <t>Payments</t>
  </si>
  <si>
    <t>Misc. Fees</t>
  </si>
  <si>
    <t>Income from fees</t>
  </si>
  <si>
    <t>Cumulative Interest</t>
  </si>
  <si>
    <t>Recognized Income</t>
  </si>
  <si>
    <t>Total Income</t>
  </si>
  <si>
    <t>IRR if paid off at Maturity</t>
  </si>
  <si>
    <t>Investment Date</t>
  </si>
  <si>
    <t>Balance at Maturity</t>
  </si>
  <si>
    <t>Date of Exit</t>
  </si>
  <si>
    <t>Earnings</t>
  </si>
  <si>
    <t>Misc. Fees Paid</t>
  </si>
  <si>
    <t>Cash at Risk</t>
  </si>
  <si>
    <t>principal Repaid</t>
  </si>
  <si>
    <t>Interest Payable</t>
  </si>
  <si>
    <t>Interest Received</t>
  </si>
  <si>
    <t>Principal</t>
  </si>
  <si>
    <t>Daily Interest</t>
  </si>
  <si>
    <t>Cambia Loan Information</t>
  </si>
  <si>
    <t>In Default?</t>
  </si>
  <si>
    <t>revenues</t>
  </si>
  <si>
    <t>Principal Repaid</t>
  </si>
  <si>
    <t>Realized Interest</t>
  </si>
  <si>
    <t>Revenues to date</t>
  </si>
  <si>
    <t>=if((Revenues-points)&gt;Principal,Principal,Principal-points)</t>
  </si>
  <si>
    <t>Minimum Return</t>
  </si>
  <si>
    <t>Accrued Income</t>
  </si>
  <si>
    <t>=if((Revenues-points-principalRepaid)&gt;Misc. fees,misc fees,Revenue-Principal-points)</t>
  </si>
  <si>
    <t>Current Balance</t>
  </si>
  <si>
    <t>principal Outstanding</t>
  </si>
  <si>
    <t>Days of project</t>
  </si>
  <si>
    <t>Return on Invesment</t>
  </si>
  <si>
    <t>Interest/Day</t>
  </si>
  <si>
    <t xml:space="preserve">Annualized ROI </t>
  </si>
  <si>
    <t>Int. Reserve Balance</t>
  </si>
  <si>
    <t>Inside 4 Month Min.</t>
  </si>
  <si>
    <t>Phase 1</t>
  </si>
  <si>
    <t>Pro Forma/Budgets Sponsor(s) financial (Partnership)</t>
  </si>
  <si>
    <t>Sponsor(s) resume - past Projects</t>
  </si>
  <si>
    <t>Sponsor(s) Current projects</t>
  </si>
  <si>
    <t>Executing Team</t>
  </si>
  <si>
    <t>Title report</t>
  </si>
  <si>
    <t>Appraisal/CMA/BPO</t>
  </si>
  <si>
    <t>Project documents</t>
  </si>
  <si>
    <t>A)</t>
  </si>
  <si>
    <t>Engineering</t>
  </si>
  <si>
    <t>B)</t>
  </si>
  <si>
    <t>Architecture and floor Plans</t>
  </si>
  <si>
    <t>C)</t>
  </si>
  <si>
    <t>Surveys and reports</t>
  </si>
  <si>
    <t>D)</t>
  </si>
  <si>
    <t>Site plan, plat</t>
  </si>
  <si>
    <t>E)</t>
  </si>
  <si>
    <t>Certificates, approvals, permits</t>
  </si>
  <si>
    <t>F)</t>
  </si>
  <si>
    <t>Insurance and Bonds</t>
  </si>
  <si>
    <t>G)</t>
  </si>
  <si>
    <t>Marketing Material (if available)</t>
  </si>
  <si>
    <t>H) Property/Development agreements</t>
  </si>
  <si>
    <t>I)</t>
  </si>
  <si>
    <t>GC contact information including license, bond, and insurance</t>
  </si>
  <si>
    <t>J)</t>
  </si>
  <si>
    <t>Organizational documents of any entities that will be members of the borrower and pledging its interest in borrower or such other documents providing reasonable evidence for authority to pledge interest in borrower</t>
  </si>
  <si>
    <t>Exit Plan</t>
  </si>
  <si>
    <t>Purchase and sale agreement (Acquisition)</t>
  </si>
  <si>
    <t>1st Position lender commitment letters/Loan Docs</t>
  </si>
  <si>
    <t>Phase 2</t>
  </si>
  <si>
    <t>Collect Signed LOI and non-refundable check</t>
  </si>
  <si>
    <t>Site visit</t>
  </si>
  <si>
    <t>Face to face meeting with sponsor</t>
  </si>
  <si>
    <t>Sponsor Entity Information</t>
  </si>
  <si>
    <t>Good Standing with Department of Revenue (see state website)</t>
  </si>
  <si>
    <t>Good standing with Labor and Industries (if the sponsor is a builder see state website)</t>
  </si>
  <si>
    <t>EIN</t>
  </si>
  <si>
    <t>Certificate of Formation</t>
  </si>
  <si>
    <t>Master Business License</t>
  </si>
  <si>
    <t>Order/Collect Appraisal</t>
  </si>
  <si>
    <t>Sponsor(s) tax returns (Most Recent)</t>
  </si>
  <si>
    <t xml:space="preserve">A) </t>
  </si>
  <si>
    <t>Include all k-1's and 1065's on all partnerships</t>
  </si>
  <si>
    <t>Final pro-forma and budgets</t>
  </si>
  <si>
    <t>Closing Settlement Statement (Acquistion)</t>
  </si>
  <si>
    <t>Improvements</t>
  </si>
  <si>
    <t>Sponsor Contribution</t>
  </si>
  <si>
    <t>Lenders Contribution</t>
  </si>
  <si>
    <t>Mezz Loan</t>
  </si>
  <si>
    <t>Interest Rate</t>
  </si>
  <si>
    <t>Duration</t>
  </si>
  <si>
    <t>Senior Gross LTV</t>
  </si>
  <si>
    <t>Junior Gross LTV</t>
  </si>
  <si>
    <t>Senior Gross LTC</t>
  </si>
  <si>
    <t>Junior Gross LTC</t>
  </si>
  <si>
    <t>CLTV (Gross)</t>
  </si>
  <si>
    <t>Senior Net LTV</t>
  </si>
  <si>
    <t>Junior Net LTV</t>
  </si>
  <si>
    <t>Senior Net LTC</t>
  </si>
  <si>
    <t>Junior Net LTC</t>
  </si>
  <si>
    <t>Guidelines</t>
  </si>
  <si>
    <t>Operating Expenses</t>
  </si>
  <si>
    <t>LTC</t>
  </si>
  <si>
    <t>Entrepreneurial Incentive</t>
  </si>
  <si>
    <t>Cost to Finish a lot</t>
  </si>
  <si>
    <t>Residual Value of a finished lot</t>
  </si>
  <si>
    <t>28-32%</t>
  </si>
  <si>
    <t>Mezzanine</t>
  </si>
  <si>
    <t>Entitled</t>
  </si>
  <si>
    <t>Horizontal</t>
  </si>
  <si>
    <t>Vertical</t>
  </si>
  <si>
    <t>Builder's Margin</t>
  </si>
  <si>
    <t>Cap Rates</t>
  </si>
  <si>
    <t>*******</t>
  </si>
  <si>
    <t>Types of projects</t>
  </si>
  <si>
    <t>Raw Land</t>
  </si>
  <si>
    <t>Built</t>
  </si>
  <si>
    <t>Mezzanine Loan Analysis</t>
  </si>
  <si>
    <t>Best Practices:</t>
  </si>
  <si>
    <t xml:space="preserve">* Link all numbers to data sources </t>
  </si>
  <si>
    <t>*Avoid all hardcoding</t>
  </si>
  <si>
    <t>*Provide frequent comments, especially when working outside template</t>
  </si>
  <si>
    <t>1st</t>
  </si>
  <si>
    <t>Additional Cash Required</t>
  </si>
  <si>
    <t>Loan Request</t>
  </si>
  <si>
    <t>23-25%</t>
  </si>
  <si>
    <t>Borrower's Value</t>
  </si>
  <si>
    <t>% Difference</t>
  </si>
  <si>
    <t>Multifamily Value</t>
  </si>
  <si>
    <t>MBC</t>
  </si>
  <si>
    <t>Acres</t>
  </si>
  <si>
    <t>Sources:</t>
  </si>
  <si>
    <t>Mezzanine Debt</t>
  </si>
  <si>
    <t>Uses:</t>
  </si>
  <si>
    <t>Senior Debt (Net)</t>
  </si>
  <si>
    <t>Soft Cost</t>
  </si>
  <si>
    <t>Construction Cost</t>
  </si>
  <si>
    <t>Property</t>
  </si>
  <si>
    <t>Borrower</t>
  </si>
  <si>
    <t>Inspection Reserve</t>
  </si>
  <si>
    <t>*Black = formula or unchanging value, Blue = hardcoded driver</t>
  </si>
  <si>
    <t>Next Steps/To do</t>
  </si>
  <si>
    <t>Total Value:</t>
  </si>
  <si>
    <t>Implied Equity</t>
  </si>
  <si>
    <t>Liquidity</t>
  </si>
  <si>
    <t>Conducted Intake on items on Deal Details Page</t>
  </si>
  <si>
    <t>Blended Rate:</t>
  </si>
  <si>
    <t>Proposed Net Mezz Loan Amount</t>
  </si>
  <si>
    <t>2nd</t>
  </si>
  <si>
    <t>Proceeds:</t>
  </si>
  <si>
    <t>Closing Costs (Estimated)</t>
  </si>
  <si>
    <t>Total Loan Amount</t>
  </si>
  <si>
    <r>
      <t>Borrower:</t>
    </r>
    <r>
      <rPr>
        <sz val="12"/>
        <color theme="1"/>
        <rFont val="Times New Roman"/>
        <family val="1"/>
      </rPr>
      <t xml:space="preserve"> </t>
    </r>
  </si>
  <si>
    <t>Term:</t>
  </si>
  <si>
    <t>Lender:</t>
  </si>
  <si>
    <t>Guarantor(s):</t>
  </si>
  <si>
    <t xml:space="preserve">Loan Recourse: </t>
  </si>
  <si>
    <t>Limited Recourse (standard “bad boy” carveouts) to Guarantors</t>
  </si>
  <si>
    <t>Primary Collateral:</t>
  </si>
  <si>
    <t>Interest Rate:</t>
  </si>
  <si>
    <t>12% annual rate, simple interest paid monthly in arrears</t>
  </si>
  <si>
    <t>Interest Reserve:</t>
  </si>
  <si>
    <t>Origination Fee:</t>
  </si>
  <si>
    <t>3% to Mesa Bridge Primary Investments II, paid at close from loan proceeds</t>
  </si>
  <si>
    <t>Due Diligence Fee:</t>
  </si>
  <si>
    <t>$4,500 to Mesa Bridge Capital, paid prior to closing the loan</t>
  </si>
  <si>
    <t>Processing Fee:</t>
  </si>
  <si>
    <t>$3,500 to Mesa Bridge Primary Investments II, paid at closing of the loan</t>
  </si>
  <si>
    <t>Primary:</t>
  </si>
  <si>
    <t>Cash Breakdown:</t>
  </si>
  <si>
    <t>Spent to Date:</t>
  </si>
  <si>
    <t>Additional:</t>
  </si>
  <si>
    <t>Remaining:</t>
  </si>
  <si>
    <t>*No Construction Reserves or Paydowns on first or last day</t>
  </si>
  <si>
    <t>Draw Schedule</t>
  </si>
  <si>
    <t>Paydown Schedule</t>
  </si>
  <si>
    <t>IRR Calc</t>
  </si>
  <si>
    <t>Paydown</t>
  </si>
  <si>
    <t>Absorption</t>
  </si>
  <si>
    <t>Units/Month</t>
  </si>
  <si>
    <t>Build Time</t>
  </si>
  <si>
    <t>months</t>
  </si>
  <si>
    <t>Gross Loan</t>
  </si>
  <si>
    <t>Ending Int Res.</t>
  </si>
  <si>
    <t>Int Res.</t>
  </si>
  <si>
    <t>Release</t>
  </si>
  <si>
    <t>Mezz Paydown</t>
  </si>
  <si>
    <t>Construction Res.</t>
  </si>
  <si>
    <t>Term (months)</t>
  </si>
  <si>
    <t>CR Draws:</t>
  </si>
  <si>
    <t>Land Payoff</t>
  </si>
  <si>
    <t>Max Amount Out</t>
  </si>
  <si>
    <t>check</t>
  </si>
  <si>
    <t>Loan Drawn Balance</t>
  </si>
  <si>
    <t>CR Draw</t>
  </si>
  <si>
    <t>IR Balance</t>
  </si>
  <si>
    <t>Paydowns</t>
  </si>
  <si>
    <t>Payoff at Maturity</t>
  </si>
  <si>
    <t>MBP Lending LLC</t>
  </si>
  <si>
    <t>Product Types:</t>
  </si>
  <si>
    <t>Mixed-Use</t>
  </si>
  <si>
    <t>Commercial</t>
  </si>
  <si>
    <t>Single Family &amp; Townhomes</t>
  </si>
  <si>
    <t>Other Income</t>
  </si>
  <si>
    <t>Parking, fees, etc.</t>
  </si>
  <si>
    <t>Gross Profit</t>
  </si>
  <si>
    <t>Funds Available for Refinance</t>
  </si>
  <si>
    <t>Funds Available for Construction</t>
  </si>
  <si>
    <t>Title Fees (Estimated)</t>
  </si>
  <si>
    <t>As-Is</t>
  </si>
  <si>
    <t>Risk Spread:</t>
  </si>
  <si>
    <t>Value/Unit:</t>
  </si>
  <si>
    <t>Value:</t>
  </si>
  <si>
    <t>Difference:</t>
  </si>
  <si>
    <t>% Value &amp; Loan Term</t>
  </si>
  <si>
    <t>Value Spread:</t>
  </si>
  <si>
    <t>Loan Term Spread:</t>
  </si>
  <si>
    <t>Senior LTV Sensitivity Analysis:</t>
  </si>
  <si>
    <t>Our Per Unit:</t>
  </si>
  <si>
    <t>Borrower's Per Unit:</t>
  </si>
  <si>
    <t>Appraisal Per Unit:</t>
  </si>
  <si>
    <t>Value Comparison</t>
  </si>
  <si>
    <t>Affordability Guidelines (as percent of median income)</t>
  </si>
  <si>
    <t>Value Amount to Reach LTV Guidence:</t>
  </si>
  <si>
    <t>Unit Mix</t>
  </si>
  <si>
    <t>Value/Lot</t>
  </si>
  <si>
    <t>Total Value</t>
  </si>
  <si>
    <t>Name:</t>
  </si>
  <si>
    <t>% of total Value</t>
  </si>
  <si>
    <t>Additional Collateral</t>
  </si>
  <si>
    <t>Par</t>
  </si>
  <si>
    <t>Par/Lot</t>
  </si>
  <si>
    <t>Par Plus</t>
  </si>
  <si>
    <t>Units Total</t>
  </si>
  <si>
    <t>LTV:</t>
  </si>
  <si>
    <t>Date of Valuation:</t>
  </si>
  <si>
    <t>Per Lot</t>
  </si>
  <si>
    <t>Deal as a whole</t>
  </si>
  <si>
    <t>Insert Comp Sales Tables Below This Line</t>
  </si>
  <si>
    <t>Property Data Per Unit</t>
  </si>
  <si>
    <t>Est. % Horizontal</t>
  </si>
  <si>
    <t>Avg Price/Acre</t>
  </si>
  <si>
    <t>Avg Acre</t>
  </si>
  <si>
    <t>Default LTV</t>
  </si>
  <si>
    <t>Constr Res</t>
  </si>
  <si>
    <t>Constr. Res.</t>
  </si>
  <si>
    <t>Construction Res</t>
  </si>
  <si>
    <t>Orig&amp;Cl Fee</t>
  </si>
  <si>
    <t>Month</t>
  </si>
  <si>
    <t>Total Fee income:</t>
  </si>
  <si>
    <t>Legal Exp:</t>
  </si>
  <si>
    <t>Senior</t>
  </si>
  <si>
    <t>Mezz</t>
  </si>
  <si>
    <t>Type</t>
  </si>
  <si>
    <t>Closing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</si>
</sst>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0.000%"/>
    <numFmt numFmtId="165" formatCode="_(* #,##0_);_(* \(#,##0\);_(* &quot;-&quot;??_);_(@_)"/>
    <numFmt numFmtId="166" formatCode="&quot;$&quot;#,##0.00"/>
    <numFmt numFmtId="167" formatCode="&quot;$&quot;#,##0"/>
    <numFmt numFmtId="168" formatCode="&quot;$&quot;#,##0;[Red]\-&quot;$&quot;#,##0"/>
    <numFmt numFmtId="169" formatCode="&quot;$&quot;#,##0.00;[Red]\-&quot;$&quot;#,##0.00"/>
    <numFmt numFmtId="170" formatCode="_-* #,##0_-;\-* #,##0_-;_-* &quot;-&quot;??_-;_-@_-"/>
    <numFmt numFmtId="171" formatCode="0.0%"/>
    <numFmt numFmtId="172" formatCode="_(&quot;$&quot;* #,##0_);_(&quot;$&quot;* \(#,##0\);_(&quot;$&quot;* &quot;-&quot;??_);_(@_)"/>
    <numFmt numFmtId="173" formatCode="0\ &quot;months&quot;"/>
    <numFmt numFmtId="174" formatCode="_([$$-409]* #,##0.00_);_([$$-409]* \(#,##0.00\);_([$$-409]* &quot;-&quot;??_);_(@_)"/>
    <numFmt numFmtId="175" formatCode="_([$$-409]* #,##0_);_([$$-409]* \(#,##0\);_([$$-409]* &quot;-&quot;??_);_(@_)"/>
    <numFmt numFmtId="176" formatCode="#\ &quot;Months&quot;"/>
  </numFmts>
  <fonts count="42"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1"/>
      <name val="Calibri Light"/>
      <family val="1"/>
      <scheme val="major"/>
    </font>
    <font>
      <b/>
      <sz val="11"/>
      <name val="Calibri Light"/>
      <family val="1"/>
      <scheme val="major"/>
    </font>
    <font>
      <b/>
      <sz val="16"/>
      <color theme="1"/>
      <name val="Calibri"/>
      <family val="2"/>
      <scheme val="minor"/>
    </font>
    <font>
      <u/>
      <sz val="11"/>
      <color theme="1"/>
      <name val="Calibri"/>
      <family val="2"/>
      <scheme val="minor"/>
    </font>
    <font>
      <sz val="12"/>
      <color theme="1"/>
      <name val="Calibri"/>
      <family val="2"/>
      <scheme val="minor"/>
    </font>
    <font>
      <sz val="11"/>
      <color rgb="FF002060"/>
      <name val="Calibri"/>
      <family val="2"/>
      <scheme val="minor"/>
    </font>
    <font>
      <sz val="10"/>
      <name val="Arial"/>
      <family val="2"/>
    </font>
    <font>
      <sz val="12"/>
      <color rgb="FF000000"/>
      <name val="Calibri"/>
      <family val="2"/>
    </font>
    <font>
      <u/>
      <sz val="11"/>
      <color theme="10"/>
      <name val="Calibri"/>
      <family val="2"/>
      <scheme val="minor"/>
    </font>
    <font>
      <b/>
      <u/>
      <sz val="22"/>
      <color theme="1"/>
      <name val="Calibri"/>
      <family val="2"/>
      <scheme val="minor"/>
    </font>
    <font>
      <sz val="12"/>
      <color theme="1"/>
      <name val="Arial"/>
      <family val="2"/>
    </font>
    <font>
      <b/>
      <sz val="11"/>
      <color rgb="FFFF0000"/>
      <name val="Calibri"/>
      <family val="2"/>
      <scheme val="minor"/>
    </font>
    <font>
      <sz val="8"/>
      <color rgb="FF000000"/>
      <name val="Calibri"/>
      <family val="2"/>
      <scheme val="minor"/>
    </font>
    <font>
      <b/>
      <sz val="10"/>
      <color rgb="FF000000"/>
      <name val="Calibri"/>
      <family val="2"/>
      <scheme val="minor"/>
    </font>
    <font>
      <b/>
      <sz val="14"/>
      <color theme="6" tint="-0.249977111117893"/>
      <name val="Calibri"/>
      <family val="2"/>
      <scheme val="minor"/>
    </font>
    <font>
      <sz val="11"/>
      <color theme="8" tint="-0.249977111117893"/>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b/>
      <sz val="14"/>
      <color theme="1"/>
      <name val="Calibri"/>
      <family val="2"/>
      <scheme val="minor"/>
    </font>
    <font>
      <sz val="10"/>
      <color rgb="FF000000"/>
      <name val="Calibri"/>
      <family val="2"/>
      <scheme val="minor"/>
    </font>
    <font>
      <b/>
      <sz val="28"/>
      <color theme="1"/>
      <name val="Calibri"/>
      <family val="2"/>
      <scheme val="minor"/>
    </font>
    <font>
      <sz val="8"/>
      <color theme="1"/>
      <name val="Calibri"/>
      <family val="2"/>
      <scheme val="minor"/>
    </font>
    <font>
      <sz val="10"/>
      <color rgb="FF000000"/>
      <name val="Arial"/>
      <family val="2"/>
    </font>
    <font>
      <sz val="10"/>
      <name val="Calibri"/>
      <family val="2"/>
      <scheme val="minor"/>
    </font>
    <font>
      <sz val="10.5"/>
      <color rgb="FF000000"/>
      <name val="Calibri"/>
      <family val="2"/>
      <scheme val="minor"/>
    </font>
    <font>
      <sz val="8"/>
      <name val="Calibri"/>
      <family val="2"/>
      <scheme val="minor"/>
    </font>
    <font>
      <sz val="11"/>
      <color theme="1" tint="4.9989318521683403E-2"/>
      <name val="Calibri"/>
      <family val="2"/>
      <scheme val="minor"/>
    </font>
    <font>
      <b/>
      <sz val="11"/>
      <color theme="1" tint="4.9989318521683403E-2"/>
      <name val="Calibri"/>
      <family val="2"/>
      <scheme val="minor"/>
    </font>
    <font>
      <sz val="11"/>
      <color rgb="FF0000FF"/>
      <name val="Calibri"/>
      <family val="2"/>
      <scheme val="minor"/>
    </font>
    <font>
      <sz val="11"/>
      <color theme="1"/>
      <name val="Palatino Linotype"/>
      <family val="1"/>
    </font>
    <font>
      <b/>
      <sz val="11"/>
      <color theme="1"/>
      <name val="Palatino Linotype"/>
      <family val="1"/>
    </font>
    <font>
      <sz val="11"/>
      <color rgb="FF0000FF"/>
      <name val="Palatino Linotype"/>
      <family val="1"/>
    </font>
    <font>
      <sz val="12"/>
      <color theme="1"/>
      <name val="Times New Roman"/>
      <family val="1"/>
    </font>
    <font>
      <b/>
      <sz val="12"/>
      <color theme="1"/>
      <name val="Times New Roman"/>
      <family val="1"/>
    </font>
    <font>
      <sz val="11"/>
      <color rgb="FFFF0000"/>
      <name val="Calibri"/>
      <family val="2"/>
      <scheme val="minor"/>
    </font>
    <font>
      <sz val="11"/>
      <name val="Palatino Linotype"/>
      <family val="1"/>
    </font>
  </fonts>
  <fills count="25">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5050"/>
        <bgColor indexed="64"/>
      </patternFill>
    </fill>
    <fill>
      <patternFill patternType="solid">
        <fgColor rgb="FFFF66CC"/>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0" tint="-0.499984740745262"/>
        <bgColor indexed="64"/>
      </patternFill>
    </fill>
  </fills>
  <borders count="76">
    <border>
      <left/>
      <right/>
      <top/>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medium">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double">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theme="4"/>
      </left>
      <right style="thin">
        <color theme="4"/>
      </right>
      <top style="thin">
        <color theme="4"/>
      </top>
      <bottom style="thin">
        <color theme="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theme="4"/>
      </top>
      <bottom style="thin">
        <color theme="4"/>
      </bottom>
      <diagonal/>
    </border>
    <border>
      <left style="thin">
        <color indexed="64"/>
      </left>
      <right/>
      <top/>
      <bottom style="double">
        <color indexed="64"/>
      </bottom>
      <diagonal/>
    </border>
    <border>
      <left style="thin">
        <color auto="1"/>
      </left>
      <right/>
      <top style="medium">
        <color auto="1"/>
      </top>
      <bottom/>
      <diagonal/>
    </border>
  </borders>
  <cellStyleXfs count="15">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2" fillId="0" borderId="0"/>
    <xf numFmtId="0" fontId="13" fillId="0" borderId="0" applyNumberFormat="0" applyFill="0" applyBorder="0" applyAlignment="0" applyProtection="0"/>
    <xf numFmtId="0" fontId="11" fillId="0" borderId="0"/>
    <xf numFmtId="0" fontId="15" fillId="0" borderId="0"/>
    <xf numFmtId="9" fontId="15" fillId="0" borderId="0" applyFont="0" applyFill="0" applyBorder="0" applyAlignment="0" applyProtection="0"/>
    <xf numFmtId="0" fontId="1" fillId="0" borderId="0"/>
    <xf numFmtId="0" fontId="28" fillId="0" borderId="0"/>
  </cellStyleXfs>
  <cellXfs count="744">
    <xf numFmtId="0" fontId="0" fillId="0" borderId="0" xfId="0"/>
    <xf numFmtId="0" fontId="2" fillId="0" borderId="0" xfId="0" applyFont="1"/>
    <xf numFmtId="0" fontId="3" fillId="0" borderId="0" xfId="0" applyFont="1" applyAlignment="1">
      <alignment vertical="center"/>
    </xf>
    <xf numFmtId="0" fontId="4" fillId="0" borderId="0" xfId="0" applyFont="1" applyAlignment="1">
      <alignment vertical="center"/>
    </xf>
    <xf numFmtId="0" fontId="2" fillId="0" borderId="1" xfId="0" applyFont="1" applyBorder="1" applyAlignment="1">
      <alignment horizontal="center"/>
    </xf>
    <xf numFmtId="44" fontId="0" fillId="0" borderId="0" xfId="0" applyNumberFormat="1"/>
    <xf numFmtId="0" fontId="5" fillId="0" borderId="0" xfId="0" applyFont="1"/>
    <xf numFmtId="9" fontId="0" fillId="2" borderId="3" xfId="2" applyFont="1" applyFill="1" applyBorder="1" applyAlignment="1">
      <alignment horizontal="center"/>
    </xf>
    <xf numFmtId="10" fontId="0" fillId="2" borderId="6" xfId="2" applyNumberFormat="1" applyFont="1" applyFill="1" applyBorder="1" applyAlignment="1">
      <alignment horizontal="center"/>
    </xf>
    <xf numFmtId="44" fontId="0" fillId="0" borderId="7" xfId="0" applyNumberFormat="1" applyBorder="1"/>
    <xf numFmtId="44" fontId="0" fillId="2" borderId="0" xfId="1" applyFont="1" applyFill="1"/>
    <xf numFmtId="0" fontId="2" fillId="0" borderId="1" xfId="0" applyFont="1" applyBorder="1" applyAlignment="1">
      <alignment horizontal="left" vertical="center"/>
    </xf>
    <xf numFmtId="0" fontId="3" fillId="0" borderId="1" xfId="0" applyFont="1" applyBorder="1" applyAlignment="1">
      <alignment horizontal="center"/>
    </xf>
    <xf numFmtId="0" fontId="4" fillId="0" borderId="0" xfId="0" applyFont="1"/>
    <xf numFmtId="44" fontId="0" fillId="0" borderId="0" xfId="1" applyFont="1"/>
    <xf numFmtId="44" fontId="2" fillId="0" borderId="4" xfId="0" applyNumberFormat="1" applyFont="1" applyBorder="1"/>
    <xf numFmtId="44" fontId="2" fillId="0" borderId="0" xfId="0" applyNumberFormat="1" applyFont="1"/>
    <xf numFmtId="0" fontId="3" fillId="0" borderId="1" xfId="0" applyFont="1" applyBorder="1" applyAlignment="1">
      <alignment horizontal="left"/>
    </xf>
    <xf numFmtId="44" fontId="6" fillId="0" borderId="1" xfId="1" applyFont="1" applyBorder="1" applyAlignment="1">
      <alignment horizontal="center"/>
    </xf>
    <xf numFmtId="0" fontId="6" fillId="0" borderId="1" xfId="0" applyFont="1" applyBorder="1" applyAlignment="1">
      <alignment horizontal="center"/>
    </xf>
    <xf numFmtId="9" fontId="2" fillId="2" borderId="0" xfId="2" applyFont="1" applyFill="1" applyAlignment="1">
      <alignment horizontal="center"/>
    </xf>
    <xf numFmtId="44" fontId="2" fillId="0" borderId="0" xfId="1" applyFont="1"/>
    <xf numFmtId="0" fontId="0" fillId="0" borderId="0" xfId="0" applyAlignment="1">
      <alignment horizontal="left" vertical="center"/>
    </xf>
    <xf numFmtId="0" fontId="0" fillId="0" borderId="0" xfId="0" applyAlignment="1">
      <alignment horizontal="left"/>
    </xf>
    <xf numFmtId="0" fontId="0" fillId="0" borderId="0" xfId="0" quotePrefix="1" applyAlignment="1">
      <alignment horizontal="left" vertical="center"/>
    </xf>
    <xf numFmtId="9" fontId="0" fillId="2" borderId="6" xfId="2" applyFont="1" applyFill="1" applyBorder="1" applyAlignment="1">
      <alignment horizontal="center"/>
    </xf>
    <xf numFmtId="44" fontId="0" fillId="0" borderId="7" xfId="1" applyFont="1" applyBorder="1"/>
    <xf numFmtId="10" fontId="2" fillId="0" borderId="6" xfId="2" applyNumberFormat="1" applyFont="1" applyBorder="1" applyAlignment="1">
      <alignment horizontal="center"/>
    </xf>
    <xf numFmtId="10" fontId="0" fillId="0" borderId="6" xfId="2" applyNumberFormat="1" applyFont="1" applyBorder="1" applyAlignment="1">
      <alignment horizontal="center"/>
    </xf>
    <xf numFmtId="10" fontId="0" fillId="0" borderId="9" xfId="2" applyNumberFormat="1" applyFont="1" applyBorder="1" applyAlignment="1">
      <alignment horizontal="center"/>
    </xf>
    <xf numFmtId="0" fontId="0" fillId="0" borderId="10" xfId="0" applyBorder="1"/>
    <xf numFmtId="44" fontId="2" fillId="0" borderId="4" xfId="2" applyNumberFormat="1" applyFont="1" applyBorder="1"/>
    <xf numFmtId="44" fontId="2" fillId="0" borderId="4" xfId="0" applyNumberFormat="1" applyFont="1" applyBorder="1" applyAlignment="1">
      <alignment horizontal="center"/>
    </xf>
    <xf numFmtId="44" fontId="2" fillId="0" borderId="2" xfId="1" applyFont="1" applyBorder="1"/>
    <xf numFmtId="44" fontId="2" fillId="0" borderId="2" xfId="0" applyNumberFormat="1" applyFont="1" applyBorder="1"/>
    <xf numFmtId="44" fontId="2" fillId="0" borderId="0" xfId="0" applyNumberFormat="1" applyFont="1" applyAlignment="1">
      <alignment horizontal="center"/>
    </xf>
    <xf numFmtId="44" fontId="2" fillId="0" borderId="1" xfId="0" applyNumberFormat="1" applyFont="1" applyBorder="1" applyAlignment="1">
      <alignment horizontal="center"/>
    </xf>
    <xf numFmtId="44" fontId="2" fillId="0" borderId="4" xfId="1" applyFont="1" applyBorder="1"/>
    <xf numFmtId="44" fontId="3" fillId="0" borderId="4" xfId="1" applyFont="1" applyBorder="1" applyAlignment="1">
      <alignment horizontal="left"/>
    </xf>
    <xf numFmtId="44" fontId="2" fillId="0" borderId="0" xfId="0" applyNumberFormat="1" applyFont="1" applyAlignment="1">
      <alignment horizontal="left"/>
    </xf>
    <xf numFmtId="44" fontId="2" fillId="0" borderId="8" xfId="1" applyFont="1" applyBorder="1"/>
    <xf numFmtId="0" fontId="7" fillId="0" borderId="0" xfId="0" applyFont="1"/>
    <xf numFmtId="0" fontId="0" fillId="0" borderId="0" xfId="1" applyNumberFormat="1" applyFont="1"/>
    <xf numFmtId="0" fontId="2" fillId="0" borderId="19" xfId="0" applyFont="1" applyBorder="1"/>
    <xf numFmtId="0" fontId="2" fillId="0" borderId="16" xfId="0" applyFont="1" applyBorder="1" applyAlignment="1">
      <alignment horizontal="center"/>
    </xf>
    <xf numFmtId="0" fontId="2" fillId="0" borderId="20" xfId="0" applyFont="1" applyBorder="1"/>
    <xf numFmtId="0" fontId="0" fillId="0" borderId="11" xfId="0" applyBorder="1"/>
    <xf numFmtId="0" fontId="5" fillId="0" borderId="12" xfId="0" applyFont="1" applyBorder="1"/>
    <xf numFmtId="0" fontId="0" fillId="0" borderId="12" xfId="0" applyBorder="1"/>
    <xf numFmtId="0" fontId="2" fillId="0" borderId="18" xfId="0" applyFont="1" applyBorder="1"/>
    <xf numFmtId="0" fontId="2" fillId="0" borderId="21" xfId="0" applyFont="1" applyBorder="1"/>
    <xf numFmtId="0" fontId="2" fillId="0" borderId="11" xfId="0" applyFont="1" applyBorder="1"/>
    <xf numFmtId="0" fontId="2" fillId="0" borderId="12" xfId="0" applyFont="1" applyBorder="1"/>
    <xf numFmtId="0" fontId="2" fillId="0" borderId="17" xfId="0" applyFont="1" applyBorder="1"/>
    <xf numFmtId="0" fontId="3" fillId="0" borderId="22" xfId="0" applyFont="1" applyBorder="1"/>
    <xf numFmtId="44" fontId="4" fillId="0" borderId="12" xfId="0" applyNumberFormat="1" applyFont="1" applyBorder="1"/>
    <xf numFmtId="0" fontId="4" fillId="0" borderId="12" xfId="0" applyFont="1" applyBorder="1" applyAlignment="1">
      <alignment horizontal="left" indent="2"/>
    </xf>
    <xf numFmtId="0" fontId="0" fillId="0" borderId="11" xfId="0" applyBorder="1" applyAlignment="1">
      <alignment horizontal="left"/>
    </xf>
    <xf numFmtId="0" fontId="2" fillId="0" borderId="23" xfId="0" applyFont="1" applyBorder="1" applyAlignment="1">
      <alignment horizontal="left"/>
    </xf>
    <xf numFmtId="0" fontId="2" fillId="0" borderId="24" xfId="0" applyFont="1" applyBorder="1"/>
    <xf numFmtId="0" fontId="2" fillId="0" borderId="11" xfId="0" applyFont="1" applyBorder="1" applyAlignment="1">
      <alignment horizontal="left"/>
    </xf>
    <xf numFmtId="0" fontId="2" fillId="0" borderId="25" xfId="0" applyFont="1" applyBorder="1"/>
    <xf numFmtId="0" fontId="2" fillId="0" borderId="26" xfId="0" applyFont="1" applyBorder="1"/>
    <xf numFmtId="0" fontId="0" fillId="0" borderId="22" xfId="0" applyBorder="1"/>
    <xf numFmtId="0" fontId="2" fillId="0" borderId="23" xfId="0" applyFont="1" applyBorder="1"/>
    <xf numFmtId="0" fontId="2" fillId="0" borderId="13" xfId="0" applyFont="1" applyBorder="1"/>
    <xf numFmtId="10" fontId="2" fillId="0" borderId="14" xfId="2" applyNumberFormat="1" applyFont="1" applyBorder="1"/>
    <xf numFmtId="10" fontId="0" fillId="0" borderId="14" xfId="2" applyNumberFormat="1" applyFont="1" applyBorder="1"/>
    <xf numFmtId="0" fontId="0" fillId="0" borderId="15" xfId="0" applyBorder="1"/>
    <xf numFmtId="0" fontId="0" fillId="0" borderId="14" xfId="0" applyBorder="1"/>
    <xf numFmtId="0" fontId="2" fillId="0" borderId="20" xfId="0" applyFont="1" applyBorder="1" applyAlignment="1">
      <alignment horizontal="center"/>
    </xf>
    <xf numFmtId="0" fontId="0" fillId="0" borderId="24" xfId="0" applyBorder="1"/>
    <xf numFmtId="44" fontId="2" fillId="0" borderId="14" xfId="0" applyNumberFormat="1" applyFont="1" applyBorder="1"/>
    <xf numFmtId="44" fontId="2" fillId="2" borderId="0" xfId="0" applyNumberFormat="1" applyFont="1" applyFill="1"/>
    <xf numFmtId="44" fontId="0" fillId="0" borderId="12" xfId="0" applyNumberFormat="1" applyBorder="1"/>
    <xf numFmtId="10" fontId="0" fillId="0" borderId="12" xfId="2" applyNumberFormat="1" applyFont="1" applyBorder="1"/>
    <xf numFmtId="0" fontId="0" fillId="0" borderId="11" xfId="0" applyBorder="1" applyAlignment="1">
      <alignment horizontal="left" indent="2"/>
    </xf>
    <xf numFmtId="0" fontId="2" fillId="0" borderId="13" xfId="0" applyFont="1" applyBorder="1" applyAlignment="1">
      <alignment horizontal="left"/>
    </xf>
    <xf numFmtId="44" fontId="2" fillId="0" borderId="1" xfId="0" applyNumberFormat="1" applyFont="1" applyBorder="1"/>
    <xf numFmtId="44" fontId="4" fillId="0" borderId="0" xfId="1" applyFont="1" applyAlignment="1">
      <alignment horizontal="left"/>
    </xf>
    <xf numFmtId="9" fontId="4" fillId="0" borderId="12" xfId="2" applyFont="1" applyBorder="1" applyAlignment="1">
      <alignment horizontal="center"/>
    </xf>
    <xf numFmtId="0" fontId="4" fillId="0" borderId="0" xfId="1" applyNumberFormat="1" applyFont="1" applyAlignment="1">
      <alignment horizontal="center"/>
    </xf>
    <xf numFmtId="44" fontId="0" fillId="0" borderId="5" xfId="0" applyNumberFormat="1" applyBorder="1"/>
    <xf numFmtId="9" fontId="2" fillId="0" borderId="0" xfId="2" applyFont="1"/>
    <xf numFmtId="0" fontId="0" fillId="0" borderId="0" xfId="0" applyAlignment="1">
      <alignment horizontal="left" wrapText="1"/>
    </xf>
    <xf numFmtId="9" fontId="0" fillId="0" borderId="0" xfId="2" applyFont="1"/>
    <xf numFmtId="9" fontId="0" fillId="0" borderId="14" xfId="2" applyFont="1" applyBorder="1"/>
    <xf numFmtId="0" fontId="8" fillId="0" borderId="0" xfId="0" applyFont="1" applyAlignment="1">
      <alignment horizontal="center"/>
    </xf>
    <xf numFmtId="44" fontId="2" fillId="5" borderId="14" xfId="0" applyNumberFormat="1" applyFont="1" applyFill="1" applyBorder="1"/>
    <xf numFmtId="0" fontId="0" fillId="0" borderId="0" xfId="0" applyAlignment="1">
      <alignment horizontal="left" vertical="top" wrapText="1"/>
    </xf>
    <xf numFmtId="0" fontId="9" fillId="0" borderId="0" xfId="0" applyFont="1"/>
    <xf numFmtId="0" fontId="8" fillId="0" borderId="0" xfId="0" applyFont="1"/>
    <xf numFmtId="164" fontId="0" fillId="0" borderId="0" xfId="2" applyNumberFormat="1" applyFont="1"/>
    <xf numFmtId="164" fontId="0" fillId="0" borderId="0" xfId="0" applyNumberFormat="1"/>
    <xf numFmtId="14" fontId="0" fillId="0" borderId="0" xfId="0" applyNumberFormat="1" applyAlignment="1">
      <alignment horizontal="left"/>
    </xf>
    <xf numFmtId="44" fontId="0" fillId="0" borderId="0" xfId="0" applyNumberFormat="1" applyAlignment="1">
      <alignment horizontal="center"/>
    </xf>
    <xf numFmtId="0" fontId="10" fillId="2" borderId="0" xfId="1" applyNumberFormat="1" applyFont="1" applyFill="1" applyAlignment="1">
      <alignment horizontal="center"/>
    </xf>
    <xf numFmtId="0" fontId="10" fillId="6" borderId="0" xfId="0" applyFont="1" applyFill="1"/>
    <xf numFmtId="44" fontId="10" fillId="6" borderId="0" xfId="1" applyFont="1" applyFill="1"/>
    <xf numFmtId="44" fontId="0" fillId="0" borderId="0" xfId="0" applyNumberFormat="1" applyAlignment="1">
      <alignment horizontal="left"/>
    </xf>
    <xf numFmtId="165" fontId="0" fillId="0" borderId="0" xfId="3" applyNumberFormat="1" applyFont="1" applyAlignment="1">
      <alignment horizontal="center"/>
    </xf>
    <xf numFmtId="165" fontId="0" fillId="0" borderId="0" xfId="3" applyNumberFormat="1" applyFont="1"/>
    <xf numFmtId="0" fontId="0" fillId="0" borderId="0" xfId="0" applyAlignment="1">
      <alignment horizontal="center"/>
    </xf>
    <xf numFmtId="0" fontId="2" fillId="0" borderId="0" xfId="0" applyFont="1" applyAlignment="1">
      <alignment horizontal="center"/>
    </xf>
    <xf numFmtId="0" fontId="0" fillId="0" borderId="7" xfId="0" applyBorder="1"/>
    <xf numFmtId="9" fontId="0" fillId="0" borderId="0" xfId="2" applyFont="1" applyAlignment="1">
      <alignment horizontal="center"/>
    </xf>
    <xf numFmtId="0" fontId="0" fillId="0" borderId="6" xfId="0" applyBorder="1"/>
    <xf numFmtId="44" fontId="4" fillId="4" borderId="0" xfId="1" applyFont="1" applyFill="1"/>
    <xf numFmtId="9" fontId="10" fillId="0" borderId="3" xfId="2" applyFont="1" applyBorder="1" applyAlignment="1">
      <alignment horizontal="center"/>
    </xf>
    <xf numFmtId="10" fontId="10" fillId="2" borderId="9" xfId="2" applyNumberFormat="1" applyFont="1" applyFill="1" applyBorder="1" applyAlignment="1">
      <alignment horizontal="center"/>
    </xf>
    <xf numFmtId="0" fontId="13" fillId="0" borderId="0" xfId="9"/>
    <xf numFmtId="0" fontId="0" fillId="0" borderId="27" xfId="0" applyBorder="1"/>
    <xf numFmtId="0" fontId="14" fillId="0" borderId="0" xfId="0" applyFont="1"/>
    <xf numFmtId="44" fontId="4" fillId="0" borderId="0" xfId="1" applyFont="1" applyAlignment="1">
      <alignment horizontal="center"/>
    </xf>
    <xf numFmtId="44" fontId="10" fillId="6" borderId="0" xfId="0" applyNumberFormat="1" applyFont="1" applyFill="1"/>
    <xf numFmtId="166" fontId="0" fillId="0" borderId="0" xfId="0" applyNumberFormat="1"/>
    <xf numFmtId="166" fontId="0" fillId="0" borderId="0" xfId="0" applyNumberFormat="1" applyAlignment="1">
      <alignment horizontal="center"/>
    </xf>
    <xf numFmtId="0" fontId="2" fillId="0" borderId="0" xfId="0" applyFont="1" applyAlignment="1">
      <alignment horizontal="center" vertical="center" wrapText="1"/>
    </xf>
    <xf numFmtId="165" fontId="0" fillId="0" borderId="7" xfId="3" applyNumberFormat="1" applyFont="1" applyBorder="1" applyAlignment="1">
      <alignment horizontal="center"/>
    </xf>
    <xf numFmtId="0" fontId="1" fillId="0" borderId="0" xfId="13"/>
    <xf numFmtId="0" fontId="7" fillId="0" borderId="0" xfId="13" applyFont="1"/>
    <xf numFmtId="0" fontId="0" fillId="0" borderId="0" xfId="13" applyFont="1"/>
    <xf numFmtId="15" fontId="1" fillId="0" borderId="0" xfId="13" applyNumberFormat="1"/>
    <xf numFmtId="9" fontId="1" fillId="0" borderId="0" xfId="2"/>
    <xf numFmtId="14" fontId="1" fillId="3" borderId="0" xfId="13" applyNumberFormat="1" applyFill="1"/>
    <xf numFmtId="9" fontId="1" fillId="3" borderId="0" xfId="13" applyNumberFormat="1" applyFill="1"/>
    <xf numFmtId="14" fontId="1" fillId="0" borderId="0" xfId="13" applyNumberFormat="1"/>
    <xf numFmtId="0" fontId="16" fillId="0" borderId="0" xfId="13" applyFont="1"/>
    <xf numFmtId="166" fontId="1" fillId="0" borderId="0" xfId="13" applyNumberFormat="1"/>
    <xf numFmtId="5" fontId="0" fillId="0" borderId="0" xfId="13" applyNumberFormat="1" applyFont="1"/>
    <xf numFmtId="14" fontId="0" fillId="0" borderId="0" xfId="0" applyNumberFormat="1"/>
    <xf numFmtId="14" fontId="2" fillId="0" borderId="27" xfId="0" applyNumberFormat="1" applyFont="1" applyBorder="1" applyAlignment="1">
      <alignment horizontal="center"/>
    </xf>
    <xf numFmtId="166" fontId="2" fillId="0" borderId="27" xfId="0" applyNumberFormat="1" applyFont="1" applyBorder="1"/>
    <xf numFmtId="0" fontId="17" fillId="0" borderId="45" xfId="0" applyFont="1" applyBorder="1" applyAlignment="1">
      <alignment horizontal="center" vertical="center"/>
    </xf>
    <xf numFmtId="14" fontId="0" fillId="0" borderId="0" xfId="13" applyNumberFormat="1" applyFont="1"/>
    <xf numFmtId="166" fontId="2" fillId="0" borderId="27" xfId="13" applyNumberFormat="1" applyFont="1" applyBorder="1"/>
    <xf numFmtId="6" fontId="17" fillId="0" borderId="46" xfId="0" applyNumberFormat="1" applyFont="1" applyBorder="1" applyAlignment="1">
      <alignment horizontal="center" vertical="center"/>
    </xf>
    <xf numFmtId="0" fontId="3" fillId="0" borderId="0" xfId="13" applyFont="1"/>
    <xf numFmtId="0" fontId="2" fillId="0" borderId="27" xfId="13" applyFont="1" applyBorder="1"/>
    <xf numFmtId="10" fontId="17" fillId="0" borderId="46" xfId="0" applyNumberFormat="1" applyFont="1" applyBorder="1" applyAlignment="1">
      <alignment horizontal="center" vertical="center"/>
    </xf>
    <xf numFmtId="9" fontId="17" fillId="0" borderId="46" xfId="2" applyFont="1" applyBorder="1" applyAlignment="1">
      <alignment horizontal="center" vertical="center"/>
    </xf>
    <xf numFmtId="5" fontId="1" fillId="0" borderId="0" xfId="13" applyNumberFormat="1"/>
    <xf numFmtId="8" fontId="17" fillId="0" borderId="46" xfId="0" applyNumberFormat="1" applyFont="1" applyBorder="1" applyAlignment="1">
      <alignment horizontal="center" vertical="center"/>
    </xf>
    <xf numFmtId="14" fontId="17" fillId="0" borderId="46" xfId="0" applyNumberFormat="1" applyFont="1" applyBorder="1" applyAlignment="1">
      <alignment horizontal="center" vertical="center"/>
    </xf>
    <xf numFmtId="0" fontId="17" fillId="0" borderId="46" xfId="0" applyFont="1" applyBorder="1" applyAlignment="1">
      <alignment horizontal="center" vertical="center" wrapText="1"/>
    </xf>
    <xf numFmtId="167" fontId="1" fillId="11" borderId="3" xfId="13" applyNumberFormat="1" applyFill="1" applyBorder="1" applyAlignment="1">
      <alignment horizontal="center"/>
    </xf>
    <xf numFmtId="0" fontId="18" fillId="0" borderId="45" xfId="0" applyFont="1" applyBorder="1" applyAlignment="1">
      <alignment horizontal="center" vertical="center" wrapText="1"/>
    </xf>
    <xf numFmtId="0" fontId="2" fillId="0" borderId="46" xfId="13" applyFont="1" applyBorder="1"/>
    <xf numFmtId="9" fontId="0" fillId="0" borderId="45" xfId="2" applyFont="1" applyBorder="1" applyAlignment="1">
      <alignment horizontal="center"/>
    </xf>
    <xf numFmtId="0" fontId="19" fillId="0" borderId="0" xfId="0" applyFont="1"/>
    <xf numFmtId="166" fontId="1" fillId="0" borderId="6" xfId="13" applyNumberFormat="1" applyBorder="1" applyAlignment="1">
      <alignment horizontal="center"/>
    </xf>
    <xf numFmtId="0" fontId="20" fillId="0" borderId="0" xfId="0" applyFont="1"/>
    <xf numFmtId="9" fontId="0" fillId="0" borderId="0" xfId="0" applyNumberFormat="1"/>
    <xf numFmtId="14" fontId="1" fillId="0" borderId="6" xfId="13" applyNumberFormat="1" applyBorder="1" applyAlignment="1">
      <alignment horizontal="center"/>
    </xf>
    <xf numFmtId="0" fontId="1" fillId="0" borderId="0" xfId="0" applyFont="1"/>
    <xf numFmtId="168" fontId="0" fillId="0" borderId="0" xfId="0" applyNumberFormat="1"/>
    <xf numFmtId="0" fontId="0" fillId="0" borderId="6" xfId="13" applyFont="1" applyBorder="1" applyAlignment="1">
      <alignment horizontal="center"/>
    </xf>
    <xf numFmtId="9" fontId="20" fillId="0" borderId="0" xfId="2" applyFont="1"/>
    <xf numFmtId="167" fontId="1" fillId="0" borderId="27" xfId="13" applyNumberFormat="1" applyBorder="1" applyAlignment="1">
      <alignment horizontal="center"/>
    </xf>
    <xf numFmtId="168" fontId="20" fillId="0" borderId="0" xfId="0" applyNumberFormat="1" applyFont="1"/>
    <xf numFmtId="8" fontId="0" fillId="0" borderId="0" xfId="0" applyNumberFormat="1"/>
    <xf numFmtId="0" fontId="0" fillId="0" borderId="47" xfId="13" applyFont="1" applyBorder="1"/>
    <xf numFmtId="0" fontId="0" fillId="0" borderId="27" xfId="13" applyFont="1" applyBorder="1" applyAlignment="1">
      <alignment horizontal="center"/>
    </xf>
    <xf numFmtId="10" fontId="20" fillId="0" borderId="0" xfId="2" applyNumberFormat="1" applyFont="1"/>
    <xf numFmtId="166" fontId="0" fillId="0" borderId="27" xfId="0" applyNumberFormat="1" applyBorder="1" applyAlignment="1">
      <alignment horizontal="center"/>
    </xf>
    <xf numFmtId="10" fontId="1" fillId="0" borderId="0" xfId="2" applyNumberFormat="1"/>
    <xf numFmtId="0" fontId="13" fillId="0" borderId="27" xfId="9" applyBorder="1" applyAlignment="1">
      <alignment horizontal="center"/>
    </xf>
    <xf numFmtId="15" fontId="20" fillId="0" borderId="0" xfId="0" applyNumberFormat="1" applyFont="1"/>
    <xf numFmtId="43" fontId="20" fillId="0" borderId="0" xfId="3" applyFont="1"/>
    <xf numFmtId="15" fontId="0" fillId="0" borderId="0" xfId="3" applyNumberFormat="1" applyFont="1"/>
    <xf numFmtId="0" fontId="22" fillId="0" borderId="48" xfId="0" applyFont="1" applyBorder="1" applyAlignment="1">
      <alignment horizontal="center"/>
    </xf>
    <xf numFmtId="0" fontId="22" fillId="0" borderId="16" xfId="0" applyFont="1" applyBorder="1" applyAlignment="1">
      <alignment horizontal="center"/>
    </xf>
    <xf numFmtId="0" fontId="22" fillId="0" borderId="33" xfId="0" applyFont="1" applyBorder="1" applyAlignment="1">
      <alignment horizontal="center"/>
    </xf>
    <xf numFmtId="14" fontId="0" fillId="0" borderId="3" xfId="0" applyNumberFormat="1" applyBorder="1"/>
    <xf numFmtId="169" fontId="22" fillId="0" borderId="0" xfId="0" applyNumberFormat="1" applyFont="1" applyAlignment="1">
      <alignment horizontal="center"/>
    </xf>
    <xf numFmtId="0" fontId="9" fillId="0" borderId="7" xfId="0" applyFont="1" applyBorder="1" applyAlignment="1">
      <alignment horizontal="center"/>
    </xf>
    <xf numFmtId="14" fontId="0" fillId="0" borderId="6" xfId="0" applyNumberFormat="1" applyBorder="1"/>
    <xf numFmtId="166" fontId="1" fillId="0" borderId="0" xfId="1" applyNumberFormat="1" applyAlignment="1">
      <alignment horizontal="right"/>
    </xf>
    <xf numFmtId="0" fontId="2" fillId="0" borderId="1" xfId="0" applyFont="1" applyBorder="1" applyAlignment="1">
      <alignment horizontal="center" wrapText="1"/>
    </xf>
    <xf numFmtId="0" fontId="0" fillId="0" borderId="0" xfId="0" applyAlignment="1">
      <alignment wrapText="1"/>
    </xf>
    <xf numFmtId="14" fontId="21" fillId="0" borderId="0" xfId="0" applyNumberFormat="1" applyFont="1"/>
    <xf numFmtId="170" fontId="21" fillId="0" borderId="0" xfId="3" applyNumberFormat="1" applyFont="1"/>
    <xf numFmtId="169" fontId="21" fillId="0" borderId="0" xfId="0" applyNumberFormat="1" applyFont="1"/>
    <xf numFmtId="8" fontId="21" fillId="0" borderId="0" xfId="0" applyNumberFormat="1" applyFont="1"/>
    <xf numFmtId="0" fontId="23" fillId="0" borderId="0" xfId="0" applyFont="1"/>
    <xf numFmtId="0" fontId="21" fillId="0" borderId="0" xfId="0" applyFont="1"/>
    <xf numFmtId="0" fontId="0" fillId="0" borderId="6" xfId="0" applyBorder="1" applyAlignment="1">
      <alignment wrapText="1"/>
    </xf>
    <xf numFmtId="0" fontId="0" fillId="0" borderId="7" xfId="0" applyBorder="1" applyAlignment="1">
      <alignment wrapText="1"/>
    </xf>
    <xf numFmtId="14" fontId="22" fillId="0" borderId="38" xfId="0" applyNumberFormat="1" applyFont="1" applyBorder="1" applyAlignment="1">
      <alignment horizontal="left" indent="1"/>
    </xf>
    <xf numFmtId="166" fontId="22" fillId="0" borderId="2" xfId="0" applyNumberFormat="1" applyFont="1" applyBorder="1"/>
    <xf numFmtId="165" fontId="22" fillId="0" borderId="37" xfId="0" applyNumberFormat="1" applyFont="1" applyBorder="1"/>
    <xf numFmtId="0" fontId="22" fillId="0" borderId="38" xfId="0" applyFont="1" applyBorder="1" applyAlignment="1">
      <alignment horizontal="left" indent="1"/>
    </xf>
    <xf numFmtId="0" fontId="22" fillId="0" borderId="0" xfId="0" applyFont="1" applyAlignment="1">
      <alignment horizontal="left" indent="1"/>
    </xf>
    <xf numFmtId="10" fontId="22" fillId="0" borderId="0" xfId="2" applyNumberFormat="1" applyFont="1"/>
    <xf numFmtId="165" fontId="22" fillId="0" borderId="0" xfId="0" applyNumberFormat="1" applyFont="1"/>
    <xf numFmtId="43" fontId="21" fillId="0" borderId="0" xfId="3" applyFont="1"/>
    <xf numFmtId="14" fontId="20" fillId="0" borderId="0" xfId="0" applyNumberFormat="1" applyFont="1"/>
    <xf numFmtId="166" fontId="21" fillId="0" borderId="0" xfId="0" applyNumberFormat="1" applyFont="1"/>
    <xf numFmtId="166" fontId="21" fillId="0" borderId="27" xfId="1" applyNumberFormat="1" applyFont="1" applyBorder="1"/>
    <xf numFmtId="166" fontId="21" fillId="0" borderId="0" xfId="3" applyNumberFormat="1" applyFont="1"/>
    <xf numFmtId="165" fontId="0" fillId="0" borderId="0" xfId="3" applyNumberFormat="1" applyFont="1" applyAlignment="1">
      <alignment horizontal="left"/>
    </xf>
    <xf numFmtId="14" fontId="23" fillId="0" borderId="0" xfId="0" applyNumberFormat="1" applyFont="1"/>
    <xf numFmtId="8" fontId="23" fillId="0" borderId="0" xfId="0" applyNumberFormat="1" applyFont="1"/>
    <xf numFmtId="169" fontId="0" fillId="0" borderId="0" xfId="0" applyNumberFormat="1"/>
    <xf numFmtId="169" fontId="1" fillId="0" borderId="0" xfId="0" applyNumberFormat="1" applyFont="1"/>
    <xf numFmtId="166" fontId="0" fillId="0" borderId="6" xfId="0" applyNumberFormat="1" applyBorder="1"/>
    <xf numFmtId="166" fontId="0" fillId="0" borderId="4" xfId="0" applyNumberFormat="1" applyBorder="1"/>
    <xf numFmtId="10" fontId="0" fillId="0" borderId="0" xfId="0" applyNumberFormat="1"/>
    <xf numFmtId="43" fontId="0" fillId="0" borderId="0" xfId="3" applyFont="1"/>
    <xf numFmtId="166" fontId="0" fillId="13" borderId="0" xfId="0" quotePrefix="1" applyNumberFormat="1" applyFill="1"/>
    <xf numFmtId="166" fontId="0" fillId="13" borderId="0" xfId="0" applyNumberFormat="1" applyFill="1"/>
    <xf numFmtId="166" fontId="21" fillId="0" borderId="0" xfId="1" applyNumberFormat="1" applyFont="1"/>
    <xf numFmtId="0" fontId="2" fillId="0" borderId="27" xfId="0" applyFont="1" applyBorder="1"/>
    <xf numFmtId="14" fontId="0" fillId="0" borderId="0" xfId="0" applyNumberFormat="1" applyAlignment="1">
      <alignment horizontal="center"/>
    </xf>
    <xf numFmtId="0" fontId="0" fillId="0" borderId="0" xfId="0" quotePrefix="1"/>
    <xf numFmtId="171" fontId="0" fillId="0" borderId="0" xfId="2" applyNumberFormat="1" applyFont="1"/>
    <xf numFmtId="14" fontId="21" fillId="3" borderId="0" xfId="0" applyNumberFormat="1" applyFont="1" applyFill="1"/>
    <xf numFmtId="169" fontId="21" fillId="3" borderId="0" xfId="0" applyNumberFormat="1" applyFont="1" applyFill="1"/>
    <xf numFmtId="8" fontId="21" fillId="3" borderId="0" xfId="0" applyNumberFormat="1" applyFont="1" applyFill="1"/>
    <xf numFmtId="0" fontId="18" fillId="0" borderId="27" xfId="0" applyFont="1" applyBorder="1" applyAlignment="1">
      <alignment horizontal="center" vertical="center" wrapText="1"/>
    </xf>
    <xf numFmtId="166" fontId="0" fillId="0" borderId="4" xfId="0" applyNumberFormat="1" applyBorder="1" applyAlignment="1">
      <alignment horizontal="center"/>
    </xf>
    <xf numFmtId="14" fontId="0" fillId="12" borderId="0" xfId="0" applyNumberFormat="1" applyFill="1"/>
    <xf numFmtId="14" fontId="0" fillId="0" borderId="0" xfId="3" applyNumberFormat="1" applyFont="1"/>
    <xf numFmtId="0" fontId="1" fillId="0" borderId="4" xfId="13" applyBorder="1"/>
    <xf numFmtId="5" fontId="17" fillId="0" borderId="46" xfId="0" applyNumberFormat="1" applyFont="1" applyBorder="1" applyAlignment="1">
      <alignment horizontal="center" vertical="center"/>
    </xf>
    <xf numFmtId="44" fontId="1" fillId="0" borderId="0" xfId="13" applyNumberFormat="1"/>
    <xf numFmtId="5" fontId="0" fillId="0" borderId="0" xfId="0" applyNumberFormat="1"/>
    <xf numFmtId="6" fontId="25" fillId="0" borderId="46" xfId="0" applyNumberFormat="1" applyFont="1" applyBorder="1" applyAlignment="1">
      <alignment horizontal="center" vertical="center"/>
    </xf>
    <xf numFmtId="6" fontId="25" fillId="0" borderId="47" xfId="0" applyNumberFormat="1" applyFont="1" applyBorder="1" applyAlignment="1">
      <alignment horizontal="center" vertical="center"/>
    </xf>
    <xf numFmtId="9" fontId="0" fillId="8" borderId="0" xfId="0" applyNumberFormat="1" applyFill="1" applyAlignment="1">
      <alignment horizontal="center"/>
    </xf>
    <xf numFmtId="166" fontId="2" fillId="0" borderId="4" xfId="0" applyNumberFormat="1" applyFont="1" applyBorder="1" applyAlignment="1">
      <alignment horizontal="center"/>
    </xf>
    <xf numFmtId="10" fontId="1" fillId="0" borderId="0" xfId="2" applyNumberFormat="1" applyAlignment="1">
      <alignment horizontal="center"/>
    </xf>
    <xf numFmtId="171" fontId="1" fillId="0" borderId="0" xfId="2" applyNumberFormat="1" applyAlignment="1">
      <alignment horizontal="center"/>
    </xf>
    <xf numFmtId="166" fontId="0" fillId="14" borderId="0" xfId="0" applyNumberFormat="1" applyFill="1" applyAlignment="1">
      <alignment horizontal="center"/>
    </xf>
    <xf numFmtId="14" fontId="0" fillId="16" borderId="0" xfId="0" applyNumberFormat="1" applyFill="1" applyAlignment="1">
      <alignment horizontal="center"/>
    </xf>
    <xf numFmtId="10" fontId="1" fillId="15" borderId="0" xfId="2" applyNumberFormat="1" applyFill="1" applyAlignment="1">
      <alignment horizontal="center"/>
    </xf>
    <xf numFmtId="166" fontId="2" fillId="11" borderId="4" xfId="0" applyNumberFormat="1" applyFont="1" applyFill="1" applyBorder="1" applyAlignment="1">
      <alignment horizontal="center"/>
    </xf>
    <xf numFmtId="14" fontId="21" fillId="0" borderId="0" xfId="0" applyNumberFormat="1" applyFont="1" applyAlignment="1">
      <alignment horizontal="center"/>
    </xf>
    <xf numFmtId="0" fontId="25" fillId="0" borderId="45" xfId="0" applyFont="1" applyBorder="1" applyAlignment="1">
      <alignment horizontal="center" vertical="center"/>
    </xf>
    <xf numFmtId="167" fontId="25" fillId="0" borderId="45" xfId="0" applyNumberFormat="1" applyFont="1" applyBorder="1" applyAlignment="1">
      <alignment horizontal="center" vertical="center"/>
    </xf>
    <xf numFmtId="9" fontId="25" fillId="0" borderId="45" xfId="2" applyFont="1" applyBorder="1" applyAlignment="1">
      <alignment horizontal="center" vertical="center"/>
    </xf>
    <xf numFmtId="167" fontId="25" fillId="0" borderId="27" xfId="0" applyNumberFormat="1" applyFont="1" applyBorder="1" applyAlignment="1">
      <alignment horizontal="center" vertical="center"/>
    </xf>
    <xf numFmtId="10" fontId="18" fillId="0" borderId="45" xfId="2" applyNumberFormat="1" applyFont="1" applyBorder="1" applyAlignment="1">
      <alignment horizontal="center" vertical="center" wrapText="1"/>
    </xf>
    <xf numFmtId="171" fontId="25" fillId="0" borderId="45" xfId="2" applyNumberFormat="1" applyFont="1" applyBorder="1" applyAlignment="1">
      <alignment horizontal="center" vertical="center"/>
    </xf>
    <xf numFmtId="10" fontId="0" fillId="0" borderId="0" xfId="2" applyNumberFormat="1" applyFont="1" applyAlignment="1">
      <alignment horizontal="center"/>
    </xf>
    <xf numFmtId="37" fontId="0" fillId="0" borderId="0" xfId="3" applyNumberFormat="1" applyFont="1" applyAlignment="1">
      <alignment horizontal="center" vertical="center"/>
    </xf>
    <xf numFmtId="165" fontId="0" fillId="2" borderId="0" xfId="3" applyNumberFormat="1" applyFont="1" applyFill="1" applyAlignment="1">
      <alignment horizontal="center"/>
    </xf>
    <xf numFmtId="14" fontId="29" fillId="0" borderId="0" xfId="0" applyNumberFormat="1" applyFont="1"/>
    <xf numFmtId="170" fontId="29" fillId="0" borderId="0" xfId="3" applyNumberFormat="1" applyFont="1"/>
    <xf numFmtId="169" fontId="29" fillId="0" borderId="0" xfId="0" applyNumberFormat="1" applyFont="1"/>
    <xf numFmtId="8" fontId="29" fillId="0" borderId="0" xfId="0" applyNumberFormat="1" applyFont="1"/>
    <xf numFmtId="0" fontId="30" fillId="0" borderId="0" xfId="0" applyFont="1"/>
    <xf numFmtId="14" fontId="0" fillId="0" borderId="27" xfId="0" applyNumberFormat="1" applyBorder="1" applyAlignment="1">
      <alignment horizontal="center"/>
    </xf>
    <xf numFmtId="0" fontId="2" fillId="0" borderId="50" xfId="0" applyFont="1" applyBorder="1"/>
    <xf numFmtId="0" fontId="0" fillId="0" borderId="51" xfId="0" applyBorder="1" applyAlignment="1">
      <alignment horizontal="center"/>
    </xf>
    <xf numFmtId="0" fontId="2" fillId="0" borderId="52" xfId="0" applyFont="1" applyBorder="1"/>
    <xf numFmtId="166" fontId="0" fillId="0" borderId="53" xfId="0" applyNumberFormat="1" applyBorder="1" applyAlignment="1">
      <alignment horizontal="center"/>
    </xf>
    <xf numFmtId="166" fontId="0" fillId="3" borderId="53" xfId="0" applyNumberFormat="1" applyFill="1" applyBorder="1" applyAlignment="1">
      <alignment horizontal="center"/>
    </xf>
    <xf numFmtId="0" fontId="0" fillId="0" borderId="53" xfId="0" applyBorder="1" applyAlignment="1">
      <alignment horizontal="center"/>
    </xf>
    <xf numFmtId="0" fontId="2" fillId="0" borderId="54" xfId="0" applyFont="1" applyBorder="1"/>
    <xf numFmtId="166" fontId="0" fillId="0" borderId="40" xfId="0" applyNumberFormat="1" applyBorder="1" applyAlignment="1">
      <alignment horizontal="center"/>
    </xf>
    <xf numFmtId="0" fontId="0" fillId="0" borderId="40" xfId="0" applyBorder="1"/>
    <xf numFmtId="0" fontId="0" fillId="0" borderId="55" xfId="0" applyBorder="1"/>
    <xf numFmtId="44" fontId="21" fillId="0" borderId="0" xfId="1" applyFont="1"/>
    <xf numFmtId="44" fontId="0" fillId="0" borderId="0" xfId="6" applyFont="1"/>
    <xf numFmtId="172" fontId="0" fillId="0" borderId="27" xfId="1" applyNumberFormat="1" applyFont="1" applyBorder="1"/>
    <xf numFmtId="9" fontId="0" fillId="0" borderId="27" xfId="0" applyNumberFormat="1" applyBorder="1"/>
    <xf numFmtId="0" fontId="0" fillId="0" borderId="27" xfId="0" applyBorder="1" applyAlignment="1">
      <alignment horizontal="center"/>
    </xf>
    <xf numFmtId="0" fontId="0" fillId="0" borderId="7" xfId="1" applyNumberFormat="1" applyFont="1" applyBorder="1"/>
    <xf numFmtId="44" fontId="10" fillId="2" borderId="0" xfId="1" applyFont="1" applyFill="1" applyBorder="1"/>
    <xf numFmtId="44" fontId="0" fillId="2" borderId="0" xfId="1" applyFont="1" applyFill="1" applyBorder="1"/>
    <xf numFmtId="44" fontId="2" fillId="0" borderId="37" xfId="0" applyNumberFormat="1" applyFont="1" applyBorder="1"/>
    <xf numFmtId="44" fontId="2" fillId="0" borderId="0" xfId="1" applyFont="1" applyBorder="1"/>
    <xf numFmtId="44" fontId="2" fillId="0" borderId="7" xfId="0" applyNumberFormat="1" applyFont="1" applyBorder="1"/>
    <xf numFmtId="0" fontId="2" fillId="0" borderId="10" xfId="0" applyFont="1" applyBorder="1" applyAlignment="1">
      <alignment horizontal="center"/>
    </xf>
    <xf numFmtId="44" fontId="10" fillId="2" borderId="0" xfId="1" applyFont="1" applyFill="1" applyBorder="1" applyAlignment="1">
      <alignment horizontal="center"/>
    </xf>
    <xf numFmtId="44" fontId="4" fillId="2" borderId="0" xfId="1" applyFont="1" applyFill="1" applyBorder="1" applyAlignment="1">
      <alignment horizontal="left"/>
    </xf>
    <xf numFmtId="44" fontId="4" fillId="0" borderId="0" xfId="1" applyFont="1" applyBorder="1" applyAlignment="1">
      <alignment horizontal="left"/>
    </xf>
    <xf numFmtId="44" fontId="2" fillId="0" borderId="5" xfId="0" applyNumberFormat="1" applyFont="1" applyBorder="1"/>
    <xf numFmtId="44" fontId="2" fillId="0" borderId="5" xfId="1" applyFont="1" applyBorder="1"/>
    <xf numFmtId="0" fontId="2" fillId="0" borderId="59" xfId="0" applyFont="1" applyBorder="1" applyAlignment="1">
      <alignment horizontal="center"/>
    </xf>
    <xf numFmtId="10" fontId="0" fillId="0" borderId="41" xfId="2" applyNumberFormat="1" applyFont="1" applyBorder="1"/>
    <xf numFmtId="0" fontId="0" fillId="6" borderId="11" xfId="0" applyFill="1" applyBorder="1"/>
    <xf numFmtId="0" fontId="0" fillId="6" borderId="0" xfId="0" applyFill="1"/>
    <xf numFmtId="0" fontId="0" fillId="6" borderId="12" xfId="0" applyFill="1" applyBorder="1"/>
    <xf numFmtId="43" fontId="0" fillId="6" borderId="0" xfId="0" applyNumberFormat="1" applyFill="1"/>
    <xf numFmtId="43" fontId="0" fillId="6" borderId="7" xfId="0" applyNumberFormat="1" applyFill="1" applyBorder="1"/>
    <xf numFmtId="165" fontId="0" fillId="6" borderId="0" xfId="3" applyNumberFormat="1" applyFont="1" applyFill="1" applyBorder="1"/>
    <xf numFmtId="165" fontId="0" fillId="6" borderId="0" xfId="0" applyNumberFormat="1" applyFill="1"/>
    <xf numFmtId="165" fontId="0" fillId="6" borderId="7" xfId="0" applyNumberFormat="1" applyFill="1" applyBorder="1"/>
    <xf numFmtId="165" fontId="0" fillId="6" borderId="7" xfId="3" applyNumberFormat="1" applyFont="1" applyFill="1" applyBorder="1"/>
    <xf numFmtId="0" fontId="0" fillId="6" borderId="13" xfId="0" applyFill="1" applyBorder="1"/>
    <xf numFmtId="165" fontId="0" fillId="6" borderId="14" xfId="3" applyNumberFormat="1" applyFont="1" applyFill="1" applyBorder="1"/>
    <xf numFmtId="0" fontId="0" fillId="6" borderId="14" xfId="0" applyFill="1" applyBorder="1"/>
    <xf numFmtId="0" fontId="0" fillId="6" borderId="15" xfId="0" applyFill="1" applyBorder="1"/>
    <xf numFmtId="8" fontId="0" fillId="3" borderId="0" xfId="0" applyNumberFormat="1" applyFill="1"/>
    <xf numFmtId="44" fontId="33" fillId="20" borderId="0" xfId="0" applyNumberFormat="1" applyFont="1" applyFill="1"/>
    <xf numFmtId="0" fontId="33" fillId="20" borderId="0" xfId="0" applyFont="1" applyFill="1"/>
    <xf numFmtId="0" fontId="0" fillId="20" borderId="27" xfId="0" applyFill="1" applyBorder="1" applyAlignment="1">
      <alignment horizontal="center" vertical="top" wrapText="1"/>
    </xf>
    <xf numFmtId="166" fontId="0" fillId="20" borderId="27" xfId="0" applyNumberFormat="1" applyFill="1" applyBorder="1" applyAlignment="1">
      <alignment horizontal="center" vertical="top" wrapText="1"/>
    </xf>
    <xf numFmtId="167" fontId="0" fillId="20" borderId="27" xfId="0" applyNumberFormat="1" applyFill="1" applyBorder="1" applyAlignment="1">
      <alignment horizontal="center" vertical="top" wrapText="1"/>
    </xf>
    <xf numFmtId="9" fontId="0" fillId="20" borderId="27" xfId="2" applyFont="1" applyFill="1" applyBorder="1" applyAlignment="1">
      <alignment horizontal="center" vertical="top" wrapText="1"/>
    </xf>
    <xf numFmtId="0" fontId="0" fillId="20" borderId="27" xfId="0" applyFill="1" applyBorder="1" applyAlignment="1">
      <alignment horizontal="center" vertical="center" wrapText="1"/>
    </xf>
    <xf numFmtId="14" fontId="0" fillId="0" borderId="27" xfId="0" applyNumberFormat="1" applyBorder="1"/>
    <xf numFmtId="0" fontId="2" fillId="10" borderId="27" xfId="0" applyFont="1" applyFill="1" applyBorder="1" applyAlignment="1">
      <alignment horizontal="right"/>
    </xf>
    <xf numFmtId="172" fontId="0" fillId="20" borderId="27" xfId="1" applyNumberFormat="1" applyFont="1" applyFill="1" applyBorder="1"/>
    <xf numFmtId="0" fontId="2" fillId="10" borderId="27" xfId="0" applyFont="1" applyFill="1" applyBorder="1" applyAlignment="1">
      <alignment horizontal="center"/>
    </xf>
    <xf numFmtId="0" fontId="2" fillId="10" borderId="27" xfId="0" applyFont="1" applyFill="1" applyBorder="1"/>
    <xf numFmtId="0" fontId="2" fillId="10" borderId="45" xfId="0" applyFont="1" applyFill="1" applyBorder="1"/>
    <xf numFmtId="0" fontId="0" fillId="20" borderId="44" xfId="0" applyFill="1" applyBorder="1"/>
    <xf numFmtId="165" fontId="0" fillId="20" borderId="0" xfId="3" applyNumberFormat="1" applyFont="1" applyFill="1" applyBorder="1"/>
    <xf numFmtId="165" fontId="0" fillId="21" borderId="0" xfId="3" applyNumberFormat="1" applyFont="1" applyFill="1" applyBorder="1"/>
    <xf numFmtId="9" fontId="0" fillId="21" borderId="0" xfId="0" applyNumberFormat="1" applyFill="1"/>
    <xf numFmtId="9" fontId="0" fillId="21" borderId="14" xfId="0" applyNumberFormat="1" applyFill="1" applyBorder="1"/>
    <xf numFmtId="165" fontId="0" fillId="21" borderId="14" xfId="3" applyNumberFormat="1" applyFont="1" applyFill="1" applyBorder="1"/>
    <xf numFmtId="0" fontId="2" fillId="4" borderId="27" xfId="0" applyFont="1" applyFill="1" applyBorder="1"/>
    <xf numFmtId="0" fontId="0" fillId="6" borderId="32" xfId="0" applyFill="1" applyBorder="1"/>
    <xf numFmtId="0" fontId="0" fillId="0" borderId="67" xfId="0" applyBorder="1"/>
    <xf numFmtId="0" fontId="0" fillId="0" borderId="27" xfId="0" quotePrefix="1" applyBorder="1" applyAlignment="1">
      <alignment horizontal="right"/>
    </xf>
    <xf numFmtId="0" fontId="0" fillId="6" borderId="39" xfId="0" applyFill="1" applyBorder="1"/>
    <xf numFmtId="0" fontId="0" fillId="6" borderId="34" xfId="0" applyFill="1" applyBorder="1"/>
    <xf numFmtId="9" fontId="0" fillId="6" borderId="0" xfId="0" applyNumberFormat="1" applyFill="1"/>
    <xf numFmtId="0" fontId="0" fillId="6" borderId="69" xfId="0" applyFill="1" applyBorder="1"/>
    <xf numFmtId="0" fontId="21" fillId="0" borderId="27" xfId="0" applyFont="1" applyBorder="1" applyAlignment="1">
      <alignment wrapText="1"/>
    </xf>
    <xf numFmtId="0" fontId="21" fillId="0" borderId="27" xfId="0" applyFont="1" applyBorder="1"/>
    <xf numFmtId="44" fontId="2" fillId="0" borderId="58" xfId="0" applyNumberFormat="1" applyFont="1" applyBorder="1"/>
    <xf numFmtId="0" fontId="0" fillId="0" borderId="2" xfId="0" applyBorder="1"/>
    <xf numFmtId="0" fontId="2" fillId="0" borderId="4" xfId="0" applyFont="1" applyBorder="1"/>
    <xf numFmtId="0" fontId="2" fillId="0" borderId="0" xfId="0" applyFont="1" applyAlignment="1">
      <alignment horizontal="left"/>
    </xf>
    <xf numFmtId="0" fontId="2" fillId="0" borderId="8" xfId="0" applyFont="1" applyBorder="1" applyAlignment="1">
      <alignment horizontal="left"/>
    </xf>
    <xf numFmtId="10" fontId="2" fillId="0" borderId="0" xfId="2" applyNumberFormat="1" applyFont="1" applyFill="1"/>
    <xf numFmtId="14" fontId="0" fillId="0" borderId="27" xfId="0" applyNumberFormat="1" applyBorder="1" applyAlignment="1">
      <alignment horizontal="center" vertical="center"/>
    </xf>
    <xf numFmtId="0" fontId="0" fillId="0" borderId="27" xfId="0" applyBorder="1" applyAlignment="1">
      <alignment horizontal="center" vertical="center"/>
    </xf>
    <xf numFmtId="174" fontId="0" fillId="20" borderId="14" xfId="1" applyNumberFormat="1" applyFont="1" applyFill="1" applyBorder="1"/>
    <xf numFmtId="174" fontId="0" fillId="20" borderId="36" xfId="0" applyNumberFormat="1" applyFill="1" applyBorder="1"/>
    <xf numFmtId="0" fontId="0" fillId="7" borderId="31" xfId="0" applyFill="1" applyBorder="1"/>
    <xf numFmtId="174" fontId="0" fillId="7" borderId="35" xfId="0" applyNumberFormat="1" applyFill="1" applyBorder="1"/>
    <xf numFmtId="10" fontId="0" fillId="0" borderId="67" xfId="2" applyNumberFormat="1" applyFont="1" applyBorder="1"/>
    <xf numFmtId="0" fontId="0" fillId="19" borderId="60" xfId="0" applyFill="1" applyBorder="1" applyAlignment="1">
      <alignment horizontal="centerContinuous"/>
    </xf>
    <xf numFmtId="0" fontId="0" fillId="19" borderId="61" xfId="0" applyFill="1" applyBorder="1" applyAlignment="1">
      <alignment horizontal="centerContinuous"/>
    </xf>
    <xf numFmtId="0" fontId="0" fillId="19" borderId="62" xfId="0" applyFill="1" applyBorder="1" applyAlignment="1">
      <alignment horizontal="centerContinuous"/>
    </xf>
    <xf numFmtId="0" fontId="0" fillId="19" borderId="63" xfId="0" applyFill="1" applyBorder="1" applyAlignment="1">
      <alignment horizontal="centerContinuous"/>
    </xf>
    <xf numFmtId="0" fontId="0" fillId="19" borderId="28" xfId="0" applyFill="1" applyBorder="1" applyAlignment="1">
      <alignment horizontal="centerContinuous"/>
    </xf>
    <xf numFmtId="0" fontId="0" fillId="19" borderId="29" xfId="0" applyFill="1" applyBorder="1" applyAlignment="1">
      <alignment horizontal="centerContinuous"/>
    </xf>
    <xf numFmtId="0" fontId="0" fillId="19" borderId="30" xfId="0" applyFill="1" applyBorder="1" applyAlignment="1">
      <alignment horizontal="centerContinuous"/>
    </xf>
    <xf numFmtId="0" fontId="0" fillId="6" borderId="0" xfId="0" applyFill="1" applyAlignment="1">
      <alignment horizontal="right"/>
    </xf>
    <xf numFmtId="0" fontId="0" fillId="6" borderId="0" xfId="0" applyFill="1" applyAlignment="1">
      <alignment horizontal="center"/>
    </xf>
    <xf numFmtId="0" fontId="0" fillId="6" borderId="27" xfId="0" applyFill="1" applyBorder="1"/>
    <xf numFmtId="172" fontId="0" fillId="6" borderId="0" xfId="1" applyNumberFormat="1" applyFont="1" applyFill="1" applyBorder="1"/>
    <xf numFmtId="171" fontId="0" fillId="6" borderId="0" xfId="2" applyNumberFormat="1" applyFont="1" applyFill="1"/>
    <xf numFmtId="172" fontId="0" fillId="6" borderId="0" xfId="1" applyNumberFormat="1" applyFont="1" applyFill="1"/>
    <xf numFmtId="167" fontId="0" fillId="6" borderId="0" xfId="0" applyNumberFormat="1" applyFill="1"/>
    <xf numFmtId="171" fontId="0" fillId="6" borderId="0" xfId="2" applyNumberFormat="1" applyFont="1" applyFill="1" applyBorder="1"/>
    <xf numFmtId="9" fontId="0" fillId="6" borderId="0" xfId="2" applyFont="1" applyFill="1" applyBorder="1"/>
    <xf numFmtId="10" fontId="0" fillId="6" borderId="0" xfId="2" applyNumberFormat="1" applyFont="1" applyFill="1"/>
    <xf numFmtId="0" fontId="2" fillId="6" borderId="0" xfId="0" applyFont="1" applyFill="1"/>
    <xf numFmtId="167" fontId="2" fillId="6" borderId="0" xfId="0" applyNumberFormat="1" applyFont="1" applyFill="1"/>
    <xf numFmtId="167" fontId="0" fillId="6" borderId="0" xfId="0" applyNumberFormat="1" applyFill="1" applyAlignment="1">
      <alignment horizontal="right" vertical="center"/>
    </xf>
    <xf numFmtId="167" fontId="2" fillId="6" borderId="0" xfId="0" applyNumberFormat="1" applyFont="1" applyFill="1" applyAlignment="1">
      <alignment horizontal="right" vertical="center"/>
    </xf>
    <xf numFmtId="166" fontId="2" fillId="6" borderId="0" xfId="0" applyNumberFormat="1" applyFont="1" applyFill="1" applyAlignment="1">
      <alignment horizontal="right" vertical="center"/>
    </xf>
    <xf numFmtId="43" fontId="2" fillId="6" borderId="0" xfId="3" applyFont="1" applyFill="1" applyBorder="1" applyAlignment="1">
      <alignment horizontal="right" vertical="center"/>
    </xf>
    <xf numFmtId="166" fontId="0" fillId="6" borderId="0" xfId="0" applyNumberFormat="1" applyFill="1"/>
    <xf numFmtId="10" fontId="0" fillId="6" borderId="0" xfId="2" applyNumberFormat="1" applyFont="1" applyFill="1" applyBorder="1"/>
    <xf numFmtId="172" fontId="0" fillId="6" borderId="0" xfId="0" applyNumberFormat="1" applyFill="1"/>
    <xf numFmtId="44" fontId="0" fillId="6" borderId="0" xfId="0" applyNumberFormat="1" applyFill="1"/>
    <xf numFmtId="0" fontId="0" fillId="6" borderId="68" xfId="0" applyFill="1" applyBorder="1"/>
    <xf numFmtId="0" fontId="32" fillId="6" borderId="0" xfId="0" applyFont="1" applyFill="1"/>
    <xf numFmtId="44" fontId="32" fillId="6" borderId="0" xfId="0" applyNumberFormat="1" applyFont="1" applyFill="1"/>
    <xf numFmtId="174" fontId="0" fillId="6" borderId="0" xfId="0" applyNumberFormat="1" applyFill="1"/>
    <xf numFmtId="172" fontId="32" fillId="6" borderId="0" xfId="0" applyNumberFormat="1" applyFont="1" applyFill="1"/>
    <xf numFmtId="0" fontId="2" fillId="6" borderId="0" xfId="0" applyFont="1" applyFill="1" applyAlignment="1">
      <alignment horizontal="center"/>
    </xf>
    <xf numFmtId="0" fontId="0" fillId="6" borderId="4" xfId="0" applyFill="1" applyBorder="1"/>
    <xf numFmtId="0" fontId="0" fillId="6" borderId="63" xfId="0" applyFill="1" applyBorder="1" applyAlignment="1">
      <alignment horizontal="centerContinuous"/>
    </xf>
    <xf numFmtId="44" fontId="0" fillId="6" borderId="5" xfId="1" applyFont="1" applyFill="1" applyBorder="1"/>
    <xf numFmtId="44" fontId="0" fillId="6" borderId="0" xfId="1" applyFont="1" applyFill="1"/>
    <xf numFmtId="44" fontId="0" fillId="6" borderId="0" xfId="1" quotePrefix="1" applyFont="1" applyFill="1" applyAlignment="1">
      <alignment horizontal="right"/>
    </xf>
    <xf numFmtId="44" fontId="0" fillId="6" borderId="0" xfId="1" applyFont="1" applyFill="1" applyBorder="1"/>
    <xf numFmtId="165" fontId="0" fillId="6" borderId="41" xfId="3" applyNumberFormat="1" applyFont="1" applyFill="1" applyBorder="1"/>
    <xf numFmtId="164" fontId="0" fillId="6" borderId="0" xfId="2" applyNumberFormat="1" applyFont="1" applyFill="1"/>
    <xf numFmtId="0" fontId="2" fillId="6" borderId="0" xfId="0" applyFont="1" applyFill="1" applyAlignment="1">
      <alignment horizontal="right"/>
    </xf>
    <xf numFmtId="0" fontId="0" fillId="6" borderId="27" xfId="0" applyFill="1" applyBorder="1" applyAlignment="1">
      <alignment horizontal="center" vertical="top" wrapText="1"/>
    </xf>
    <xf numFmtId="14" fontId="0" fillId="6" borderId="27" xfId="0" applyNumberFormat="1" applyFill="1" applyBorder="1" applyAlignment="1">
      <alignment vertical="top" wrapText="1"/>
    </xf>
    <xf numFmtId="0" fontId="0" fillId="6" borderId="27" xfId="0" applyFill="1" applyBorder="1" applyAlignment="1">
      <alignment vertical="top" wrapText="1"/>
    </xf>
    <xf numFmtId="0" fontId="0" fillId="6" borderId="27" xfId="0" applyFill="1" applyBorder="1" applyAlignment="1">
      <alignment horizontal="left" vertical="top" wrapText="1"/>
    </xf>
    <xf numFmtId="166" fontId="0" fillId="6" borderId="27" xfId="0" applyNumberFormat="1" applyFill="1" applyBorder="1" applyAlignment="1">
      <alignment vertical="top" wrapText="1"/>
    </xf>
    <xf numFmtId="167" fontId="0" fillId="6" borderId="27" xfId="0" applyNumberFormat="1" applyFill="1" applyBorder="1" applyAlignment="1">
      <alignment horizontal="right" vertical="top" wrapText="1"/>
    </xf>
    <xf numFmtId="9" fontId="0" fillId="6" borderId="27" xfId="0" applyNumberFormat="1" applyFill="1" applyBorder="1" applyAlignment="1">
      <alignment horizontal="right" vertical="top" wrapText="1"/>
    </xf>
    <xf numFmtId="9" fontId="0" fillId="6" borderId="27" xfId="2" applyFont="1" applyFill="1" applyBorder="1" applyAlignment="1">
      <alignment horizontal="right" vertical="top" wrapText="1"/>
    </xf>
    <xf numFmtId="173" fontId="0" fillId="6" borderId="27" xfId="0" applyNumberFormat="1" applyFill="1" applyBorder="1" applyAlignment="1">
      <alignment horizontal="right" vertical="top" wrapText="1"/>
    </xf>
    <xf numFmtId="15" fontId="0" fillId="6" borderId="27" xfId="0" applyNumberFormat="1" applyFill="1" applyBorder="1" applyAlignment="1">
      <alignment vertical="top" wrapText="1"/>
    </xf>
    <xf numFmtId="14" fontId="0" fillId="6" borderId="27" xfId="0" applyNumberFormat="1" applyFill="1" applyBorder="1" applyAlignment="1">
      <alignment horizontal="center" vertical="top" wrapText="1"/>
    </xf>
    <xf numFmtId="14" fontId="0" fillId="6" borderId="27" xfId="0" applyNumberFormat="1" applyFill="1" applyBorder="1" applyAlignment="1">
      <alignment horizontal="center" vertical="center" wrapText="1"/>
    </xf>
    <xf numFmtId="0" fontId="34" fillId="0" borderId="27" xfId="0" applyFont="1" applyBorder="1" applyAlignment="1">
      <alignment horizontal="center" vertical="center"/>
    </xf>
    <xf numFmtId="9" fontId="2" fillId="6" borderId="0" xfId="0" applyNumberFormat="1" applyFont="1" applyFill="1" applyAlignment="1">
      <alignment horizontal="center"/>
    </xf>
    <xf numFmtId="6" fontId="10" fillId="2" borderId="0" xfId="1" applyNumberFormat="1" applyFont="1" applyFill="1" applyBorder="1" applyAlignment="1">
      <alignment horizontal="center"/>
    </xf>
    <xf numFmtId="8" fontId="0" fillId="0" borderId="0" xfId="0" applyNumberFormat="1" applyAlignment="1">
      <alignment horizontal="center"/>
    </xf>
    <xf numFmtId="44" fontId="9" fillId="0" borderId="0" xfId="0" applyNumberFormat="1" applyFont="1"/>
    <xf numFmtId="0" fontId="35" fillId="6" borderId="0" xfId="0" applyFont="1" applyFill="1" applyAlignment="1">
      <alignment horizontal="right"/>
    </xf>
    <xf numFmtId="0" fontId="35" fillId="6" borderId="0" xfId="0" applyFont="1" applyFill="1"/>
    <xf numFmtId="0" fontId="35" fillId="6" borderId="0" xfId="0" applyFont="1" applyFill="1" applyAlignment="1">
      <alignment horizontal="center" wrapText="1"/>
    </xf>
    <xf numFmtId="0" fontId="35" fillId="6" borderId="0" xfId="0" applyFont="1" applyFill="1" applyAlignment="1">
      <alignment horizontal="center"/>
    </xf>
    <xf numFmtId="0" fontId="35" fillId="6" borderId="27" xfId="0" applyFont="1" applyFill="1" applyBorder="1" applyAlignment="1">
      <alignment horizontal="center"/>
    </xf>
    <xf numFmtId="0" fontId="35" fillId="6" borderId="27" xfId="0" applyFont="1" applyFill="1" applyBorder="1"/>
    <xf numFmtId="9" fontId="35" fillId="6" borderId="27" xfId="2" applyFont="1" applyFill="1" applyBorder="1"/>
    <xf numFmtId="172" fontId="35" fillId="6" borderId="0" xfId="1" applyNumberFormat="1" applyFont="1" applyFill="1" applyBorder="1"/>
    <xf numFmtId="171" fontId="35" fillId="6" borderId="0" xfId="2" applyNumberFormat="1" applyFont="1" applyFill="1"/>
    <xf numFmtId="9" fontId="35" fillId="6" borderId="0" xfId="2" applyFont="1" applyFill="1" applyBorder="1"/>
    <xf numFmtId="0" fontId="36" fillId="6" borderId="1" xfId="0" applyFont="1" applyFill="1" applyBorder="1"/>
    <xf numFmtId="0" fontId="35" fillId="6" borderId="1" xfId="0" applyFont="1" applyFill="1" applyBorder="1"/>
    <xf numFmtId="167" fontId="35" fillId="6" borderId="0" xfId="0" applyNumberFormat="1" applyFont="1" applyFill="1"/>
    <xf numFmtId="0" fontId="35" fillId="6" borderId="32" xfId="0" applyFont="1" applyFill="1" applyBorder="1"/>
    <xf numFmtId="167" fontId="35" fillId="6" borderId="34" xfId="0" applyNumberFormat="1" applyFont="1" applyFill="1" applyBorder="1"/>
    <xf numFmtId="9" fontId="35" fillId="6" borderId="0" xfId="0" applyNumberFormat="1" applyFont="1" applyFill="1"/>
    <xf numFmtId="172" fontId="35" fillId="6" borderId="0" xfId="0" applyNumberFormat="1" applyFont="1" applyFill="1"/>
    <xf numFmtId="0" fontId="35" fillId="6" borderId="11" xfId="0" applyFont="1" applyFill="1" applyBorder="1"/>
    <xf numFmtId="167" fontId="35" fillId="6" borderId="12" xfId="0" applyNumberFormat="1" applyFont="1" applyFill="1" applyBorder="1"/>
    <xf numFmtId="167" fontId="35" fillId="6" borderId="0" xfId="1" applyNumberFormat="1" applyFont="1" applyFill="1"/>
    <xf numFmtId="6" fontId="35" fillId="0" borderId="0" xfId="0" applyNumberFormat="1" applyFont="1"/>
    <xf numFmtId="6" fontId="35" fillId="6" borderId="0" xfId="0" applyNumberFormat="1" applyFont="1" applyFill="1"/>
    <xf numFmtId="172" fontId="35" fillId="6" borderId="0" xfId="1" applyNumberFormat="1" applyFont="1" applyFill="1"/>
    <xf numFmtId="0" fontId="35" fillId="6" borderId="13" xfId="0" applyFont="1" applyFill="1" applyBorder="1"/>
    <xf numFmtId="167" fontId="35" fillId="6" borderId="15" xfId="0" applyNumberFormat="1" applyFont="1" applyFill="1" applyBorder="1"/>
    <xf numFmtId="0" fontId="35" fillId="18" borderId="49" xfId="0" applyFont="1" applyFill="1" applyBorder="1"/>
    <xf numFmtId="166" fontId="35" fillId="18" borderId="50" xfId="0" applyNumberFormat="1" applyFont="1" applyFill="1" applyBorder="1" applyAlignment="1">
      <alignment horizontal="center"/>
    </xf>
    <xf numFmtId="0" fontId="35" fillId="18" borderId="50" xfId="0" applyFont="1" applyFill="1" applyBorder="1"/>
    <xf numFmtId="0" fontId="35" fillId="18" borderId="51" xfId="0" applyFont="1" applyFill="1" applyBorder="1"/>
    <xf numFmtId="8" fontId="35" fillId="6" borderId="0" xfId="0" applyNumberFormat="1" applyFont="1" applyFill="1"/>
    <xf numFmtId="0" fontId="35" fillId="18" borderId="52" xfId="0" applyFont="1" applyFill="1" applyBorder="1"/>
    <xf numFmtId="167" fontId="35" fillId="6" borderId="27" xfId="1" applyNumberFormat="1" applyFont="1" applyFill="1" applyBorder="1"/>
    <xf numFmtId="167" fontId="35" fillId="6" borderId="53" xfId="1" applyNumberFormat="1" applyFont="1" applyFill="1" applyBorder="1"/>
    <xf numFmtId="171" fontId="35" fillId="6" borderId="0" xfId="2" applyNumberFormat="1" applyFont="1" applyFill="1" applyBorder="1"/>
    <xf numFmtId="9" fontId="35" fillId="6" borderId="27" xfId="0" applyNumberFormat="1" applyFont="1" applyFill="1" applyBorder="1"/>
    <xf numFmtId="9" fontId="35" fillId="6" borderId="53" xfId="0" applyNumberFormat="1" applyFont="1" applyFill="1" applyBorder="1"/>
    <xf numFmtId="14" fontId="35" fillId="6" borderId="0" xfId="2" applyNumberFormat="1" applyFont="1" applyFill="1" applyBorder="1"/>
    <xf numFmtId="0" fontId="35" fillId="6" borderId="53" xfId="0" applyFont="1" applyFill="1" applyBorder="1" applyAlignment="1">
      <alignment horizontal="center"/>
    </xf>
    <xf numFmtId="171" fontId="35" fillId="6" borderId="0" xfId="0" applyNumberFormat="1" applyFont="1" applyFill="1"/>
    <xf numFmtId="171" fontId="35" fillId="6" borderId="27" xfId="2" applyNumberFormat="1" applyFont="1" applyFill="1" applyBorder="1"/>
    <xf numFmtId="171" fontId="35" fillId="6" borderId="53" xfId="2" applyNumberFormat="1" applyFont="1" applyFill="1" applyBorder="1"/>
    <xf numFmtId="0" fontId="35" fillId="18" borderId="56" xfId="0" applyFont="1" applyFill="1" applyBorder="1"/>
    <xf numFmtId="171" fontId="35" fillId="6" borderId="45" xfId="2" applyNumberFormat="1" applyFont="1" applyFill="1" applyBorder="1"/>
    <xf numFmtId="0" fontId="35" fillId="6" borderId="45" xfId="0" applyFont="1" applyFill="1" applyBorder="1"/>
    <xf numFmtId="171" fontId="35" fillId="6" borderId="57" xfId="2" applyNumberFormat="1" applyFont="1" applyFill="1" applyBorder="1"/>
    <xf numFmtId="0" fontId="35" fillId="18" borderId="54" xfId="0" applyFont="1" applyFill="1" applyBorder="1"/>
    <xf numFmtId="0" fontId="35" fillId="6" borderId="40" xfId="0" applyFont="1" applyFill="1" applyBorder="1"/>
    <xf numFmtId="171" fontId="35" fillId="6" borderId="55" xfId="2" applyNumberFormat="1" applyFont="1" applyFill="1" applyBorder="1"/>
    <xf numFmtId="171" fontId="35" fillId="6" borderId="34" xfId="0" applyNumberFormat="1" applyFont="1" applyFill="1" applyBorder="1"/>
    <xf numFmtId="0" fontId="35" fillId="18" borderId="64" xfId="0" applyFont="1" applyFill="1" applyBorder="1"/>
    <xf numFmtId="9" fontId="35" fillId="6" borderId="65" xfId="2" applyFont="1" applyFill="1" applyBorder="1"/>
    <xf numFmtId="0" fontId="35" fillId="18" borderId="65" xfId="0" applyFont="1" applyFill="1" applyBorder="1"/>
    <xf numFmtId="9" fontId="35" fillId="6" borderId="40" xfId="2" applyFont="1" applyFill="1" applyBorder="1"/>
    <xf numFmtId="0" fontId="35" fillId="18" borderId="40" xfId="0" applyFont="1" applyFill="1" applyBorder="1"/>
    <xf numFmtId="0" fontId="36" fillId="6" borderId="0" xfId="0" applyFont="1" applyFill="1"/>
    <xf numFmtId="0" fontId="37" fillId="6" borderId="0" xfId="0" applyFont="1" applyFill="1"/>
    <xf numFmtId="10" fontId="37" fillId="6" borderId="0" xfId="2" applyNumberFormat="1" applyFont="1" applyFill="1" applyBorder="1"/>
    <xf numFmtId="166" fontId="37" fillId="6" borderId="0" xfId="0" applyNumberFormat="1" applyFont="1" applyFill="1"/>
    <xf numFmtId="44" fontId="37" fillId="6" borderId="0" xfId="1" applyFont="1" applyFill="1" applyBorder="1" applyAlignment="1">
      <alignment horizontal="center" vertical="center"/>
    </xf>
    <xf numFmtId="16" fontId="37" fillId="6" borderId="0" xfId="0" applyNumberFormat="1" applyFont="1" applyFill="1"/>
    <xf numFmtId="175" fontId="37" fillId="6" borderId="0" xfId="0" applyNumberFormat="1" applyFont="1" applyFill="1"/>
    <xf numFmtId="9" fontId="37" fillId="6" borderId="0" xfId="2" applyFont="1" applyFill="1" applyBorder="1"/>
    <xf numFmtId="6" fontId="35" fillId="6" borderId="0" xfId="1" applyNumberFormat="1" applyFont="1" applyFill="1" applyBorder="1"/>
    <xf numFmtId="0" fontId="36" fillId="6" borderId="1" xfId="0" applyFont="1" applyFill="1" applyBorder="1" applyAlignment="1">
      <alignment horizontal="centerContinuous"/>
    </xf>
    <xf numFmtId="0" fontId="35" fillId="6" borderId="1" xfId="0" applyFont="1" applyFill="1" applyBorder="1" applyAlignment="1">
      <alignment horizontal="centerContinuous"/>
    </xf>
    <xf numFmtId="0" fontId="37" fillId="6" borderId="1" xfId="0" applyFont="1" applyFill="1" applyBorder="1" applyAlignment="1">
      <alignment horizontal="centerContinuous"/>
    </xf>
    <xf numFmtId="9" fontId="36" fillId="6" borderId="1" xfId="2" applyFont="1" applyFill="1" applyBorder="1" applyAlignment="1">
      <alignment horizontal="centerContinuous"/>
    </xf>
    <xf numFmtId="9" fontId="37" fillId="6" borderId="1" xfId="2" applyFont="1" applyFill="1" applyBorder="1" applyAlignment="1">
      <alignment horizontal="centerContinuous"/>
    </xf>
    <xf numFmtId="0" fontId="35" fillId="21" borderId="1" xfId="0" applyFont="1" applyFill="1" applyBorder="1"/>
    <xf numFmtId="6" fontId="35" fillId="21" borderId="1" xfId="0" applyNumberFormat="1" applyFont="1" applyFill="1" applyBorder="1"/>
    <xf numFmtId="6" fontId="35" fillId="6" borderId="1" xfId="0" applyNumberFormat="1" applyFont="1" applyFill="1" applyBorder="1"/>
    <xf numFmtId="0" fontId="35" fillId="6" borderId="0" xfId="0" applyFont="1" applyFill="1" applyAlignment="1">
      <alignment horizontal="left"/>
    </xf>
    <xf numFmtId="0" fontId="37" fillId="6" borderId="0" xfId="0" applyFont="1" applyFill="1" applyAlignment="1">
      <alignment horizontal="left"/>
    </xf>
    <xf numFmtId="167" fontId="37" fillId="6" borderId="27" xfId="1" applyNumberFormat="1" applyFont="1" applyFill="1" applyBorder="1"/>
    <xf numFmtId="9" fontId="35" fillId="6" borderId="66" xfId="2" applyFont="1" applyFill="1" applyBorder="1"/>
    <xf numFmtId="9" fontId="35" fillId="6" borderId="55" xfId="2" applyFont="1" applyFill="1" applyBorder="1"/>
    <xf numFmtId="171" fontId="0" fillId="6" borderId="27" xfId="2" applyNumberFormat="1" applyFont="1" applyFill="1" applyBorder="1"/>
    <xf numFmtId="14" fontId="38" fillId="6" borderId="0" xfId="0" applyNumberFormat="1" applyFont="1" applyFill="1" applyAlignment="1">
      <alignment horizontal="left" vertical="center"/>
    </xf>
    <xf numFmtId="0" fontId="38" fillId="6" borderId="0" xfId="0" applyFont="1" applyFill="1"/>
    <xf numFmtId="0" fontId="38" fillId="6" borderId="0" xfId="0" applyFont="1" applyFill="1" applyAlignment="1">
      <alignment vertical="center"/>
    </xf>
    <xf numFmtId="0" fontId="38" fillId="6" borderId="0" xfId="0" applyFont="1" applyFill="1" applyAlignment="1">
      <alignment horizontal="left" vertical="center"/>
    </xf>
    <xf numFmtId="0" fontId="38" fillId="6" borderId="0" xfId="0" applyFont="1" applyFill="1" applyAlignment="1">
      <alignment horizontal="center" wrapText="1"/>
    </xf>
    <xf numFmtId="0" fontId="39" fillId="6" borderId="0" xfId="0" applyFont="1" applyFill="1" applyAlignment="1">
      <alignment horizontal="left"/>
    </xf>
    <xf numFmtId="167" fontId="38" fillId="6" borderId="0" xfId="0" applyNumberFormat="1" applyFont="1" applyFill="1"/>
    <xf numFmtId="6" fontId="38" fillId="6" borderId="0" xfId="0" applyNumberFormat="1" applyFont="1" applyFill="1"/>
    <xf numFmtId="167" fontId="38" fillId="6" borderId="1" xfId="0" applyNumberFormat="1" applyFont="1" applyFill="1" applyBorder="1"/>
    <xf numFmtId="167" fontId="39" fillId="6" borderId="0" xfId="0" applyNumberFormat="1" applyFont="1" applyFill="1"/>
    <xf numFmtId="0" fontId="39" fillId="6" borderId="0" xfId="0" applyFont="1" applyFill="1"/>
    <xf numFmtId="0" fontId="39" fillId="6" borderId="0" xfId="0" applyFont="1" applyFill="1" applyAlignment="1">
      <alignment horizontal="left" vertical="center"/>
    </xf>
    <xf numFmtId="0" fontId="38" fillId="6" borderId="0" xfId="0" applyFont="1" applyFill="1" applyAlignment="1">
      <alignment horizontal="left" vertical="top"/>
    </xf>
    <xf numFmtId="0" fontId="39" fillId="6" borderId="0" xfId="0" applyFont="1" applyFill="1" applyAlignment="1">
      <alignment horizontal="left" vertical="top"/>
    </xf>
    <xf numFmtId="0" fontId="38" fillId="6" borderId="0" xfId="0" applyFont="1" applyFill="1" applyAlignment="1">
      <alignment wrapText="1"/>
    </xf>
    <xf numFmtId="167" fontId="0" fillId="20" borderId="0" xfId="0" applyNumberFormat="1" applyFill="1"/>
    <xf numFmtId="9" fontId="34" fillId="6" borderId="0" xfId="0" applyNumberFormat="1" applyFont="1" applyFill="1" applyAlignment="1">
      <alignment horizontal="center"/>
    </xf>
    <xf numFmtId="172" fontId="0" fillId="0" borderId="0" xfId="0" applyNumberFormat="1"/>
    <xf numFmtId="0" fontId="34" fillId="6" borderId="0" xfId="0" applyFont="1" applyFill="1" applyAlignment="1">
      <alignment horizontal="center"/>
    </xf>
    <xf numFmtId="172" fontId="0" fillId="20" borderId="0" xfId="0" applyNumberFormat="1" applyFill="1"/>
    <xf numFmtId="172" fontId="2" fillId="0" borderId="0" xfId="0" applyNumberFormat="1" applyFont="1"/>
    <xf numFmtId="174" fontId="0" fillId="20" borderId="0" xfId="0" applyNumberFormat="1" applyFill="1"/>
    <xf numFmtId="167" fontId="0" fillId="6" borderId="17" xfId="0" applyNumberFormat="1" applyFill="1" applyBorder="1"/>
    <xf numFmtId="167" fontId="0" fillId="6" borderId="22" xfId="0" applyNumberFormat="1" applyFill="1" applyBorder="1"/>
    <xf numFmtId="167" fontId="35" fillId="6" borderId="0" xfId="0" applyNumberFormat="1" applyFont="1" applyFill="1" applyAlignment="1">
      <alignment horizontal="right"/>
    </xf>
    <xf numFmtId="167" fontId="37" fillId="6" borderId="0" xfId="0" applyNumberFormat="1" applyFont="1" applyFill="1"/>
    <xf numFmtId="44" fontId="0" fillId="0" borderId="0" xfId="13" applyNumberFormat="1" applyFont="1"/>
    <xf numFmtId="43" fontId="0" fillId="0" borderId="0" xfId="3" applyFont="1" applyFill="1"/>
    <xf numFmtId="43" fontId="0" fillId="0" borderId="0" xfId="0" applyNumberFormat="1"/>
    <xf numFmtId="0" fontId="2" fillId="0" borderId="0" xfId="0" applyFont="1" applyAlignment="1">
      <alignment horizontal="centerContinuous"/>
    </xf>
    <xf numFmtId="0" fontId="0" fillId="0" borderId="0" xfId="0" applyAlignment="1">
      <alignment horizontal="centerContinuous"/>
    </xf>
    <xf numFmtId="171" fontId="0" fillId="23" borderId="0" xfId="3" applyNumberFormat="1" applyFont="1" applyFill="1"/>
    <xf numFmtId="14" fontId="0" fillId="23" borderId="32" xfId="0" applyNumberFormat="1" applyFill="1" applyBorder="1"/>
    <xf numFmtId="0" fontId="0" fillId="23" borderId="34" xfId="0" applyFill="1" applyBorder="1"/>
    <xf numFmtId="8" fontId="0" fillId="23" borderId="34" xfId="3" applyNumberFormat="1" applyFont="1" applyFill="1" applyBorder="1"/>
    <xf numFmtId="14" fontId="0" fillId="23" borderId="11" xfId="0" applyNumberFormat="1" applyFill="1" applyBorder="1"/>
    <xf numFmtId="0" fontId="0" fillId="23" borderId="12" xfId="0" applyFill="1" applyBorder="1"/>
    <xf numFmtId="8" fontId="0" fillId="23" borderId="12" xfId="3" applyNumberFormat="1" applyFont="1" applyFill="1" applyBorder="1"/>
    <xf numFmtId="14" fontId="0" fillId="6" borderId="11" xfId="0" applyNumberFormat="1" applyFill="1" applyBorder="1"/>
    <xf numFmtId="6" fontId="0" fillId="0" borderId="0" xfId="0" applyNumberFormat="1" applyAlignment="1">
      <alignment horizontal="center"/>
    </xf>
    <xf numFmtId="171" fontId="0" fillId="23" borderId="0" xfId="0" applyNumberFormat="1" applyFill="1" applyAlignment="1">
      <alignment horizontal="left"/>
    </xf>
    <xf numFmtId="14" fontId="0" fillId="6" borderId="13" xfId="0" applyNumberFormat="1" applyFill="1" applyBorder="1"/>
    <xf numFmtId="43" fontId="0" fillId="6" borderId="34" xfId="0" applyNumberFormat="1" applyFill="1" applyBorder="1"/>
    <xf numFmtId="43" fontId="0" fillId="6" borderId="12" xfId="0" applyNumberFormat="1" applyFill="1" applyBorder="1"/>
    <xf numFmtId="43" fontId="2" fillId="0" borderId="0" xfId="0" applyNumberFormat="1" applyFont="1"/>
    <xf numFmtId="6" fontId="0" fillId="23" borderId="0" xfId="3" applyNumberFormat="1" applyFont="1" applyFill="1"/>
    <xf numFmtId="6" fontId="0" fillId="0" borderId="0" xfId="0" applyNumberFormat="1"/>
    <xf numFmtId="14" fontId="0" fillId="23" borderId="0" xfId="3" applyNumberFormat="1" applyFont="1" applyFill="1"/>
    <xf numFmtId="14" fontId="0" fillId="23" borderId="13" xfId="0" applyNumberFormat="1" applyFill="1" applyBorder="1"/>
    <xf numFmtId="0" fontId="0" fillId="23" borderId="15" xfId="0" applyFill="1" applyBorder="1"/>
    <xf numFmtId="8" fontId="0" fillId="23" borderId="15" xfId="3" applyNumberFormat="1" applyFont="1" applyFill="1" applyBorder="1"/>
    <xf numFmtId="43" fontId="40" fillId="0" borderId="0" xfId="0" applyNumberFormat="1" applyFont="1"/>
    <xf numFmtId="43" fontId="0" fillId="0" borderId="0" xfId="3" applyFont="1" applyBorder="1"/>
    <xf numFmtId="0" fontId="0" fillId="0" borderId="1" xfId="0" applyBorder="1"/>
    <xf numFmtId="43" fontId="2" fillId="0" borderId="1" xfId="3" applyFont="1" applyBorder="1"/>
    <xf numFmtId="0" fontId="2" fillId="0" borderId="1" xfId="0" applyFont="1" applyBorder="1"/>
    <xf numFmtId="43" fontId="0" fillId="24" borderId="0" xfId="3" applyFont="1" applyFill="1"/>
    <xf numFmtId="43" fontId="0" fillId="6" borderId="15" xfId="0" applyNumberFormat="1" applyFill="1" applyBorder="1"/>
    <xf numFmtId="14" fontId="0" fillId="6" borderId="32" xfId="0" applyNumberFormat="1" applyFill="1" applyBorder="1"/>
    <xf numFmtId="14" fontId="35" fillId="6" borderId="45" xfId="2" applyNumberFormat="1" applyFont="1" applyFill="1" applyBorder="1"/>
    <xf numFmtId="167" fontId="0" fillId="0" borderId="27" xfId="1" applyNumberFormat="1" applyFont="1" applyBorder="1"/>
    <xf numFmtId="167" fontId="0" fillId="0" borderId="45" xfId="1" applyNumberFormat="1" applyFont="1" applyBorder="1"/>
    <xf numFmtId="167" fontId="0" fillId="0" borderId="27" xfId="0" applyNumberFormat="1" applyBorder="1"/>
    <xf numFmtId="167" fontId="0" fillId="20" borderId="27" xfId="0" applyNumberFormat="1" applyFill="1" applyBorder="1" applyAlignment="1">
      <alignment horizontal="center"/>
    </xf>
    <xf numFmtId="0" fontId="0" fillId="6" borderId="18" xfId="0" applyFill="1" applyBorder="1"/>
    <xf numFmtId="167" fontId="0" fillId="20" borderId="2" xfId="0" applyNumberFormat="1" applyFill="1" applyBorder="1"/>
    <xf numFmtId="9" fontId="34" fillId="6" borderId="2" xfId="0" applyNumberFormat="1" applyFont="1" applyFill="1" applyBorder="1" applyAlignment="1">
      <alignment horizontal="center"/>
    </xf>
    <xf numFmtId="0" fontId="0" fillId="6" borderId="2" xfId="0" applyFill="1" applyBorder="1"/>
    <xf numFmtId="0" fontId="0" fillId="6" borderId="21" xfId="0" applyFill="1" applyBorder="1"/>
    <xf numFmtId="165" fontId="0" fillId="6" borderId="0" xfId="0" applyNumberFormat="1" applyFill="1" applyAlignment="1">
      <alignment horizontal="center"/>
    </xf>
    <xf numFmtId="10" fontId="0" fillId="6" borderId="68" xfId="2" applyNumberFormat="1" applyFont="1" applyFill="1" applyBorder="1"/>
    <xf numFmtId="166" fontId="0" fillId="0" borderId="0" xfId="2" applyNumberFormat="1" applyFont="1"/>
    <xf numFmtId="9" fontId="37" fillId="6" borderId="0" xfId="0" applyNumberFormat="1" applyFont="1" applyFill="1"/>
    <xf numFmtId="0" fontId="0" fillId="6" borderId="1" xfId="0" applyFill="1" applyBorder="1" applyAlignment="1">
      <alignment horizontal="centerContinuous"/>
    </xf>
    <xf numFmtId="0" fontId="35" fillId="6" borderId="0" xfId="0" applyFont="1" applyFill="1" applyAlignment="1">
      <alignment horizontal="centerContinuous"/>
    </xf>
    <xf numFmtId="167" fontId="41" fillId="6" borderId="0" xfId="0" applyNumberFormat="1" applyFont="1" applyFill="1" applyAlignment="1">
      <alignment horizontal="right"/>
    </xf>
    <xf numFmtId="0" fontId="35" fillId="21" borderId="27" xfId="0" applyFont="1" applyFill="1" applyBorder="1" applyAlignment="1">
      <alignment horizontal="right"/>
    </xf>
    <xf numFmtId="0" fontId="0" fillId="21" borderId="27" xfId="0" applyFill="1" applyBorder="1"/>
    <xf numFmtId="0" fontId="0" fillId="21" borderId="43" xfId="0" applyFill="1" applyBorder="1"/>
    <xf numFmtId="0" fontId="0" fillId="21" borderId="67" xfId="0" applyFill="1" applyBorder="1"/>
    <xf numFmtId="0" fontId="0" fillId="21" borderId="44" xfId="0" applyFill="1" applyBorder="1"/>
    <xf numFmtId="167" fontId="41" fillId="6" borderId="27" xfId="0" applyNumberFormat="1" applyFont="1" applyFill="1" applyBorder="1"/>
    <xf numFmtId="167" fontId="35" fillId="6" borderId="44" xfId="0" applyNumberFormat="1" applyFont="1" applyFill="1" applyBorder="1"/>
    <xf numFmtId="167" fontId="35" fillId="6" borderId="27" xfId="0" applyNumberFormat="1" applyFont="1" applyFill="1" applyBorder="1"/>
    <xf numFmtId="10" fontId="35" fillId="21" borderId="44" xfId="2" applyNumberFormat="1" applyFont="1" applyFill="1" applyBorder="1" applyAlignment="1">
      <alignment horizontal="center"/>
    </xf>
    <xf numFmtId="167" fontId="41" fillId="6" borderId="45" xfId="0" applyNumberFormat="1" applyFont="1" applyFill="1" applyBorder="1"/>
    <xf numFmtId="167" fontId="35" fillId="6" borderId="5" xfId="0" applyNumberFormat="1" applyFont="1" applyFill="1" applyBorder="1"/>
    <xf numFmtId="167" fontId="35" fillId="6" borderId="45" xfId="0" applyNumberFormat="1" applyFont="1" applyFill="1" applyBorder="1"/>
    <xf numFmtId="10" fontId="35" fillId="21" borderId="5" xfId="2" applyNumberFormat="1" applyFont="1" applyFill="1" applyBorder="1" applyAlignment="1">
      <alignment horizontal="center"/>
    </xf>
    <xf numFmtId="167" fontId="41" fillId="6" borderId="67" xfId="0" applyNumberFormat="1" applyFont="1" applyFill="1" applyBorder="1"/>
    <xf numFmtId="167" fontId="35" fillId="6" borderId="70" xfId="0" applyNumberFormat="1" applyFont="1" applyFill="1" applyBorder="1"/>
    <xf numFmtId="167" fontId="35" fillId="6" borderId="71" xfId="0" applyNumberFormat="1" applyFont="1" applyFill="1" applyBorder="1"/>
    <xf numFmtId="10" fontId="35" fillId="21" borderId="29" xfId="2" applyNumberFormat="1" applyFont="1" applyFill="1" applyBorder="1" applyAlignment="1">
      <alignment horizontal="center"/>
    </xf>
    <xf numFmtId="167" fontId="41" fillId="6" borderId="47" xfId="0" applyNumberFormat="1" applyFont="1" applyFill="1" applyBorder="1"/>
    <xf numFmtId="167" fontId="35" fillId="6" borderId="10" xfId="0" applyNumberFormat="1" applyFont="1" applyFill="1" applyBorder="1"/>
    <xf numFmtId="167" fontId="35" fillId="6" borderId="47" xfId="0" applyNumberFormat="1" applyFont="1" applyFill="1" applyBorder="1"/>
    <xf numFmtId="10" fontId="35" fillId="21" borderId="10" xfId="0" applyNumberFormat="1" applyFont="1" applyFill="1" applyBorder="1" applyAlignment="1">
      <alignment horizontal="center"/>
    </xf>
    <xf numFmtId="9" fontId="35" fillId="6" borderId="0" xfId="0" applyNumberFormat="1" applyFont="1" applyFill="1" applyAlignment="1">
      <alignment horizontal="center"/>
    </xf>
    <xf numFmtId="44" fontId="35" fillId="6" borderId="0" xfId="1" applyFont="1" applyFill="1" applyBorder="1"/>
    <xf numFmtId="176" fontId="35" fillId="6" borderId="0" xfId="0" applyNumberFormat="1" applyFont="1" applyFill="1" applyAlignment="1">
      <alignment horizontal="center"/>
    </xf>
    <xf numFmtId="171" fontId="0" fillId="6" borderId="45" xfId="2" applyNumberFormat="1" applyFont="1" applyFill="1" applyBorder="1"/>
    <xf numFmtId="171" fontId="0" fillId="22" borderId="67" xfId="2" applyNumberFormat="1" applyFont="1" applyFill="1" applyBorder="1"/>
    <xf numFmtId="171" fontId="0" fillId="6" borderId="44" xfId="2" applyNumberFormat="1" applyFont="1" applyFill="1" applyBorder="1"/>
    <xf numFmtId="171" fontId="35" fillId="6" borderId="47" xfId="2" applyNumberFormat="1" applyFont="1" applyFill="1" applyBorder="1"/>
    <xf numFmtId="171" fontId="0" fillId="6" borderId="47" xfId="2" applyNumberFormat="1" applyFont="1" applyFill="1" applyBorder="1"/>
    <xf numFmtId="0" fontId="0" fillId="6" borderId="30" xfId="0" applyFill="1" applyBorder="1"/>
    <xf numFmtId="0" fontId="0" fillId="6" borderId="28" xfId="0" applyFill="1" applyBorder="1" applyAlignment="1">
      <alignment horizontal="centerContinuous"/>
    </xf>
    <xf numFmtId="0" fontId="0" fillId="6" borderId="29" xfId="0" applyFill="1" applyBorder="1" applyAlignment="1">
      <alignment horizontal="centerContinuous"/>
    </xf>
    <xf numFmtId="6" fontId="0" fillId="0" borderId="27" xfId="0" applyNumberFormat="1" applyBorder="1" applyAlignment="1">
      <alignment horizontal="right"/>
    </xf>
    <xf numFmtId="0" fontId="2" fillId="0" borderId="14" xfId="0" applyFont="1" applyBorder="1"/>
    <xf numFmtId="167" fontId="0" fillId="0" borderId="5" xfId="1" applyNumberFormat="1" applyFont="1" applyBorder="1"/>
    <xf numFmtId="0" fontId="34" fillId="0" borderId="44" xfId="0" applyFont="1" applyBorder="1" applyAlignment="1">
      <alignment horizontal="center" vertical="center"/>
    </xf>
    <xf numFmtId="0" fontId="0" fillId="0" borderId="29" xfId="0" applyBorder="1"/>
    <xf numFmtId="0" fontId="0" fillId="0" borderId="35" xfId="0" applyBorder="1"/>
    <xf numFmtId="8" fontId="0" fillId="0" borderId="15" xfId="0" applyNumberFormat="1" applyBorder="1"/>
    <xf numFmtId="10" fontId="0" fillId="0" borderId="35" xfId="2" applyNumberFormat="1" applyFont="1" applyBorder="1"/>
    <xf numFmtId="8" fontId="0" fillId="5" borderId="27" xfId="1" applyNumberFormat="1" applyFont="1" applyFill="1" applyBorder="1"/>
    <xf numFmtId="8" fontId="0" fillId="0" borderId="14" xfId="0" applyNumberFormat="1" applyBorder="1"/>
    <xf numFmtId="9" fontId="0" fillId="0" borderId="36" xfId="0" applyNumberFormat="1" applyBorder="1"/>
    <xf numFmtId="10" fontId="0" fillId="0" borderId="36" xfId="2" applyNumberFormat="1" applyFont="1" applyBorder="1"/>
    <xf numFmtId="8" fontId="0" fillId="0" borderId="32" xfId="0" applyNumberFormat="1" applyBorder="1"/>
    <xf numFmtId="8" fontId="0" fillId="0" borderId="39" xfId="0" applyNumberFormat="1" applyBorder="1"/>
    <xf numFmtId="8" fontId="0" fillId="0" borderId="34" xfId="0" applyNumberFormat="1" applyBorder="1"/>
    <xf numFmtId="8" fontId="0" fillId="0" borderId="11" xfId="0" applyNumberFormat="1" applyBorder="1"/>
    <xf numFmtId="8" fontId="0" fillId="0" borderId="12" xfId="0" applyNumberFormat="1" applyBorder="1"/>
    <xf numFmtId="8" fontId="0" fillId="0" borderId="13" xfId="0" applyNumberFormat="1" applyBorder="1"/>
    <xf numFmtId="0" fontId="0" fillId="0" borderId="28" xfId="0" applyBorder="1"/>
    <xf numFmtId="8" fontId="2" fillId="0" borderId="15" xfId="0" applyNumberFormat="1" applyFont="1" applyBorder="1"/>
    <xf numFmtId="10" fontId="2" fillId="0" borderId="36" xfId="0" applyNumberFormat="1" applyFont="1" applyBorder="1"/>
    <xf numFmtId="8" fontId="2" fillId="0" borderId="13" xfId="0" applyNumberFormat="1" applyFont="1" applyBorder="1"/>
    <xf numFmtId="8" fontId="2" fillId="0" borderId="14" xfId="0" applyNumberFormat="1" applyFont="1" applyBorder="1"/>
    <xf numFmtId="0" fontId="2" fillId="0" borderId="28" xfId="0" applyFont="1" applyBorder="1"/>
    <xf numFmtId="0" fontId="2" fillId="0" borderId="30" xfId="0" applyFont="1" applyBorder="1"/>
    <xf numFmtId="0" fontId="2" fillId="0" borderId="29" xfId="0" applyFont="1" applyBorder="1"/>
    <xf numFmtId="14" fontId="0" fillId="0" borderId="14" xfId="0" applyNumberFormat="1" applyBorder="1"/>
    <xf numFmtId="14" fontId="2" fillId="0" borderId="30" xfId="0" applyNumberFormat="1" applyFont="1" applyBorder="1"/>
    <xf numFmtId="171" fontId="2" fillId="0" borderId="30" xfId="2" applyNumberFormat="1" applyFont="1" applyBorder="1"/>
    <xf numFmtId="171" fontId="0" fillId="0" borderId="0" xfId="2" applyNumberFormat="1" applyFont="1" applyBorder="1"/>
    <xf numFmtId="0" fontId="0" fillId="0" borderId="72" xfId="0" applyBorder="1"/>
    <xf numFmtId="0" fontId="0" fillId="0" borderId="71" xfId="0" applyBorder="1"/>
    <xf numFmtId="9" fontId="34" fillId="0" borderId="13" xfId="2" applyFont="1" applyBorder="1"/>
    <xf numFmtId="9" fontId="34" fillId="0" borderId="14" xfId="2" applyFont="1" applyBorder="1"/>
    <xf numFmtId="9" fontId="34" fillId="0" borderId="15" xfId="2" applyFont="1" applyBorder="1"/>
    <xf numFmtId="9" fontId="34" fillId="0" borderId="13" xfId="0" applyNumberFormat="1" applyFont="1" applyBorder="1"/>
    <xf numFmtId="9" fontId="34" fillId="0" borderId="14" xfId="0" applyNumberFormat="1" applyFont="1" applyBorder="1"/>
    <xf numFmtId="9" fontId="34" fillId="0" borderId="15" xfId="0" applyNumberFormat="1" applyFont="1" applyBorder="1"/>
    <xf numFmtId="10" fontId="0" fillId="0" borderId="73" xfId="2" applyNumberFormat="1" applyFont="1" applyFill="1" applyBorder="1"/>
    <xf numFmtId="0" fontId="33" fillId="0" borderId="0" xfId="0" applyFont="1"/>
    <xf numFmtId="44" fontId="0" fillId="6" borderId="68" xfId="1" applyFont="1" applyFill="1" applyBorder="1"/>
    <xf numFmtId="0" fontId="0" fillId="6" borderId="68" xfId="0" applyFill="1" applyBorder="1" applyAlignment="1">
      <alignment horizontal="right"/>
    </xf>
    <xf numFmtId="167" fontId="34" fillId="6" borderId="12" xfId="0" applyNumberFormat="1" applyFont="1" applyFill="1" applyBorder="1"/>
    <xf numFmtId="167" fontId="37" fillId="22" borderId="0" xfId="1" applyNumberFormat="1" applyFont="1" applyFill="1" applyBorder="1"/>
    <xf numFmtId="44" fontId="0" fillId="0" borderId="5" xfId="1" applyFont="1" applyBorder="1"/>
    <xf numFmtId="44" fontId="0" fillId="0" borderId="10" xfId="1" applyFont="1" applyBorder="1"/>
    <xf numFmtId="44" fontId="0" fillId="23" borderId="0" xfId="1" applyFont="1" applyFill="1"/>
    <xf numFmtId="0" fontId="0" fillId="23" borderId="0" xfId="3" applyNumberFormat="1" applyFont="1" applyFill="1"/>
    <xf numFmtId="44" fontId="0" fillId="23" borderId="0" xfId="1" applyFont="1" applyFill="1" applyBorder="1"/>
    <xf numFmtId="44" fontId="0" fillId="23" borderId="14" xfId="1" applyFont="1" applyFill="1" applyBorder="1"/>
    <xf numFmtId="6" fontId="0" fillId="23" borderId="0" xfId="1" applyNumberFormat="1" applyFont="1" applyFill="1"/>
    <xf numFmtId="8" fontId="0" fillId="24" borderId="0" xfId="3" applyNumberFormat="1" applyFont="1" applyFill="1"/>
    <xf numFmtId="44" fontId="0" fillId="6" borderId="14" xfId="1" applyFont="1" applyFill="1" applyBorder="1"/>
    <xf numFmtId="44" fontId="0" fillId="6" borderId="39" xfId="1" applyFont="1" applyFill="1" applyBorder="1"/>
    <xf numFmtId="6" fontId="0" fillId="6" borderId="14" xfId="1" applyNumberFormat="1" applyFont="1" applyFill="1" applyBorder="1"/>
    <xf numFmtId="0" fontId="0" fillId="0" borderId="32" xfId="0" applyBorder="1"/>
    <xf numFmtId="43" fontId="0" fillId="0" borderId="39" xfId="3" applyFont="1" applyFill="1" applyBorder="1"/>
    <xf numFmtId="43" fontId="0" fillId="0" borderId="34" xfId="0" applyNumberFormat="1" applyBorder="1"/>
    <xf numFmtId="171" fontId="0" fillId="23" borderId="0" xfId="3" applyNumberFormat="1" applyFont="1" applyFill="1" applyBorder="1"/>
    <xf numFmtId="166" fontId="0" fillId="0" borderId="12" xfId="2" applyNumberFormat="1" applyFont="1" applyBorder="1"/>
    <xf numFmtId="44" fontId="0" fillId="0" borderId="0" xfId="1" applyFont="1" applyBorder="1"/>
    <xf numFmtId="9" fontId="0" fillId="0" borderId="12" xfId="2" applyFont="1" applyBorder="1"/>
    <xf numFmtId="171" fontId="0" fillId="23" borderId="12" xfId="0" applyNumberFormat="1" applyFill="1" applyBorder="1" applyAlignment="1">
      <alignment horizontal="left"/>
    </xf>
    <xf numFmtId="6" fontId="0" fillId="23" borderId="0" xfId="1" applyNumberFormat="1" applyFont="1" applyFill="1" applyBorder="1"/>
    <xf numFmtId="0" fontId="0" fillId="23" borderId="0" xfId="3" applyNumberFormat="1" applyFont="1" applyFill="1" applyBorder="1"/>
    <xf numFmtId="6" fontId="0" fillId="23" borderId="0" xfId="3" applyNumberFormat="1" applyFont="1" applyFill="1" applyBorder="1"/>
    <xf numFmtId="14" fontId="0" fillId="23" borderId="0" xfId="3" applyNumberFormat="1" applyFont="1" applyFill="1" applyBorder="1"/>
    <xf numFmtId="0" fontId="0" fillId="0" borderId="13" xfId="0" applyBorder="1"/>
    <xf numFmtId="14" fontId="0" fillId="0" borderId="9" xfId="0" applyNumberFormat="1" applyBorder="1"/>
    <xf numFmtId="0" fontId="22" fillId="0" borderId="74" xfId="0" applyFont="1" applyBorder="1" applyAlignment="1">
      <alignment horizontal="left" indent="1"/>
    </xf>
    <xf numFmtId="44" fontId="22" fillId="0" borderId="2" xfId="1" applyFont="1" applyBorder="1"/>
    <xf numFmtId="165" fontId="22" fillId="0" borderId="7" xfId="0" applyNumberFormat="1" applyFont="1" applyBorder="1"/>
    <xf numFmtId="165" fontId="0" fillId="0" borderId="10" xfId="3" applyNumberFormat="1" applyFont="1" applyBorder="1" applyAlignment="1">
      <alignment horizontal="center"/>
    </xf>
    <xf numFmtId="0" fontId="22" fillId="0" borderId="75" xfId="0" applyFont="1" applyBorder="1" applyAlignment="1">
      <alignment horizontal="center"/>
    </xf>
    <xf numFmtId="0" fontId="22" fillId="0" borderId="39" xfId="0" applyFont="1" applyBorder="1" applyAlignment="1">
      <alignment horizontal="center"/>
    </xf>
    <xf numFmtId="14" fontId="0" fillId="0" borderId="32" xfId="0" applyNumberFormat="1" applyBorder="1"/>
    <xf numFmtId="44" fontId="22" fillId="0" borderId="39" xfId="1" applyFont="1" applyBorder="1" applyAlignment="1">
      <alignment horizontal="center"/>
    </xf>
    <xf numFmtId="0" fontId="9" fillId="0" borderId="34" xfId="0" applyFont="1" applyBorder="1" applyAlignment="1">
      <alignment horizontal="center"/>
    </xf>
    <xf numFmtId="166" fontId="1" fillId="0" borderId="0" xfId="1" applyNumberFormat="1" applyBorder="1" applyAlignment="1">
      <alignment horizontal="right"/>
    </xf>
    <xf numFmtId="0" fontId="9" fillId="0" borderId="12" xfId="0" applyFont="1" applyBorder="1" applyAlignment="1">
      <alignment horizontal="center"/>
    </xf>
    <xf numFmtId="14" fontId="0" fillId="0" borderId="13" xfId="0" applyNumberFormat="1" applyBorder="1"/>
    <xf numFmtId="44" fontId="0" fillId="0" borderId="14" xfId="1" applyFont="1" applyBorder="1"/>
    <xf numFmtId="165" fontId="0" fillId="0" borderId="15" xfId="3" applyNumberFormat="1" applyFont="1" applyBorder="1" applyAlignment="1">
      <alignment horizontal="center"/>
    </xf>
    <xf numFmtId="14" fontId="0" fillId="0" borderId="11" xfId="0" applyNumberFormat="1" applyBorder="1"/>
    <xf numFmtId="0" fontId="0" fillId="0" borderId="31" xfId="0" applyBorder="1"/>
    <xf numFmtId="166" fontId="0" fillId="0" borderId="36" xfId="0" applyNumberFormat="1" applyBorder="1"/>
    <xf numFmtId="0" fontId="0" fillId="0" borderId="46" xfId="0" applyBorder="1" applyAlignment="1">
      <alignment horizontal="center"/>
    </xf>
    <xf numFmtId="0" fontId="0" fillId="0" borderId="47" xfId="0" applyBorder="1" applyAlignment="1">
      <alignment horizontal="center"/>
    </xf>
    <xf numFmtId="0" fontId="0" fillId="0" borderId="3" xfId="0" applyBorder="1" applyAlignment="1">
      <alignment horizontal="center"/>
    </xf>
    <xf numFmtId="0" fontId="0" fillId="0" borderId="14" xfId="0" applyBorder="1" applyAlignment="1">
      <alignment horizontal="center" vertical="center"/>
    </xf>
    <xf numFmtId="166" fontId="0" fillId="0" borderId="14" xfId="0" applyNumberFormat="1" applyBorder="1"/>
    <xf numFmtId="14" fontId="0" fillId="0" borderId="14" xfId="3" applyNumberFormat="1" applyFont="1" applyBorder="1"/>
    <xf numFmtId="166" fontId="0" fillId="0" borderId="0" xfId="1" applyNumberFormat="1" applyFont="1"/>
    <xf numFmtId="8" fontId="0" fillId="0" borderId="28" xfId="0" applyNumberFormat="1" applyBorder="1"/>
    <xf numFmtId="8" fontId="0" fillId="0" borderId="29" xfId="0" applyNumberFormat="1" applyBorder="1"/>
    <xf numFmtId="8" fontId="0" fillId="0" borderId="30" xfId="0" applyNumberFormat="1" applyBorder="1"/>
    <xf numFmtId="14" fontId="0" fillId="0" borderId="0" xfId="0" applyNumberFormat="1" applyAlignment="1">
      <alignment wrapText="1"/>
    </xf>
    <xf numFmtId="44" fontId="22" fillId="0" borderId="0" xfId="1" applyFont="1" applyAlignment="1">
      <alignment horizontal="center"/>
    </xf>
    <xf numFmtId="0" fontId="0" fillId="0" borderId="35" xfId="0" applyBorder="1" applyAlignment="1">
      <alignment wrapText="1"/>
    </xf>
    <xf numFmtId="8" fontId="21" fillId="0" borderId="35" xfId="0" applyNumberFormat="1" applyFont="1" applyBorder="1"/>
    <xf numFmtId="0" fontId="21" fillId="0" borderId="35" xfId="0" applyFont="1" applyBorder="1"/>
    <xf numFmtId="0" fontId="21" fillId="0" borderId="36" xfId="0" applyFont="1" applyBorder="1"/>
    <xf numFmtId="0" fontId="0" fillId="0" borderId="7" xfId="0" applyBorder="1" applyAlignment="1">
      <alignment horizontal="center" vertical="center"/>
    </xf>
    <xf numFmtId="0" fontId="0" fillId="0" borderId="7" xfId="0" applyBorder="1" applyAlignment="1">
      <alignment horizontal="center" vertical="center" wrapText="1"/>
    </xf>
    <xf numFmtId="44" fontId="0" fillId="6" borderId="68" xfId="1" applyFont="1" applyFill="1" applyBorder="1" applyAlignment="1">
      <alignment horizontal="right"/>
    </xf>
    <xf numFmtId="0" fontId="35" fillId="6" borderId="0" xfId="0" applyFont="1" applyFill="1" applyAlignment="1">
      <alignment horizontal="center" wrapText="1"/>
    </xf>
    <xf numFmtId="0" fontId="38" fillId="6" borderId="0" xfId="0" applyFont="1" applyFill="1" applyAlignment="1">
      <alignment horizontal="left" wrapText="1"/>
    </xf>
    <xf numFmtId="0" fontId="0" fillId="0" borderId="14" xfId="0" applyBorder="1" applyAlignment="1">
      <alignment horizontal="center"/>
    </xf>
    <xf numFmtId="0" fontId="2" fillId="6" borderId="0" xfId="0" applyFont="1" applyFill="1" applyAlignment="1">
      <alignment horizontal="center"/>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2" borderId="9" xfId="0" applyFill="1" applyBorder="1" applyAlignment="1">
      <alignment horizontal="left" vertical="top" wrapText="1"/>
    </xf>
    <xf numFmtId="0" fontId="0" fillId="2" borderId="1" xfId="0" applyFill="1" applyBorder="1" applyAlignment="1">
      <alignment horizontal="left" vertical="top" wrapText="1"/>
    </xf>
    <xf numFmtId="0" fontId="0" fillId="2" borderId="10"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0" xfId="0" applyFill="1" applyAlignment="1">
      <alignment horizontal="left" vertical="top" wrapText="1"/>
    </xf>
    <xf numFmtId="0" fontId="0" fillId="4" borderId="7" xfId="0" applyFill="1" applyBorder="1" applyAlignment="1">
      <alignment horizontal="left" vertical="top" wrapText="1"/>
    </xf>
    <xf numFmtId="0" fontId="0" fillId="4" borderId="9" xfId="0" applyFill="1" applyBorder="1" applyAlignment="1">
      <alignment horizontal="left" vertical="top" wrapText="1"/>
    </xf>
    <xf numFmtId="0" fontId="0" fillId="4" borderId="1" xfId="0" applyFill="1" applyBorder="1" applyAlignment="1">
      <alignment horizontal="left" vertical="top" wrapText="1"/>
    </xf>
    <xf numFmtId="0" fontId="0" fillId="4" borderId="10" xfId="0" applyFill="1" applyBorder="1" applyAlignment="1">
      <alignment horizontal="left" vertical="top" wrapText="1"/>
    </xf>
    <xf numFmtId="0" fontId="3" fillId="0" borderId="0" xfId="13" applyFont="1" applyAlignment="1">
      <alignment horizontal="center"/>
    </xf>
    <xf numFmtId="0" fontId="16" fillId="0" borderId="0" xfId="13" applyFont="1" applyAlignment="1">
      <alignment horizontal="center"/>
    </xf>
    <xf numFmtId="14" fontId="2" fillId="0" borderId="43" xfId="0" applyNumberFormat="1" applyFont="1" applyBorder="1" applyAlignment="1">
      <alignment horizontal="center"/>
    </xf>
    <xf numFmtId="14" fontId="2" fillId="0" borderId="44" xfId="0" applyNumberFormat="1" applyFont="1" applyBorder="1" applyAlignment="1">
      <alignment horizontal="center"/>
    </xf>
    <xf numFmtId="0" fontId="17" fillId="0" borderId="45" xfId="0" applyFont="1" applyBorder="1" applyAlignment="1">
      <alignment horizontal="center" vertical="center" wrapText="1"/>
    </xf>
    <xf numFmtId="0" fontId="17" fillId="0" borderId="46" xfId="0" applyFont="1" applyBorder="1" applyAlignment="1">
      <alignment horizontal="center" vertical="center" wrapText="1"/>
    </xf>
    <xf numFmtId="0" fontId="17" fillId="0" borderId="47" xfId="0" applyFont="1" applyBorder="1" applyAlignment="1">
      <alignment horizontal="center" vertical="center" wrapText="1"/>
    </xf>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4" fillId="0" borderId="0" xfId="0" applyFont="1" applyAlignment="1">
      <alignment horizontal="center"/>
    </xf>
    <xf numFmtId="0" fontId="2" fillId="0" borderId="49" xfId="0" applyFont="1" applyBorder="1" applyAlignment="1">
      <alignment horizontal="center"/>
    </xf>
    <xf numFmtId="0" fontId="2" fillId="0" borderId="50" xfId="0" applyFont="1" applyBorder="1" applyAlignment="1">
      <alignment horizontal="center"/>
    </xf>
    <xf numFmtId="0" fontId="2" fillId="9" borderId="27" xfId="0" applyFont="1" applyFill="1" applyBorder="1" applyAlignment="1">
      <alignment horizontal="center"/>
    </xf>
    <xf numFmtId="0" fontId="0" fillId="7" borderId="3" xfId="0" applyFill="1" applyBorder="1" applyAlignment="1">
      <alignment horizontal="left" vertical="top" wrapText="1"/>
    </xf>
    <xf numFmtId="0" fontId="0" fillId="7" borderId="5" xfId="0" applyFill="1" applyBorder="1" applyAlignment="1">
      <alignment horizontal="left" vertical="top" wrapText="1"/>
    </xf>
    <xf numFmtId="0" fontId="0" fillId="7" borderId="6" xfId="0" applyFill="1" applyBorder="1" applyAlignment="1">
      <alignment horizontal="left" vertical="top" wrapText="1"/>
    </xf>
    <xf numFmtId="0" fontId="0" fillId="7" borderId="7" xfId="0" applyFill="1" applyBorder="1" applyAlignment="1">
      <alignment horizontal="left" vertical="top" wrapText="1"/>
    </xf>
    <xf numFmtId="0" fontId="0" fillId="7" borderId="9" xfId="0" applyFill="1" applyBorder="1" applyAlignment="1">
      <alignment horizontal="left" vertical="top" wrapText="1"/>
    </xf>
    <xf numFmtId="0" fontId="0" fillId="7" borderId="10" xfId="0" applyFill="1" applyBorder="1" applyAlignment="1">
      <alignment horizontal="left" vertical="top" wrapText="1"/>
    </xf>
    <xf numFmtId="0" fontId="2" fillId="9" borderId="43" xfId="0" applyFont="1" applyFill="1" applyBorder="1" applyAlignment="1">
      <alignment horizontal="center"/>
    </xf>
    <xf numFmtId="0" fontId="2" fillId="9" borderId="44" xfId="0" applyFont="1" applyFill="1" applyBorder="1" applyAlignment="1">
      <alignment horizontal="center"/>
    </xf>
    <xf numFmtId="0" fontId="2" fillId="17" borderId="43" xfId="0" applyFont="1" applyFill="1" applyBorder="1" applyAlignment="1">
      <alignment horizontal="center"/>
    </xf>
    <xf numFmtId="0" fontId="2" fillId="17" borderId="44" xfId="0" applyFont="1" applyFill="1" applyBorder="1" applyAlignment="1">
      <alignment horizontal="center"/>
    </xf>
    <xf numFmtId="0" fontId="27" fillId="0" borderId="0" xfId="0" applyFont="1" applyAlignment="1">
      <alignment vertical="top" wrapText="1"/>
    </xf>
    <xf numFmtId="0" fontId="0" fillId="9" borderId="42" xfId="0" applyFill="1" applyBorder="1" applyAlignment="1">
      <alignment horizontal="center"/>
    </xf>
    <xf numFmtId="0" fontId="0" fillId="9" borderId="44" xfId="0" applyFill="1" applyBorder="1" applyAlignment="1">
      <alignment horizontal="center"/>
    </xf>
    <xf numFmtId="0" fontId="26" fillId="0" borderId="0" xfId="0" applyFont="1" applyAlignment="1">
      <alignment horizontal="left"/>
    </xf>
    <xf numFmtId="0" fontId="0" fillId="7" borderId="4" xfId="0" applyFill="1" applyBorder="1" applyAlignment="1">
      <alignment horizontal="left" vertical="top" wrapText="1"/>
    </xf>
    <xf numFmtId="0" fontId="0" fillId="7" borderId="0" xfId="0" applyFill="1" applyAlignment="1">
      <alignment horizontal="left" vertical="top" wrapText="1"/>
    </xf>
    <xf numFmtId="0" fontId="0" fillId="7" borderId="1" xfId="0" applyFill="1" applyBorder="1" applyAlignment="1">
      <alignment horizontal="left" vertical="top" wrapText="1"/>
    </xf>
    <xf numFmtId="0" fontId="2" fillId="9" borderId="42" xfId="0" applyFont="1" applyFill="1" applyBorder="1" applyAlignment="1">
      <alignment horizontal="center"/>
    </xf>
    <xf numFmtId="0" fontId="0" fillId="0" borderId="32" xfId="0" applyBorder="1" applyAlignment="1">
      <alignment horizontal="center"/>
    </xf>
    <xf numFmtId="0" fontId="0" fillId="0" borderId="39" xfId="0" applyBorder="1" applyAlignment="1">
      <alignment horizontal="center"/>
    </xf>
    <xf numFmtId="0" fontId="0" fillId="0" borderId="34" xfId="0" applyBorder="1" applyAlignment="1">
      <alignment horizontal="center"/>
    </xf>
  </cellXfs>
  <cellStyles count="15">
    <cellStyle name="Comma" xfId="3" builtinId="3"/>
    <cellStyle name="Comma 2" xfId="5" xr:uid="{00000000-0005-0000-0000-000001000000}"/>
    <cellStyle name="Currency" xfId="1" builtinId="4"/>
    <cellStyle name="Currency 2" xfId="6" xr:uid="{00000000-0005-0000-0000-000003000000}"/>
    <cellStyle name="Hyperlink" xfId="9" builtinId="8"/>
    <cellStyle name="Normal" xfId="0" builtinId="0"/>
    <cellStyle name="Normal 2" xfId="4" xr:uid="{00000000-0005-0000-0000-000006000000}"/>
    <cellStyle name="Normal 2 2" xfId="10" xr:uid="{00000000-0005-0000-0000-000007000000}"/>
    <cellStyle name="Normal 2 3" xfId="13" xr:uid="{00000000-0005-0000-0000-000008000000}"/>
    <cellStyle name="Normal 3" xfId="8" xr:uid="{00000000-0005-0000-0000-000009000000}"/>
    <cellStyle name="Normal 4" xfId="11" xr:uid="{00000000-0005-0000-0000-00000A000000}"/>
    <cellStyle name="Normal 5" xfId="14" xr:uid="{00000000-0005-0000-0000-00000B000000}"/>
    <cellStyle name="Percent" xfId="2" builtinId="5"/>
    <cellStyle name="Percent 2" xfId="7" xr:uid="{00000000-0005-0000-0000-00000D000000}"/>
    <cellStyle name="Percent 3" xfId="12" xr:uid="{00000000-0005-0000-0000-00000E00000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FF66CC"/>
      <color rgb="FFCC3399"/>
      <color rgb="FFFF0066"/>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dropbox.com/s/es7msqoaavgge8d/LD2%20Promissory%20Note_C2017-031%20Kent%20Hoggan%204148%2C52%2C56%2C60%2C64%2C68%20Fairway%20Lane%20Fairway%20H%20LLC.pdf?dl=0"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AF14-4E9B-4561-B044-DFBBCFB64736}">
  <sheetPr codeName="Sheet1"/>
  <dimension ref="B2:I39"/>
  <sheetViews>
    <sheetView workbookViewId="0">
      <selection activeCell="F15" sqref="F15"/>
    </sheetView>
  </sheetViews>
  <sheetFormatPr defaultRowHeight="15" x14ac:dyDescent="0.25"/>
  <cols>
    <col min="2" max="2" width="17.5703125" customWidth="1"/>
    <col min="3" max="3" width="34.85546875" customWidth="1"/>
  </cols>
  <sheetData>
    <row r="2" spans="2:9" x14ac:dyDescent="0.25">
      <c r="B2" t="s">
        <v>0</v>
      </c>
    </row>
    <row r="4" spans="2:9" ht="16.5" x14ac:dyDescent="0.3">
      <c r="F4" s="401" t="s">
        <v>432</v>
      </c>
      <c r="G4" s="402" t="s">
        <v>433</v>
      </c>
      <c r="H4" s="402" t="s">
        <v>434</v>
      </c>
      <c r="I4" s="403" t="s">
        <v>435</v>
      </c>
    </row>
    <row r="5" spans="2:9" ht="16.5" x14ac:dyDescent="0.3">
      <c r="B5" s="111" t="s">
        <v>1</v>
      </c>
      <c r="C5" s="111" t="s">
        <v>2</v>
      </c>
      <c r="D5" s="111" t="s">
        <v>3</v>
      </c>
      <c r="F5" s="402" t="s">
        <v>427</v>
      </c>
      <c r="G5" s="403">
        <v>0.85</v>
      </c>
      <c r="H5" s="403">
        <v>0.95</v>
      </c>
      <c r="I5" s="403">
        <v>0.98</v>
      </c>
    </row>
    <row r="6" spans="2:9" ht="29.1" customHeight="1" x14ac:dyDescent="0.3">
      <c r="B6" s="331"/>
      <c r="C6" s="323" t="s">
        <v>470</v>
      </c>
      <c r="D6" s="332">
        <v>1.1000000000000001</v>
      </c>
      <c r="F6" s="402" t="s">
        <v>258</v>
      </c>
      <c r="G6" s="403">
        <v>0.72</v>
      </c>
      <c r="H6" s="403">
        <v>0.76</v>
      </c>
      <c r="I6" s="403">
        <v>0.8</v>
      </c>
    </row>
    <row r="8" spans="2:9" x14ac:dyDescent="0.25">
      <c r="B8" s="111" t="s">
        <v>1</v>
      </c>
      <c r="C8" s="111" t="s">
        <v>2</v>
      </c>
      <c r="D8" s="111" t="s">
        <v>3</v>
      </c>
      <c r="F8" t="s">
        <v>524</v>
      </c>
    </row>
    <row r="9" spans="2:9" x14ac:dyDescent="0.25">
      <c r="B9" s="303"/>
      <c r="C9" s="323"/>
      <c r="D9" s="111"/>
      <c r="F9" t="s">
        <v>93</v>
      </c>
    </row>
    <row r="10" spans="2:9" x14ac:dyDescent="0.25">
      <c r="F10" t="s">
        <v>79</v>
      </c>
    </row>
    <row r="11" spans="2:9" x14ac:dyDescent="0.25">
      <c r="B11" s="111" t="s">
        <v>1</v>
      </c>
      <c r="C11" s="111" t="s">
        <v>2</v>
      </c>
      <c r="D11" s="111" t="s">
        <v>3</v>
      </c>
      <c r="F11" t="s">
        <v>525</v>
      </c>
    </row>
    <row r="12" spans="2:9" ht="29.1" customHeight="1" x14ac:dyDescent="0.25">
      <c r="B12" s="303"/>
      <c r="C12" s="324"/>
      <c r="D12" s="111"/>
      <c r="F12" t="s">
        <v>526</v>
      </c>
    </row>
    <row r="13" spans="2:9" x14ac:dyDescent="0.25">
      <c r="F13" t="s">
        <v>96</v>
      </c>
    </row>
    <row r="14" spans="2:9" x14ac:dyDescent="0.25">
      <c r="B14" s="111" t="s">
        <v>1</v>
      </c>
      <c r="C14" s="111" t="s">
        <v>2</v>
      </c>
      <c r="D14" s="111" t="s">
        <v>3</v>
      </c>
      <c r="F14" t="s">
        <v>527</v>
      </c>
    </row>
    <row r="15" spans="2:9" ht="29.1" customHeight="1" x14ac:dyDescent="0.25">
      <c r="B15" s="303"/>
      <c r="C15" s="324"/>
      <c r="D15" s="111"/>
    </row>
    <row r="17" spans="2:4" x14ac:dyDescent="0.25">
      <c r="B17" s="111" t="s">
        <v>1</v>
      </c>
      <c r="C17" s="111" t="s">
        <v>2</v>
      </c>
      <c r="D17" s="111" t="s">
        <v>3</v>
      </c>
    </row>
    <row r="18" spans="2:4" ht="29.1" customHeight="1" x14ac:dyDescent="0.25">
      <c r="B18" s="303"/>
      <c r="C18" s="324"/>
      <c r="D18" s="111"/>
    </row>
    <row r="20" spans="2:4" x14ac:dyDescent="0.25">
      <c r="B20" s="111" t="s">
        <v>1</v>
      </c>
      <c r="C20" s="111" t="s">
        <v>2</v>
      </c>
      <c r="D20" s="111" t="s">
        <v>3</v>
      </c>
    </row>
    <row r="21" spans="2:4" ht="29.1" customHeight="1" x14ac:dyDescent="0.25">
      <c r="B21" s="303"/>
      <c r="C21" s="324"/>
      <c r="D21" s="111"/>
    </row>
    <row r="23" spans="2:4" x14ac:dyDescent="0.25">
      <c r="B23" s="111" t="s">
        <v>1</v>
      </c>
      <c r="C23" s="111" t="s">
        <v>2</v>
      </c>
      <c r="D23" s="111" t="s">
        <v>3</v>
      </c>
    </row>
    <row r="24" spans="2:4" ht="29.1" customHeight="1" x14ac:dyDescent="0.25">
      <c r="B24" s="303"/>
      <c r="C24" s="324"/>
      <c r="D24" s="111"/>
    </row>
    <row r="26" spans="2:4" x14ac:dyDescent="0.25">
      <c r="B26" s="111" t="s">
        <v>1</v>
      </c>
      <c r="C26" s="111" t="s">
        <v>2</v>
      </c>
      <c r="D26" s="111" t="s">
        <v>3</v>
      </c>
    </row>
    <row r="27" spans="2:4" ht="30" customHeight="1" x14ac:dyDescent="0.25">
      <c r="B27" s="303"/>
      <c r="C27" s="324"/>
      <c r="D27" s="111"/>
    </row>
    <row r="29" spans="2:4" x14ac:dyDescent="0.25">
      <c r="B29" s="111" t="s">
        <v>1</v>
      </c>
      <c r="C29" s="111" t="s">
        <v>2</v>
      </c>
      <c r="D29" s="111" t="s">
        <v>3</v>
      </c>
    </row>
    <row r="30" spans="2:4" ht="30" customHeight="1" x14ac:dyDescent="0.25">
      <c r="B30" s="303"/>
      <c r="C30" s="324"/>
      <c r="D30" s="111"/>
    </row>
    <row r="32" spans="2:4" x14ac:dyDescent="0.25">
      <c r="B32" s="111" t="s">
        <v>1</v>
      </c>
      <c r="C32" s="111" t="s">
        <v>2</v>
      </c>
      <c r="D32" s="111" t="s">
        <v>3</v>
      </c>
    </row>
    <row r="33" spans="2:4" ht="30" customHeight="1" x14ac:dyDescent="0.25">
      <c r="B33" s="303"/>
      <c r="C33" s="324"/>
      <c r="D33" s="111"/>
    </row>
    <row r="35" spans="2:4" x14ac:dyDescent="0.25">
      <c r="B35" s="111" t="s">
        <v>1</v>
      </c>
      <c r="C35" s="111" t="s">
        <v>2</v>
      </c>
      <c r="D35" s="111" t="s">
        <v>3</v>
      </c>
    </row>
    <row r="36" spans="2:4" ht="30" customHeight="1" x14ac:dyDescent="0.25">
      <c r="B36" s="303"/>
      <c r="C36" s="324"/>
      <c r="D36" s="111"/>
    </row>
    <row r="38" spans="2:4" x14ac:dyDescent="0.25">
      <c r="B38" s="111" t="s">
        <v>1</v>
      </c>
      <c r="C38" s="324" t="s">
        <v>2</v>
      </c>
      <c r="D38" s="111" t="s">
        <v>3</v>
      </c>
    </row>
    <row r="39" spans="2:4" ht="30" customHeight="1" x14ac:dyDescent="0.25">
      <c r="B39" s="303"/>
      <c r="C39" s="324"/>
      <c r="D39" s="1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8368F-164F-412F-8AFB-051D00A86E7C}">
  <sheetPr codeName="Sheet2">
    <tabColor theme="8" tint="0.59999389629810485"/>
  </sheetPr>
  <dimension ref="B2:G30"/>
  <sheetViews>
    <sheetView zoomScale="71" workbookViewId="0">
      <selection activeCell="C44" sqref="C44"/>
    </sheetView>
  </sheetViews>
  <sheetFormatPr defaultColWidth="9.140625" defaultRowHeight="15.75" x14ac:dyDescent="0.25"/>
  <cols>
    <col min="1" max="1" width="9.140625" style="475"/>
    <col min="2" max="2" width="18" style="475" customWidth="1"/>
    <col min="3" max="3" width="12.85546875" style="475" customWidth="1"/>
    <col min="4" max="4" width="1.42578125" style="475" customWidth="1"/>
    <col min="5" max="5" width="51.85546875" style="475" customWidth="1"/>
    <col min="6" max="6" width="8.85546875" style="475" bestFit="1" customWidth="1"/>
    <col min="7" max="7" width="8.140625" style="475" customWidth="1"/>
    <col min="8" max="8" width="8.85546875" style="475" bestFit="1" customWidth="1"/>
    <col min="9" max="16384" width="9.140625" style="475"/>
  </cols>
  <sheetData>
    <row r="2" spans="2:7" x14ac:dyDescent="0.25">
      <c r="B2" s="484" t="s">
        <v>493</v>
      </c>
    </row>
    <row r="4" spans="2:7" x14ac:dyDescent="0.25">
      <c r="B4" s="474">
        <f ca="1">TODAY()</f>
        <v>46105</v>
      </c>
    </row>
    <row r="5" spans="2:7" ht="15.75" customHeight="1" x14ac:dyDescent="0.25">
      <c r="B5" s="477">
        <f>'Deal Details'!C16</f>
        <v>0</v>
      </c>
    </row>
    <row r="6" spans="2:7" ht="22.35" customHeight="1" x14ac:dyDescent="0.25">
      <c r="B6" s="477">
        <f>'Deal Details'!C15</f>
        <v>0</v>
      </c>
    </row>
    <row r="7" spans="2:7" ht="20.85" customHeight="1" x14ac:dyDescent="0.25">
      <c r="B7" s="485" t="str">
        <f>"RE: Non-binding Loan Term Sheet to provide financing for a "&amp;'Deal Details'!C11&amp;" project in "&amp;'Deal Details'!C5&amp;", "&amp;'Deal Details'!C4</f>
        <v xml:space="preserve">RE: Non-binding Loan Term Sheet to provide financing for a  project in , </v>
      </c>
    </row>
    <row r="8" spans="2:7" ht="22.35" customHeight="1" x14ac:dyDescent="0.25"/>
    <row r="9" spans="2:7" ht="44.85" customHeight="1" x14ac:dyDescent="0.25">
      <c r="B9" s="688" t="str">
        <f>"Mesa Bridge Capital LLC has reviewed the preliminary information regarding the subject property and is interested in proceeding with a "&amp;'Deal Details'!C13&amp;" loan in accordance with the general terms discussed. Based on preliminary information, we would propose a loan as follows:"</f>
        <v>Mesa Bridge Capital LLC has reviewed the preliminary information regarding the subject property and is interested in proceeding with a  loan in accordance with the general terms discussed. Based on preliminary information, we would propose a loan as follows:</v>
      </c>
      <c r="C9" s="688"/>
      <c r="D9" s="688"/>
      <c r="E9" s="688"/>
      <c r="F9" s="488"/>
      <c r="G9" s="488"/>
    </row>
    <row r="10" spans="2:7" ht="13.5" customHeight="1" x14ac:dyDescent="0.25">
      <c r="B10" s="478"/>
      <c r="C10" s="478"/>
      <c r="D10" s="478"/>
      <c r="E10" s="478"/>
      <c r="F10" s="478"/>
      <c r="G10" s="478"/>
    </row>
    <row r="11" spans="2:7" ht="22.35" customHeight="1" x14ac:dyDescent="0.25">
      <c r="B11" s="479" t="s">
        <v>474</v>
      </c>
      <c r="C11" s="480" t="str">
        <f>IFERROR(ROUNDDOWN('Deal Details'!F20,-2),"")</f>
        <v/>
      </c>
      <c r="E11" s="475" t="s">
        <v>531</v>
      </c>
    </row>
    <row r="12" spans="2:7" ht="22.35" customHeight="1" x14ac:dyDescent="0.25">
      <c r="B12" s="479"/>
      <c r="C12" s="480"/>
      <c r="E12" s="475" t="s">
        <v>532</v>
      </c>
    </row>
    <row r="13" spans="2:7" ht="22.35" customHeight="1" x14ac:dyDescent="0.25">
      <c r="C13" s="480" t="str">
        <f>ProForma!D57</f>
        <v/>
      </c>
      <c r="E13" s="475" t="s">
        <v>288</v>
      </c>
    </row>
    <row r="14" spans="2:7" ht="22.35" customHeight="1" x14ac:dyDescent="0.25">
      <c r="C14" s="480">
        <f>'Deal Details'!C24</f>
        <v>7500</v>
      </c>
      <c r="E14" s="475" t="s">
        <v>533</v>
      </c>
    </row>
    <row r="15" spans="2:7" ht="22.35" customHeight="1" x14ac:dyDescent="0.25">
      <c r="C15" s="481">
        <f>IFERROR(SUM('Deal Details'!C22:C23),"")</f>
        <v>13500</v>
      </c>
      <c r="E15" s="475" t="s">
        <v>475</v>
      </c>
    </row>
    <row r="16" spans="2:7" ht="22.35" customHeight="1" x14ac:dyDescent="0.25">
      <c r="C16" s="480" t="str">
        <f>ProForma!D56</f>
        <v/>
      </c>
      <c r="E16" s="475" t="str">
        <f>TEXT('Deal Details'!C20, "0%") &amp; " Broker Fee"</f>
        <v>1% Broker Fee</v>
      </c>
    </row>
    <row r="17" spans="2:5" ht="22.35" customHeight="1" x14ac:dyDescent="0.25">
      <c r="C17" s="482" t="str">
        <f>ProForma!D55</f>
        <v/>
      </c>
      <c r="E17" s="475" t="s">
        <v>259</v>
      </c>
    </row>
    <row r="18" spans="2:5" ht="22.35" customHeight="1" x14ac:dyDescent="0.25">
      <c r="C18" s="483">
        <f>SUM(C11:C17)</f>
        <v>21000</v>
      </c>
      <c r="D18" s="484"/>
      <c r="E18" s="484" t="s">
        <v>476</v>
      </c>
    </row>
    <row r="19" spans="2:5" ht="22.35" customHeight="1" x14ac:dyDescent="0.25"/>
    <row r="20" spans="2:5" ht="24" customHeight="1" x14ac:dyDescent="0.25">
      <c r="B20" s="485" t="s">
        <v>477</v>
      </c>
      <c r="D20" s="477">
        <f>'Deal Details'!C16</f>
        <v>0</v>
      </c>
    </row>
    <row r="21" spans="2:5" ht="24" customHeight="1" x14ac:dyDescent="0.25">
      <c r="B21" s="485" t="s">
        <v>478</v>
      </c>
      <c r="D21" s="477" t="str">
        <f>TEXT('Deal Details'!C27, "0") &amp; " Months"</f>
        <v>12 Months</v>
      </c>
      <c r="E21" s="476"/>
    </row>
    <row r="22" spans="2:5" ht="24" customHeight="1" x14ac:dyDescent="0.25">
      <c r="B22" s="485" t="s">
        <v>479</v>
      </c>
      <c r="D22" s="477" t="s">
        <v>523</v>
      </c>
    </row>
    <row r="23" spans="2:5" ht="24" customHeight="1" x14ac:dyDescent="0.25">
      <c r="B23" s="485" t="s">
        <v>480</v>
      </c>
      <c r="D23" s="477">
        <f>'Deal Details'!C15</f>
        <v>0</v>
      </c>
    </row>
    <row r="24" spans="2:5" ht="24" customHeight="1" x14ac:dyDescent="0.25">
      <c r="B24" s="485" t="s">
        <v>481</v>
      </c>
      <c r="C24" s="476"/>
      <c r="D24" s="477" t="s">
        <v>482</v>
      </c>
    </row>
    <row r="25" spans="2:5" ht="24" customHeight="1" x14ac:dyDescent="0.25">
      <c r="B25" s="485" t="s">
        <v>483</v>
      </c>
      <c r="D25" s="477" t="str">
        <f>"First security position on property located:"&amp;'Deal Details'!C6&amp;""</f>
        <v>First security position on property located:</v>
      </c>
      <c r="E25" s="486"/>
    </row>
    <row r="26" spans="2:5" ht="24" customHeight="1" x14ac:dyDescent="0.25">
      <c r="B26" s="485" t="s">
        <v>484</v>
      </c>
      <c r="D26" s="477" t="s">
        <v>485</v>
      </c>
    </row>
    <row r="27" spans="2:5" ht="24" customHeight="1" x14ac:dyDescent="0.25">
      <c r="B27" s="485" t="s">
        <v>486</v>
      </c>
      <c r="C27" s="476"/>
      <c r="D27" s="477" t="str">
        <f>TEXT('Deal Details'!C27, "0") &amp; " months interest reserve, paid at close from loan proceeds"</f>
        <v>12 months interest reserve, paid at close from loan proceeds</v>
      </c>
    </row>
    <row r="28" spans="2:5" ht="24" customHeight="1" x14ac:dyDescent="0.25">
      <c r="B28" s="487" t="s">
        <v>487</v>
      </c>
      <c r="D28" s="477" t="s">
        <v>488</v>
      </c>
    </row>
    <row r="29" spans="2:5" ht="24" customHeight="1" x14ac:dyDescent="0.25">
      <c r="B29" s="487" t="s">
        <v>489</v>
      </c>
      <c r="D29" s="477" t="s">
        <v>490</v>
      </c>
    </row>
    <row r="30" spans="2:5" ht="24" customHeight="1" x14ac:dyDescent="0.25">
      <c r="B30" s="487" t="s">
        <v>491</v>
      </c>
      <c r="D30" s="477" t="s">
        <v>492</v>
      </c>
    </row>
  </sheetData>
  <mergeCells count="1">
    <mergeCell ref="B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4" tint="0.59999389629810485"/>
  </sheetPr>
  <dimension ref="A1:V100"/>
  <sheetViews>
    <sheetView tabSelected="1" zoomScale="80" zoomScaleNormal="80" workbookViewId="0">
      <selection activeCell="C3" sqref="C3"/>
    </sheetView>
  </sheetViews>
  <sheetFormatPr defaultColWidth="8.85546875" defaultRowHeight="15" x14ac:dyDescent="0.25"/>
  <cols>
    <col min="1" max="1" width="8.85546875" style="283"/>
    <col min="2" max="2" width="33.140625" style="283" customWidth="1"/>
    <col min="3" max="3" width="26.5703125" style="283" bestFit="1" customWidth="1"/>
    <col min="4" max="4" width="12.85546875" style="283" bestFit="1" customWidth="1"/>
    <col min="5" max="5" width="20.140625" style="283" bestFit="1" customWidth="1"/>
    <col min="6" max="6" width="13" style="283" customWidth="1"/>
    <col min="7" max="7" width="17.85546875" style="283" customWidth="1"/>
    <col min="8" max="8" width="15.140625" style="283" bestFit="1" customWidth="1"/>
    <col min="9" max="9" width="13.28515625" style="283" bestFit="1" customWidth="1"/>
    <col min="10" max="10" width="15.85546875" style="283" customWidth="1"/>
    <col min="11" max="11" width="16.42578125" style="283" bestFit="1" customWidth="1"/>
    <col min="12" max="12" width="13.42578125" style="283" bestFit="1" customWidth="1"/>
    <col min="13" max="13" width="14.5703125" style="283" customWidth="1"/>
    <col min="14" max="14" width="13.42578125" style="283" customWidth="1"/>
    <col min="15" max="15" width="12.42578125" style="283" bestFit="1" customWidth="1"/>
    <col min="16" max="16" width="11.5703125" style="283" customWidth="1"/>
    <col min="17" max="17" width="24.140625" style="283" customWidth="1"/>
    <col min="18" max="18" width="14.85546875" style="283" customWidth="1"/>
    <col min="19" max="19" width="13.140625" style="283" customWidth="1"/>
    <col min="20" max="20" width="11.85546875" style="283" customWidth="1"/>
    <col min="21" max="21" width="17.85546875" style="283" bestFit="1" customWidth="1"/>
    <col min="22" max="22" width="11.5703125" style="283" bestFit="1" customWidth="1"/>
    <col min="23" max="23" width="9.42578125" style="283" bestFit="1" customWidth="1"/>
    <col min="24" max="24" width="6.42578125" style="283" bestFit="1" customWidth="1"/>
    <col min="25" max="16384" width="8.85546875" style="283"/>
  </cols>
  <sheetData>
    <row r="1" spans="1:22" ht="16.5" x14ac:dyDescent="0.3">
      <c r="A1" s="283">
        <f>MAX('Version Control'!D6:D64)</f>
        <v>1.1000000000000001</v>
      </c>
      <c r="B1" s="397"/>
      <c r="C1" s="398"/>
      <c r="D1" s="398"/>
      <c r="E1" s="398"/>
      <c r="F1" s="398"/>
      <c r="G1" s="398"/>
      <c r="H1" s="398"/>
      <c r="I1" s="398"/>
      <c r="J1" s="398"/>
      <c r="K1" s="398"/>
      <c r="L1" s="398"/>
      <c r="M1" s="398"/>
      <c r="N1" s="398"/>
      <c r="O1" s="398"/>
    </row>
    <row r="2" spans="1:22" ht="17.25" x14ac:dyDescent="0.35">
      <c r="B2" s="460" t="s">
        <v>462</v>
      </c>
      <c r="C2" s="461"/>
      <c r="D2" s="398"/>
      <c r="E2" s="398"/>
      <c r="F2" s="398" t="s">
        <v>5</v>
      </c>
      <c r="G2" s="398"/>
      <c r="H2" s="398"/>
      <c r="I2" s="398"/>
      <c r="J2" s="398"/>
      <c r="K2" s="398"/>
      <c r="L2" s="398"/>
      <c r="M2" s="398"/>
      <c r="N2" s="398"/>
      <c r="O2" s="398"/>
    </row>
    <row r="3" spans="1:22" ht="16.5" x14ac:dyDescent="0.3">
      <c r="B3" s="398" t="s">
        <v>4</v>
      </c>
      <c r="C3" s="398"/>
      <c r="D3" s="398"/>
      <c r="E3" s="687"/>
      <c r="F3" s="687"/>
      <c r="G3" s="687"/>
      <c r="H3" s="687"/>
      <c r="I3" s="687"/>
      <c r="J3" s="398"/>
      <c r="K3" s="398" t="s">
        <v>443</v>
      </c>
      <c r="L3" s="398"/>
      <c r="M3" s="398"/>
      <c r="N3" s="398"/>
      <c r="O3" s="398"/>
    </row>
    <row r="4" spans="1:22" ht="16.5" x14ac:dyDescent="0.3">
      <c r="B4" s="398" t="s">
        <v>6</v>
      </c>
      <c r="C4" s="398"/>
      <c r="D4" s="398"/>
      <c r="E4" s="687"/>
      <c r="F4" s="687"/>
      <c r="G4" s="687"/>
      <c r="H4" s="687"/>
      <c r="I4" s="687"/>
      <c r="J4" s="398"/>
      <c r="K4" s="398" t="s">
        <v>444</v>
      </c>
      <c r="L4" s="398"/>
      <c r="M4" s="398"/>
      <c r="N4" s="398"/>
      <c r="O4" s="398"/>
    </row>
    <row r="5" spans="1:22" ht="16.5" x14ac:dyDescent="0.3">
      <c r="B5" s="398" t="s">
        <v>7</v>
      </c>
      <c r="C5" s="398"/>
      <c r="D5" s="398"/>
      <c r="E5" s="687"/>
      <c r="F5" s="687"/>
      <c r="G5" s="687"/>
      <c r="H5" s="687"/>
      <c r="I5" s="687"/>
      <c r="J5" s="398"/>
      <c r="K5" s="398" t="s">
        <v>445</v>
      </c>
      <c r="L5" s="398"/>
      <c r="M5" s="398"/>
      <c r="N5" s="398"/>
      <c r="O5" s="398"/>
    </row>
    <row r="6" spans="1:22" ht="16.5" x14ac:dyDescent="0.3">
      <c r="B6" s="398" t="s">
        <v>43</v>
      </c>
      <c r="C6" s="398"/>
      <c r="D6" s="398"/>
      <c r="E6" s="687"/>
      <c r="F6" s="687"/>
      <c r="G6" s="687"/>
      <c r="H6" s="687"/>
      <c r="I6" s="687"/>
      <c r="J6" s="398"/>
      <c r="K6" s="398" t="s">
        <v>446</v>
      </c>
      <c r="L6" s="398"/>
      <c r="M6" s="398"/>
      <c r="N6" s="398"/>
      <c r="O6" s="398"/>
    </row>
    <row r="7" spans="1:22" ht="16.5" x14ac:dyDescent="0.3">
      <c r="B7" s="398" t="s">
        <v>8</v>
      </c>
      <c r="C7" s="398"/>
      <c r="D7" s="398"/>
      <c r="E7" s="687"/>
      <c r="F7" s="687"/>
      <c r="G7" s="687"/>
      <c r="H7" s="687"/>
      <c r="I7" s="687"/>
      <c r="J7" s="398"/>
      <c r="K7" s="398" t="s">
        <v>465</v>
      </c>
      <c r="L7" s="398"/>
      <c r="M7" s="398"/>
      <c r="N7" s="398"/>
      <c r="O7" s="398"/>
    </row>
    <row r="8" spans="1:22" ht="16.5" x14ac:dyDescent="0.3">
      <c r="B8" s="398" t="s">
        <v>9</v>
      </c>
      <c r="C8" s="398"/>
      <c r="D8" s="398"/>
      <c r="E8" s="687"/>
      <c r="F8" s="687"/>
      <c r="G8" s="687"/>
      <c r="H8" s="687"/>
      <c r="I8" s="687"/>
      <c r="J8" s="398"/>
      <c r="K8" s="398"/>
      <c r="L8" s="398"/>
      <c r="M8" s="398"/>
      <c r="N8" s="398"/>
      <c r="O8" s="398"/>
    </row>
    <row r="9" spans="1:22" ht="16.5" x14ac:dyDescent="0.3">
      <c r="B9" s="398" t="s">
        <v>455</v>
      </c>
      <c r="C9" s="468"/>
      <c r="D9" s="398"/>
      <c r="E9" s="687"/>
      <c r="F9" s="687"/>
      <c r="G9" s="687"/>
      <c r="H9" s="687"/>
      <c r="I9" s="687"/>
      <c r="J9" s="398"/>
      <c r="K9" s="398"/>
      <c r="L9" s="398"/>
      <c r="M9" s="398"/>
      <c r="N9" s="398"/>
      <c r="O9" s="398"/>
    </row>
    <row r="10" spans="1:22" ht="16.5" x14ac:dyDescent="0.3">
      <c r="B10" s="398" t="s">
        <v>10</v>
      </c>
      <c r="C10" s="469"/>
      <c r="D10" s="398"/>
      <c r="E10" s="687"/>
      <c r="F10" s="687"/>
      <c r="G10" s="687"/>
      <c r="H10" s="687"/>
      <c r="I10" s="687"/>
      <c r="J10" s="398"/>
      <c r="K10" s="398"/>
      <c r="L10" s="398"/>
      <c r="M10" s="398"/>
      <c r="N10" s="398"/>
      <c r="O10" s="398"/>
    </row>
    <row r="11" spans="1:22" ht="16.5" x14ac:dyDescent="0.3">
      <c r="B11" s="398" t="s">
        <v>16</v>
      </c>
      <c r="C11" s="398"/>
      <c r="D11" s="398"/>
      <c r="E11" s="687"/>
      <c r="F11" s="687"/>
      <c r="G11" s="687"/>
      <c r="H11" s="687"/>
      <c r="I11" s="687"/>
      <c r="J11" s="398"/>
      <c r="K11" s="398"/>
      <c r="L11" s="398"/>
      <c r="M11" s="398"/>
      <c r="N11" s="398"/>
      <c r="O11" s="398"/>
    </row>
    <row r="12" spans="1:22" ht="17.25" x14ac:dyDescent="0.35">
      <c r="B12" s="398" t="s">
        <v>17</v>
      </c>
      <c r="C12" s="398"/>
      <c r="D12" s="398"/>
      <c r="E12" s="399"/>
      <c r="F12" s="399"/>
      <c r="G12" s="399"/>
      <c r="H12" s="399"/>
      <c r="I12" s="399"/>
      <c r="J12" s="398"/>
      <c r="K12" s="398"/>
      <c r="L12" s="398"/>
      <c r="M12" s="398"/>
      <c r="N12" s="460" t="s">
        <v>542</v>
      </c>
      <c r="O12" s="461"/>
      <c r="P12" s="461"/>
      <c r="Q12" s="461"/>
      <c r="R12" s="461"/>
      <c r="S12" s="547"/>
      <c r="T12" s="547"/>
      <c r="U12" s="547"/>
      <c r="V12" s="547"/>
    </row>
    <row r="13" spans="1:22" ht="18" thickBot="1" x14ac:dyDescent="0.4">
      <c r="B13" s="398" t="s">
        <v>13</v>
      </c>
      <c r="C13" s="398"/>
      <c r="D13" s="398"/>
      <c r="E13" s="465" t="s">
        <v>467</v>
      </c>
      <c r="F13" s="466">
        <f>C36*C10*(1-C38)</f>
        <v>0</v>
      </c>
      <c r="G13" s="400"/>
      <c r="H13" s="408" t="s">
        <v>24</v>
      </c>
      <c r="I13" s="467">
        <f>H23</f>
        <v>0</v>
      </c>
      <c r="J13" s="398"/>
      <c r="K13" s="460" t="s">
        <v>494</v>
      </c>
      <c r="L13" s="461"/>
      <c r="M13" s="398"/>
      <c r="N13" s="548"/>
      <c r="O13" s="398"/>
      <c r="P13" s="398"/>
      <c r="Q13" s="398"/>
      <c r="R13" s="398"/>
    </row>
    <row r="14" spans="1:22" ht="18" thickBot="1" x14ac:dyDescent="0.4">
      <c r="B14" s="460" t="s">
        <v>463</v>
      </c>
      <c r="C14" s="462"/>
      <c r="D14" s="398"/>
      <c r="E14" s="398" t="s">
        <v>26</v>
      </c>
      <c r="F14" s="418">
        <f>F13*0.65</f>
        <v>0</v>
      </c>
      <c r="G14" s="400"/>
      <c r="H14" s="398" t="s">
        <v>25</v>
      </c>
      <c r="I14" s="418">
        <f>I13*0.75</f>
        <v>0</v>
      </c>
      <c r="J14" s="398"/>
      <c r="K14" s="398" t="s">
        <v>495</v>
      </c>
      <c r="L14" s="499">
        <v>0</v>
      </c>
      <c r="M14" s="398"/>
      <c r="N14" s="549" t="s">
        <v>536</v>
      </c>
      <c r="O14" s="397" t="s">
        <v>537</v>
      </c>
      <c r="P14" s="397" t="s">
        <v>538</v>
      </c>
      <c r="Q14" s="550" t="s">
        <v>539</v>
      </c>
      <c r="R14" s="551">
        <f>S14-2</f>
        <v>8</v>
      </c>
      <c r="S14" s="552">
        <f>T14-2</f>
        <v>10</v>
      </c>
      <c r="T14" s="553">
        <f>C27</f>
        <v>12</v>
      </c>
      <c r="U14" s="554">
        <f>T14+2</f>
        <v>14</v>
      </c>
      <c r="V14" s="551">
        <f>U14+2</f>
        <v>16</v>
      </c>
    </row>
    <row r="15" spans="1:22" ht="16.5" x14ac:dyDescent="0.3">
      <c r="B15" s="398" t="s">
        <v>11</v>
      </c>
      <c r="C15" s="398"/>
      <c r="D15" s="398"/>
      <c r="E15" s="409" t="s">
        <v>29</v>
      </c>
      <c r="F15" s="418">
        <f>F13*0.6</f>
        <v>0</v>
      </c>
      <c r="G15" s="400"/>
      <c r="H15" s="398" t="s">
        <v>28</v>
      </c>
      <c r="I15" s="418">
        <f>I13*0.65</f>
        <v>0</v>
      </c>
      <c r="J15" s="400"/>
      <c r="K15" s="400" t="s">
        <v>496</v>
      </c>
      <c r="L15" s="499">
        <v>0</v>
      </c>
      <c r="M15" s="409"/>
      <c r="N15" s="555" t="e">
        <f>O15/$C$10</f>
        <v>#DIV/0!</v>
      </c>
      <c r="O15" s="556">
        <f>$F$13*(1+Q15)</f>
        <v>0</v>
      </c>
      <c r="P15" s="557">
        <f>O15-$F$13</f>
        <v>0</v>
      </c>
      <c r="Q15" s="558">
        <f>Q16*2</f>
        <v>0.05</v>
      </c>
      <c r="R15" s="473" t="e">
        <f>_xlfn.XLOOKUP(R$14*30,'Senior Amort'!$B$33:$B$2180,'Senior Amort'!$I$33:$I$2180)/$O15</f>
        <v>#VALUE!</v>
      </c>
      <c r="S15" s="473" t="e">
        <f>_xlfn.XLOOKUP(S$14*30,'Senior Amort'!$B$33:$B$2180,'Senior Amort'!$I$33:$I$2180)/$O15</f>
        <v>#VALUE!</v>
      </c>
      <c r="T15" s="473" t="e">
        <f>_xlfn.XLOOKUP(T$14*30,'Senior Amort'!$B$33:$B$2180,'Senior Amort'!$I$33:$I$2180)/$O15</f>
        <v>#VALUE!</v>
      </c>
      <c r="U15" s="473" t="e">
        <f>_xlfn.XLOOKUP(U$14*30,'Senior Amort'!$B$33:$B$2180,'Senior Amort'!$I$33:$I$2180)/$O15</f>
        <v>#VALUE!</v>
      </c>
      <c r="V15" s="473" t="e">
        <f>_xlfn.XLOOKUP(V$14*30,'Senior Amort'!$B$33:$B$2180,'Senior Amort'!$I$33:$I$2180)/$O15</f>
        <v>#VALUE!</v>
      </c>
    </row>
    <row r="16" spans="1:22" ht="17.25" thickBot="1" x14ac:dyDescent="0.35">
      <c r="B16" s="398" t="s">
        <v>12</v>
      </c>
      <c r="C16" s="398"/>
      <c r="D16" s="398"/>
      <c r="E16" s="409" t="s">
        <v>32</v>
      </c>
      <c r="F16" s="418">
        <f>F13*0.5</f>
        <v>0</v>
      </c>
      <c r="G16" s="400"/>
      <c r="H16" s="398" t="s">
        <v>31</v>
      </c>
      <c r="I16" s="418">
        <f>I13*0.5</f>
        <v>0</v>
      </c>
      <c r="J16" s="404"/>
      <c r="K16" s="398"/>
      <c r="L16" s="406"/>
      <c r="M16" s="406"/>
      <c r="N16" s="559" t="e">
        <f t="shared" ref="N16:N19" si="0">O16/$C$10</f>
        <v>#DIV/0!</v>
      </c>
      <c r="O16" s="560">
        <f t="shared" ref="O16:O19" si="1">$F$13*(1+Q16)</f>
        <v>0</v>
      </c>
      <c r="P16" s="561">
        <f t="shared" ref="P16:P19" si="2">O16-$F$13</f>
        <v>0</v>
      </c>
      <c r="Q16" s="562">
        <f>C39/4</f>
        <v>2.5000000000000001E-2</v>
      </c>
      <c r="R16" s="473" t="e">
        <f>_xlfn.XLOOKUP(R$14*30,'Senior Amort'!$B$33:$B$2180,'Senior Amort'!$I$33:$I$2180)/$O16</f>
        <v>#VALUE!</v>
      </c>
      <c r="S16" s="473" t="e">
        <f>_xlfn.XLOOKUP(S$14*30,'Senior Amort'!$B$33:$B$2180,'Senior Amort'!$I$33:$I$2180)/$O16</f>
        <v>#VALUE!</v>
      </c>
      <c r="T16" s="473" t="e">
        <f>_xlfn.XLOOKUP(T$14*30,'Senior Amort'!$B$33:$B$2180,'Senior Amort'!$I$33:$I$2180)/$O16</f>
        <v>#VALUE!</v>
      </c>
      <c r="U16" s="574" t="e">
        <f>_xlfn.XLOOKUP(U$14*30,'Senior Amort'!$B$33:$B$2180,'Senior Amort'!$I$33:$I$2180)/$O16</f>
        <v>#VALUE!</v>
      </c>
      <c r="V16" s="574" t="e">
        <f>_xlfn.XLOOKUP(V$14*30,'Senior Amort'!$B$33:$B$2180,'Senior Amort'!$I$33:$I$2180)/$O16</f>
        <v>#VALUE!</v>
      </c>
    </row>
    <row r="17" spans="2:22" ht="17.25" thickBot="1" x14ac:dyDescent="0.35">
      <c r="B17" s="398" t="s">
        <v>14</v>
      </c>
      <c r="C17" s="398"/>
      <c r="D17" s="398"/>
      <c r="E17" s="409"/>
      <c r="F17" s="418"/>
      <c r="G17" s="400"/>
      <c r="H17" s="398"/>
      <c r="I17" s="418"/>
      <c r="J17" s="404"/>
      <c r="K17" s="398"/>
      <c r="L17" s="406"/>
      <c r="M17" s="406"/>
      <c r="N17" s="563" t="e">
        <f t="shared" si="0"/>
        <v>#DIV/0!</v>
      </c>
      <c r="O17" s="564">
        <f t="shared" si="1"/>
        <v>0</v>
      </c>
      <c r="P17" s="565">
        <f t="shared" si="2"/>
        <v>0</v>
      </c>
      <c r="Q17" s="566">
        <f>0%</f>
        <v>0</v>
      </c>
      <c r="R17" s="473" t="e">
        <f>_xlfn.XLOOKUP(R$14*30,'Senior Amort'!$B$33:$B$2180,'Senior Amort'!$I$33:$I$2180)/$O17</f>
        <v>#VALUE!</v>
      </c>
      <c r="S17" s="473" t="e">
        <f>_xlfn.XLOOKUP(S$14*30,'Senior Amort'!$B$33:$B$2180,'Senior Amort'!$I$33:$I$2180)/$O17</f>
        <v>#VALUE!</v>
      </c>
      <c r="T17" s="575" t="e">
        <f>_xlfn.XLOOKUP(T$14*30,'Senior Amort'!$B$33:$B$2180,'Senior Amort'!$I$33:$I$2180)/$O17</f>
        <v>#VALUE!</v>
      </c>
      <c r="U17" s="576" t="e">
        <f>_xlfn.XLOOKUP(U$14*30,'Senior Amort'!$B$33:$B$2180,'Senior Amort'!$I$33:$I$2180)/$O17</f>
        <v>#VALUE!</v>
      </c>
      <c r="V17" s="473" t="e">
        <f>_xlfn.XLOOKUP(V$14*30,'Senior Amort'!$B$33:$B$2180,'Senior Amort'!$I$33:$I$2180)/$O17</f>
        <v>#VALUE!</v>
      </c>
    </row>
    <row r="18" spans="2:22" ht="16.5" x14ac:dyDescent="0.3">
      <c r="B18" s="398" t="s">
        <v>469</v>
      </c>
      <c r="C18" s="398"/>
      <c r="D18" s="398"/>
      <c r="E18" s="400"/>
      <c r="F18" s="400"/>
      <c r="G18" s="400"/>
      <c r="H18" s="398"/>
      <c r="I18" s="400"/>
      <c r="J18" s="404"/>
      <c r="K18" s="398"/>
      <c r="L18" s="398"/>
      <c r="M18" s="398"/>
      <c r="N18" s="567" t="e">
        <f t="shared" si="0"/>
        <v>#DIV/0!</v>
      </c>
      <c r="O18" s="568">
        <f t="shared" si="1"/>
        <v>0</v>
      </c>
      <c r="P18" s="569">
        <f t="shared" si="2"/>
        <v>0</v>
      </c>
      <c r="Q18" s="570">
        <f>Q17-C39/4</f>
        <v>-2.5000000000000001E-2</v>
      </c>
      <c r="R18" s="577" t="e">
        <f>_xlfn.XLOOKUP(R$14*30,'Senior Amort'!$B$33:$B$2180,'Senior Amort'!$I$33:$I$2180)/$O18</f>
        <v>#VALUE!</v>
      </c>
      <c r="S18" s="578" t="e">
        <f>_xlfn.XLOOKUP(S$14*30,'Senior Amort'!$B$33:$B$2180,'Senior Amort'!$I$33:$I$2180)/$O18</f>
        <v>#VALUE!</v>
      </c>
      <c r="T18" s="578" t="e">
        <f>_xlfn.XLOOKUP(T$14*30,'Senior Amort'!$B$33:$B$2180,'Senior Amort'!$I$33:$I$2180)/$O18</f>
        <v>#VALUE!</v>
      </c>
      <c r="U18" s="578" t="e">
        <f>_xlfn.XLOOKUP(U$14*30,'Senior Amort'!$B$33:$B$2180,'Senior Amort'!$I$33:$I$2180)/$O18</f>
        <v>#VALUE!</v>
      </c>
      <c r="V18" s="578" t="e">
        <f>_xlfn.XLOOKUP(V$14*30,'Senior Amort'!$B$33:$B$2180,'Senior Amort'!$I$33:$I$2180)/$O18</f>
        <v>#VALUE!</v>
      </c>
    </row>
    <row r="19" spans="2:22" ht="17.25" x14ac:dyDescent="0.35">
      <c r="B19" s="463" t="s">
        <v>274</v>
      </c>
      <c r="C19" s="464"/>
      <c r="D19" s="405"/>
      <c r="E19" s="407" t="s">
        <v>456</v>
      </c>
      <c r="F19" s="408"/>
      <c r="G19" s="407" t="s">
        <v>458</v>
      </c>
      <c r="H19" s="408"/>
      <c r="I19" s="404"/>
      <c r="J19" s="407" t="s">
        <v>495</v>
      </c>
      <c r="K19" s="407" t="s">
        <v>497</v>
      </c>
      <c r="L19" s="398"/>
      <c r="M19" s="398"/>
      <c r="N19" s="555" t="e">
        <f t="shared" si="0"/>
        <v>#DIV/0!</v>
      </c>
      <c r="O19" s="556">
        <f t="shared" si="1"/>
        <v>0</v>
      </c>
      <c r="P19" s="557">
        <f t="shared" si="2"/>
        <v>0</v>
      </c>
      <c r="Q19" s="558">
        <f>Q18*2</f>
        <v>-0.05</v>
      </c>
      <c r="R19" s="436" t="e">
        <f>_xlfn.XLOOKUP(R$14*30,'Senior Amort'!$B$33:$B$2180,'Senior Amort'!$I$33:$I$2180)/$O19</f>
        <v>#VALUE!</v>
      </c>
      <c r="S19" s="473" t="e">
        <f>_xlfn.XLOOKUP(S$14*30,'Senior Amort'!$B$33:$B$2180,'Senior Amort'!$I$33:$I$2180)/$O19</f>
        <v>#VALUE!</v>
      </c>
      <c r="T19" s="473" t="e">
        <f>_xlfn.XLOOKUP(T$14*30,'Senior Amort'!$B$33:$B$2180,'Senior Amort'!$I$33:$I$2180)/$O19</f>
        <v>#VALUE!</v>
      </c>
      <c r="U19" s="473" t="e">
        <f>_xlfn.XLOOKUP(U$14*30,'Senior Amort'!$B$33:$B$2180,'Senior Amort'!$I$33:$I$2180)/$O19</f>
        <v>#VALUE!</v>
      </c>
      <c r="V19" s="473" t="e">
        <f>_xlfn.XLOOKUP(V$14*30,'Senior Amort'!$B$33:$B$2180,'Senior Amort'!$I$33:$I$2180)/$O19</f>
        <v>#VALUE!</v>
      </c>
    </row>
    <row r="20" spans="2:22" ht="16.5" x14ac:dyDescent="0.3">
      <c r="B20" s="398" t="s">
        <v>15</v>
      </c>
      <c r="C20" s="453">
        <v>0.01</v>
      </c>
      <c r="D20" s="398"/>
      <c r="E20" s="398" t="s">
        <v>459</v>
      </c>
      <c r="F20" s="409" t="str">
        <f>ProForma!C63</f>
        <v/>
      </c>
      <c r="G20" s="398" t="s">
        <v>30</v>
      </c>
      <c r="H20" s="498">
        <f>J20+K20</f>
        <v>0</v>
      </c>
      <c r="I20" s="398"/>
      <c r="J20" s="499">
        <v>0</v>
      </c>
      <c r="K20" s="499">
        <v>0</v>
      </c>
      <c r="L20" s="406"/>
      <c r="M20" s="406"/>
      <c r="N20" s="406"/>
      <c r="O20" s="406"/>
      <c r="P20" s="406"/>
      <c r="Q20" s="406"/>
      <c r="R20" s="398"/>
    </row>
    <row r="21" spans="2:22" ht="16.5" x14ac:dyDescent="0.3">
      <c r="B21" s="398" t="s">
        <v>464</v>
      </c>
      <c r="C21" s="459">
        <v>3500</v>
      </c>
      <c r="D21" s="398"/>
      <c r="E21" s="398" t="s">
        <v>457</v>
      </c>
      <c r="F21" s="413" t="str">
        <f>C32</f>
        <v>$0</v>
      </c>
      <c r="G21" s="398" t="s">
        <v>460</v>
      </c>
      <c r="H21" s="498">
        <f t="shared" ref="H21" si="3">J21+K21</f>
        <v>0</v>
      </c>
      <c r="I21" s="398"/>
      <c r="J21" s="499">
        <v>0</v>
      </c>
      <c r="K21" s="499">
        <v>0</v>
      </c>
      <c r="L21" s="406"/>
      <c r="M21" s="406"/>
      <c r="N21" s="406"/>
      <c r="O21" s="406"/>
      <c r="P21" s="406"/>
      <c r="Q21" s="406" t="s">
        <v>540</v>
      </c>
      <c r="R21" s="571">
        <f>C39</f>
        <v>0.1</v>
      </c>
    </row>
    <row r="22" spans="2:22" ht="16.5" x14ac:dyDescent="0.3">
      <c r="B22" s="398" t="s">
        <v>34</v>
      </c>
      <c r="C22" s="459">
        <v>3500</v>
      </c>
      <c r="D22" s="398"/>
      <c r="E22" s="418" t="s">
        <v>37</v>
      </c>
      <c r="F22" s="498">
        <f>SUM(L14:L15)</f>
        <v>0</v>
      </c>
      <c r="G22" s="418" t="s">
        <v>461</v>
      </c>
      <c r="H22" s="498">
        <f>J22+K22</f>
        <v>0</v>
      </c>
      <c r="I22" s="418"/>
      <c r="J22" s="499">
        <v>0</v>
      </c>
      <c r="K22" s="499">
        <v>0</v>
      </c>
      <c r="L22" s="406"/>
      <c r="M22" s="406"/>
      <c r="N22" s="572"/>
      <c r="O22" s="406"/>
      <c r="P22" s="406"/>
      <c r="Q22" s="406" t="s">
        <v>541</v>
      </c>
      <c r="R22" s="573">
        <f>V14-R14</f>
        <v>8</v>
      </c>
    </row>
    <row r="23" spans="2:22" ht="16.5" x14ac:dyDescent="0.3">
      <c r="B23" s="398" t="s">
        <v>35</v>
      </c>
      <c r="C23" s="459">
        <v>10000</v>
      </c>
      <c r="D23" s="398"/>
      <c r="E23" s="398" t="s">
        <v>78</v>
      </c>
      <c r="F23" s="409">
        <f>SUM(F20:F22)</f>
        <v>0</v>
      </c>
      <c r="G23" s="398" t="s">
        <v>78</v>
      </c>
      <c r="H23" s="409">
        <f>SUM(H20:H22)</f>
        <v>0</v>
      </c>
      <c r="I23" s="418"/>
      <c r="J23" s="409">
        <f>SUM(J20:J22)</f>
        <v>0</v>
      </c>
      <c r="K23" s="409">
        <f>SUM(K20:K22)</f>
        <v>0</v>
      </c>
      <c r="L23" s="406"/>
      <c r="M23" s="406"/>
      <c r="N23" s="406"/>
      <c r="O23" s="398"/>
    </row>
    <row r="24" spans="2:22" ht="17.25" x14ac:dyDescent="0.35">
      <c r="B24" s="398" t="s">
        <v>36</v>
      </c>
      <c r="C24" s="459">
        <v>7500</v>
      </c>
      <c r="D24" s="398"/>
      <c r="E24" s="398"/>
      <c r="F24" s="398"/>
      <c r="G24" s="398"/>
      <c r="H24" s="398"/>
      <c r="I24" s="398"/>
      <c r="J24" s="398"/>
      <c r="K24" s="398"/>
      <c r="L24" s="406"/>
      <c r="M24" s="406"/>
      <c r="N24" s="406"/>
      <c r="O24" s="398"/>
      <c r="Q24" s="463" t="s">
        <v>546</v>
      </c>
      <c r="R24" s="464"/>
    </row>
    <row r="25" spans="2:22" ht="17.25" thickBot="1" x14ac:dyDescent="0.35">
      <c r="B25" s="398" t="s">
        <v>20</v>
      </c>
      <c r="C25" s="406">
        <v>0.12</v>
      </c>
      <c r="D25" s="398"/>
      <c r="E25" s="398"/>
      <c r="F25" s="398"/>
      <c r="G25" s="398"/>
      <c r="H25" s="398"/>
      <c r="I25" s="398"/>
      <c r="J25" s="398"/>
      <c r="K25" s="398"/>
      <c r="L25" s="406"/>
      <c r="M25" s="406"/>
      <c r="N25" s="406"/>
      <c r="O25" s="398"/>
      <c r="Q25" s="283" t="s">
        <v>543</v>
      </c>
      <c r="R25" s="351">
        <f>C36</f>
        <v>0</v>
      </c>
      <c r="S25" s="283" t="s">
        <v>452</v>
      </c>
    </row>
    <row r="26" spans="2:22" ht="16.5" x14ac:dyDescent="0.3">
      <c r="B26" s="398" t="s">
        <v>21</v>
      </c>
      <c r="C26" s="406">
        <v>0.03</v>
      </c>
      <c r="D26" s="398"/>
      <c r="E26" s="410" t="s">
        <v>247</v>
      </c>
      <c r="F26" s="411">
        <f>F13</f>
        <v>0</v>
      </c>
      <c r="G26" s="400" t="s">
        <v>92</v>
      </c>
      <c r="H26" s="400" t="s">
        <v>410</v>
      </c>
      <c r="I26" s="426"/>
      <c r="L26" s="353"/>
      <c r="M26" s="353"/>
      <c r="N26" s="353"/>
      <c r="Q26" s="283" t="s">
        <v>544</v>
      </c>
      <c r="R26" s="351" t="e">
        <f>C35</f>
        <v>#DIV/0!</v>
      </c>
      <c r="S26" s="283" t="e">
        <f>(R26-$R$25)/$R$25</f>
        <v>#DIV/0!</v>
      </c>
    </row>
    <row r="27" spans="2:22" ht="16.5" x14ac:dyDescent="0.3">
      <c r="B27" s="398" t="s">
        <v>22</v>
      </c>
      <c r="C27" s="452">
        <v>12</v>
      </c>
      <c r="D27" s="398"/>
      <c r="E27" s="414" t="s">
        <v>128</v>
      </c>
      <c r="F27" s="415">
        <f>G27+H27</f>
        <v>0</v>
      </c>
      <c r="G27" s="416">
        <f>H20</f>
        <v>0</v>
      </c>
      <c r="H27" s="416">
        <f>SUM(H21:H22)</f>
        <v>0</v>
      </c>
      <c r="I27" s="398"/>
      <c r="K27" s="321"/>
      <c r="L27" s="346"/>
      <c r="M27" s="351"/>
      <c r="N27" s="351"/>
      <c r="Q27" s="283" t="s">
        <v>545</v>
      </c>
      <c r="R27" s="351" t="e">
        <f>C35</f>
        <v>#DIV/0!</v>
      </c>
      <c r="S27" s="283" t="e">
        <f>(R27-$R$25)/$R$25</f>
        <v>#DIV/0!</v>
      </c>
    </row>
    <row r="28" spans="2:22" ht="16.5" x14ac:dyDescent="0.3">
      <c r="B28" s="398" t="s">
        <v>449</v>
      </c>
      <c r="C28" s="454"/>
      <c r="D28" s="417"/>
      <c r="E28" s="414" t="s">
        <v>411</v>
      </c>
      <c r="F28" s="415">
        <f>ProForma!$H$53</f>
        <v>0</v>
      </c>
      <c r="G28" s="419"/>
      <c r="H28" s="419"/>
      <c r="I28" s="412"/>
      <c r="K28" s="321"/>
      <c r="L28" s="346"/>
      <c r="N28" s="351"/>
    </row>
    <row r="29" spans="2:22" ht="16.5" x14ac:dyDescent="0.3">
      <c r="B29" s="398" t="s">
        <v>23</v>
      </c>
      <c r="C29" s="470"/>
      <c r="D29" s="418"/>
      <c r="E29" s="414" t="s">
        <v>468</v>
      </c>
      <c r="F29" s="415"/>
      <c r="G29" s="419"/>
      <c r="H29" s="419"/>
      <c r="I29" s="412"/>
      <c r="K29" s="321"/>
      <c r="L29" s="346"/>
      <c r="N29" s="351"/>
    </row>
    <row r="30" spans="2:22" ht="17.25" thickBot="1" x14ac:dyDescent="0.35">
      <c r="B30" s="398" t="s">
        <v>19</v>
      </c>
      <c r="C30" s="455" t="s">
        <v>454</v>
      </c>
      <c r="D30" s="398"/>
      <c r="E30" s="420" t="s">
        <v>412</v>
      </c>
      <c r="F30" s="421">
        <f>IFERROR(ProForma!$C$63+ProForma!$H$54,0)</f>
        <v>0</v>
      </c>
      <c r="G30" s="419"/>
      <c r="H30" s="419"/>
      <c r="I30" s="412"/>
      <c r="K30" s="346"/>
      <c r="L30" s="346"/>
      <c r="N30" s="351"/>
    </row>
    <row r="31" spans="2:22" ht="16.5" x14ac:dyDescent="0.3">
      <c r="B31" s="398" t="s">
        <v>27</v>
      </c>
      <c r="C31" s="456">
        <f ca="1">TODAY()</f>
        <v>46105</v>
      </c>
      <c r="D31" s="398"/>
      <c r="E31" s="422" t="s">
        <v>19</v>
      </c>
      <c r="F31" s="423" t="str">
        <f>C30</f>
        <v>MBC</v>
      </c>
      <c r="G31" s="424" t="s">
        <v>413</v>
      </c>
      <c r="H31" s="425"/>
      <c r="I31" s="412"/>
      <c r="J31" s="283" t="s">
        <v>471</v>
      </c>
      <c r="K31" s="352"/>
      <c r="L31" s="346"/>
    </row>
    <row r="32" spans="2:22" ht="16.5" x14ac:dyDescent="0.3">
      <c r="B32" s="398" t="s">
        <v>448</v>
      </c>
      <c r="C32" s="409" t="str">
        <f>ProForma!H54</f>
        <v>$0</v>
      </c>
      <c r="D32" s="426"/>
      <c r="E32" s="427" t="s">
        <v>163</v>
      </c>
      <c r="F32" s="428">
        <f>C29</f>
        <v>0</v>
      </c>
      <c r="G32" s="402" t="s">
        <v>163</v>
      </c>
      <c r="H32" s="429">
        <f>IFERROR('Mezz Amort'!$I$10,0)</f>
        <v>35000</v>
      </c>
      <c r="I32" s="400"/>
      <c r="K32" s="473">
        <f>IFERROR(SUMPRODUCT(J33:J34,K33:K34)/SUM(F32,H32),"")</f>
        <v>0.24</v>
      </c>
      <c r="L32" s="346"/>
    </row>
    <row r="33" spans="2:15" ht="17.25" x14ac:dyDescent="0.35">
      <c r="B33" s="463" t="s">
        <v>76</v>
      </c>
      <c r="C33" s="464"/>
      <c r="D33" s="398"/>
      <c r="E33" s="427" t="s">
        <v>259</v>
      </c>
      <c r="F33" s="431">
        <f>'Deal Details'!$C$26</f>
        <v>0.03</v>
      </c>
      <c r="G33" s="402" t="s">
        <v>259</v>
      </c>
      <c r="H33" s="432">
        <f>'Mezz Amort'!$C$5</f>
        <v>0.03</v>
      </c>
      <c r="I33" s="430"/>
      <c r="J33" s="351">
        <f>F32</f>
        <v>0</v>
      </c>
      <c r="K33" s="353">
        <v>0.12</v>
      </c>
      <c r="L33" s="346"/>
    </row>
    <row r="34" spans="2:15" ht="16.5" x14ac:dyDescent="0.3">
      <c r="B34" s="398" t="s">
        <v>451</v>
      </c>
      <c r="C34" s="457"/>
      <c r="D34" s="398"/>
      <c r="E34" s="427" t="s">
        <v>414</v>
      </c>
      <c r="F34" s="431">
        <f>'Deal Details'!$C$25</f>
        <v>0.12</v>
      </c>
      <c r="G34" s="402" t="s">
        <v>414</v>
      </c>
      <c r="H34" s="432">
        <f>'Mezz Amort'!$C$6</f>
        <v>0.24</v>
      </c>
      <c r="I34" s="430"/>
      <c r="J34" s="351">
        <f>H32</f>
        <v>35000</v>
      </c>
      <c r="K34" s="321">
        <v>0.24</v>
      </c>
      <c r="L34" s="346"/>
    </row>
    <row r="35" spans="2:15" ht="16.5" x14ac:dyDescent="0.3">
      <c r="B35" s="398" t="s">
        <v>85</v>
      </c>
      <c r="C35" s="398" t="e">
        <f>C34/C10</f>
        <v>#DIV/0!</v>
      </c>
      <c r="D35" s="409"/>
      <c r="E35" s="427" t="s">
        <v>415</v>
      </c>
      <c r="F35" s="401" t="str">
        <f>'Deal Details'!$C$27&amp;" Months"</f>
        <v>12 Months</v>
      </c>
      <c r="G35" s="402" t="s">
        <v>415</v>
      </c>
      <c r="H35" s="434" t="str">
        <f>'Mezz Amort'!C10&amp;" Months"</f>
        <v>12 Months</v>
      </c>
      <c r="I35" s="433"/>
      <c r="K35" s="353"/>
      <c r="L35" s="346"/>
    </row>
    <row r="36" spans="2:15" ht="16.5" x14ac:dyDescent="0.3">
      <c r="B36" s="398" t="s">
        <v>33</v>
      </c>
      <c r="C36" s="625">
        <v>0</v>
      </c>
      <c r="D36" s="398"/>
      <c r="E36" s="427" t="s">
        <v>416</v>
      </c>
      <c r="F36" s="436" t="str">
        <f>IFERROR(F32/F26,"")</f>
        <v/>
      </c>
      <c r="G36" s="402" t="s">
        <v>417</v>
      </c>
      <c r="H36" s="437" t="str">
        <f>IFERROR((F32+H32)/F26,"")</f>
        <v/>
      </c>
      <c r="I36" s="435"/>
      <c r="K36" s="353"/>
      <c r="L36" s="346"/>
    </row>
    <row r="37" spans="2:15" ht="16.5" x14ac:dyDescent="0.3">
      <c r="B37" s="398" t="s">
        <v>452</v>
      </c>
      <c r="C37" s="406" t="str">
        <f>IFERROR((F13-C34)/C34,"")</f>
        <v/>
      </c>
      <c r="D37" s="398"/>
      <c r="E37" s="438" t="s">
        <v>418</v>
      </c>
      <c r="F37" s="439" t="str">
        <f>IFERROR(F32/ProForma!$C$39,"")</f>
        <v/>
      </c>
      <c r="G37" s="440" t="s">
        <v>419</v>
      </c>
      <c r="H37" s="441" t="str">
        <f>IFERROR((F32+H32)/ProForma!$C$39,"")</f>
        <v/>
      </c>
      <c r="I37" s="406"/>
      <c r="J37" s="346"/>
      <c r="K37" s="346"/>
      <c r="L37" s="346"/>
    </row>
    <row r="38" spans="2:15" ht="17.25" thickBot="1" x14ac:dyDescent="0.35">
      <c r="B38" s="398" t="s">
        <v>224</v>
      </c>
      <c r="C38" s="458">
        <v>0</v>
      </c>
      <c r="D38" s="398"/>
      <c r="E38" s="442" t="s">
        <v>193</v>
      </c>
      <c r="F38" s="533" t="e" cm="1">
        <f t="array" aca="1" ref="F38" ca="1">INDEX('Senior Amort'!A33:A2180,MATCH(TRUE, ('Senior Amort'!I33:I2180+'Mezz Amort'!J15:J2187)&gt;'Deal Details'!F26,0))</f>
        <v>#N/A</v>
      </c>
      <c r="G38" s="443"/>
      <c r="H38" s="444"/>
      <c r="I38" s="406"/>
    </row>
    <row r="39" spans="2:15" ht="17.25" thickBot="1" x14ac:dyDescent="0.35">
      <c r="B39" s="398" t="s">
        <v>535</v>
      </c>
      <c r="C39" s="546">
        <v>0.1</v>
      </c>
      <c r="D39" s="398"/>
      <c r="E39" s="410" t="s">
        <v>420</v>
      </c>
      <c r="F39" s="445" t="str">
        <f>H36</f>
        <v/>
      </c>
      <c r="G39" s="398"/>
      <c r="H39" s="398"/>
      <c r="I39" s="400"/>
    </row>
    <row r="40" spans="2:15" ht="16.5" x14ac:dyDescent="0.3">
      <c r="B40" s="398"/>
      <c r="C40" s="398"/>
      <c r="D40" s="398"/>
      <c r="E40" s="446" t="s">
        <v>421</v>
      </c>
      <c r="F40" s="447" t="str">
        <f>IFERROR((ProForma!$C$63)/F26,"")</f>
        <v/>
      </c>
      <c r="G40" s="448" t="s">
        <v>422</v>
      </c>
      <c r="H40" s="471" t="str">
        <f>IFERROR((F32+ProForma!$H$54)/F26,"")</f>
        <v/>
      </c>
      <c r="I40" s="398"/>
      <c r="N40" s="354"/>
    </row>
    <row r="41" spans="2:15" ht="17.25" thickBot="1" x14ac:dyDescent="0.35">
      <c r="B41" s="398"/>
      <c r="C41" s="398"/>
      <c r="D41" s="398"/>
      <c r="E41" s="442" t="s">
        <v>423</v>
      </c>
      <c r="F41" s="449" t="str">
        <f>IFERROR((ProForma!$C$63)/F27,"")</f>
        <v/>
      </c>
      <c r="G41" s="450" t="s">
        <v>424</v>
      </c>
      <c r="H41" s="472" t="str">
        <f>IFERROR((F32+ProForma!$H$54)/F27,"")</f>
        <v/>
      </c>
      <c r="I41" s="398"/>
      <c r="J41" s="398"/>
      <c r="K41" s="398"/>
      <c r="L41" s="398"/>
      <c r="M41" s="398"/>
      <c r="N41" s="398"/>
      <c r="O41" s="398"/>
    </row>
    <row r="42" spans="2:15" ht="18" thickBot="1" x14ac:dyDescent="0.4">
      <c r="D42" s="451"/>
      <c r="E42" s="580" t="s">
        <v>548</v>
      </c>
      <c r="F42" s="581"/>
      <c r="G42" s="581"/>
      <c r="H42" s="579"/>
      <c r="I42" s="398"/>
      <c r="J42" s="398"/>
      <c r="K42" s="398"/>
      <c r="L42" s="398"/>
      <c r="M42" s="398"/>
      <c r="N42" s="398"/>
      <c r="O42" s="398"/>
    </row>
    <row r="43" spans="2:15" x14ac:dyDescent="0.25">
      <c r="I43" s="351"/>
    </row>
    <row r="44" spans="2:15" x14ac:dyDescent="0.25">
      <c r="C44" s="355"/>
    </row>
    <row r="45" spans="2:15" x14ac:dyDescent="0.25">
      <c r="C45" s="355"/>
      <c r="E45" s="355"/>
      <c r="F45" s="355"/>
      <c r="G45" s="355"/>
      <c r="H45" s="355"/>
    </row>
    <row r="46" spans="2:15" x14ac:dyDescent="0.25">
      <c r="C46" s="355"/>
      <c r="D46" s="355"/>
      <c r="J46" s="355"/>
      <c r="K46" s="355"/>
      <c r="L46" s="355"/>
      <c r="M46" s="355"/>
      <c r="N46" s="355"/>
      <c r="O46" s="355"/>
    </row>
    <row r="47" spans="2:15" x14ac:dyDescent="0.25">
      <c r="C47" s="355"/>
      <c r="D47" s="355"/>
      <c r="E47" s="357"/>
      <c r="F47" s="357"/>
      <c r="G47" s="357"/>
      <c r="H47" s="357"/>
      <c r="I47" s="355"/>
      <c r="J47" s="355"/>
      <c r="K47" s="355"/>
      <c r="L47" s="355"/>
      <c r="M47" s="355"/>
      <c r="N47" s="355"/>
      <c r="O47" s="355"/>
    </row>
    <row r="48" spans="2:15" x14ac:dyDescent="0.25">
      <c r="C48" s="355"/>
      <c r="E48" s="357"/>
      <c r="F48" s="357"/>
      <c r="G48" s="357"/>
      <c r="H48" s="357"/>
      <c r="J48" s="351"/>
      <c r="K48" s="351"/>
      <c r="L48" s="351"/>
      <c r="M48" s="351"/>
      <c r="N48" s="351"/>
      <c r="O48" s="356"/>
    </row>
    <row r="49" spans="3:15" x14ac:dyDescent="0.25">
      <c r="C49" s="355"/>
      <c r="E49" s="357"/>
      <c r="F49" s="357"/>
      <c r="G49" s="357"/>
      <c r="H49" s="357"/>
      <c r="I49" s="357"/>
      <c r="J49" s="351"/>
      <c r="K49" s="351"/>
      <c r="L49" s="351"/>
      <c r="M49" s="351"/>
      <c r="N49" s="351"/>
      <c r="O49" s="351"/>
    </row>
    <row r="50" spans="3:15" x14ac:dyDescent="0.25">
      <c r="C50" s="355"/>
      <c r="E50" s="357"/>
      <c r="F50" s="357"/>
      <c r="G50" s="357"/>
      <c r="H50" s="357"/>
      <c r="I50" s="357"/>
    </row>
    <row r="51" spans="3:15" x14ac:dyDescent="0.25">
      <c r="E51" s="357"/>
      <c r="F51" s="357"/>
      <c r="G51" s="357"/>
      <c r="H51" s="357"/>
      <c r="I51" s="357"/>
    </row>
    <row r="52" spans="3:15" x14ac:dyDescent="0.25">
      <c r="C52" s="355"/>
      <c r="E52" s="357"/>
      <c r="F52" s="357"/>
      <c r="G52" s="357"/>
      <c r="H52" s="357"/>
      <c r="I52" s="357"/>
    </row>
    <row r="53" spans="3:15" x14ac:dyDescent="0.25">
      <c r="D53" s="355"/>
      <c r="E53" s="358"/>
      <c r="F53" s="358"/>
      <c r="G53" s="358"/>
      <c r="H53" s="358"/>
      <c r="I53" s="357"/>
      <c r="J53" s="355"/>
      <c r="K53" s="355"/>
      <c r="L53" s="355"/>
      <c r="M53" s="355"/>
      <c r="N53" s="355"/>
    </row>
    <row r="54" spans="3:15" x14ac:dyDescent="0.25">
      <c r="E54" s="358"/>
      <c r="F54" s="358"/>
      <c r="G54" s="359"/>
      <c r="H54" s="359"/>
      <c r="I54" s="357"/>
      <c r="O54" s="355"/>
    </row>
    <row r="55" spans="3:15" x14ac:dyDescent="0.25">
      <c r="D55" s="357"/>
      <c r="E55" s="358"/>
      <c r="F55" s="358"/>
      <c r="G55" s="358"/>
      <c r="H55" s="358"/>
      <c r="I55" s="358"/>
      <c r="J55" s="357"/>
      <c r="K55" s="357"/>
      <c r="L55" s="357"/>
      <c r="M55" s="357"/>
      <c r="N55" s="357"/>
      <c r="O55" s="358"/>
    </row>
    <row r="56" spans="3:15" x14ac:dyDescent="0.25">
      <c r="D56" s="357"/>
      <c r="E56" s="358"/>
      <c r="F56" s="358"/>
      <c r="G56" s="358"/>
      <c r="H56" s="358"/>
      <c r="I56" s="359"/>
      <c r="J56" s="357"/>
      <c r="K56" s="357"/>
      <c r="L56" s="357"/>
      <c r="M56" s="357"/>
      <c r="N56" s="357"/>
      <c r="O56" s="358"/>
    </row>
    <row r="57" spans="3:15" x14ac:dyDescent="0.25">
      <c r="D57" s="357"/>
      <c r="E57" s="358"/>
      <c r="F57" s="358"/>
      <c r="G57" s="358"/>
      <c r="H57" s="358"/>
      <c r="I57" s="358"/>
      <c r="J57" s="357"/>
      <c r="K57" s="357"/>
      <c r="L57" s="357"/>
      <c r="M57" s="357"/>
      <c r="N57" s="357"/>
      <c r="O57" s="358"/>
    </row>
    <row r="58" spans="3:15" x14ac:dyDescent="0.25">
      <c r="C58" s="355"/>
      <c r="D58" s="357"/>
      <c r="E58" s="358"/>
      <c r="F58" s="358"/>
      <c r="G58" s="358"/>
      <c r="H58" s="358"/>
      <c r="I58" s="358"/>
      <c r="J58" s="357"/>
      <c r="K58" s="357"/>
      <c r="L58" s="357"/>
      <c r="M58" s="357"/>
      <c r="N58" s="357"/>
      <c r="O58" s="358"/>
    </row>
    <row r="59" spans="3:15" x14ac:dyDescent="0.25">
      <c r="C59" s="355"/>
      <c r="D59" s="357"/>
      <c r="I59" s="358"/>
      <c r="J59" s="357"/>
      <c r="K59" s="357"/>
      <c r="L59" s="357"/>
      <c r="M59" s="357"/>
      <c r="N59" s="357"/>
      <c r="O59" s="358"/>
    </row>
    <row r="60" spans="3:15" x14ac:dyDescent="0.25">
      <c r="C60" s="355"/>
      <c r="D60" s="357"/>
      <c r="I60" s="358"/>
      <c r="J60" s="357"/>
      <c r="K60" s="357"/>
      <c r="L60" s="357"/>
      <c r="M60" s="357"/>
      <c r="N60" s="357"/>
      <c r="O60" s="358"/>
    </row>
    <row r="61" spans="3:15" x14ac:dyDescent="0.25">
      <c r="C61" s="355"/>
      <c r="D61" s="358"/>
      <c r="J61" s="358"/>
      <c r="K61" s="358"/>
      <c r="L61" s="358"/>
      <c r="M61" s="358"/>
      <c r="N61" s="358"/>
      <c r="O61" s="358"/>
    </row>
    <row r="62" spans="3:15" x14ac:dyDescent="0.25">
      <c r="C62" s="355"/>
      <c r="D62" s="358"/>
      <c r="J62" s="359"/>
      <c r="K62" s="359"/>
      <c r="L62" s="359"/>
      <c r="M62" s="359"/>
      <c r="N62" s="359"/>
      <c r="O62" s="358"/>
    </row>
    <row r="63" spans="3:15" x14ac:dyDescent="0.25">
      <c r="C63" s="355"/>
      <c r="D63" s="358"/>
      <c r="G63" s="357"/>
      <c r="H63" s="357"/>
      <c r="J63" s="358"/>
      <c r="K63" s="358"/>
      <c r="L63" s="358"/>
      <c r="M63" s="358"/>
      <c r="N63" s="358"/>
      <c r="O63" s="358"/>
    </row>
    <row r="64" spans="3:15" x14ac:dyDescent="0.25">
      <c r="D64" s="358"/>
      <c r="G64" s="357"/>
      <c r="H64" s="357"/>
      <c r="J64" s="358"/>
      <c r="K64" s="358"/>
      <c r="L64" s="358"/>
      <c r="M64" s="358"/>
      <c r="N64" s="358"/>
      <c r="O64" s="358"/>
    </row>
    <row r="65" spans="3:15" x14ac:dyDescent="0.25">
      <c r="D65" s="358"/>
      <c r="G65" s="357"/>
      <c r="H65" s="357"/>
      <c r="I65" s="357"/>
      <c r="J65" s="358"/>
      <c r="K65" s="358"/>
      <c r="L65" s="358"/>
      <c r="M65" s="358"/>
      <c r="N65" s="358"/>
      <c r="O65" s="358"/>
    </row>
    <row r="66" spans="3:15" x14ac:dyDescent="0.25">
      <c r="C66" s="355"/>
      <c r="D66" s="358"/>
      <c r="G66" s="361"/>
      <c r="H66" s="361"/>
      <c r="I66" s="357"/>
      <c r="J66" s="358"/>
      <c r="K66" s="358"/>
      <c r="L66" s="358"/>
      <c r="M66" s="358"/>
      <c r="N66" s="358"/>
      <c r="O66" s="358"/>
    </row>
    <row r="67" spans="3:15" x14ac:dyDescent="0.25">
      <c r="I67" s="357"/>
    </row>
    <row r="68" spans="3:15" x14ac:dyDescent="0.25">
      <c r="G68" s="351"/>
      <c r="H68" s="351"/>
      <c r="I68" s="361"/>
    </row>
    <row r="69" spans="3:15" x14ac:dyDescent="0.25">
      <c r="G69" s="362"/>
      <c r="H69" s="362"/>
      <c r="O69" s="360"/>
    </row>
    <row r="70" spans="3:15" x14ac:dyDescent="0.25">
      <c r="I70" s="351"/>
    </row>
    <row r="71" spans="3:15" x14ac:dyDescent="0.25">
      <c r="I71" s="362"/>
      <c r="J71" s="357"/>
      <c r="K71" s="357"/>
      <c r="L71" s="357"/>
      <c r="M71" s="357"/>
      <c r="N71" s="357"/>
    </row>
    <row r="72" spans="3:15" x14ac:dyDescent="0.25">
      <c r="J72" s="357"/>
      <c r="K72" s="357"/>
      <c r="L72" s="357"/>
      <c r="M72" s="357"/>
      <c r="N72" s="357"/>
      <c r="O72" s="358"/>
    </row>
    <row r="73" spans="3:15" x14ac:dyDescent="0.25">
      <c r="J73" s="357"/>
      <c r="K73" s="357"/>
      <c r="L73" s="357"/>
      <c r="M73" s="357"/>
      <c r="N73" s="357"/>
      <c r="O73" s="358"/>
    </row>
    <row r="74" spans="3:15" x14ac:dyDescent="0.25">
      <c r="E74" s="348"/>
      <c r="J74" s="361"/>
      <c r="K74" s="361"/>
      <c r="L74" s="361"/>
      <c r="M74" s="361"/>
      <c r="N74" s="361"/>
    </row>
    <row r="75" spans="3:15" x14ac:dyDescent="0.25">
      <c r="E75" s="348"/>
      <c r="O75" s="351"/>
    </row>
    <row r="76" spans="3:15" x14ac:dyDescent="0.25">
      <c r="E76" s="348"/>
      <c r="I76" s="348"/>
      <c r="J76" s="351"/>
      <c r="K76" s="351"/>
      <c r="L76" s="351"/>
      <c r="M76" s="351"/>
      <c r="N76" s="351"/>
    </row>
    <row r="77" spans="3:15" x14ac:dyDescent="0.25">
      <c r="E77" s="348"/>
      <c r="I77" s="348"/>
      <c r="J77" s="362"/>
      <c r="K77" s="362"/>
      <c r="L77" s="362"/>
      <c r="M77" s="362"/>
      <c r="N77" s="362"/>
    </row>
    <row r="78" spans="3:15" x14ac:dyDescent="0.25">
      <c r="E78" s="350"/>
      <c r="I78" s="348"/>
    </row>
    <row r="79" spans="3:15" x14ac:dyDescent="0.25">
      <c r="E79" s="350"/>
      <c r="I79" s="363"/>
    </row>
    <row r="82" spans="5:12" x14ac:dyDescent="0.25">
      <c r="E82" s="351"/>
      <c r="L82" s="348"/>
    </row>
    <row r="83" spans="5:12" x14ac:dyDescent="0.25">
      <c r="E83" s="351"/>
      <c r="I83" s="350"/>
      <c r="L83" s="348"/>
    </row>
    <row r="84" spans="5:12" x14ac:dyDescent="0.25">
      <c r="E84" s="351"/>
      <c r="I84" s="350"/>
      <c r="L84" s="348"/>
    </row>
    <row r="85" spans="5:12" x14ac:dyDescent="0.25">
      <c r="I85" s="350"/>
      <c r="L85" s="363"/>
    </row>
    <row r="87" spans="5:12" x14ac:dyDescent="0.25">
      <c r="I87" s="350"/>
    </row>
    <row r="88" spans="5:12" x14ac:dyDescent="0.25">
      <c r="E88" s="350"/>
      <c r="I88" s="349"/>
    </row>
    <row r="89" spans="5:12" x14ac:dyDescent="0.25">
      <c r="E89" s="350"/>
      <c r="L89" s="354"/>
    </row>
    <row r="90" spans="5:12" x14ac:dyDescent="0.25">
      <c r="E90" s="350"/>
      <c r="J90" s="349"/>
    </row>
    <row r="91" spans="5:12" x14ac:dyDescent="0.25">
      <c r="E91" s="350"/>
      <c r="J91" s="349"/>
    </row>
    <row r="93" spans="5:12" x14ac:dyDescent="0.25">
      <c r="L93" s="364"/>
    </row>
    <row r="95" spans="5:12" x14ac:dyDescent="0.25">
      <c r="E95" s="351"/>
    </row>
    <row r="96" spans="5:12" x14ac:dyDescent="0.25">
      <c r="E96" s="351"/>
    </row>
    <row r="97" spans="5:5" x14ac:dyDescent="0.25">
      <c r="E97" s="351"/>
    </row>
    <row r="98" spans="5:5" x14ac:dyDescent="0.25">
      <c r="E98" s="351"/>
    </row>
    <row r="99" spans="5:5" x14ac:dyDescent="0.25">
      <c r="E99" s="351"/>
    </row>
    <row r="100" spans="5:5" x14ac:dyDescent="0.25">
      <c r="E100" s="351"/>
    </row>
  </sheetData>
  <mergeCells count="1">
    <mergeCell ref="E3:I11"/>
  </mergeCells>
  <phoneticPr fontId="31" type="noConversion"/>
  <dataValidations count="2">
    <dataValidation type="list" allowBlank="1" showInputMessage="1" showErrorMessage="1" sqref="C13" xr:uid="{CA598962-75C4-48BE-868D-9284FB1B2DE3}">
      <formula1>"Bridge,Acquisition,Horizontal,Vertical"</formula1>
    </dataValidation>
    <dataValidation type="list" allowBlank="1" showInputMessage="1" showErrorMessage="1" sqref="C12" xr:uid="{1C69B749-E125-4CE2-91D1-9723E54B10DD}">
      <formula1>"Raw Land,Entitled,Horizontal,Built"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764BEDB-776C-4BF4-AEDB-C76133E59E33}">
          <x14:formula1>
            <xm:f>'Version Control'!$F$9:$F$14</xm:f>
          </x14:formula1>
          <xm:sqref>C11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8AFD-9208-4971-8441-156B4E6A6F74}">
  <sheetPr codeName="Sheet4"/>
  <dimension ref="A1:AC759"/>
  <sheetViews>
    <sheetView zoomScaleNormal="100" workbookViewId="0"/>
  </sheetViews>
  <sheetFormatPr defaultRowHeight="15" x14ac:dyDescent="0.25"/>
  <cols>
    <col min="2" max="2" width="15.28515625" customWidth="1"/>
    <col min="3" max="3" width="19.42578125" style="208" bestFit="1" customWidth="1"/>
    <col min="4" max="4" width="14.85546875" customWidth="1"/>
    <col min="5" max="5" width="12.28515625" bestFit="1" customWidth="1"/>
    <col min="6" max="6" width="11.5703125" bestFit="1" customWidth="1"/>
    <col min="7" max="7" width="13.28515625" bestFit="1" customWidth="1"/>
    <col min="8" max="8" width="14.28515625" bestFit="1" customWidth="1"/>
    <col min="10" max="10" width="14.140625" bestFit="1" customWidth="1"/>
    <col min="11" max="11" width="15.85546875" customWidth="1"/>
    <col min="12" max="12" width="9.7109375" style="208" customWidth="1"/>
    <col min="13" max="13" width="12.85546875" style="208" customWidth="1"/>
    <col min="14" max="14" width="17.85546875" style="208" bestFit="1" customWidth="1"/>
    <col min="15" max="15" width="13.5703125" style="208" bestFit="1" customWidth="1"/>
    <col min="17" max="17" width="10.85546875" bestFit="1" customWidth="1"/>
    <col min="18" max="18" width="15.28515625" customWidth="1"/>
    <col min="19" max="19" width="13.140625" bestFit="1" customWidth="1"/>
    <col min="23" max="23" width="15.7109375" customWidth="1"/>
    <col min="24" max="24" width="11.85546875" bestFit="1" customWidth="1"/>
    <col min="25" max="25" width="12.85546875" bestFit="1" customWidth="1"/>
    <col min="26" max="27" width="13.85546875" bestFit="1" customWidth="1"/>
    <col min="28" max="28" width="11.85546875" bestFit="1" customWidth="1"/>
  </cols>
  <sheetData>
    <row r="1" spans="1:29" ht="15.75" thickBot="1" x14ac:dyDescent="0.3">
      <c r="A1" s="1" t="s">
        <v>498</v>
      </c>
      <c r="Q1" s="1"/>
      <c r="R1" s="152"/>
    </row>
    <row r="2" spans="1:29" ht="15.75" thickBot="1" x14ac:dyDescent="0.3">
      <c r="B2" t="s">
        <v>163</v>
      </c>
      <c r="C2" s="501">
        <f ca="1">C4+C6+C7+C9+C10+C11</f>
        <v>217857.14285714287</v>
      </c>
      <c r="D2" s="502"/>
      <c r="J2" t="s">
        <v>499</v>
      </c>
      <c r="K2" s="69" t="s">
        <v>571</v>
      </c>
      <c r="L2"/>
      <c r="M2"/>
      <c r="N2" t="s">
        <v>500</v>
      </c>
      <c r="O2" s="526"/>
      <c r="Q2" s="605" t="s">
        <v>501</v>
      </c>
      <c r="R2" s="610">
        <f ca="1">XIRR(R4:R56,Q4:Q56)</f>
        <v>2.7053874228704048E+16</v>
      </c>
      <c r="W2" s="503" t="s">
        <v>502</v>
      </c>
      <c r="X2" s="504"/>
      <c r="Y2" s="504"/>
    </row>
    <row r="3" spans="1:29" x14ac:dyDescent="0.25">
      <c r="B3" t="s">
        <v>414</v>
      </c>
      <c r="C3" s="505">
        <v>0.11</v>
      </c>
      <c r="I3">
        <v>1</v>
      </c>
      <c r="J3" s="506">
        <v>46053</v>
      </c>
      <c r="K3" s="630"/>
      <c r="L3" s="507" t="str">
        <f>IF(K3&gt;0,"CR","")</f>
        <v/>
      </c>
      <c r="M3">
        <v>1</v>
      </c>
      <c r="N3" s="506">
        <v>46053</v>
      </c>
      <c r="O3" s="508"/>
      <c r="Q3" s="316"/>
      <c r="R3" s="319"/>
      <c r="S3" s="320"/>
      <c r="W3" s="103" t="s">
        <v>503</v>
      </c>
      <c r="X3" s="102">
        <v>0</v>
      </c>
      <c r="Y3" s="102" t="s">
        <v>504</v>
      </c>
      <c r="AA3" s="1" t="s">
        <v>505</v>
      </c>
      <c r="AB3" s="102">
        <f>'Deal Details'!C27</f>
        <v>12</v>
      </c>
      <c r="AC3" t="s">
        <v>506</v>
      </c>
    </row>
    <row r="4" spans="1:29" x14ac:dyDescent="0.25">
      <c r="B4" t="s">
        <v>288</v>
      </c>
      <c r="C4" s="628">
        <v>200000</v>
      </c>
      <c r="D4" s="545"/>
      <c r="I4">
        <f>I3+1</f>
        <v>2</v>
      </c>
      <c r="J4" s="509">
        <v>46081</v>
      </c>
      <c r="K4" s="630"/>
      <c r="L4" s="510" t="str">
        <f>IF(K4&gt;0,"CR","")</f>
        <v/>
      </c>
      <c r="M4">
        <f>M3+1</f>
        <v>2</v>
      </c>
      <c r="N4" s="509">
        <v>46081</v>
      </c>
      <c r="O4" s="511"/>
      <c r="Q4" s="512">
        <f>+C12</f>
        <v>46023</v>
      </c>
      <c r="R4" s="374">
        <f ca="1">-C2</f>
        <v>-217857.14285714287</v>
      </c>
      <c r="S4" s="284" t="s">
        <v>507</v>
      </c>
      <c r="W4" s="103" t="s">
        <v>76</v>
      </c>
      <c r="X4" s="513">
        <f>X10</f>
        <v>0</v>
      </c>
      <c r="Y4" s="102" t="s">
        <v>85</v>
      </c>
    </row>
    <row r="5" spans="1:29" x14ac:dyDescent="0.25">
      <c r="B5" t="s">
        <v>508</v>
      </c>
      <c r="C5" s="14">
        <f ca="1">+SUMIF(B:B,C13,G:G)</f>
        <v>175636.30952381121</v>
      </c>
      <c r="D5" s="85">
        <f ca="1">C5/C4</f>
        <v>0.87818154761905609</v>
      </c>
      <c r="I5">
        <f>I4+1</f>
        <v>3</v>
      </c>
      <c r="J5" s="509">
        <v>46112</v>
      </c>
      <c r="K5" s="630"/>
      <c r="L5" s="510" t="str">
        <f t="shared" ref="L5:L26" si="0">IF(K5&gt;0,"CR","")</f>
        <v/>
      </c>
      <c r="M5">
        <f t="shared" ref="M5:M26" si="1">M4+1</f>
        <v>3</v>
      </c>
      <c r="N5" s="509">
        <v>46112</v>
      </c>
      <c r="O5" s="511"/>
      <c r="Q5" s="512">
        <f>+C12</f>
        <v>46023</v>
      </c>
      <c r="R5" s="374">
        <f>+C4</f>
        <v>200000</v>
      </c>
      <c r="S5" s="284" t="s">
        <v>509</v>
      </c>
      <c r="T5" s="1"/>
      <c r="V5" s="1"/>
      <c r="W5" s="103" t="s">
        <v>510</v>
      </c>
      <c r="X5" s="513" t="e">
        <f ca="1">(X4*X12)</f>
        <v>#DIV/0!</v>
      </c>
      <c r="Y5" s="102" t="s">
        <v>85</v>
      </c>
      <c r="AA5" s="1" t="s">
        <v>511</v>
      </c>
      <c r="AB5" s="160"/>
    </row>
    <row r="6" spans="1:29" x14ac:dyDescent="0.25">
      <c r="B6" t="s">
        <v>259</v>
      </c>
      <c r="C6" s="674">
        <f ca="1">D6*C2</f>
        <v>4357.1428571428578</v>
      </c>
      <c r="D6" s="514">
        <v>0.02</v>
      </c>
      <c r="F6" s="502"/>
      <c r="I6">
        <f>I5+1</f>
        <v>4</v>
      </c>
      <c r="J6" s="509">
        <v>46142</v>
      </c>
      <c r="K6" s="630"/>
      <c r="L6" s="510" t="str">
        <f t="shared" si="0"/>
        <v/>
      </c>
      <c r="M6">
        <f t="shared" si="1"/>
        <v>4</v>
      </c>
      <c r="N6" s="509">
        <v>46142</v>
      </c>
      <c r="O6" s="511"/>
      <c r="Q6" s="512">
        <f>+C12</f>
        <v>46023</v>
      </c>
      <c r="R6" s="374">
        <f ca="1">+C6+C9</f>
        <v>17857.142857142859</v>
      </c>
      <c r="S6" s="284" t="s">
        <v>572</v>
      </c>
      <c r="T6" s="502"/>
    </row>
    <row r="7" spans="1:29" ht="15.75" thickBot="1" x14ac:dyDescent="0.3">
      <c r="B7" t="s">
        <v>512</v>
      </c>
      <c r="C7" s="632">
        <f>'Deal Details'!K22</f>
        <v>0</v>
      </c>
      <c r="I7">
        <f t="shared" ref="I7:I26" si="2">I6+1</f>
        <v>5</v>
      </c>
      <c r="J7" s="509">
        <v>46173</v>
      </c>
      <c r="K7" s="630"/>
      <c r="L7" s="510" t="str">
        <f t="shared" si="0"/>
        <v/>
      </c>
      <c r="M7">
        <f t="shared" si="1"/>
        <v>5</v>
      </c>
      <c r="N7" s="509">
        <v>46173</v>
      </c>
      <c r="O7" s="511"/>
      <c r="Q7" s="515">
        <f>+C12</f>
        <v>46023</v>
      </c>
      <c r="R7" s="634">
        <f>+C7</f>
        <v>0</v>
      </c>
      <c r="S7" s="294" t="s">
        <v>570</v>
      </c>
    </row>
    <row r="8" spans="1:29" x14ac:dyDescent="0.25">
      <c r="B8" t="s">
        <v>513</v>
      </c>
      <c r="C8" s="629">
        <f>'Deal Details'!C27</f>
        <v>12</v>
      </c>
      <c r="I8">
        <f t="shared" si="2"/>
        <v>6</v>
      </c>
      <c r="J8" s="509">
        <v>46203</v>
      </c>
      <c r="K8" s="630"/>
      <c r="L8" s="510" t="str">
        <f t="shared" si="0"/>
        <v/>
      </c>
      <c r="M8">
        <f t="shared" si="1"/>
        <v>6</v>
      </c>
      <c r="N8" s="509">
        <v>46203</v>
      </c>
      <c r="O8" s="511"/>
      <c r="Q8" s="512">
        <f t="shared" ref="Q8:Q31" si="3">+J3</f>
        <v>46053</v>
      </c>
      <c r="R8" s="635">
        <f t="shared" ref="R8:R31" si="4">-K3</f>
        <v>0</v>
      </c>
      <c r="S8" s="516" t="s">
        <v>569</v>
      </c>
      <c r="T8" s="502"/>
      <c r="W8" s="503" t="s">
        <v>76</v>
      </c>
      <c r="X8" s="504"/>
      <c r="Y8" s="504"/>
      <c r="Z8" s="504"/>
    </row>
    <row r="9" spans="1:29" x14ac:dyDescent="0.25">
      <c r="B9" t="s">
        <v>158</v>
      </c>
      <c r="C9" s="519">
        <f>'Deal Details'!C22+'Deal Details'!C23</f>
        <v>13500</v>
      </c>
      <c r="I9">
        <f t="shared" si="2"/>
        <v>7</v>
      </c>
      <c r="J9" s="509">
        <v>46234</v>
      </c>
      <c r="K9" s="630"/>
      <c r="L9" s="510" t="str">
        <f t="shared" si="0"/>
        <v/>
      </c>
      <c r="M9">
        <f t="shared" si="1"/>
        <v>7</v>
      </c>
      <c r="N9" s="509">
        <v>46234</v>
      </c>
      <c r="O9" s="511"/>
      <c r="Q9" s="512">
        <f t="shared" si="3"/>
        <v>46081</v>
      </c>
      <c r="R9" s="374">
        <f t="shared" si="4"/>
        <v>0</v>
      </c>
      <c r="S9" s="517" t="str">
        <f t="shared" ref="S9:S31" si="5">+L4</f>
        <v/>
      </c>
      <c r="T9" s="518" t="s">
        <v>514</v>
      </c>
      <c r="W9" s="1" t="s">
        <v>75</v>
      </c>
      <c r="X9" s="1" t="s">
        <v>76</v>
      </c>
      <c r="Y9" s="1" t="s">
        <v>10</v>
      </c>
      <c r="Z9" s="1" t="s">
        <v>78</v>
      </c>
    </row>
    <row r="10" spans="1:29" x14ac:dyDescent="0.25">
      <c r="B10" t="s">
        <v>515</v>
      </c>
      <c r="C10" s="519">
        <f>'Deal Details'!K20</f>
        <v>0</v>
      </c>
      <c r="I10">
        <f t="shared" si="2"/>
        <v>8</v>
      </c>
      <c r="J10" s="509">
        <v>46265</v>
      </c>
      <c r="K10" s="630"/>
      <c r="L10" s="510" t="str">
        <f t="shared" si="0"/>
        <v/>
      </c>
      <c r="M10">
        <f t="shared" si="1"/>
        <v>8</v>
      </c>
      <c r="N10" s="509">
        <v>46265</v>
      </c>
      <c r="O10" s="511"/>
      <c r="Q10" s="512">
        <f t="shared" si="3"/>
        <v>46112</v>
      </c>
      <c r="R10" s="374">
        <f t="shared" si="4"/>
        <v>0</v>
      </c>
      <c r="S10" s="517" t="str">
        <f t="shared" si="5"/>
        <v/>
      </c>
      <c r="T10" s="502"/>
      <c r="W10" t="s">
        <v>77</v>
      </c>
      <c r="X10" s="520">
        <f>'Deal Details'!C36</f>
        <v>0</v>
      </c>
      <c r="Y10">
        <f>'Deal Details'!C10</f>
        <v>0</v>
      </c>
      <c r="Z10" s="520">
        <f>Y10*X10</f>
        <v>0</v>
      </c>
    </row>
    <row r="11" spans="1:29" x14ac:dyDescent="0.25">
      <c r="B11" t="s">
        <v>322</v>
      </c>
      <c r="C11" s="208">
        <v>0</v>
      </c>
      <c r="D11" s="514">
        <f>'Deal Details'!C20</f>
        <v>0.01</v>
      </c>
      <c r="I11">
        <f t="shared" si="2"/>
        <v>9</v>
      </c>
      <c r="J11" s="509">
        <v>46295</v>
      </c>
      <c r="K11" s="630"/>
      <c r="L11" s="510" t="str">
        <f t="shared" si="0"/>
        <v/>
      </c>
      <c r="M11">
        <f t="shared" si="1"/>
        <v>9</v>
      </c>
      <c r="N11" s="509">
        <v>46295</v>
      </c>
      <c r="O11" s="511"/>
      <c r="Q11" s="512">
        <f t="shared" si="3"/>
        <v>46142</v>
      </c>
      <c r="R11" s="374">
        <f t="shared" si="4"/>
        <v>0</v>
      </c>
      <c r="S11" s="517" t="str">
        <f t="shared" si="5"/>
        <v/>
      </c>
    </row>
    <row r="12" spans="1:29" x14ac:dyDescent="0.25">
      <c r="B12" t="s">
        <v>27</v>
      </c>
      <c r="C12" s="521">
        <v>46023</v>
      </c>
      <c r="I12">
        <f t="shared" si="2"/>
        <v>10</v>
      </c>
      <c r="J12" s="509">
        <v>46326</v>
      </c>
      <c r="K12" s="630"/>
      <c r="L12" s="510" t="str">
        <f t="shared" si="0"/>
        <v/>
      </c>
      <c r="M12">
        <f t="shared" si="1"/>
        <v>10</v>
      </c>
      <c r="N12" s="509">
        <v>46326</v>
      </c>
      <c r="O12" s="511"/>
      <c r="Q12" s="512">
        <f t="shared" si="3"/>
        <v>46173</v>
      </c>
      <c r="R12" s="374">
        <f t="shared" si="4"/>
        <v>0</v>
      </c>
      <c r="S12" s="517" t="str">
        <f t="shared" si="5"/>
        <v/>
      </c>
      <c r="W12" s="1" t="s">
        <v>258</v>
      </c>
      <c r="X12" s="207" t="e">
        <f ca="1">C2/(Z10*0.94)</f>
        <v>#DIV/0!</v>
      </c>
      <c r="Z12" s="520"/>
    </row>
    <row r="13" spans="1:29" x14ac:dyDescent="0.25">
      <c r="B13" t="s">
        <v>199</v>
      </c>
      <c r="C13" s="521">
        <f>EDATE(C12,C8)</f>
        <v>46388</v>
      </c>
      <c r="I13">
        <f t="shared" si="2"/>
        <v>11</v>
      </c>
      <c r="J13" s="509">
        <v>46356</v>
      </c>
      <c r="K13" s="630"/>
      <c r="L13" s="510" t="str">
        <f t="shared" si="0"/>
        <v/>
      </c>
      <c r="M13">
        <f t="shared" si="1"/>
        <v>11</v>
      </c>
      <c r="N13" s="509">
        <v>46356</v>
      </c>
      <c r="O13" s="511"/>
      <c r="Q13" s="512">
        <f t="shared" si="3"/>
        <v>46203</v>
      </c>
      <c r="R13" s="374">
        <f t="shared" si="4"/>
        <v>0</v>
      </c>
      <c r="S13" s="517" t="str">
        <f t="shared" si="5"/>
        <v/>
      </c>
      <c r="Z13" s="103"/>
    </row>
    <row r="14" spans="1:29" x14ac:dyDescent="0.25">
      <c r="C14"/>
      <c r="I14">
        <f t="shared" si="2"/>
        <v>12</v>
      </c>
      <c r="J14" s="509">
        <v>46387</v>
      </c>
      <c r="K14" s="630"/>
      <c r="L14" s="510" t="str">
        <f t="shared" si="0"/>
        <v/>
      </c>
      <c r="M14">
        <f t="shared" si="1"/>
        <v>12</v>
      </c>
      <c r="N14" s="509">
        <v>46387</v>
      </c>
      <c r="O14" s="511"/>
      <c r="Q14" s="512">
        <f t="shared" si="3"/>
        <v>46234</v>
      </c>
      <c r="R14" s="374">
        <f t="shared" si="4"/>
        <v>0</v>
      </c>
      <c r="S14" s="517" t="str">
        <f t="shared" si="5"/>
        <v/>
      </c>
      <c r="Z14" s="103"/>
    </row>
    <row r="15" spans="1:29" x14ac:dyDescent="0.25">
      <c r="C15"/>
      <c r="I15">
        <f t="shared" si="2"/>
        <v>13</v>
      </c>
      <c r="J15" s="509">
        <v>46418</v>
      </c>
      <c r="K15" s="630"/>
      <c r="L15" s="510" t="str">
        <f>IF(K15&gt;0,"CR","")</f>
        <v/>
      </c>
      <c r="M15">
        <f t="shared" si="1"/>
        <v>13</v>
      </c>
      <c r="N15" s="509">
        <v>46418</v>
      </c>
      <c r="O15" s="511"/>
      <c r="Q15" s="512">
        <f t="shared" si="3"/>
        <v>46265</v>
      </c>
      <c r="R15" s="374">
        <f t="shared" si="4"/>
        <v>0</v>
      </c>
      <c r="S15" s="517" t="str">
        <f t="shared" si="5"/>
        <v/>
      </c>
      <c r="Z15" s="103"/>
    </row>
    <row r="16" spans="1:29" x14ac:dyDescent="0.25">
      <c r="C16"/>
      <c r="I16">
        <f t="shared" si="2"/>
        <v>14</v>
      </c>
      <c r="J16" s="509">
        <v>46446</v>
      </c>
      <c r="K16" s="630"/>
      <c r="L16" s="510" t="str">
        <f t="shared" si="0"/>
        <v/>
      </c>
      <c r="M16">
        <f t="shared" si="1"/>
        <v>14</v>
      </c>
      <c r="N16" s="509">
        <v>46446</v>
      </c>
      <c r="O16" s="511"/>
      <c r="Q16" s="512">
        <f t="shared" si="3"/>
        <v>46295</v>
      </c>
      <c r="R16" s="374">
        <f t="shared" si="4"/>
        <v>0</v>
      </c>
      <c r="S16" s="517" t="str">
        <f t="shared" si="5"/>
        <v/>
      </c>
      <c r="Z16" s="103"/>
    </row>
    <row r="17" spans="1:29" x14ac:dyDescent="0.25">
      <c r="C17"/>
      <c r="G17" t="s">
        <v>18</v>
      </c>
      <c r="I17">
        <f t="shared" si="2"/>
        <v>15</v>
      </c>
      <c r="J17" s="509">
        <v>46477</v>
      </c>
      <c r="K17" s="630"/>
      <c r="L17" s="510" t="str">
        <f t="shared" si="0"/>
        <v/>
      </c>
      <c r="M17">
        <f t="shared" si="1"/>
        <v>15</v>
      </c>
      <c r="N17" s="509">
        <v>46477</v>
      </c>
      <c r="O17" s="511"/>
      <c r="Q17" s="512">
        <f t="shared" si="3"/>
        <v>46326</v>
      </c>
      <c r="R17" s="374">
        <f t="shared" si="4"/>
        <v>0</v>
      </c>
      <c r="S17" s="517" t="str">
        <f t="shared" si="5"/>
        <v/>
      </c>
      <c r="Z17" s="103"/>
    </row>
    <row r="18" spans="1:29" x14ac:dyDescent="0.25">
      <c r="C18"/>
      <c r="I18">
        <f t="shared" si="2"/>
        <v>16</v>
      </c>
      <c r="J18" s="509">
        <v>46507</v>
      </c>
      <c r="K18" s="630"/>
      <c r="L18" s="510" t="str">
        <f t="shared" si="0"/>
        <v/>
      </c>
      <c r="M18">
        <f t="shared" si="1"/>
        <v>16</v>
      </c>
      <c r="N18" s="509">
        <v>46507</v>
      </c>
      <c r="O18" s="511"/>
      <c r="Q18" s="512">
        <f t="shared" si="3"/>
        <v>46356</v>
      </c>
      <c r="R18" s="374">
        <f t="shared" si="4"/>
        <v>0</v>
      </c>
      <c r="S18" s="517" t="str">
        <f t="shared" si="5"/>
        <v/>
      </c>
      <c r="Z18" s="103"/>
    </row>
    <row r="19" spans="1:29" x14ac:dyDescent="0.25">
      <c r="C19"/>
      <c r="I19">
        <f t="shared" si="2"/>
        <v>17</v>
      </c>
      <c r="J19" s="509">
        <v>46538</v>
      </c>
      <c r="K19" s="630"/>
      <c r="L19" s="510" t="str">
        <f t="shared" si="0"/>
        <v/>
      </c>
      <c r="M19">
        <f t="shared" si="1"/>
        <v>17</v>
      </c>
      <c r="N19" s="509">
        <v>46538</v>
      </c>
      <c r="O19" s="511"/>
      <c r="Q19" s="512">
        <f t="shared" si="3"/>
        <v>46387</v>
      </c>
      <c r="R19" s="374">
        <f t="shared" si="4"/>
        <v>0</v>
      </c>
      <c r="S19" s="517" t="str">
        <f t="shared" si="5"/>
        <v/>
      </c>
      <c r="Z19" s="103"/>
    </row>
    <row r="20" spans="1:29" x14ac:dyDescent="0.25">
      <c r="C20"/>
      <c r="I20">
        <f t="shared" si="2"/>
        <v>18</v>
      </c>
      <c r="J20" s="509">
        <v>46568</v>
      </c>
      <c r="K20" s="630"/>
      <c r="L20" s="510" t="str">
        <f t="shared" si="0"/>
        <v/>
      </c>
      <c r="M20">
        <f t="shared" si="1"/>
        <v>18</v>
      </c>
      <c r="N20" s="509">
        <v>46568</v>
      </c>
      <c r="O20" s="511"/>
      <c r="Q20" s="512">
        <f t="shared" si="3"/>
        <v>46418</v>
      </c>
      <c r="R20" s="374">
        <f t="shared" si="4"/>
        <v>0</v>
      </c>
      <c r="S20" s="517" t="str">
        <f t="shared" si="5"/>
        <v/>
      </c>
      <c r="Z20" s="103"/>
    </row>
    <row r="21" spans="1:29" x14ac:dyDescent="0.25">
      <c r="C21"/>
      <c r="I21">
        <f t="shared" si="2"/>
        <v>19</v>
      </c>
      <c r="J21" s="509">
        <v>46599</v>
      </c>
      <c r="K21" s="630"/>
      <c r="L21" s="510" t="str">
        <f t="shared" si="0"/>
        <v/>
      </c>
      <c r="M21">
        <f t="shared" si="1"/>
        <v>19</v>
      </c>
      <c r="N21" s="509">
        <v>46599</v>
      </c>
      <c r="O21" s="511"/>
      <c r="Q21" s="512">
        <f t="shared" si="3"/>
        <v>46446</v>
      </c>
      <c r="R21" s="374">
        <f t="shared" si="4"/>
        <v>0</v>
      </c>
      <c r="S21" s="517" t="str">
        <f t="shared" si="5"/>
        <v/>
      </c>
      <c r="Z21" s="103"/>
    </row>
    <row r="22" spans="1:29" x14ac:dyDescent="0.25">
      <c r="C22"/>
      <c r="I22">
        <f t="shared" si="2"/>
        <v>20</v>
      </c>
      <c r="J22" s="509">
        <v>46630</v>
      </c>
      <c r="K22" s="630"/>
      <c r="L22" s="510" t="str">
        <f t="shared" si="0"/>
        <v/>
      </c>
      <c r="M22">
        <f t="shared" si="1"/>
        <v>20</v>
      </c>
      <c r="N22" s="509">
        <v>46630</v>
      </c>
      <c r="O22" s="511"/>
      <c r="Q22" s="512">
        <f t="shared" si="3"/>
        <v>46477</v>
      </c>
      <c r="R22" s="374">
        <f t="shared" si="4"/>
        <v>0</v>
      </c>
      <c r="S22" s="517" t="str">
        <f t="shared" si="5"/>
        <v/>
      </c>
      <c r="Z22" s="103"/>
    </row>
    <row r="23" spans="1:29" x14ac:dyDescent="0.25">
      <c r="C23"/>
      <c r="I23">
        <f t="shared" si="2"/>
        <v>21</v>
      </c>
      <c r="J23" s="509">
        <v>46660</v>
      </c>
      <c r="K23" s="630"/>
      <c r="L23" s="510" t="str">
        <f>IF(K23&gt;0,"CR","")</f>
        <v/>
      </c>
      <c r="M23">
        <f t="shared" si="1"/>
        <v>21</v>
      </c>
      <c r="N23" s="509">
        <v>46660</v>
      </c>
      <c r="O23" s="511"/>
      <c r="Q23" s="512">
        <f t="shared" si="3"/>
        <v>46507</v>
      </c>
      <c r="R23" s="374">
        <f t="shared" si="4"/>
        <v>0</v>
      </c>
      <c r="S23" s="517" t="str">
        <f t="shared" si="5"/>
        <v/>
      </c>
      <c r="Z23" s="103"/>
    </row>
    <row r="24" spans="1:29" x14ac:dyDescent="0.25">
      <c r="C24"/>
      <c r="I24">
        <f t="shared" si="2"/>
        <v>22</v>
      </c>
      <c r="J24" s="509">
        <v>46691</v>
      </c>
      <c r="K24" s="630"/>
      <c r="L24" s="510" t="str">
        <f t="shared" si="0"/>
        <v/>
      </c>
      <c r="M24">
        <f t="shared" si="1"/>
        <v>22</v>
      </c>
      <c r="N24" s="509">
        <v>46691</v>
      </c>
      <c r="O24" s="511"/>
      <c r="Q24" s="512">
        <f t="shared" si="3"/>
        <v>46538</v>
      </c>
      <c r="R24" s="374">
        <f t="shared" si="4"/>
        <v>0</v>
      </c>
      <c r="S24" s="517" t="str">
        <f t="shared" si="5"/>
        <v/>
      </c>
      <c r="Z24" s="103"/>
    </row>
    <row r="25" spans="1:29" x14ac:dyDescent="0.25">
      <c r="C25"/>
      <c r="I25">
        <f t="shared" si="2"/>
        <v>23</v>
      </c>
      <c r="J25" s="509">
        <v>46721</v>
      </c>
      <c r="K25" s="630"/>
      <c r="L25" s="510" t="str">
        <f t="shared" si="0"/>
        <v/>
      </c>
      <c r="M25">
        <f t="shared" si="1"/>
        <v>23</v>
      </c>
      <c r="N25" s="509">
        <v>46721</v>
      </c>
      <c r="O25" s="511"/>
      <c r="Q25" s="512">
        <f t="shared" si="3"/>
        <v>46568</v>
      </c>
      <c r="R25" s="374">
        <f t="shared" si="4"/>
        <v>0</v>
      </c>
      <c r="S25" s="517" t="str">
        <f t="shared" si="5"/>
        <v/>
      </c>
      <c r="Z25" s="103"/>
    </row>
    <row r="26" spans="1:29" ht="15.75" thickBot="1" x14ac:dyDescent="0.3">
      <c r="C26"/>
      <c r="I26">
        <f t="shared" si="2"/>
        <v>24</v>
      </c>
      <c r="J26" s="522">
        <v>46752</v>
      </c>
      <c r="K26" s="631"/>
      <c r="L26" s="523" t="str">
        <f t="shared" si="0"/>
        <v/>
      </c>
      <c r="M26">
        <f t="shared" si="1"/>
        <v>24</v>
      </c>
      <c r="N26" s="522">
        <v>46752</v>
      </c>
      <c r="O26" s="524"/>
      <c r="Q26" s="512">
        <f t="shared" si="3"/>
        <v>46599</v>
      </c>
      <c r="R26" s="374">
        <f t="shared" si="4"/>
        <v>0</v>
      </c>
      <c r="S26" s="517" t="str">
        <f t="shared" si="5"/>
        <v/>
      </c>
      <c r="W26" s="1" t="s">
        <v>516</v>
      </c>
      <c r="Z26" s="520"/>
    </row>
    <row r="27" spans="1:29" x14ac:dyDescent="0.25">
      <c r="K27" s="525">
        <f>C7-SUM(K3:K26)</f>
        <v>0</v>
      </c>
      <c r="L27" t="s">
        <v>517</v>
      </c>
      <c r="M27"/>
      <c r="N27"/>
      <c r="O27" s="526"/>
      <c r="Q27" s="512">
        <f t="shared" si="3"/>
        <v>46630</v>
      </c>
      <c r="R27" s="374">
        <f t="shared" si="4"/>
        <v>0</v>
      </c>
      <c r="S27" s="517" t="str">
        <f t="shared" si="5"/>
        <v/>
      </c>
      <c r="W27" s="160">
        <f ca="1">MAX(C29:C394)</f>
        <v>217857.14285714287</v>
      </c>
    </row>
    <row r="28" spans="1:29" x14ac:dyDescent="0.25">
      <c r="A28" s="527"/>
      <c r="B28" s="527"/>
      <c r="C28" s="528" t="s">
        <v>518</v>
      </c>
      <c r="D28" s="529" t="s">
        <v>519</v>
      </c>
      <c r="E28" s="529" t="s">
        <v>502</v>
      </c>
      <c r="F28" s="529" t="s">
        <v>155</v>
      </c>
      <c r="G28" s="529" t="s">
        <v>520</v>
      </c>
      <c r="H28" s="529" t="s">
        <v>304</v>
      </c>
      <c r="L28" s="526"/>
      <c r="M28" s="526"/>
      <c r="N28" s="526"/>
      <c r="O28" s="526"/>
      <c r="P28" s="527"/>
      <c r="Q28" s="512">
        <f t="shared" si="3"/>
        <v>46660</v>
      </c>
      <c r="R28" s="374">
        <f t="shared" si="4"/>
        <v>0</v>
      </c>
      <c r="S28" s="517" t="str">
        <f t="shared" si="5"/>
        <v/>
      </c>
      <c r="U28" s="527"/>
      <c r="V28" s="527"/>
      <c r="W28" s="527"/>
      <c r="X28" s="527"/>
      <c r="Y28" s="527"/>
      <c r="Z28" s="527"/>
      <c r="AA28" s="527"/>
      <c r="AB28" s="527"/>
      <c r="AC28" s="527"/>
    </row>
    <row r="29" spans="1:29" x14ac:dyDescent="0.25">
      <c r="B29" s="130">
        <f>C12</f>
        <v>46023</v>
      </c>
      <c r="C29" s="208">
        <f ca="1">C2-C7</f>
        <v>217857.14285714287</v>
      </c>
      <c r="D29" s="530"/>
      <c r="E29" s="633">
        <f>O3</f>
        <v>0</v>
      </c>
      <c r="F29" s="208">
        <f ca="1">+C29*$C$3/360</f>
        <v>66.567460317460331</v>
      </c>
      <c r="G29" s="502">
        <f ca="1">+C$4-F29</f>
        <v>199933.43253968254</v>
      </c>
      <c r="H29" s="502">
        <f ca="1">+C29+G29</f>
        <v>417790.57539682544</v>
      </c>
      <c r="L29" s="526"/>
      <c r="M29" s="526"/>
      <c r="N29" s="526"/>
      <c r="O29" s="526"/>
      <c r="Q29" s="512">
        <f t="shared" si="3"/>
        <v>46691</v>
      </c>
      <c r="R29" s="374">
        <f t="shared" si="4"/>
        <v>0</v>
      </c>
      <c r="S29" s="517" t="str">
        <f t="shared" si="5"/>
        <v/>
      </c>
      <c r="T29" s="527"/>
    </row>
    <row r="30" spans="1:29" x14ac:dyDescent="0.25">
      <c r="B30" s="130">
        <f>+B29+1</f>
        <v>46024</v>
      </c>
      <c r="C30" s="208">
        <f ca="1">+C29+D29+E29</f>
        <v>217857.14285714287</v>
      </c>
      <c r="D30" s="208">
        <f t="shared" ref="D30:D93" si="6">SUMIF($J$3:$J$26,B30,$K$3:$K$26)</f>
        <v>0</v>
      </c>
      <c r="E30" s="208">
        <f t="shared" ref="E30:E93" si="7">-SUMIF($N$3:$N$26,B30,$O$3:$O$26)</f>
        <v>0</v>
      </c>
      <c r="F30" s="208">
        <f ca="1">+C30*$C$3/360</f>
        <v>66.567460317460331</v>
      </c>
      <c r="G30" s="502">
        <f ca="1">+G29-F30</f>
        <v>199866.86507936509</v>
      </c>
      <c r="H30" s="502">
        <f t="shared" ref="H30:H93" ca="1" si="8">+C30+G30</f>
        <v>417724.00793650793</v>
      </c>
      <c r="L30" s="526"/>
      <c r="M30" s="526"/>
      <c r="N30" s="526"/>
      <c r="O30" s="526"/>
      <c r="Q30" s="512">
        <f t="shared" si="3"/>
        <v>46721</v>
      </c>
      <c r="R30" s="374">
        <f t="shared" si="4"/>
        <v>0</v>
      </c>
      <c r="S30" s="517" t="str">
        <f t="shared" si="5"/>
        <v/>
      </c>
    </row>
    <row r="31" spans="1:29" ht="15.75" thickBot="1" x14ac:dyDescent="0.3">
      <c r="B31" s="130">
        <f t="shared" ref="B31:B94" si="9">+B30+1</f>
        <v>46025</v>
      </c>
      <c r="C31" s="208">
        <f t="shared" ref="C31:C94" ca="1" si="10">+C30+D30+E30</f>
        <v>217857.14285714287</v>
      </c>
      <c r="D31" s="208">
        <f t="shared" si="6"/>
        <v>0</v>
      </c>
      <c r="E31" s="208">
        <f t="shared" si="7"/>
        <v>0</v>
      </c>
      <c r="F31" s="208">
        <f t="shared" ref="F31:F94" ca="1" si="11">+C31*$C$3/360</f>
        <v>66.567460317460331</v>
      </c>
      <c r="G31" s="502">
        <f t="shared" ref="G31:G94" ca="1" si="12">+G30-F31</f>
        <v>199800.29761904763</v>
      </c>
      <c r="H31" s="502">
        <f t="shared" ca="1" si="8"/>
        <v>417657.44047619053</v>
      </c>
      <c r="Q31" s="512">
        <f t="shared" si="3"/>
        <v>46752</v>
      </c>
      <c r="R31" s="634">
        <f t="shared" si="4"/>
        <v>0</v>
      </c>
      <c r="S31" s="531" t="str">
        <f t="shared" si="5"/>
        <v/>
      </c>
    </row>
    <row r="32" spans="1:29" x14ac:dyDescent="0.25">
      <c r="B32" s="130">
        <f t="shared" si="9"/>
        <v>46026</v>
      </c>
      <c r="C32" s="208">
        <f t="shared" ca="1" si="10"/>
        <v>217857.14285714287</v>
      </c>
      <c r="D32" s="208">
        <f t="shared" si="6"/>
        <v>0</v>
      </c>
      <c r="E32" s="208">
        <f t="shared" si="7"/>
        <v>0</v>
      </c>
      <c r="F32" s="208">
        <f t="shared" ca="1" si="11"/>
        <v>66.567460317460331</v>
      </c>
      <c r="G32" s="502">
        <f t="shared" ca="1" si="12"/>
        <v>199733.73015873018</v>
      </c>
      <c r="H32" s="502">
        <f t="shared" ca="1" si="8"/>
        <v>417590.87301587302</v>
      </c>
      <c r="Q32" s="532">
        <f t="shared" ref="Q32:R55" si="13">+N3</f>
        <v>46053</v>
      </c>
      <c r="R32" s="635">
        <f t="shared" si="13"/>
        <v>0</v>
      </c>
      <c r="S32" s="320"/>
      <c r="T32" s="1" t="s">
        <v>521</v>
      </c>
    </row>
    <row r="33" spans="2:19" x14ac:dyDescent="0.25">
      <c r="B33" s="130">
        <f t="shared" si="9"/>
        <v>46027</v>
      </c>
      <c r="C33" s="208">
        <f t="shared" ca="1" si="10"/>
        <v>217857.14285714287</v>
      </c>
      <c r="D33" s="208">
        <f t="shared" si="6"/>
        <v>0</v>
      </c>
      <c r="E33" s="208">
        <f t="shared" si="7"/>
        <v>0</v>
      </c>
      <c r="F33" s="208">
        <f t="shared" ca="1" si="11"/>
        <v>66.567460317460331</v>
      </c>
      <c r="G33" s="502">
        <f t="shared" ca="1" si="12"/>
        <v>199667.16269841272</v>
      </c>
      <c r="H33" s="502">
        <f t="shared" ca="1" si="8"/>
        <v>417524.30555555562</v>
      </c>
      <c r="Q33" s="512">
        <f t="shared" si="13"/>
        <v>46081</v>
      </c>
      <c r="R33" s="374">
        <f t="shared" si="13"/>
        <v>0</v>
      </c>
      <c r="S33" s="284"/>
    </row>
    <row r="34" spans="2:19" x14ac:dyDescent="0.25">
      <c r="B34" s="130">
        <f t="shared" si="9"/>
        <v>46028</v>
      </c>
      <c r="C34" s="208">
        <f t="shared" ca="1" si="10"/>
        <v>217857.14285714287</v>
      </c>
      <c r="D34" s="208">
        <f t="shared" si="6"/>
        <v>0</v>
      </c>
      <c r="E34" s="208">
        <f t="shared" si="7"/>
        <v>0</v>
      </c>
      <c r="F34" s="208">
        <f t="shared" ca="1" si="11"/>
        <v>66.567460317460331</v>
      </c>
      <c r="G34" s="502">
        <f t="shared" ca="1" si="12"/>
        <v>199600.59523809527</v>
      </c>
      <c r="H34" s="502">
        <f t="shared" ca="1" si="8"/>
        <v>417457.73809523811</v>
      </c>
      <c r="Q34" s="512">
        <f t="shared" si="13"/>
        <v>46112</v>
      </c>
      <c r="R34" s="374">
        <f t="shared" si="13"/>
        <v>0</v>
      </c>
      <c r="S34" s="284"/>
    </row>
    <row r="35" spans="2:19" x14ac:dyDescent="0.25">
      <c r="B35" s="130">
        <f t="shared" si="9"/>
        <v>46029</v>
      </c>
      <c r="C35" s="208">
        <f t="shared" ca="1" si="10"/>
        <v>217857.14285714287</v>
      </c>
      <c r="D35" s="208">
        <f t="shared" si="6"/>
        <v>0</v>
      </c>
      <c r="E35" s="208">
        <f t="shared" si="7"/>
        <v>0</v>
      </c>
      <c r="F35" s="208">
        <f t="shared" ca="1" si="11"/>
        <v>66.567460317460331</v>
      </c>
      <c r="G35" s="502">
        <f t="shared" ca="1" si="12"/>
        <v>199534.02777777781</v>
      </c>
      <c r="H35" s="502">
        <f t="shared" ca="1" si="8"/>
        <v>417391.17063492071</v>
      </c>
      <c r="Q35" s="512">
        <f t="shared" si="13"/>
        <v>46142</v>
      </c>
      <c r="R35" s="374">
        <f t="shared" si="13"/>
        <v>0</v>
      </c>
      <c r="S35" s="284"/>
    </row>
    <row r="36" spans="2:19" x14ac:dyDescent="0.25">
      <c r="B36" s="130">
        <f t="shared" si="9"/>
        <v>46030</v>
      </c>
      <c r="C36" s="208">
        <f t="shared" ca="1" si="10"/>
        <v>217857.14285714287</v>
      </c>
      <c r="D36" s="208">
        <f t="shared" si="6"/>
        <v>0</v>
      </c>
      <c r="E36" s="208">
        <f t="shared" si="7"/>
        <v>0</v>
      </c>
      <c r="F36" s="208">
        <f t="shared" ca="1" si="11"/>
        <v>66.567460317460331</v>
      </c>
      <c r="G36" s="502">
        <f t="shared" ca="1" si="12"/>
        <v>199467.46031746035</v>
      </c>
      <c r="H36" s="502">
        <f t="shared" ca="1" si="8"/>
        <v>417324.60317460319</v>
      </c>
      <c r="Q36" s="512">
        <f t="shared" si="13"/>
        <v>46173</v>
      </c>
      <c r="R36" s="374">
        <f t="shared" si="13"/>
        <v>0</v>
      </c>
      <c r="S36" s="284"/>
    </row>
    <row r="37" spans="2:19" x14ac:dyDescent="0.25">
      <c r="B37" s="130">
        <f t="shared" si="9"/>
        <v>46031</v>
      </c>
      <c r="C37" s="208">
        <f t="shared" ca="1" si="10"/>
        <v>217857.14285714287</v>
      </c>
      <c r="D37" s="208">
        <f t="shared" si="6"/>
        <v>0</v>
      </c>
      <c r="E37" s="208">
        <f t="shared" si="7"/>
        <v>0</v>
      </c>
      <c r="F37" s="208">
        <f t="shared" ca="1" si="11"/>
        <v>66.567460317460331</v>
      </c>
      <c r="G37" s="502">
        <f t="shared" ca="1" si="12"/>
        <v>199400.8928571429</v>
      </c>
      <c r="H37" s="502">
        <f t="shared" ca="1" si="8"/>
        <v>417258.0357142858</v>
      </c>
      <c r="Q37" s="512">
        <f t="shared" si="13"/>
        <v>46203</v>
      </c>
      <c r="R37" s="374">
        <f t="shared" si="13"/>
        <v>0</v>
      </c>
      <c r="S37" s="284"/>
    </row>
    <row r="38" spans="2:19" x14ac:dyDescent="0.25">
      <c r="B38" s="130">
        <f t="shared" si="9"/>
        <v>46032</v>
      </c>
      <c r="C38" s="208">
        <f t="shared" ca="1" si="10"/>
        <v>217857.14285714287</v>
      </c>
      <c r="D38" s="208">
        <f t="shared" si="6"/>
        <v>0</v>
      </c>
      <c r="E38" s="208">
        <f t="shared" si="7"/>
        <v>0</v>
      </c>
      <c r="F38" s="208">
        <f t="shared" ca="1" si="11"/>
        <v>66.567460317460331</v>
      </c>
      <c r="G38" s="502">
        <f t="shared" ca="1" si="12"/>
        <v>199334.32539682544</v>
      </c>
      <c r="H38" s="502">
        <f t="shared" ca="1" si="8"/>
        <v>417191.46825396828</v>
      </c>
      <c r="Q38" s="512">
        <f t="shared" si="13"/>
        <v>46234</v>
      </c>
      <c r="R38" s="374">
        <f t="shared" si="13"/>
        <v>0</v>
      </c>
      <c r="S38" s="284"/>
    </row>
    <row r="39" spans="2:19" x14ac:dyDescent="0.25">
      <c r="B39" s="130">
        <f t="shared" si="9"/>
        <v>46033</v>
      </c>
      <c r="C39" s="208">
        <f t="shared" ca="1" si="10"/>
        <v>217857.14285714287</v>
      </c>
      <c r="D39" s="208">
        <f t="shared" si="6"/>
        <v>0</v>
      </c>
      <c r="E39" s="208">
        <f t="shared" si="7"/>
        <v>0</v>
      </c>
      <c r="F39" s="208">
        <f t="shared" ca="1" si="11"/>
        <v>66.567460317460331</v>
      </c>
      <c r="G39" s="502">
        <f t="shared" ca="1" si="12"/>
        <v>199267.75793650799</v>
      </c>
      <c r="H39" s="502">
        <f t="shared" ca="1" si="8"/>
        <v>417124.90079365089</v>
      </c>
      <c r="Q39" s="512">
        <f t="shared" si="13"/>
        <v>46265</v>
      </c>
      <c r="R39" s="374">
        <f t="shared" si="13"/>
        <v>0</v>
      </c>
      <c r="S39" s="284"/>
    </row>
    <row r="40" spans="2:19" x14ac:dyDescent="0.25">
      <c r="B40" s="130">
        <f t="shared" si="9"/>
        <v>46034</v>
      </c>
      <c r="C40" s="208">
        <f t="shared" ca="1" si="10"/>
        <v>217857.14285714287</v>
      </c>
      <c r="D40" s="208">
        <f t="shared" si="6"/>
        <v>0</v>
      </c>
      <c r="E40" s="208">
        <f t="shared" si="7"/>
        <v>0</v>
      </c>
      <c r="F40" s="208">
        <f t="shared" ca="1" si="11"/>
        <v>66.567460317460331</v>
      </c>
      <c r="G40" s="502">
        <f t="shared" ca="1" si="12"/>
        <v>199201.19047619053</v>
      </c>
      <c r="H40" s="502">
        <f t="shared" ca="1" si="8"/>
        <v>417058.33333333337</v>
      </c>
      <c r="Q40" s="512">
        <f t="shared" si="13"/>
        <v>46295</v>
      </c>
      <c r="R40" s="374">
        <f t="shared" si="13"/>
        <v>0</v>
      </c>
      <c r="S40" s="284"/>
    </row>
    <row r="41" spans="2:19" x14ac:dyDescent="0.25">
      <c r="B41" s="130">
        <f t="shared" si="9"/>
        <v>46035</v>
      </c>
      <c r="C41" s="208">
        <f t="shared" ca="1" si="10"/>
        <v>217857.14285714287</v>
      </c>
      <c r="D41" s="208">
        <f t="shared" si="6"/>
        <v>0</v>
      </c>
      <c r="E41" s="208">
        <f t="shared" si="7"/>
        <v>0</v>
      </c>
      <c r="F41" s="208">
        <f t="shared" ca="1" si="11"/>
        <v>66.567460317460331</v>
      </c>
      <c r="G41" s="502">
        <f t="shared" ca="1" si="12"/>
        <v>199134.62301587308</v>
      </c>
      <c r="H41" s="502">
        <f t="shared" ca="1" si="8"/>
        <v>416991.76587301597</v>
      </c>
      <c r="Q41" s="512">
        <f t="shared" si="13"/>
        <v>46326</v>
      </c>
      <c r="R41" s="374">
        <f t="shared" si="13"/>
        <v>0</v>
      </c>
      <c r="S41" s="284"/>
    </row>
    <row r="42" spans="2:19" x14ac:dyDescent="0.25">
      <c r="B42" s="130">
        <f t="shared" si="9"/>
        <v>46036</v>
      </c>
      <c r="C42" s="208">
        <f t="shared" ca="1" si="10"/>
        <v>217857.14285714287</v>
      </c>
      <c r="D42" s="208">
        <f t="shared" si="6"/>
        <v>0</v>
      </c>
      <c r="E42" s="208">
        <f t="shared" si="7"/>
        <v>0</v>
      </c>
      <c r="F42" s="208">
        <f t="shared" ca="1" si="11"/>
        <v>66.567460317460331</v>
      </c>
      <c r="G42" s="502">
        <f t="shared" ca="1" si="12"/>
        <v>199068.05555555562</v>
      </c>
      <c r="H42" s="502">
        <f t="shared" ca="1" si="8"/>
        <v>416925.19841269846</v>
      </c>
      <c r="Q42" s="512">
        <f t="shared" si="13"/>
        <v>46356</v>
      </c>
      <c r="R42" s="374">
        <f t="shared" si="13"/>
        <v>0</v>
      </c>
      <c r="S42" s="284"/>
    </row>
    <row r="43" spans="2:19" x14ac:dyDescent="0.25">
      <c r="B43" s="130">
        <f t="shared" si="9"/>
        <v>46037</v>
      </c>
      <c r="C43" s="208">
        <f t="shared" ca="1" si="10"/>
        <v>217857.14285714287</v>
      </c>
      <c r="D43" s="208">
        <f t="shared" si="6"/>
        <v>0</v>
      </c>
      <c r="E43" s="208">
        <f t="shared" si="7"/>
        <v>0</v>
      </c>
      <c r="F43" s="208">
        <f t="shared" ca="1" si="11"/>
        <v>66.567460317460331</v>
      </c>
      <c r="G43" s="502">
        <f t="shared" ca="1" si="12"/>
        <v>199001.48809523816</v>
      </c>
      <c r="H43" s="502">
        <f t="shared" ca="1" si="8"/>
        <v>416858.63095238106</v>
      </c>
      <c r="Q43" s="512">
        <f t="shared" si="13"/>
        <v>46387</v>
      </c>
      <c r="R43" s="374">
        <f t="shared" si="13"/>
        <v>0</v>
      </c>
      <c r="S43" s="284"/>
    </row>
    <row r="44" spans="2:19" x14ac:dyDescent="0.25">
      <c r="B44" s="130">
        <f t="shared" si="9"/>
        <v>46038</v>
      </c>
      <c r="C44" s="208">
        <f t="shared" ca="1" si="10"/>
        <v>217857.14285714287</v>
      </c>
      <c r="D44" s="208">
        <f t="shared" si="6"/>
        <v>0</v>
      </c>
      <c r="E44" s="208">
        <f t="shared" si="7"/>
        <v>0</v>
      </c>
      <c r="F44" s="208">
        <f t="shared" ca="1" si="11"/>
        <v>66.567460317460331</v>
      </c>
      <c r="G44" s="502">
        <f t="shared" ca="1" si="12"/>
        <v>198934.92063492071</v>
      </c>
      <c r="H44" s="502">
        <f t="shared" ca="1" si="8"/>
        <v>416792.06349206355</v>
      </c>
      <c r="Q44" s="512">
        <f t="shared" si="13"/>
        <v>46418</v>
      </c>
      <c r="R44" s="374">
        <f t="shared" si="13"/>
        <v>0</v>
      </c>
      <c r="S44" s="284"/>
    </row>
    <row r="45" spans="2:19" x14ac:dyDescent="0.25">
      <c r="B45" s="130">
        <f t="shared" si="9"/>
        <v>46039</v>
      </c>
      <c r="C45" s="208">
        <f t="shared" ca="1" si="10"/>
        <v>217857.14285714287</v>
      </c>
      <c r="D45" s="208">
        <f t="shared" si="6"/>
        <v>0</v>
      </c>
      <c r="E45" s="208">
        <f t="shared" si="7"/>
        <v>0</v>
      </c>
      <c r="F45" s="208">
        <f t="shared" ca="1" si="11"/>
        <v>66.567460317460331</v>
      </c>
      <c r="G45" s="502">
        <f t="shared" ca="1" si="12"/>
        <v>198868.35317460325</v>
      </c>
      <c r="H45" s="502">
        <f t="shared" ca="1" si="8"/>
        <v>416725.49603174615</v>
      </c>
      <c r="Q45" s="512">
        <f t="shared" si="13"/>
        <v>46446</v>
      </c>
      <c r="R45" s="374">
        <f t="shared" si="13"/>
        <v>0</v>
      </c>
      <c r="S45" s="284"/>
    </row>
    <row r="46" spans="2:19" x14ac:dyDescent="0.25">
      <c r="B46" s="130">
        <f t="shared" si="9"/>
        <v>46040</v>
      </c>
      <c r="C46" s="208">
        <f t="shared" ca="1" si="10"/>
        <v>217857.14285714287</v>
      </c>
      <c r="D46" s="208">
        <f t="shared" si="6"/>
        <v>0</v>
      </c>
      <c r="E46" s="208">
        <f t="shared" si="7"/>
        <v>0</v>
      </c>
      <c r="F46" s="208">
        <f t="shared" ca="1" si="11"/>
        <v>66.567460317460331</v>
      </c>
      <c r="G46" s="502">
        <f t="shared" ca="1" si="12"/>
        <v>198801.7857142858</v>
      </c>
      <c r="H46" s="502">
        <f t="shared" ca="1" si="8"/>
        <v>416658.92857142864</v>
      </c>
      <c r="Q46" s="512">
        <f t="shared" si="13"/>
        <v>46477</v>
      </c>
      <c r="R46" s="374">
        <f t="shared" si="13"/>
        <v>0</v>
      </c>
      <c r="S46" s="284"/>
    </row>
    <row r="47" spans="2:19" x14ac:dyDescent="0.25">
      <c r="B47" s="130">
        <f t="shared" si="9"/>
        <v>46041</v>
      </c>
      <c r="C47" s="208">
        <f t="shared" ca="1" si="10"/>
        <v>217857.14285714287</v>
      </c>
      <c r="D47" s="208">
        <f t="shared" si="6"/>
        <v>0</v>
      </c>
      <c r="E47" s="208">
        <f t="shared" si="7"/>
        <v>0</v>
      </c>
      <c r="F47" s="208">
        <f t="shared" ca="1" si="11"/>
        <v>66.567460317460331</v>
      </c>
      <c r="G47" s="502">
        <f t="shared" ca="1" si="12"/>
        <v>198735.21825396834</v>
      </c>
      <c r="H47" s="502">
        <f t="shared" ca="1" si="8"/>
        <v>416592.36111111124</v>
      </c>
      <c r="Q47" s="512">
        <f t="shared" si="13"/>
        <v>46507</v>
      </c>
      <c r="R47" s="374">
        <f t="shared" si="13"/>
        <v>0</v>
      </c>
      <c r="S47" s="284"/>
    </row>
    <row r="48" spans="2:19" x14ac:dyDescent="0.25">
      <c r="B48" s="130">
        <f t="shared" si="9"/>
        <v>46042</v>
      </c>
      <c r="C48" s="208">
        <f t="shared" ca="1" si="10"/>
        <v>217857.14285714287</v>
      </c>
      <c r="D48" s="208">
        <f t="shared" si="6"/>
        <v>0</v>
      </c>
      <c r="E48" s="208">
        <f t="shared" si="7"/>
        <v>0</v>
      </c>
      <c r="F48" s="208">
        <f t="shared" ca="1" si="11"/>
        <v>66.567460317460331</v>
      </c>
      <c r="G48" s="502">
        <f t="shared" ca="1" si="12"/>
        <v>198668.65079365089</v>
      </c>
      <c r="H48" s="502">
        <f t="shared" ca="1" si="8"/>
        <v>416525.79365079373</v>
      </c>
      <c r="Q48" s="512">
        <f t="shared" si="13"/>
        <v>46538</v>
      </c>
      <c r="R48" s="374">
        <f t="shared" si="13"/>
        <v>0</v>
      </c>
      <c r="S48" s="284"/>
    </row>
    <row r="49" spans="2:19" x14ac:dyDescent="0.25">
      <c r="B49" s="130">
        <f t="shared" si="9"/>
        <v>46043</v>
      </c>
      <c r="C49" s="208">
        <f t="shared" ca="1" si="10"/>
        <v>217857.14285714287</v>
      </c>
      <c r="D49" s="208">
        <f t="shared" si="6"/>
        <v>0</v>
      </c>
      <c r="E49" s="208">
        <f t="shared" si="7"/>
        <v>0</v>
      </c>
      <c r="F49" s="208">
        <f t="shared" ca="1" si="11"/>
        <v>66.567460317460331</v>
      </c>
      <c r="G49" s="502">
        <f t="shared" ca="1" si="12"/>
        <v>198602.08333333343</v>
      </c>
      <c r="H49" s="502">
        <f t="shared" ca="1" si="8"/>
        <v>416459.22619047633</v>
      </c>
      <c r="Q49" s="512">
        <f t="shared" si="13"/>
        <v>46568</v>
      </c>
      <c r="R49" s="374">
        <f t="shared" si="13"/>
        <v>0</v>
      </c>
      <c r="S49" s="284"/>
    </row>
    <row r="50" spans="2:19" x14ac:dyDescent="0.25">
      <c r="B50" s="130">
        <f t="shared" si="9"/>
        <v>46044</v>
      </c>
      <c r="C50" s="208">
        <f t="shared" ca="1" si="10"/>
        <v>217857.14285714287</v>
      </c>
      <c r="D50" s="208">
        <f t="shared" si="6"/>
        <v>0</v>
      </c>
      <c r="E50" s="208">
        <f t="shared" si="7"/>
        <v>0</v>
      </c>
      <c r="F50" s="208">
        <f t="shared" ca="1" si="11"/>
        <v>66.567460317460331</v>
      </c>
      <c r="G50" s="502">
        <f t="shared" ca="1" si="12"/>
        <v>198535.51587301597</v>
      </c>
      <c r="H50" s="502">
        <f t="shared" ca="1" si="8"/>
        <v>416392.65873015882</v>
      </c>
      <c r="Q50" s="512">
        <f t="shared" si="13"/>
        <v>46599</v>
      </c>
      <c r="R50" s="374">
        <f t="shared" si="13"/>
        <v>0</v>
      </c>
      <c r="S50" s="284"/>
    </row>
    <row r="51" spans="2:19" x14ac:dyDescent="0.25">
      <c r="B51" s="130">
        <f t="shared" si="9"/>
        <v>46045</v>
      </c>
      <c r="C51" s="208">
        <f t="shared" ca="1" si="10"/>
        <v>217857.14285714287</v>
      </c>
      <c r="D51" s="208">
        <f t="shared" si="6"/>
        <v>0</v>
      </c>
      <c r="E51" s="208">
        <f t="shared" si="7"/>
        <v>0</v>
      </c>
      <c r="F51" s="208">
        <f t="shared" ca="1" si="11"/>
        <v>66.567460317460331</v>
      </c>
      <c r="G51" s="502">
        <f t="shared" ca="1" si="12"/>
        <v>198468.94841269852</v>
      </c>
      <c r="H51" s="502">
        <f t="shared" ca="1" si="8"/>
        <v>416326.09126984142</v>
      </c>
      <c r="Q51" s="512">
        <f t="shared" si="13"/>
        <v>46630</v>
      </c>
      <c r="R51" s="374">
        <f t="shared" si="13"/>
        <v>0</v>
      </c>
      <c r="S51" s="284"/>
    </row>
    <row r="52" spans="2:19" x14ac:dyDescent="0.25">
      <c r="B52" s="130">
        <f t="shared" si="9"/>
        <v>46046</v>
      </c>
      <c r="C52" s="208">
        <f t="shared" ca="1" si="10"/>
        <v>217857.14285714287</v>
      </c>
      <c r="D52" s="208">
        <f t="shared" si="6"/>
        <v>0</v>
      </c>
      <c r="E52" s="208">
        <f t="shared" si="7"/>
        <v>0</v>
      </c>
      <c r="F52" s="208">
        <f t="shared" ca="1" si="11"/>
        <v>66.567460317460331</v>
      </c>
      <c r="G52" s="502">
        <f t="shared" ca="1" si="12"/>
        <v>198402.38095238106</v>
      </c>
      <c r="H52" s="502">
        <f t="shared" ca="1" si="8"/>
        <v>416259.5238095239</v>
      </c>
      <c r="Q52" s="512">
        <f t="shared" si="13"/>
        <v>46660</v>
      </c>
      <c r="R52" s="374">
        <f t="shared" si="13"/>
        <v>0</v>
      </c>
      <c r="S52" s="284"/>
    </row>
    <row r="53" spans="2:19" x14ac:dyDescent="0.25">
      <c r="B53" s="130">
        <f t="shared" si="9"/>
        <v>46047</v>
      </c>
      <c r="C53" s="208">
        <f t="shared" ca="1" si="10"/>
        <v>217857.14285714287</v>
      </c>
      <c r="D53" s="208">
        <f t="shared" si="6"/>
        <v>0</v>
      </c>
      <c r="E53" s="208">
        <f t="shared" si="7"/>
        <v>0</v>
      </c>
      <c r="F53" s="208">
        <f t="shared" ca="1" si="11"/>
        <v>66.567460317460331</v>
      </c>
      <c r="G53" s="502">
        <f t="shared" ca="1" si="12"/>
        <v>198335.81349206361</v>
      </c>
      <c r="H53" s="502">
        <f t="shared" ca="1" si="8"/>
        <v>416192.95634920651</v>
      </c>
      <c r="Q53" s="512">
        <f t="shared" si="13"/>
        <v>46691</v>
      </c>
      <c r="R53" s="374">
        <f t="shared" si="13"/>
        <v>0</v>
      </c>
      <c r="S53" s="284"/>
    </row>
    <row r="54" spans="2:19" x14ac:dyDescent="0.25">
      <c r="B54" s="130">
        <f t="shared" si="9"/>
        <v>46048</v>
      </c>
      <c r="C54" s="208">
        <f t="shared" ca="1" si="10"/>
        <v>217857.14285714287</v>
      </c>
      <c r="D54" s="208">
        <f t="shared" si="6"/>
        <v>0</v>
      </c>
      <c r="E54" s="208">
        <f t="shared" si="7"/>
        <v>0</v>
      </c>
      <c r="F54" s="208">
        <f t="shared" ca="1" si="11"/>
        <v>66.567460317460331</v>
      </c>
      <c r="G54" s="502">
        <f t="shared" ca="1" si="12"/>
        <v>198269.24603174615</v>
      </c>
      <c r="H54" s="502">
        <f t="shared" ca="1" si="8"/>
        <v>416126.38888888899</v>
      </c>
      <c r="Q54" s="512">
        <f t="shared" si="13"/>
        <v>46721</v>
      </c>
      <c r="R54" s="374">
        <f t="shared" si="13"/>
        <v>0</v>
      </c>
      <c r="S54" s="284"/>
    </row>
    <row r="55" spans="2:19" ht="15.75" thickBot="1" x14ac:dyDescent="0.3">
      <c r="B55" s="130">
        <f t="shared" si="9"/>
        <v>46049</v>
      </c>
      <c r="C55" s="208">
        <f t="shared" ca="1" si="10"/>
        <v>217857.14285714287</v>
      </c>
      <c r="D55" s="208">
        <f t="shared" si="6"/>
        <v>0</v>
      </c>
      <c r="E55" s="208">
        <f t="shared" si="7"/>
        <v>0</v>
      </c>
      <c r="F55" s="208">
        <f t="shared" ca="1" si="11"/>
        <v>66.567460317460331</v>
      </c>
      <c r="G55" s="502">
        <f t="shared" ca="1" si="12"/>
        <v>198202.6785714287</v>
      </c>
      <c r="H55" s="502">
        <f t="shared" ca="1" si="8"/>
        <v>416059.82142857159</v>
      </c>
      <c r="Q55" s="515">
        <f t="shared" si="13"/>
        <v>46752</v>
      </c>
      <c r="R55" s="634">
        <f t="shared" si="13"/>
        <v>0</v>
      </c>
      <c r="S55" s="294"/>
    </row>
    <row r="56" spans="2:19" ht="15.75" thickBot="1" x14ac:dyDescent="0.3">
      <c r="B56" s="130">
        <f t="shared" si="9"/>
        <v>46050</v>
      </c>
      <c r="C56" s="208">
        <f t="shared" ca="1" si="10"/>
        <v>217857.14285714287</v>
      </c>
      <c r="D56" s="208">
        <f t="shared" si="6"/>
        <v>0</v>
      </c>
      <c r="E56" s="208">
        <f t="shared" si="7"/>
        <v>0</v>
      </c>
      <c r="F56" s="208">
        <f t="shared" ca="1" si="11"/>
        <v>66.567460317460331</v>
      </c>
      <c r="G56" s="502">
        <f t="shared" ca="1" si="12"/>
        <v>198136.11111111124</v>
      </c>
      <c r="H56" s="502">
        <f t="shared" ca="1" si="8"/>
        <v>415993.25396825408</v>
      </c>
      <c r="Q56" s="515">
        <f>+C13</f>
        <v>46388</v>
      </c>
      <c r="R56" s="636">
        <f ca="1">SUMIF(B:B,Q56,H:H)</f>
        <v>393493.45238095406</v>
      </c>
      <c r="S56" s="294" t="s">
        <v>522</v>
      </c>
    </row>
    <row r="57" spans="2:19" x14ac:dyDescent="0.25">
      <c r="B57" s="130">
        <f t="shared" si="9"/>
        <v>46051</v>
      </c>
      <c r="C57" s="208">
        <f t="shared" ca="1" si="10"/>
        <v>217857.14285714287</v>
      </c>
      <c r="D57" s="208">
        <f t="shared" si="6"/>
        <v>0</v>
      </c>
      <c r="E57" s="208">
        <f t="shared" si="7"/>
        <v>0</v>
      </c>
      <c r="F57" s="208">
        <f t="shared" ca="1" si="11"/>
        <v>66.567460317460331</v>
      </c>
      <c r="G57" s="502">
        <f t="shared" ca="1" si="12"/>
        <v>198069.54365079378</v>
      </c>
      <c r="H57" s="502">
        <f t="shared" ca="1" si="8"/>
        <v>415926.68650793668</v>
      </c>
    </row>
    <row r="58" spans="2:19" x14ac:dyDescent="0.25">
      <c r="B58" s="130">
        <f t="shared" si="9"/>
        <v>46052</v>
      </c>
      <c r="C58" s="208">
        <f t="shared" ca="1" si="10"/>
        <v>217857.14285714287</v>
      </c>
      <c r="D58" s="208">
        <f t="shared" si="6"/>
        <v>0</v>
      </c>
      <c r="E58" s="208">
        <f t="shared" si="7"/>
        <v>0</v>
      </c>
      <c r="F58" s="208">
        <f t="shared" ca="1" si="11"/>
        <v>66.567460317460331</v>
      </c>
      <c r="G58" s="502">
        <f t="shared" ca="1" si="12"/>
        <v>198002.97619047633</v>
      </c>
      <c r="H58" s="502">
        <f t="shared" ca="1" si="8"/>
        <v>415860.11904761917</v>
      </c>
    </row>
    <row r="59" spans="2:19" x14ac:dyDescent="0.25">
      <c r="B59" s="130">
        <f t="shared" si="9"/>
        <v>46053</v>
      </c>
      <c r="C59" s="208">
        <f t="shared" ca="1" si="10"/>
        <v>217857.14285714287</v>
      </c>
      <c r="D59" s="208">
        <f t="shared" si="6"/>
        <v>0</v>
      </c>
      <c r="E59" s="208">
        <f t="shared" si="7"/>
        <v>0</v>
      </c>
      <c r="F59" s="208">
        <f t="shared" ca="1" si="11"/>
        <v>66.567460317460331</v>
      </c>
      <c r="G59" s="502">
        <f t="shared" ca="1" si="12"/>
        <v>197936.40873015887</v>
      </c>
      <c r="H59" s="502">
        <f t="shared" ca="1" si="8"/>
        <v>415793.55158730177</v>
      </c>
    </row>
    <row r="60" spans="2:19" x14ac:dyDescent="0.25">
      <c r="B60" s="130">
        <f t="shared" si="9"/>
        <v>46054</v>
      </c>
      <c r="C60" s="208">
        <f t="shared" ca="1" si="10"/>
        <v>217857.14285714287</v>
      </c>
      <c r="D60" s="208">
        <f t="shared" si="6"/>
        <v>0</v>
      </c>
      <c r="E60" s="208">
        <f t="shared" si="7"/>
        <v>0</v>
      </c>
      <c r="F60" s="208">
        <f t="shared" ca="1" si="11"/>
        <v>66.567460317460331</v>
      </c>
      <c r="G60" s="502">
        <f t="shared" ca="1" si="12"/>
        <v>197869.84126984142</v>
      </c>
      <c r="H60" s="502">
        <f t="shared" ca="1" si="8"/>
        <v>415726.98412698426</v>
      </c>
    </row>
    <row r="61" spans="2:19" x14ac:dyDescent="0.25">
      <c r="B61" s="130">
        <f t="shared" si="9"/>
        <v>46055</v>
      </c>
      <c r="C61" s="208">
        <f t="shared" ca="1" si="10"/>
        <v>217857.14285714287</v>
      </c>
      <c r="D61" s="208">
        <f t="shared" si="6"/>
        <v>0</v>
      </c>
      <c r="E61" s="208">
        <f t="shared" si="7"/>
        <v>0</v>
      </c>
      <c r="F61" s="208">
        <f t="shared" ca="1" si="11"/>
        <v>66.567460317460331</v>
      </c>
      <c r="G61" s="502">
        <f t="shared" ca="1" si="12"/>
        <v>197803.27380952396</v>
      </c>
      <c r="H61" s="502">
        <f t="shared" ca="1" si="8"/>
        <v>415660.41666666686</v>
      </c>
    </row>
    <row r="62" spans="2:19" x14ac:dyDescent="0.25">
      <c r="B62" s="130">
        <f t="shared" si="9"/>
        <v>46056</v>
      </c>
      <c r="C62" s="208">
        <f t="shared" ca="1" si="10"/>
        <v>217857.14285714287</v>
      </c>
      <c r="D62" s="208">
        <f t="shared" si="6"/>
        <v>0</v>
      </c>
      <c r="E62" s="208">
        <f t="shared" si="7"/>
        <v>0</v>
      </c>
      <c r="F62" s="208">
        <f t="shared" ca="1" si="11"/>
        <v>66.567460317460331</v>
      </c>
      <c r="G62" s="502">
        <f t="shared" ca="1" si="12"/>
        <v>197736.70634920651</v>
      </c>
      <c r="H62" s="502">
        <f t="shared" ca="1" si="8"/>
        <v>415593.84920634935</v>
      </c>
    </row>
    <row r="63" spans="2:19" x14ac:dyDescent="0.25">
      <c r="B63" s="130">
        <f t="shared" si="9"/>
        <v>46057</v>
      </c>
      <c r="C63" s="208">
        <f t="shared" ca="1" si="10"/>
        <v>217857.14285714287</v>
      </c>
      <c r="D63" s="208">
        <f t="shared" si="6"/>
        <v>0</v>
      </c>
      <c r="E63" s="208">
        <f t="shared" si="7"/>
        <v>0</v>
      </c>
      <c r="F63" s="208">
        <f t="shared" ca="1" si="11"/>
        <v>66.567460317460331</v>
      </c>
      <c r="G63" s="502">
        <f t="shared" ca="1" si="12"/>
        <v>197670.13888888905</v>
      </c>
      <c r="H63" s="502">
        <f t="shared" ca="1" si="8"/>
        <v>415527.28174603195</v>
      </c>
    </row>
    <row r="64" spans="2:19" x14ac:dyDescent="0.25">
      <c r="B64" s="130">
        <f t="shared" si="9"/>
        <v>46058</v>
      </c>
      <c r="C64" s="208">
        <f t="shared" ca="1" si="10"/>
        <v>217857.14285714287</v>
      </c>
      <c r="D64" s="208">
        <f t="shared" si="6"/>
        <v>0</v>
      </c>
      <c r="E64" s="208">
        <f t="shared" si="7"/>
        <v>0</v>
      </c>
      <c r="F64" s="208">
        <f t="shared" ca="1" si="11"/>
        <v>66.567460317460331</v>
      </c>
      <c r="G64" s="502">
        <f t="shared" ca="1" si="12"/>
        <v>197603.57142857159</v>
      </c>
      <c r="H64" s="502">
        <f t="shared" ca="1" si="8"/>
        <v>415460.71428571444</v>
      </c>
    </row>
    <row r="65" spans="2:8" x14ac:dyDescent="0.25">
      <c r="B65" s="130">
        <f t="shared" si="9"/>
        <v>46059</v>
      </c>
      <c r="C65" s="208">
        <f t="shared" ca="1" si="10"/>
        <v>217857.14285714287</v>
      </c>
      <c r="D65" s="208">
        <f t="shared" si="6"/>
        <v>0</v>
      </c>
      <c r="E65" s="208">
        <f t="shared" si="7"/>
        <v>0</v>
      </c>
      <c r="F65" s="208">
        <f t="shared" ca="1" si="11"/>
        <v>66.567460317460331</v>
      </c>
      <c r="G65" s="502">
        <f t="shared" ca="1" si="12"/>
        <v>197537.00396825414</v>
      </c>
      <c r="H65" s="502">
        <f t="shared" ca="1" si="8"/>
        <v>415394.14682539704</v>
      </c>
    </row>
    <row r="66" spans="2:8" x14ac:dyDescent="0.25">
      <c r="B66" s="130">
        <f t="shared" si="9"/>
        <v>46060</v>
      </c>
      <c r="C66" s="208">
        <f t="shared" ca="1" si="10"/>
        <v>217857.14285714287</v>
      </c>
      <c r="D66" s="208">
        <f t="shared" si="6"/>
        <v>0</v>
      </c>
      <c r="E66" s="208">
        <f t="shared" si="7"/>
        <v>0</v>
      </c>
      <c r="F66" s="208">
        <f t="shared" ca="1" si="11"/>
        <v>66.567460317460331</v>
      </c>
      <c r="G66" s="502">
        <f t="shared" ca="1" si="12"/>
        <v>197470.43650793668</v>
      </c>
      <c r="H66" s="502">
        <f t="shared" ca="1" si="8"/>
        <v>415327.57936507952</v>
      </c>
    </row>
    <row r="67" spans="2:8" x14ac:dyDescent="0.25">
      <c r="B67" s="130">
        <f t="shared" si="9"/>
        <v>46061</v>
      </c>
      <c r="C67" s="208">
        <f t="shared" ca="1" si="10"/>
        <v>217857.14285714287</v>
      </c>
      <c r="D67" s="208">
        <f t="shared" si="6"/>
        <v>0</v>
      </c>
      <c r="E67" s="208">
        <f t="shared" si="7"/>
        <v>0</v>
      </c>
      <c r="F67" s="208">
        <f t="shared" ca="1" si="11"/>
        <v>66.567460317460331</v>
      </c>
      <c r="G67" s="502">
        <f t="shared" ca="1" si="12"/>
        <v>197403.86904761923</v>
      </c>
      <c r="H67" s="502">
        <f t="shared" ca="1" si="8"/>
        <v>415261.01190476213</v>
      </c>
    </row>
    <row r="68" spans="2:8" x14ac:dyDescent="0.25">
      <c r="B68" s="130">
        <f t="shared" si="9"/>
        <v>46062</v>
      </c>
      <c r="C68" s="208">
        <f t="shared" ca="1" si="10"/>
        <v>217857.14285714287</v>
      </c>
      <c r="D68" s="208">
        <f t="shared" si="6"/>
        <v>0</v>
      </c>
      <c r="E68" s="208">
        <f t="shared" si="7"/>
        <v>0</v>
      </c>
      <c r="F68" s="208">
        <f t="shared" ca="1" si="11"/>
        <v>66.567460317460331</v>
      </c>
      <c r="G68" s="502">
        <f t="shared" ca="1" si="12"/>
        <v>197337.30158730177</v>
      </c>
      <c r="H68" s="502">
        <f t="shared" ca="1" si="8"/>
        <v>415194.44444444461</v>
      </c>
    </row>
    <row r="69" spans="2:8" x14ac:dyDescent="0.25">
      <c r="B69" s="130">
        <f t="shared" si="9"/>
        <v>46063</v>
      </c>
      <c r="C69" s="208">
        <f t="shared" ca="1" si="10"/>
        <v>217857.14285714287</v>
      </c>
      <c r="D69" s="208">
        <f t="shared" si="6"/>
        <v>0</v>
      </c>
      <c r="E69" s="208">
        <f t="shared" si="7"/>
        <v>0</v>
      </c>
      <c r="F69" s="208">
        <f t="shared" ca="1" si="11"/>
        <v>66.567460317460331</v>
      </c>
      <c r="G69" s="502">
        <f t="shared" ca="1" si="12"/>
        <v>197270.73412698432</v>
      </c>
      <c r="H69" s="502">
        <f t="shared" ca="1" si="8"/>
        <v>415127.87698412722</v>
      </c>
    </row>
    <row r="70" spans="2:8" x14ac:dyDescent="0.25">
      <c r="B70" s="130">
        <f t="shared" si="9"/>
        <v>46064</v>
      </c>
      <c r="C70" s="208">
        <f t="shared" ca="1" si="10"/>
        <v>217857.14285714287</v>
      </c>
      <c r="D70" s="208">
        <f t="shared" si="6"/>
        <v>0</v>
      </c>
      <c r="E70" s="208">
        <f t="shared" si="7"/>
        <v>0</v>
      </c>
      <c r="F70" s="208">
        <f t="shared" ca="1" si="11"/>
        <v>66.567460317460331</v>
      </c>
      <c r="G70" s="502">
        <f t="shared" ca="1" si="12"/>
        <v>197204.16666666686</v>
      </c>
      <c r="H70" s="502">
        <f t="shared" ca="1" si="8"/>
        <v>415061.3095238097</v>
      </c>
    </row>
    <row r="71" spans="2:8" x14ac:dyDescent="0.25">
      <c r="B71" s="130">
        <f t="shared" si="9"/>
        <v>46065</v>
      </c>
      <c r="C71" s="208">
        <f t="shared" ca="1" si="10"/>
        <v>217857.14285714287</v>
      </c>
      <c r="D71" s="208">
        <f t="shared" si="6"/>
        <v>0</v>
      </c>
      <c r="E71" s="208">
        <f t="shared" si="7"/>
        <v>0</v>
      </c>
      <c r="F71" s="208">
        <f t="shared" ca="1" si="11"/>
        <v>66.567460317460331</v>
      </c>
      <c r="G71" s="502">
        <f t="shared" ca="1" si="12"/>
        <v>197137.5992063494</v>
      </c>
      <c r="H71" s="502">
        <f t="shared" ca="1" si="8"/>
        <v>414994.7420634923</v>
      </c>
    </row>
    <row r="72" spans="2:8" x14ac:dyDescent="0.25">
      <c r="B72" s="130">
        <f t="shared" si="9"/>
        <v>46066</v>
      </c>
      <c r="C72" s="208">
        <f t="shared" ca="1" si="10"/>
        <v>217857.14285714287</v>
      </c>
      <c r="D72" s="208">
        <f t="shared" si="6"/>
        <v>0</v>
      </c>
      <c r="E72" s="208">
        <f t="shared" si="7"/>
        <v>0</v>
      </c>
      <c r="F72" s="208">
        <f t="shared" ca="1" si="11"/>
        <v>66.567460317460331</v>
      </c>
      <c r="G72" s="502">
        <f t="shared" ca="1" si="12"/>
        <v>197071.03174603195</v>
      </c>
      <c r="H72" s="502">
        <f t="shared" ca="1" si="8"/>
        <v>414928.17460317479</v>
      </c>
    </row>
    <row r="73" spans="2:8" x14ac:dyDescent="0.25">
      <c r="B73" s="130">
        <f t="shared" si="9"/>
        <v>46067</v>
      </c>
      <c r="C73" s="208">
        <f t="shared" ca="1" si="10"/>
        <v>217857.14285714287</v>
      </c>
      <c r="D73" s="208">
        <f t="shared" si="6"/>
        <v>0</v>
      </c>
      <c r="E73" s="208">
        <f t="shared" si="7"/>
        <v>0</v>
      </c>
      <c r="F73" s="208">
        <f t="shared" ca="1" si="11"/>
        <v>66.567460317460331</v>
      </c>
      <c r="G73" s="502">
        <f t="shared" ca="1" si="12"/>
        <v>197004.46428571449</v>
      </c>
      <c r="H73" s="502">
        <f t="shared" ca="1" si="8"/>
        <v>414861.60714285739</v>
      </c>
    </row>
    <row r="74" spans="2:8" x14ac:dyDescent="0.25">
      <c r="B74" s="130">
        <f t="shared" si="9"/>
        <v>46068</v>
      </c>
      <c r="C74" s="208">
        <f t="shared" ca="1" si="10"/>
        <v>217857.14285714287</v>
      </c>
      <c r="D74" s="208">
        <f t="shared" si="6"/>
        <v>0</v>
      </c>
      <c r="E74" s="208">
        <f t="shared" si="7"/>
        <v>0</v>
      </c>
      <c r="F74" s="208">
        <f t="shared" ca="1" si="11"/>
        <v>66.567460317460331</v>
      </c>
      <c r="G74" s="502">
        <f t="shared" ca="1" si="12"/>
        <v>196937.89682539704</v>
      </c>
      <c r="H74" s="502">
        <f t="shared" ca="1" si="8"/>
        <v>414795.03968253988</v>
      </c>
    </row>
    <row r="75" spans="2:8" x14ac:dyDescent="0.25">
      <c r="B75" s="130">
        <f t="shared" si="9"/>
        <v>46069</v>
      </c>
      <c r="C75" s="208">
        <f t="shared" ca="1" si="10"/>
        <v>217857.14285714287</v>
      </c>
      <c r="D75" s="208">
        <f t="shared" si="6"/>
        <v>0</v>
      </c>
      <c r="E75" s="208">
        <f t="shared" si="7"/>
        <v>0</v>
      </c>
      <c r="F75" s="208">
        <f t="shared" ca="1" si="11"/>
        <v>66.567460317460331</v>
      </c>
      <c r="G75" s="502">
        <f t="shared" ca="1" si="12"/>
        <v>196871.32936507958</v>
      </c>
      <c r="H75" s="502">
        <f t="shared" ca="1" si="8"/>
        <v>414728.47222222248</v>
      </c>
    </row>
    <row r="76" spans="2:8" x14ac:dyDescent="0.25">
      <c r="B76" s="130">
        <f t="shared" si="9"/>
        <v>46070</v>
      </c>
      <c r="C76" s="208">
        <f t="shared" ca="1" si="10"/>
        <v>217857.14285714287</v>
      </c>
      <c r="D76" s="208">
        <f t="shared" si="6"/>
        <v>0</v>
      </c>
      <c r="E76" s="208">
        <f t="shared" si="7"/>
        <v>0</v>
      </c>
      <c r="F76" s="208">
        <f t="shared" ca="1" si="11"/>
        <v>66.567460317460331</v>
      </c>
      <c r="G76" s="502">
        <f t="shared" ca="1" si="12"/>
        <v>196804.76190476213</v>
      </c>
      <c r="H76" s="502">
        <f t="shared" ca="1" si="8"/>
        <v>414661.90476190497</v>
      </c>
    </row>
    <row r="77" spans="2:8" x14ac:dyDescent="0.25">
      <c r="B77" s="130">
        <f t="shared" si="9"/>
        <v>46071</v>
      </c>
      <c r="C77" s="208">
        <f t="shared" ca="1" si="10"/>
        <v>217857.14285714287</v>
      </c>
      <c r="D77" s="208">
        <f t="shared" si="6"/>
        <v>0</v>
      </c>
      <c r="E77" s="208">
        <f t="shared" si="7"/>
        <v>0</v>
      </c>
      <c r="F77" s="208">
        <f t="shared" ca="1" si="11"/>
        <v>66.567460317460331</v>
      </c>
      <c r="G77" s="502">
        <f t="shared" ca="1" si="12"/>
        <v>196738.19444444467</v>
      </c>
      <c r="H77" s="502">
        <f t="shared" ca="1" si="8"/>
        <v>414595.33730158757</v>
      </c>
    </row>
    <row r="78" spans="2:8" x14ac:dyDescent="0.25">
      <c r="B78" s="130">
        <f t="shared" si="9"/>
        <v>46072</v>
      </c>
      <c r="C78" s="208">
        <f t="shared" ca="1" si="10"/>
        <v>217857.14285714287</v>
      </c>
      <c r="D78" s="208">
        <f t="shared" si="6"/>
        <v>0</v>
      </c>
      <c r="E78" s="208">
        <f t="shared" si="7"/>
        <v>0</v>
      </c>
      <c r="F78" s="208">
        <f t="shared" ca="1" si="11"/>
        <v>66.567460317460331</v>
      </c>
      <c r="G78" s="502">
        <f t="shared" ca="1" si="12"/>
        <v>196671.62698412722</v>
      </c>
      <c r="H78" s="502">
        <f t="shared" ca="1" si="8"/>
        <v>414528.76984127006</v>
      </c>
    </row>
    <row r="79" spans="2:8" x14ac:dyDescent="0.25">
      <c r="B79" s="130">
        <f t="shared" si="9"/>
        <v>46073</v>
      </c>
      <c r="C79" s="208">
        <f t="shared" ca="1" si="10"/>
        <v>217857.14285714287</v>
      </c>
      <c r="D79" s="208">
        <f t="shared" si="6"/>
        <v>0</v>
      </c>
      <c r="E79" s="208">
        <f t="shared" si="7"/>
        <v>0</v>
      </c>
      <c r="F79" s="208">
        <f t="shared" ca="1" si="11"/>
        <v>66.567460317460331</v>
      </c>
      <c r="G79" s="502">
        <f t="shared" ca="1" si="12"/>
        <v>196605.05952380976</v>
      </c>
      <c r="H79" s="502">
        <f t="shared" ca="1" si="8"/>
        <v>414462.20238095266</v>
      </c>
    </row>
    <row r="80" spans="2:8" x14ac:dyDescent="0.25">
      <c r="B80" s="130">
        <f t="shared" si="9"/>
        <v>46074</v>
      </c>
      <c r="C80" s="208">
        <f t="shared" ca="1" si="10"/>
        <v>217857.14285714287</v>
      </c>
      <c r="D80" s="208">
        <f t="shared" si="6"/>
        <v>0</v>
      </c>
      <c r="E80" s="208">
        <f t="shared" si="7"/>
        <v>0</v>
      </c>
      <c r="F80" s="208">
        <f t="shared" ca="1" si="11"/>
        <v>66.567460317460331</v>
      </c>
      <c r="G80" s="502">
        <f t="shared" ca="1" si="12"/>
        <v>196538.4920634923</v>
      </c>
      <c r="H80" s="502">
        <f t="shared" ca="1" si="8"/>
        <v>414395.63492063514</v>
      </c>
    </row>
    <row r="81" spans="2:8" x14ac:dyDescent="0.25">
      <c r="B81" s="130">
        <f t="shared" si="9"/>
        <v>46075</v>
      </c>
      <c r="C81" s="208">
        <f t="shared" ca="1" si="10"/>
        <v>217857.14285714287</v>
      </c>
      <c r="D81" s="208">
        <f t="shared" si="6"/>
        <v>0</v>
      </c>
      <c r="E81" s="208">
        <f t="shared" si="7"/>
        <v>0</v>
      </c>
      <c r="F81" s="208">
        <f t="shared" ca="1" si="11"/>
        <v>66.567460317460331</v>
      </c>
      <c r="G81" s="502">
        <f t="shared" ca="1" si="12"/>
        <v>196471.92460317485</v>
      </c>
      <c r="H81" s="502">
        <f t="shared" ca="1" si="8"/>
        <v>414329.06746031775</v>
      </c>
    </row>
    <row r="82" spans="2:8" x14ac:dyDescent="0.25">
      <c r="B82" s="130">
        <f t="shared" si="9"/>
        <v>46076</v>
      </c>
      <c r="C82" s="208">
        <f t="shared" ca="1" si="10"/>
        <v>217857.14285714287</v>
      </c>
      <c r="D82" s="208">
        <f t="shared" si="6"/>
        <v>0</v>
      </c>
      <c r="E82" s="208">
        <f t="shared" si="7"/>
        <v>0</v>
      </c>
      <c r="F82" s="208">
        <f t="shared" ca="1" si="11"/>
        <v>66.567460317460331</v>
      </c>
      <c r="G82" s="502">
        <f t="shared" ca="1" si="12"/>
        <v>196405.35714285739</v>
      </c>
      <c r="H82" s="502">
        <f t="shared" ca="1" si="8"/>
        <v>414262.50000000023</v>
      </c>
    </row>
    <row r="83" spans="2:8" x14ac:dyDescent="0.25">
      <c r="B83" s="130">
        <f t="shared" si="9"/>
        <v>46077</v>
      </c>
      <c r="C83" s="208">
        <f t="shared" ca="1" si="10"/>
        <v>217857.14285714287</v>
      </c>
      <c r="D83" s="208">
        <f t="shared" si="6"/>
        <v>0</v>
      </c>
      <c r="E83" s="208">
        <f t="shared" si="7"/>
        <v>0</v>
      </c>
      <c r="F83" s="208">
        <f t="shared" ca="1" si="11"/>
        <v>66.567460317460331</v>
      </c>
      <c r="G83" s="502">
        <f t="shared" ca="1" si="12"/>
        <v>196338.78968253994</v>
      </c>
      <c r="H83" s="502">
        <f t="shared" ca="1" si="8"/>
        <v>414195.93253968284</v>
      </c>
    </row>
    <row r="84" spans="2:8" x14ac:dyDescent="0.25">
      <c r="B84" s="130">
        <f t="shared" si="9"/>
        <v>46078</v>
      </c>
      <c r="C84" s="208">
        <f t="shared" ca="1" si="10"/>
        <v>217857.14285714287</v>
      </c>
      <c r="D84" s="208">
        <f t="shared" si="6"/>
        <v>0</v>
      </c>
      <c r="E84" s="208">
        <f t="shared" si="7"/>
        <v>0</v>
      </c>
      <c r="F84" s="208">
        <f t="shared" ca="1" si="11"/>
        <v>66.567460317460331</v>
      </c>
      <c r="G84" s="502">
        <f t="shared" ca="1" si="12"/>
        <v>196272.22222222248</v>
      </c>
      <c r="H84" s="502">
        <f t="shared" ca="1" si="8"/>
        <v>414129.36507936532</v>
      </c>
    </row>
    <row r="85" spans="2:8" x14ac:dyDescent="0.25">
      <c r="B85" s="130">
        <f t="shared" si="9"/>
        <v>46079</v>
      </c>
      <c r="C85" s="208">
        <f t="shared" ca="1" si="10"/>
        <v>217857.14285714287</v>
      </c>
      <c r="D85" s="208">
        <f t="shared" si="6"/>
        <v>0</v>
      </c>
      <c r="E85" s="208">
        <f t="shared" si="7"/>
        <v>0</v>
      </c>
      <c r="F85" s="208">
        <f t="shared" ca="1" si="11"/>
        <v>66.567460317460331</v>
      </c>
      <c r="G85" s="502">
        <f t="shared" ca="1" si="12"/>
        <v>196205.65476190503</v>
      </c>
      <c r="H85" s="502">
        <f t="shared" ca="1" si="8"/>
        <v>414062.79761904792</v>
      </c>
    </row>
    <row r="86" spans="2:8" x14ac:dyDescent="0.25">
      <c r="B86" s="130">
        <f t="shared" si="9"/>
        <v>46080</v>
      </c>
      <c r="C86" s="208">
        <f t="shared" ca="1" si="10"/>
        <v>217857.14285714287</v>
      </c>
      <c r="D86" s="208">
        <f t="shared" si="6"/>
        <v>0</v>
      </c>
      <c r="E86" s="208">
        <f t="shared" si="7"/>
        <v>0</v>
      </c>
      <c r="F86" s="208">
        <f t="shared" ca="1" si="11"/>
        <v>66.567460317460331</v>
      </c>
      <c r="G86" s="502">
        <f t="shared" ca="1" si="12"/>
        <v>196139.08730158757</v>
      </c>
      <c r="H86" s="502">
        <f t="shared" ca="1" si="8"/>
        <v>413996.23015873041</v>
      </c>
    </row>
    <row r="87" spans="2:8" x14ac:dyDescent="0.25">
      <c r="B87" s="130">
        <f t="shared" si="9"/>
        <v>46081</v>
      </c>
      <c r="C87" s="208">
        <f t="shared" ca="1" si="10"/>
        <v>217857.14285714287</v>
      </c>
      <c r="D87" s="208">
        <f t="shared" si="6"/>
        <v>0</v>
      </c>
      <c r="E87" s="208">
        <f t="shared" si="7"/>
        <v>0</v>
      </c>
      <c r="F87" s="208">
        <f t="shared" ca="1" si="11"/>
        <v>66.567460317460331</v>
      </c>
      <c r="G87" s="502">
        <f t="shared" ca="1" si="12"/>
        <v>196072.51984127011</v>
      </c>
      <c r="H87" s="502">
        <f t="shared" ca="1" si="8"/>
        <v>413929.66269841301</v>
      </c>
    </row>
    <row r="88" spans="2:8" x14ac:dyDescent="0.25">
      <c r="B88" s="130">
        <f t="shared" si="9"/>
        <v>46082</v>
      </c>
      <c r="C88" s="208">
        <f t="shared" ca="1" si="10"/>
        <v>217857.14285714287</v>
      </c>
      <c r="D88" s="208">
        <f t="shared" si="6"/>
        <v>0</v>
      </c>
      <c r="E88" s="208">
        <f t="shared" si="7"/>
        <v>0</v>
      </c>
      <c r="F88" s="208">
        <f t="shared" ca="1" si="11"/>
        <v>66.567460317460331</v>
      </c>
      <c r="G88" s="502">
        <f t="shared" ca="1" si="12"/>
        <v>196005.95238095266</v>
      </c>
      <c r="H88" s="502">
        <f t="shared" ca="1" si="8"/>
        <v>413863.0952380955</v>
      </c>
    </row>
    <row r="89" spans="2:8" x14ac:dyDescent="0.25">
      <c r="B89" s="130">
        <f t="shared" si="9"/>
        <v>46083</v>
      </c>
      <c r="C89" s="208">
        <f t="shared" ca="1" si="10"/>
        <v>217857.14285714287</v>
      </c>
      <c r="D89" s="208">
        <f t="shared" si="6"/>
        <v>0</v>
      </c>
      <c r="E89" s="208">
        <f t="shared" si="7"/>
        <v>0</v>
      </c>
      <c r="F89" s="208">
        <f t="shared" ca="1" si="11"/>
        <v>66.567460317460331</v>
      </c>
      <c r="G89" s="502">
        <f t="shared" ca="1" si="12"/>
        <v>195939.3849206352</v>
      </c>
      <c r="H89" s="502">
        <f t="shared" ca="1" si="8"/>
        <v>413796.5277777781</v>
      </c>
    </row>
    <row r="90" spans="2:8" x14ac:dyDescent="0.25">
      <c r="B90" s="130">
        <f t="shared" si="9"/>
        <v>46084</v>
      </c>
      <c r="C90" s="208">
        <f t="shared" ca="1" si="10"/>
        <v>217857.14285714287</v>
      </c>
      <c r="D90" s="208">
        <f t="shared" si="6"/>
        <v>0</v>
      </c>
      <c r="E90" s="208">
        <f t="shared" si="7"/>
        <v>0</v>
      </c>
      <c r="F90" s="208">
        <f t="shared" ca="1" si="11"/>
        <v>66.567460317460331</v>
      </c>
      <c r="G90" s="502">
        <f t="shared" ca="1" si="12"/>
        <v>195872.81746031775</v>
      </c>
      <c r="H90" s="502">
        <f t="shared" ca="1" si="8"/>
        <v>413729.96031746059</v>
      </c>
    </row>
    <row r="91" spans="2:8" x14ac:dyDescent="0.25">
      <c r="B91" s="130">
        <f t="shared" si="9"/>
        <v>46085</v>
      </c>
      <c r="C91" s="208">
        <f t="shared" ca="1" si="10"/>
        <v>217857.14285714287</v>
      </c>
      <c r="D91" s="208">
        <f t="shared" si="6"/>
        <v>0</v>
      </c>
      <c r="E91" s="208">
        <f t="shared" si="7"/>
        <v>0</v>
      </c>
      <c r="F91" s="208">
        <f t="shared" ca="1" si="11"/>
        <v>66.567460317460331</v>
      </c>
      <c r="G91" s="502">
        <f t="shared" ca="1" si="12"/>
        <v>195806.25000000029</v>
      </c>
      <c r="H91" s="502">
        <f t="shared" ca="1" si="8"/>
        <v>413663.39285714319</v>
      </c>
    </row>
    <row r="92" spans="2:8" x14ac:dyDescent="0.25">
      <c r="B92" s="130">
        <f t="shared" si="9"/>
        <v>46086</v>
      </c>
      <c r="C92" s="208">
        <f t="shared" ca="1" si="10"/>
        <v>217857.14285714287</v>
      </c>
      <c r="D92" s="208">
        <f t="shared" si="6"/>
        <v>0</v>
      </c>
      <c r="E92" s="208">
        <f t="shared" si="7"/>
        <v>0</v>
      </c>
      <c r="F92" s="208">
        <f t="shared" ca="1" si="11"/>
        <v>66.567460317460331</v>
      </c>
      <c r="G92" s="502">
        <f t="shared" ca="1" si="12"/>
        <v>195739.68253968284</v>
      </c>
      <c r="H92" s="502">
        <f t="shared" ca="1" si="8"/>
        <v>413596.82539682568</v>
      </c>
    </row>
    <row r="93" spans="2:8" x14ac:dyDescent="0.25">
      <c r="B93" s="130">
        <f t="shared" si="9"/>
        <v>46087</v>
      </c>
      <c r="C93" s="208">
        <f t="shared" ca="1" si="10"/>
        <v>217857.14285714287</v>
      </c>
      <c r="D93" s="208">
        <f t="shared" si="6"/>
        <v>0</v>
      </c>
      <c r="E93" s="208">
        <f t="shared" si="7"/>
        <v>0</v>
      </c>
      <c r="F93" s="208">
        <f t="shared" ca="1" si="11"/>
        <v>66.567460317460331</v>
      </c>
      <c r="G93" s="502">
        <f t="shared" ca="1" si="12"/>
        <v>195673.11507936538</v>
      </c>
      <c r="H93" s="502">
        <f t="shared" ca="1" si="8"/>
        <v>413530.25793650828</v>
      </c>
    </row>
    <row r="94" spans="2:8" x14ac:dyDescent="0.25">
      <c r="B94" s="130">
        <f t="shared" si="9"/>
        <v>46088</v>
      </c>
      <c r="C94" s="208">
        <f t="shared" ca="1" si="10"/>
        <v>217857.14285714287</v>
      </c>
      <c r="D94" s="208">
        <f t="shared" ref="D94:D157" si="14">SUMIF($J$3:$J$26,B94,$K$3:$K$26)</f>
        <v>0</v>
      </c>
      <c r="E94" s="208">
        <f t="shared" ref="E94:E157" si="15">-SUMIF($N$3:$N$26,B94,$O$3:$O$26)</f>
        <v>0</v>
      </c>
      <c r="F94" s="208">
        <f t="shared" ca="1" si="11"/>
        <v>66.567460317460331</v>
      </c>
      <c r="G94" s="502">
        <f t="shared" ca="1" si="12"/>
        <v>195606.54761904792</v>
      </c>
      <c r="H94" s="502">
        <f t="shared" ref="H94:H157" ca="1" si="16">+C94+G94</f>
        <v>413463.69047619076</v>
      </c>
    </row>
    <row r="95" spans="2:8" x14ac:dyDescent="0.25">
      <c r="B95" s="130">
        <f t="shared" ref="B95:B158" si="17">+B94+1</f>
        <v>46089</v>
      </c>
      <c r="C95" s="208">
        <f t="shared" ref="C95:C158" ca="1" si="18">+C94+D94+E94</f>
        <v>217857.14285714287</v>
      </c>
      <c r="D95" s="208">
        <f t="shared" si="14"/>
        <v>0</v>
      </c>
      <c r="E95" s="208">
        <f t="shared" si="15"/>
        <v>0</v>
      </c>
      <c r="F95" s="208">
        <f t="shared" ref="F95:F158" ca="1" si="19">+C95*$C$3/360</f>
        <v>66.567460317460331</v>
      </c>
      <c r="G95" s="502">
        <f t="shared" ref="G95:G158" ca="1" si="20">+G94-F95</f>
        <v>195539.98015873047</v>
      </c>
      <c r="H95" s="502">
        <f t="shared" ca="1" si="16"/>
        <v>413397.12301587337</v>
      </c>
    </row>
    <row r="96" spans="2:8" x14ac:dyDescent="0.25">
      <c r="B96" s="130">
        <f t="shared" si="17"/>
        <v>46090</v>
      </c>
      <c r="C96" s="208">
        <f t="shared" ca="1" si="18"/>
        <v>217857.14285714287</v>
      </c>
      <c r="D96" s="208">
        <f t="shared" si="14"/>
        <v>0</v>
      </c>
      <c r="E96" s="208">
        <f t="shared" si="15"/>
        <v>0</v>
      </c>
      <c r="F96" s="208">
        <f t="shared" ca="1" si="19"/>
        <v>66.567460317460331</v>
      </c>
      <c r="G96" s="502">
        <f t="shared" ca="1" si="20"/>
        <v>195473.41269841301</v>
      </c>
      <c r="H96" s="502">
        <f t="shared" ca="1" si="16"/>
        <v>413330.55555555585</v>
      </c>
    </row>
    <row r="97" spans="2:8" x14ac:dyDescent="0.25">
      <c r="B97" s="130">
        <f t="shared" si="17"/>
        <v>46091</v>
      </c>
      <c r="C97" s="208">
        <f t="shared" ca="1" si="18"/>
        <v>217857.14285714287</v>
      </c>
      <c r="D97" s="208">
        <f t="shared" si="14"/>
        <v>0</v>
      </c>
      <c r="E97" s="208">
        <f t="shared" si="15"/>
        <v>0</v>
      </c>
      <c r="F97" s="208">
        <f t="shared" ca="1" si="19"/>
        <v>66.567460317460331</v>
      </c>
      <c r="G97" s="502">
        <f t="shared" ca="1" si="20"/>
        <v>195406.84523809556</v>
      </c>
      <c r="H97" s="502">
        <f t="shared" ca="1" si="16"/>
        <v>413263.98809523846</v>
      </c>
    </row>
    <row r="98" spans="2:8" x14ac:dyDescent="0.25">
      <c r="B98" s="130">
        <f t="shared" si="17"/>
        <v>46092</v>
      </c>
      <c r="C98" s="208">
        <f t="shared" ca="1" si="18"/>
        <v>217857.14285714287</v>
      </c>
      <c r="D98" s="208">
        <f t="shared" si="14"/>
        <v>0</v>
      </c>
      <c r="E98" s="208">
        <f t="shared" si="15"/>
        <v>0</v>
      </c>
      <c r="F98" s="208">
        <f t="shared" ca="1" si="19"/>
        <v>66.567460317460331</v>
      </c>
      <c r="G98" s="502">
        <f t="shared" ca="1" si="20"/>
        <v>195340.2777777781</v>
      </c>
      <c r="H98" s="502">
        <f t="shared" ca="1" si="16"/>
        <v>413197.42063492094</v>
      </c>
    </row>
    <row r="99" spans="2:8" x14ac:dyDescent="0.25">
      <c r="B99" s="130">
        <f t="shared" si="17"/>
        <v>46093</v>
      </c>
      <c r="C99" s="208">
        <f t="shared" ca="1" si="18"/>
        <v>217857.14285714287</v>
      </c>
      <c r="D99" s="208">
        <f t="shared" si="14"/>
        <v>0</v>
      </c>
      <c r="E99" s="208">
        <f t="shared" si="15"/>
        <v>0</v>
      </c>
      <c r="F99" s="208">
        <f t="shared" ca="1" si="19"/>
        <v>66.567460317460331</v>
      </c>
      <c r="G99" s="502">
        <f t="shared" ca="1" si="20"/>
        <v>195273.71031746065</v>
      </c>
      <c r="H99" s="502">
        <f t="shared" ca="1" si="16"/>
        <v>413130.85317460354</v>
      </c>
    </row>
    <row r="100" spans="2:8" x14ac:dyDescent="0.25">
      <c r="B100" s="130">
        <f t="shared" si="17"/>
        <v>46094</v>
      </c>
      <c r="C100" s="208">
        <f t="shared" ca="1" si="18"/>
        <v>217857.14285714287</v>
      </c>
      <c r="D100" s="208">
        <f t="shared" si="14"/>
        <v>0</v>
      </c>
      <c r="E100" s="208">
        <f t="shared" si="15"/>
        <v>0</v>
      </c>
      <c r="F100" s="208">
        <f t="shared" ca="1" si="19"/>
        <v>66.567460317460331</v>
      </c>
      <c r="G100" s="502">
        <f t="shared" ca="1" si="20"/>
        <v>195207.14285714319</v>
      </c>
      <c r="H100" s="502">
        <f t="shared" ca="1" si="16"/>
        <v>413064.28571428603</v>
      </c>
    </row>
    <row r="101" spans="2:8" x14ac:dyDescent="0.25">
      <c r="B101" s="130">
        <f t="shared" si="17"/>
        <v>46095</v>
      </c>
      <c r="C101" s="208">
        <f t="shared" ca="1" si="18"/>
        <v>217857.14285714287</v>
      </c>
      <c r="D101" s="208">
        <f t="shared" si="14"/>
        <v>0</v>
      </c>
      <c r="E101" s="208">
        <f t="shared" si="15"/>
        <v>0</v>
      </c>
      <c r="F101" s="208">
        <f t="shared" ca="1" si="19"/>
        <v>66.567460317460331</v>
      </c>
      <c r="G101" s="502">
        <f t="shared" ca="1" si="20"/>
        <v>195140.57539682573</v>
      </c>
      <c r="H101" s="502">
        <f t="shared" ca="1" si="16"/>
        <v>412997.71825396863</v>
      </c>
    </row>
    <row r="102" spans="2:8" x14ac:dyDescent="0.25">
      <c r="B102" s="130">
        <f t="shared" si="17"/>
        <v>46096</v>
      </c>
      <c r="C102" s="208">
        <f t="shared" ca="1" si="18"/>
        <v>217857.14285714287</v>
      </c>
      <c r="D102" s="208">
        <f t="shared" si="14"/>
        <v>0</v>
      </c>
      <c r="E102" s="208">
        <f t="shared" si="15"/>
        <v>0</v>
      </c>
      <c r="F102" s="208">
        <f t="shared" ca="1" si="19"/>
        <v>66.567460317460331</v>
      </c>
      <c r="G102" s="502">
        <f t="shared" ca="1" si="20"/>
        <v>195074.00793650828</v>
      </c>
      <c r="H102" s="502">
        <f t="shared" ca="1" si="16"/>
        <v>412931.15079365112</v>
      </c>
    </row>
    <row r="103" spans="2:8" x14ac:dyDescent="0.25">
      <c r="B103" s="130">
        <f t="shared" si="17"/>
        <v>46097</v>
      </c>
      <c r="C103" s="208">
        <f t="shared" ca="1" si="18"/>
        <v>217857.14285714287</v>
      </c>
      <c r="D103" s="208">
        <f t="shared" si="14"/>
        <v>0</v>
      </c>
      <c r="E103" s="208">
        <f t="shared" si="15"/>
        <v>0</v>
      </c>
      <c r="F103" s="208">
        <f t="shared" ca="1" si="19"/>
        <v>66.567460317460331</v>
      </c>
      <c r="G103" s="502">
        <f t="shared" ca="1" si="20"/>
        <v>195007.44047619082</v>
      </c>
      <c r="H103" s="502">
        <f t="shared" ca="1" si="16"/>
        <v>412864.58333333372</v>
      </c>
    </row>
    <row r="104" spans="2:8" x14ac:dyDescent="0.25">
      <c r="B104" s="130">
        <f t="shared" si="17"/>
        <v>46098</v>
      </c>
      <c r="C104" s="208">
        <f t="shared" ca="1" si="18"/>
        <v>217857.14285714287</v>
      </c>
      <c r="D104" s="208">
        <f t="shared" si="14"/>
        <v>0</v>
      </c>
      <c r="E104" s="208">
        <f t="shared" si="15"/>
        <v>0</v>
      </c>
      <c r="F104" s="208">
        <f t="shared" ca="1" si="19"/>
        <v>66.567460317460331</v>
      </c>
      <c r="G104" s="502">
        <f t="shared" ca="1" si="20"/>
        <v>194940.87301587337</v>
      </c>
      <c r="H104" s="502">
        <f t="shared" ca="1" si="16"/>
        <v>412798.01587301621</v>
      </c>
    </row>
    <row r="105" spans="2:8" x14ac:dyDescent="0.25">
      <c r="B105" s="130">
        <f t="shared" si="17"/>
        <v>46099</v>
      </c>
      <c r="C105" s="208">
        <f t="shared" ca="1" si="18"/>
        <v>217857.14285714287</v>
      </c>
      <c r="D105" s="208">
        <f t="shared" si="14"/>
        <v>0</v>
      </c>
      <c r="E105" s="208">
        <f t="shared" si="15"/>
        <v>0</v>
      </c>
      <c r="F105" s="208">
        <f t="shared" ca="1" si="19"/>
        <v>66.567460317460331</v>
      </c>
      <c r="G105" s="502">
        <f t="shared" ca="1" si="20"/>
        <v>194874.30555555591</v>
      </c>
      <c r="H105" s="502">
        <f t="shared" ca="1" si="16"/>
        <v>412731.44841269881</v>
      </c>
    </row>
    <row r="106" spans="2:8" x14ac:dyDescent="0.25">
      <c r="B106" s="130">
        <f t="shared" si="17"/>
        <v>46100</v>
      </c>
      <c r="C106" s="208">
        <f t="shared" ca="1" si="18"/>
        <v>217857.14285714287</v>
      </c>
      <c r="D106" s="208">
        <f t="shared" si="14"/>
        <v>0</v>
      </c>
      <c r="E106" s="208">
        <f t="shared" si="15"/>
        <v>0</v>
      </c>
      <c r="F106" s="208">
        <f t="shared" ca="1" si="19"/>
        <v>66.567460317460331</v>
      </c>
      <c r="G106" s="502">
        <f t="shared" ca="1" si="20"/>
        <v>194807.73809523846</v>
      </c>
      <c r="H106" s="502">
        <f t="shared" ca="1" si="16"/>
        <v>412664.8809523813</v>
      </c>
    </row>
    <row r="107" spans="2:8" x14ac:dyDescent="0.25">
      <c r="B107" s="130">
        <f t="shared" si="17"/>
        <v>46101</v>
      </c>
      <c r="C107" s="208">
        <f t="shared" ca="1" si="18"/>
        <v>217857.14285714287</v>
      </c>
      <c r="D107" s="208">
        <f t="shared" si="14"/>
        <v>0</v>
      </c>
      <c r="E107" s="208">
        <f t="shared" si="15"/>
        <v>0</v>
      </c>
      <c r="F107" s="208">
        <f t="shared" ca="1" si="19"/>
        <v>66.567460317460331</v>
      </c>
      <c r="G107" s="502">
        <f t="shared" ca="1" si="20"/>
        <v>194741.170634921</v>
      </c>
      <c r="H107" s="502">
        <f t="shared" ca="1" si="16"/>
        <v>412598.3134920639</v>
      </c>
    </row>
    <row r="108" spans="2:8" x14ac:dyDescent="0.25">
      <c r="B108" s="130">
        <f t="shared" si="17"/>
        <v>46102</v>
      </c>
      <c r="C108" s="208">
        <f t="shared" ca="1" si="18"/>
        <v>217857.14285714287</v>
      </c>
      <c r="D108" s="208">
        <f t="shared" si="14"/>
        <v>0</v>
      </c>
      <c r="E108" s="208">
        <f t="shared" si="15"/>
        <v>0</v>
      </c>
      <c r="F108" s="208">
        <f t="shared" ca="1" si="19"/>
        <v>66.567460317460331</v>
      </c>
      <c r="G108" s="502">
        <f t="shared" ca="1" si="20"/>
        <v>194674.60317460354</v>
      </c>
      <c r="H108" s="502">
        <f t="shared" ca="1" si="16"/>
        <v>412531.74603174638</v>
      </c>
    </row>
    <row r="109" spans="2:8" x14ac:dyDescent="0.25">
      <c r="B109" s="130">
        <f t="shared" si="17"/>
        <v>46103</v>
      </c>
      <c r="C109" s="208">
        <f t="shared" ca="1" si="18"/>
        <v>217857.14285714287</v>
      </c>
      <c r="D109" s="208">
        <f t="shared" si="14"/>
        <v>0</v>
      </c>
      <c r="E109" s="208">
        <f t="shared" si="15"/>
        <v>0</v>
      </c>
      <c r="F109" s="208">
        <f t="shared" ca="1" si="19"/>
        <v>66.567460317460331</v>
      </c>
      <c r="G109" s="502">
        <f t="shared" ca="1" si="20"/>
        <v>194608.03571428609</v>
      </c>
      <c r="H109" s="502">
        <f t="shared" ca="1" si="16"/>
        <v>412465.17857142899</v>
      </c>
    </row>
    <row r="110" spans="2:8" x14ac:dyDescent="0.25">
      <c r="B110" s="130">
        <f t="shared" si="17"/>
        <v>46104</v>
      </c>
      <c r="C110" s="208">
        <f t="shared" ca="1" si="18"/>
        <v>217857.14285714287</v>
      </c>
      <c r="D110" s="208">
        <f t="shared" si="14"/>
        <v>0</v>
      </c>
      <c r="E110" s="208">
        <f t="shared" si="15"/>
        <v>0</v>
      </c>
      <c r="F110" s="208">
        <f t="shared" ca="1" si="19"/>
        <v>66.567460317460331</v>
      </c>
      <c r="G110" s="502">
        <f t="shared" ca="1" si="20"/>
        <v>194541.46825396863</v>
      </c>
      <c r="H110" s="502">
        <f t="shared" ca="1" si="16"/>
        <v>412398.61111111147</v>
      </c>
    </row>
    <row r="111" spans="2:8" x14ac:dyDescent="0.25">
      <c r="B111" s="130">
        <f t="shared" si="17"/>
        <v>46105</v>
      </c>
      <c r="C111" s="208">
        <f t="shared" ca="1" si="18"/>
        <v>217857.14285714287</v>
      </c>
      <c r="D111" s="208">
        <f t="shared" si="14"/>
        <v>0</v>
      </c>
      <c r="E111" s="208">
        <f t="shared" si="15"/>
        <v>0</v>
      </c>
      <c r="F111" s="208">
        <f t="shared" ca="1" si="19"/>
        <v>66.567460317460331</v>
      </c>
      <c r="G111" s="502">
        <f t="shared" ca="1" si="20"/>
        <v>194474.90079365118</v>
      </c>
      <c r="H111" s="502">
        <f t="shared" ca="1" si="16"/>
        <v>412332.04365079408</v>
      </c>
    </row>
    <row r="112" spans="2:8" x14ac:dyDescent="0.25">
      <c r="B112" s="130">
        <f t="shared" si="17"/>
        <v>46106</v>
      </c>
      <c r="C112" s="208">
        <f t="shared" ca="1" si="18"/>
        <v>217857.14285714287</v>
      </c>
      <c r="D112" s="208">
        <f t="shared" si="14"/>
        <v>0</v>
      </c>
      <c r="E112" s="208">
        <f t="shared" si="15"/>
        <v>0</v>
      </c>
      <c r="F112" s="208">
        <f t="shared" ca="1" si="19"/>
        <v>66.567460317460331</v>
      </c>
      <c r="G112" s="502">
        <f t="shared" ca="1" si="20"/>
        <v>194408.33333333372</v>
      </c>
      <c r="H112" s="502">
        <f t="shared" ca="1" si="16"/>
        <v>412265.47619047656</v>
      </c>
    </row>
    <row r="113" spans="2:8" x14ac:dyDescent="0.25">
      <c r="B113" s="130">
        <f t="shared" si="17"/>
        <v>46107</v>
      </c>
      <c r="C113" s="208">
        <f t="shared" ca="1" si="18"/>
        <v>217857.14285714287</v>
      </c>
      <c r="D113" s="208">
        <f t="shared" si="14"/>
        <v>0</v>
      </c>
      <c r="E113" s="208">
        <f t="shared" si="15"/>
        <v>0</v>
      </c>
      <c r="F113" s="208">
        <f t="shared" ca="1" si="19"/>
        <v>66.567460317460331</v>
      </c>
      <c r="G113" s="502">
        <f t="shared" ca="1" si="20"/>
        <v>194341.76587301627</v>
      </c>
      <c r="H113" s="502">
        <f t="shared" ca="1" si="16"/>
        <v>412198.90873015916</v>
      </c>
    </row>
    <row r="114" spans="2:8" x14ac:dyDescent="0.25">
      <c r="B114" s="130">
        <f t="shared" si="17"/>
        <v>46108</v>
      </c>
      <c r="C114" s="208">
        <f t="shared" ca="1" si="18"/>
        <v>217857.14285714287</v>
      </c>
      <c r="D114" s="208">
        <f t="shared" si="14"/>
        <v>0</v>
      </c>
      <c r="E114" s="208">
        <f t="shared" si="15"/>
        <v>0</v>
      </c>
      <c r="F114" s="208">
        <f t="shared" ca="1" si="19"/>
        <v>66.567460317460331</v>
      </c>
      <c r="G114" s="502">
        <f t="shared" ca="1" si="20"/>
        <v>194275.19841269881</v>
      </c>
      <c r="H114" s="502">
        <f t="shared" ca="1" si="16"/>
        <v>412132.34126984165</v>
      </c>
    </row>
    <row r="115" spans="2:8" x14ac:dyDescent="0.25">
      <c r="B115" s="130">
        <f t="shared" si="17"/>
        <v>46109</v>
      </c>
      <c r="C115" s="208">
        <f t="shared" ca="1" si="18"/>
        <v>217857.14285714287</v>
      </c>
      <c r="D115" s="208">
        <f t="shared" si="14"/>
        <v>0</v>
      </c>
      <c r="E115" s="208">
        <f t="shared" si="15"/>
        <v>0</v>
      </c>
      <c r="F115" s="208">
        <f t="shared" ca="1" si="19"/>
        <v>66.567460317460331</v>
      </c>
      <c r="G115" s="502">
        <f t="shared" ca="1" si="20"/>
        <v>194208.63095238135</v>
      </c>
      <c r="H115" s="502">
        <f t="shared" ca="1" si="16"/>
        <v>412065.77380952425</v>
      </c>
    </row>
    <row r="116" spans="2:8" x14ac:dyDescent="0.25">
      <c r="B116" s="130">
        <f t="shared" si="17"/>
        <v>46110</v>
      </c>
      <c r="C116" s="208">
        <f t="shared" ca="1" si="18"/>
        <v>217857.14285714287</v>
      </c>
      <c r="D116" s="208">
        <f t="shared" si="14"/>
        <v>0</v>
      </c>
      <c r="E116" s="208">
        <f t="shared" si="15"/>
        <v>0</v>
      </c>
      <c r="F116" s="208">
        <f t="shared" ca="1" si="19"/>
        <v>66.567460317460331</v>
      </c>
      <c r="G116" s="502">
        <f t="shared" ca="1" si="20"/>
        <v>194142.0634920639</v>
      </c>
      <c r="H116" s="502">
        <f t="shared" ca="1" si="16"/>
        <v>411999.20634920674</v>
      </c>
    </row>
    <row r="117" spans="2:8" x14ac:dyDescent="0.25">
      <c r="B117" s="130">
        <f t="shared" si="17"/>
        <v>46111</v>
      </c>
      <c r="C117" s="208">
        <f t="shared" ca="1" si="18"/>
        <v>217857.14285714287</v>
      </c>
      <c r="D117" s="208">
        <f t="shared" si="14"/>
        <v>0</v>
      </c>
      <c r="E117" s="208">
        <f t="shared" si="15"/>
        <v>0</v>
      </c>
      <c r="F117" s="208">
        <f t="shared" ca="1" si="19"/>
        <v>66.567460317460331</v>
      </c>
      <c r="G117" s="502">
        <f t="shared" ca="1" si="20"/>
        <v>194075.49603174644</v>
      </c>
      <c r="H117" s="502">
        <f t="shared" ca="1" si="16"/>
        <v>411932.63888888934</v>
      </c>
    </row>
    <row r="118" spans="2:8" x14ac:dyDescent="0.25">
      <c r="B118" s="130">
        <f t="shared" si="17"/>
        <v>46112</v>
      </c>
      <c r="C118" s="208">
        <f t="shared" ca="1" si="18"/>
        <v>217857.14285714287</v>
      </c>
      <c r="D118" s="208">
        <f t="shared" si="14"/>
        <v>0</v>
      </c>
      <c r="E118" s="208">
        <f t="shared" si="15"/>
        <v>0</v>
      </c>
      <c r="F118" s="208">
        <f t="shared" ca="1" si="19"/>
        <v>66.567460317460331</v>
      </c>
      <c r="G118" s="502">
        <f t="shared" ca="1" si="20"/>
        <v>194008.92857142899</v>
      </c>
      <c r="H118" s="502">
        <f t="shared" ca="1" si="16"/>
        <v>411866.07142857183</v>
      </c>
    </row>
    <row r="119" spans="2:8" x14ac:dyDescent="0.25">
      <c r="B119" s="130">
        <f t="shared" si="17"/>
        <v>46113</v>
      </c>
      <c r="C119" s="208">
        <f t="shared" ca="1" si="18"/>
        <v>217857.14285714287</v>
      </c>
      <c r="D119" s="208">
        <f t="shared" si="14"/>
        <v>0</v>
      </c>
      <c r="E119" s="208">
        <f t="shared" si="15"/>
        <v>0</v>
      </c>
      <c r="F119" s="208">
        <f t="shared" ca="1" si="19"/>
        <v>66.567460317460331</v>
      </c>
      <c r="G119" s="502">
        <f t="shared" ca="1" si="20"/>
        <v>193942.36111111153</v>
      </c>
      <c r="H119" s="502">
        <f t="shared" ca="1" si="16"/>
        <v>411799.50396825443</v>
      </c>
    </row>
    <row r="120" spans="2:8" x14ac:dyDescent="0.25">
      <c r="B120" s="130">
        <f t="shared" si="17"/>
        <v>46114</v>
      </c>
      <c r="C120" s="208">
        <f t="shared" ca="1" si="18"/>
        <v>217857.14285714287</v>
      </c>
      <c r="D120" s="208">
        <f t="shared" si="14"/>
        <v>0</v>
      </c>
      <c r="E120" s="208">
        <f t="shared" si="15"/>
        <v>0</v>
      </c>
      <c r="F120" s="208">
        <f t="shared" ca="1" si="19"/>
        <v>66.567460317460331</v>
      </c>
      <c r="G120" s="502">
        <f t="shared" ca="1" si="20"/>
        <v>193875.79365079408</v>
      </c>
      <c r="H120" s="502">
        <f t="shared" ca="1" si="16"/>
        <v>411732.93650793692</v>
      </c>
    </row>
    <row r="121" spans="2:8" x14ac:dyDescent="0.25">
      <c r="B121" s="130">
        <f t="shared" si="17"/>
        <v>46115</v>
      </c>
      <c r="C121" s="208">
        <f t="shared" ca="1" si="18"/>
        <v>217857.14285714287</v>
      </c>
      <c r="D121" s="208">
        <f t="shared" si="14"/>
        <v>0</v>
      </c>
      <c r="E121" s="208">
        <f t="shared" si="15"/>
        <v>0</v>
      </c>
      <c r="F121" s="208">
        <f t="shared" ca="1" si="19"/>
        <v>66.567460317460331</v>
      </c>
      <c r="G121" s="502">
        <f t="shared" ca="1" si="20"/>
        <v>193809.22619047662</v>
      </c>
      <c r="H121" s="502">
        <f t="shared" ca="1" si="16"/>
        <v>411666.36904761952</v>
      </c>
    </row>
    <row r="122" spans="2:8" x14ac:dyDescent="0.25">
      <c r="B122" s="130">
        <f t="shared" si="17"/>
        <v>46116</v>
      </c>
      <c r="C122" s="208">
        <f t="shared" ca="1" si="18"/>
        <v>217857.14285714287</v>
      </c>
      <c r="D122" s="208">
        <f t="shared" si="14"/>
        <v>0</v>
      </c>
      <c r="E122" s="208">
        <f t="shared" si="15"/>
        <v>0</v>
      </c>
      <c r="F122" s="208">
        <f t="shared" ca="1" si="19"/>
        <v>66.567460317460331</v>
      </c>
      <c r="G122" s="502">
        <f t="shared" ca="1" si="20"/>
        <v>193742.65873015916</v>
      </c>
      <c r="H122" s="502">
        <f t="shared" ca="1" si="16"/>
        <v>411599.801587302</v>
      </c>
    </row>
    <row r="123" spans="2:8" x14ac:dyDescent="0.25">
      <c r="B123" s="130">
        <f t="shared" si="17"/>
        <v>46117</v>
      </c>
      <c r="C123" s="208">
        <f t="shared" ca="1" si="18"/>
        <v>217857.14285714287</v>
      </c>
      <c r="D123" s="208">
        <f t="shared" si="14"/>
        <v>0</v>
      </c>
      <c r="E123" s="208">
        <f t="shared" si="15"/>
        <v>0</v>
      </c>
      <c r="F123" s="208">
        <f t="shared" ca="1" si="19"/>
        <v>66.567460317460331</v>
      </c>
      <c r="G123" s="502">
        <f t="shared" ca="1" si="20"/>
        <v>193676.09126984171</v>
      </c>
      <c r="H123" s="502">
        <f t="shared" ca="1" si="16"/>
        <v>411533.23412698461</v>
      </c>
    </row>
    <row r="124" spans="2:8" x14ac:dyDescent="0.25">
      <c r="B124" s="130">
        <f t="shared" si="17"/>
        <v>46118</v>
      </c>
      <c r="C124" s="208">
        <f t="shared" ca="1" si="18"/>
        <v>217857.14285714287</v>
      </c>
      <c r="D124" s="208">
        <f t="shared" si="14"/>
        <v>0</v>
      </c>
      <c r="E124" s="208">
        <f t="shared" si="15"/>
        <v>0</v>
      </c>
      <c r="F124" s="208">
        <f t="shared" ca="1" si="19"/>
        <v>66.567460317460331</v>
      </c>
      <c r="G124" s="502">
        <f t="shared" ca="1" si="20"/>
        <v>193609.52380952425</v>
      </c>
      <c r="H124" s="502">
        <f t="shared" ca="1" si="16"/>
        <v>411466.66666666709</v>
      </c>
    </row>
    <row r="125" spans="2:8" x14ac:dyDescent="0.25">
      <c r="B125" s="130">
        <f t="shared" si="17"/>
        <v>46119</v>
      </c>
      <c r="C125" s="208">
        <f t="shared" ca="1" si="18"/>
        <v>217857.14285714287</v>
      </c>
      <c r="D125" s="208">
        <f t="shared" si="14"/>
        <v>0</v>
      </c>
      <c r="E125" s="208">
        <f t="shared" si="15"/>
        <v>0</v>
      </c>
      <c r="F125" s="208">
        <f t="shared" ca="1" si="19"/>
        <v>66.567460317460331</v>
      </c>
      <c r="G125" s="502">
        <f t="shared" ca="1" si="20"/>
        <v>193542.9563492068</v>
      </c>
      <c r="H125" s="502">
        <f t="shared" ca="1" si="16"/>
        <v>411400.0992063497</v>
      </c>
    </row>
    <row r="126" spans="2:8" x14ac:dyDescent="0.25">
      <c r="B126" s="130">
        <f t="shared" si="17"/>
        <v>46120</v>
      </c>
      <c r="C126" s="208">
        <f t="shared" ca="1" si="18"/>
        <v>217857.14285714287</v>
      </c>
      <c r="D126" s="208">
        <f t="shared" si="14"/>
        <v>0</v>
      </c>
      <c r="E126" s="208">
        <f t="shared" si="15"/>
        <v>0</v>
      </c>
      <c r="F126" s="208">
        <f t="shared" ca="1" si="19"/>
        <v>66.567460317460331</v>
      </c>
      <c r="G126" s="502">
        <f t="shared" ca="1" si="20"/>
        <v>193476.38888888934</v>
      </c>
      <c r="H126" s="502">
        <f t="shared" ca="1" si="16"/>
        <v>411333.53174603218</v>
      </c>
    </row>
    <row r="127" spans="2:8" x14ac:dyDescent="0.25">
      <c r="B127" s="130">
        <f t="shared" si="17"/>
        <v>46121</v>
      </c>
      <c r="C127" s="208">
        <f t="shared" ca="1" si="18"/>
        <v>217857.14285714287</v>
      </c>
      <c r="D127" s="208">
        <f t="shared" si="14"/>
        <v>0</v>
      </c>
      <c r="E127" s="208">
        <f t="shared" si="15"/>
        <v>0</v>
      </c>
      <c r="F127" s="208">
        <f t="shared" ca="1" si="19"/>
        <v>66.567460317460331</v>
      </c>
      <c r="G127" s="502">
        <f t="shared" ca="1" si="20"/>
        <v>193409.82142857189</v>
      </c>
      <c r="H127" s="502">
        <f t="shared" ca="1" si="16"/>
        <v>411266.96428571478</v>
      </c>
    </row>
    <row r="128" spans="2:8" x14ac:dyDescent="0.25">
      <c r="B128" s="130">
        <f t="shared" si="17"/>
        <v>46122</v>
      </c>
      <c r="C128" s="208">
        <f t="shared" ca="1" si="18"/>
        <v>217857.14285714287</v>
      </c>
      <c r="D128" s="208">
        <f t="shared" si="14"/>
        <v>0</v>
      </c>
      <c r="E128" s="208">
        <f t="shared" si="15"/>
        <v>0</v>
      </c>
      <c r="F128" s="208">
        <f t="shared" ca="1" si="19"/>
        <v>66.567460317460331</v>
      </c>
      <c r="G128" s="502">
        <f t="shared" ca="1" si="20"/>
        <v>193343.25396825443</v>
      </c>
      <c r="H128" s="502">
        <f t="shared" ca="1" si="16"/>
        <v>411200.39682539727</v>
      </c>
    </row>
    <row r="129" spans="2:8" x14ac:dyDescent="0.25">
      <c r="B129" s="130">
        <f t="shared" si="17"/>
        <v>46123</v>
      </c>
      <c r="C129" s="208">
        <f t="shared" ca="1" si="18"/>
        <v>217857.14285714287</v>
      </c>
      <c r="D129" s="208">
        <f t="shared" si="14"/>
        <v>0</v>
      </c>
      <c r="E129" s="208">
        <f t="shared" si="15"/>
        <v>0</v>
      </c>
      <c r="F129" s="208">
        <f t="shared" ca="1" si="19"/>
        <v>66.567460317460331</v>
      </c>
      <c r="G129" s="502">
        <f t="shared" ca="1" si="20"/>
        <v>193276.68650793697</v>
      </c>
      <c r="H129" s="502">
        <f t="shared" ca="1" si="16"/>
        <v>411133.82936507987</v>
      </c>
    </row>
    <row r="130" spans="2:8" x14ac:dyDescent="0.25">
      <c r="B130" s="130">
        <f t="shared" si="17"/>
        <v>46124</v>
      </c>
      <c r="C130" s="208">
        <f t="shared" ca="1" si="18"/>
        <v>217857.14285714287</v>
      </c>
      <c r="D130" s="208">
        <f t="shared" si="14"/>
        <v>0</v>
      </c>
      <c r="E130" s="208">
        <f t="shared" si="15"/>
        <v>0</v>
      </c>
      <c r="F130" s="208">
        <f t="shared" ca="1" si="19"/>
        <v>66.567460317460331</v>
      </c>
      <c r="G130" s="502">
        <f t="shared" ca="1" si="20"/>
        <v>193210.11904761952</v>
      </c>
      <c r="H130" s="502">
        <f t="shared" ca="1" si="16"/>
        <v>411067.26190476236</v>
      </c>
    </row>
    <row r="131" spans="2:8" x14ac:dyDescent="0.25">
      <c r="B131" s="130">
        <f t="shared" si="17"/>
        <v>46125</v>
      </c>
      <c r="C131" s="208">
        <f t="shared" ca="1" si="18"/>
        <v>217857.14285714287</v>
      </c>
      <c r="D131" s="208">
        <f t="shared" si="14"/>
        <v>0</v>
      </c>
      <c r="E131" s="208">
        <f t="shared" si="15"/>
        <v>0</v>
      </c>
      <c r="F131" s="208">
        <f t="shared" ca="1" si="19"/>
        <v>66.567460317460331</v>
      </c>
      <c r="G131" s="502">
        <f t="shared" ca="1" si="20"/>
        <v>193143.55158730206</v>
      </c>
      <c r="H131" s="502">
        <f t="shared" ca="1" si="16"/>
        <v>411000.69444444496</v>
      </c>
    </row>
    <row r="132" spans="2:8" x14ac:dyDescent="0.25">
      <c r="B132" s="130">
        <f t="shared" si="17"/>
        <v>46126</v>
      </c>
      <c r="C132" s="208">
        <f t="shared" ca="1" si="18"/>
        <v>217857.14285714287</v>
      </c>
      <c r="D132" s="208">
        <f t="shared" si="14"/>
        <v>0</v>
      </c>
      <c r="E132" s="208">
        <f t="shared" si="15"/>
        <v>0</v>
      </c>
      <c r="F132" s="208">
        <f t="shared" ca="1" si="19"/>
        <v>66.567460317460331</v>
      </c>
      <c r="G132" s="502">
        <f t="shared" ca="1" si="20"/>
        <v>193076.98412698461</v>
      </c>
      <c r="H132" s="502">
        <f t="shared" ca="1" si="16"/>
        <v>410934.12698412745</v>
      </c>
    </row>
    <row r="133" spans="2:8" x14ac:dyDescent="0.25">
      <c r="B133" s="130">
        <f t="shared" si="17"/>
        <v>46127</v>
      </c>
      <c r="C133" s="208">
        <f t="shared" ca="1" si="18"/>
        <v>217857.14285714287</v>
      </c>
      <c r="D133" s="208">
        <f t="shared" si="14"/>
        <v>0</v>
      </c>
      <c r="E133" s="208">
        <f t="shared" si="15"/>
        <v>0</v>
      </c>
      <c r="F133" s="208">
        <f t="shared" ca="1" si="19"/>
        <v>66.567460317460331</v>
      </c>
      <c r="G133" s="502">
        <f t="shared" ca="1" si="20"/>
        <v>193010.41666666715</v>
      </c>
      <c r="H133" s="502">
        <f t="shared" ca="1" si="16"/>
        <v>410867.55952381005</v>
      </c>
    </row>
    <row r="134" spans="2:8" x14ac:dyDescent="0.25">
      <c r="B134" s="130">
        <f t="shared" si="17"/>
        <v>46128</v>
      </c>
      <c r="C134" s="208">
        <f t="shared" ca="1" si="18"/>
        <v>217857.14285714287</v>
      </c>
      <c r="D134" s="208">
        <f t="shared" si="14"/>
        <v>0</v>
      </c>
      <c r="E134" s="208">
        <f t="shared" si="15"/>
        <v>0</v>
      </c>
      <c r="F134" s="208">
        <f t="shared" ca="1" si="19"/>
        <v>66.567460317460331</v>
      </c>
      <c r="G134" s="502">
        <f t="shared" ca="1" si="20"/>
        <v>192943.8492063497</v>
      </c>
      <c r="H134" s="502">
        <f t="shared" ca="1" si="16"/>
        <v>410800.99206349254</v>
      </c>
    </row>
    <row r="135" spans="2:8" x14ac:dyDescent="0.25">
      <c r="B135" s="130">
        <f t="shared" si="17"/>
        <v>46129</v>
      </c>
      <c r="C135" s="208">
        <f t="shared" ca="1" si="18"/>
        <v>217857.14285714287</v>
      </c>
      <c r="D135" s="208">
        <f t="shared" si="14"/>
        <v>0</v>
      </c>
      <c r="E135" s="208">
        <f t="shared" si="15"/>
        <v>0</v>
      </c>
      <c r="F135" s="208">
        <f t="shared" ca="1" si="19"/>
        <v>66.567460317460331</v>
      </c>
      <c r="G135" s="502">
        <f t="shared" ca="1" si="20"/>
        <v>192877.28174603224</v>
      </c>
      <c r="H135" s="502">
        <f t="shared" ca="1" si="16"/>
        <v>410734.42460317514</v>
      </c>
    </row>
    <row r="136" spans="2:8" x14ac:dyDescent="0.25">
      <c r="B136" s="130">
        <f t="shared" si="17"/>
        <v>46130</v>
      </c>
      <c r="C136" s="208">
        <f t="shared" ca="1" si="18"/>
        <v>217857.14285714287</v>
      </c>
      <c r="D136" s="208">
        <f t="shared" si="14"/>
        <v>0</v>
      </c>
      <c r="E136" s="208">
        <f t="shared" si="15"/>
        <v>0</v>
      </c>
      <c r="F136" s="208">
        <f t="shared" ca="1" si="19"/>
        <v>66.567460317460331</v>
      </c>
      <c r="G136" s="502">
        <f t="shared" ca="1" si="20"/>
        <v>192810.71428571478</v>
      </c>
      <c r="H136" s="502">
        <f t="shared" ca="1" si="16"/>
        <v>410667.85714285763</v>
      </c>
    </row>
    <row r="137" spans="2:8" x14ac:dyDescent="0.25">
      <c r="B137" s="130">
        <f t="shared" si="17"/>
        <v>46131</v>
      </c>
      <c r="C137" s="208">
        <f t="shared" ca="1" si="18"/>
        <v>217857.14285714287</v>
      </c>
      <c r="D137" s="208">
        <f t="shared" si="14"/>
        <v>0</v>
      </c>
      <c r="E137" s="208">
        <f t="shared" si="15"/>
        <v>0</v>
      </c>
      <c r="F137" s="208">
        <f t="shared" ca="1" si="19"/>
        <v>66.567460317460331</v>
      </c>
      <c r="G137" s="502">
        <f t="shared" ca="1" si="20"/>
        <v>192744.14682539733</v>
      </c>
      <c r="H137" s="502">
        <f t="shared" ca="1" si="16"/>
        <v>410601.28968254023</v>
      </c>
    </row>
    <row r="138" spans="2:8" x14ac:dyDescent="0.25">
      <c r="B138" s="130">
        <f t="shared" si="17"/>
        <v>46132</v>
      </c>
      <c r="C138" s="208">
        <f t="shared" ca="1" si="18"/>
        <v>217857.14285714287</v>
      </c>
      <c r="D138" s="208">
        <f t="shared" si="14"/>
        <v>0</v>
      </c>
      <c r="E138" s="208">
        <f t="shared" si="15"/>
        <v>0</v>
      </c>
      <c r="F138" s="208">
        <f t="shared" ca="1" si="19"/>
        <v>66.567460317460331</v>
      </c>
      <c r="G138" s="502">
        <f t="shared" ca="1" si="20"/>
        <v>192677.57936507987</v>
      </c>
      <c r="H138" s="502">
        <f t="shared" ca="1" si="16"/>
        <v>410534.72222222271</v>
      </c>
    </row>
    <row r="139" spans="2:8" x14ac:dyDescent="0.25">
      <c r="B139" s="130">
        <f t="shared" si="17"/>
        <v>46133</v>
      </c>
      <c r="C139" s="208">
        <f t="shared" ca="1" si="18"/>
        <v>217857.14285714287</v>
      </c>
      <c r="D139" s="208">
        <f t="shared" si="14"/>
        <v>0</v>
      </c>
      <c r="E139" s="208">
        <f t="shared" si="15"/>
        <v>0</v>
      </c>
      <c r="F139" s="208">
        <f t="shared" ca="1" si="19"/>
        <v>66.567460317460331</v>
      </c>
      <c r="G139" s="502">
        <f t="shared" ca="1" si="20"/>
        <v>192611.01190476242</v>
      </c>
      <c r="H139" s="502">
        <f t="shared" ca="1" si="16"/>
        <v>410468.15476190532</v>
      </c>
    </row>
    <row r="140" spans="2:8" x14ac:dyDescent="0.25">
      <c r="B140" s="130">
        <f t="shared" si="17"/>
        <v>46134</v>
      </c>
      <c r="C140" s="208">
        <f t="shared" ca="1" si="18"/>
        <v>217857.14285714287</v>
      </c>
      <c r="D140" s="208">
        <f t="shared" si="14"/>
        <v>0</v>
      </c>
      <c r="E140" s="208">
        <f t="shared" si="15"/>
        <v>0</v>
      </c>
      <c r="F140" s="208">
        <f t="shared" ca="1" si="19"/>
        <v>66.567460317460331</v>
      </c>
      <c r="G140" s="502">
        <f t="shared" ca="1" si="20"/>
        <v>192544.44444444496</v>
      </c>
      <c r="H140" s="502">
        <f t="shared" ca="1" si="16"/>
        <v>410401.5873015878</v>
      </c>
    </row>
    <row r="141" spans="2:8" x14ac:dyDescent="0.25">
      <c r="B141" s="130">
        <f t="shared" si="17"/>
        <v>46135</v>
      </c>
      <c r="C141" s="208">
        <f t="shared" ca="1" si="18"/>
        <v>217857.14285714287</v>
      </c>
      <c r="D141" s="208">
        <f t="shared" si="14"/>
        <v>0</v>
      </c>
      <c r="E141" s="208">
        <f t="shared" si="15"/>
        <v>0</v>
      </c>
      <c r="F141" s="208">
        <f t="shared" ca="1" si="19"/>
        <v>66.567460317460331</v>
      </c>
      <c r="G141" s="502">
        <f t="shared" ca="1" si="20"/>
        <v>192477.87698412751</v>
      </c>
      <c r="H141" s="502">
        <f t="shared" ca="1" si="16"/>
        <v>410335.0198412704</v>
      </c>
    </row>
    <row r="142" spans="2:8" x14ac:dyDescent="0.25">
      <c r="B142" s="130">
        <f t="shared" si="17"/>
        <v>46136</v>
      </c>
      <c r="C142" s="208">
        <f t="shared" ca="1" si="18"/>
        <v>217857.14285714287</v>
      </c>
      <c r="D142" s="208">
        <f t="shared" si="14"/>
        <v>0</v>
      </c>
      <c r="E142" s="208">
        <f t="shared" si="15"/>
        <v>0</v>
      </c>
      <c r="F142" s="208">
        <f t="shared" ca="1" si="19"/>
        <v>66.567460317460331</v>
      </c>
      <c r="G142" s="502">
        <f t="shared" ca="1" si="20"/>
        <v>192411.30952381005</v>
      </c>
      <c r="H142" s="502">
        <f t="shared" ca="1" si="16"/>
        <v>410268.45238095289</v>
      </c>
    </row>
    <row r="143" spans="2:8" x14ac:dyDescent="0.25">
      <c r="B143" s="130">
        <f t="shared" si="17"/>
        <v>46137</v>
      </c>
      <c r="C143" s="208">
        <f t="shared" ca="1" si="18"/>
        <v>217857.14285714287</v>
      </c>
      <c r="D143" s="208">
        <f t="shared" si="14"/>
        <v>0</v>
      </c>
      <c r="E143" s="208">
        <f t="shared" si="15"/>
        <v>0</v>
      </c>
      <c r="F143" s="208">
        <f t="shared" ca="1" si="19"/>
        <v>66.567460317460331</v>
      </c>
      <c r="G143" s="502">
        <f t="shared" ca="1" si="20"/>
        <v>192344.74206349259</v>
      </c>
      <c r="H143" s="502">
        <f t="shared" ca="1" si="16"/>
        <v>410201.88492063549</v>
      </c>
    </row>
    <row r="144" spans="2:8" x14ac:dyDescent="0.25">
      <c r="B144" s="130">
        <f t="shared" si="17"/>
        <v>46138</v>
      </c>
      <c r="C144" s="208">
        <f t="shared" ca="1" si="18"/>
        <v>217857.14285714287</v>
      </c>
      <c r="D144" s="208">
        <f t="shared" si="14"/>
        <v>0</v>
      </c>
      <c r="E144" s="208">
        <f t="shared" si="15"/>
        <v>0</v>
      </c>
      <c r="F144" s="208">
        <f t="shared" ca="1" si="19"/>
        <v>66.567460317460331</v>
      </c>
      <c r="G144" s="502">
        <f t="shared" ca="1" si="20"/>
        <v>192278.17460317514</v>
      </c>
      <c r="H144" s="502">
        <f t="shared" ca="1" si="16"/>
        <v>410135.31746031798</v>
      </c>
    </row>
    <row r="145" spans="2:8" x14ac:dyDescent="0.25">
      <c r="B145" s="130">
        <f t="shared" si="17"/>
        <v>46139</v>
      </c>
      <c r="C145" s="208">
        <f t="shared" ca="1" si="18"/>
        <v>217857.14285714287</v>
      </c>
      <c r="D145" s="208">
        <f t="shared" si="14"/>
        <v>0</v>
      </c>
      <c r="E145" s="208">
        <f t="shared" si="15"/>
        <v>0</v>
      </c>
      <c r="F145" s="208">
        <f t="shared" ca="1" si="19"/>
        <v>66.567460317460331</v>
      </c>
      <c r="G145" s="502">
        <f t="shared" ca="1" si="20"/>
        <v>192211.60714285768</v>
      </c>
      <c r="H145" s="502">
        <f t="shared" ca="1" si="16"/>
        <v>410068.75000000058</v>
      </c>
    </row>
    <row r="146" spans="2:8" x14ac:dyDescent="0.25">
      <c r="B146" s="130">
        <f t="shared" si="17"/>
        <v>46140</v>
      </c>
      <c r="C146" s="208">
        <f t="shared" ca="1" si="18"/>
        <v>217857.14285714287</v>
      </c>
      <c r="D146" s="208">
        <f t="shared" si="14"/>
        <v>0</v>
      </c>
      <c r="E146" s="208">
        <f t="shared" si="15"/>
        <v>0</v>
      </c>
      <c r="F146" s="208">
        <f t="shared" ca="1" si="19"/>
        <v>66.567460317460331</v>
      </c>
      <c r="G146" s="502">
        <f t="shared" ca="1" si="20"/>
        <v>192145.03968254023</v>
      </c>
      <c r="H146" s="502">
        <f t="shared" ca="1" si="16"/>
        <v>410002.18253968307</v>
      </c>
    </row>
    <row r="147" spans="2:8" x14ac:dyDescent="0.25">
      <c r="B147" s="130">
        <f t="shared" si="17"/>
        <v>46141</v>
      </c>
      <c r="C147" s="208">
        <f t="shared" ca="1" si="18"/>
        <v>217857.14285714287</v>
      </c>
      <c r="D147" s="208">
        <f t="shared" si="14"/>
        <v>0</v>
      </c>
      <c r="E147" s="208">
        <f t="shared" si="15"/>
        <v>0</v>
      </c>
      <c r="F147" s="208">
        <f t="shared" ca="1" si="19"/>
        <v>66.567460317460331</v>
      </c>
      <c r="G147" s="502">
        <f t="shared" ca="1" si="20"/>
        <v>192078.47222222277</v>
      </c>
      <c r="H147" s="502">
        <f t="shared" ca="1" si="16"/>
        <v>409935.61507936567</v>
      </c>
    </row>
    <row r="148" spans="2:8" x14ac:dyDescent="0.25">
      <c r="B148" s="130">
        <f t="shared" si="17"/>
        <v>46142</v>
      </c>
      <c r="C148" s="208">
        <f t="shared" ca="1" si="18"/>
        <v>217857.14285714287</v>
      </c>
      <c r="D148" s="208">
        <f t="shared" si="14"/>
        <v>0</v>
      </c>
      <c r="E148" s="208">
        <f t="shared" si="15"/>
        <v>0</v>
      </c>
      <c r="F148" s="208">
        <f t="shared" ca="1" si="19"/>
        <v>66.567460317460331</v>
      </c>
      <c r="G148" s="502">
        <f t="shared" ca="1" si="20"/>
        <v>192011.90476190532</v>
      </c>
      <c r="H148" s="502">
        <f t="shared" ca="1" si="16"/>
        <v>409869.04761904816</v>
      </c>
    </row>
    <row r="149" spans="2:8" x14ac:dyDescent="0.25">
      <c r="B149" s="130">
        <f t="shared" si="17"/>
        <v>46143</v>
      </c>
      <c r="C149" s="208">
        <f t="shared" ca="1" si="18"/>
        <v>217857.14285714287</v>
      </c>
      <c r="D149" s="208">
        <f t="shared" si="14"/>
        <v>0</v>
      </c>
      <c r="E149" s="208">
        <f t="shared" si="15"/>
        <v>0</v>
      </c>
      <c r="F149" s="208">
        <f t="shared" ca="1" si="19"/>
        <v>66.567460317460331</v>
      </c>
      <c r="G149" s="502">
        <f t="shared" ca="1" si="20"/>
        <v>191945.33730158786</v>
      </c>
      <c r="H149" s="502">
        <f t="shared" ca="1" si="16"/>
        <v>409802.48015873076</v>
      </c>
    </row>
    <row r="150" spans="2:8" x14ac:dyDescent="0.25">
      <c r="B150" s="130">
        <f t="shared" si="17"/>
        <v>46144</v>
      </c>
      <c r="C150" s="208">
        <f t="shared" ca="1" si="18"/>
        <v>217857.14285714287</v>
      </c>
      <c r="D150" s="208">
        <f t="shared" si="14"/>
        <v>0</v>
      </c>
      <c r="E150" s="208">
        <f t="shared" si="15"/>
        <v>0</v>
      </c>
      <c r="F150" s="208">
        <f t="shared" ca="1" si="19"/>
        <v>66.567460317460331</v>
      </c>
      <c r="G150" s="502">
        <f t="shared" ca="1" si="20"/>
        <v>191878.7698412704</v>
      </c>
      <c r="H150" s="502">
        <f t="shared" ca="1" si="16"/>
        <v>409735.91269841325</v>
      </c>
    </row>
    <row r="151" spans="2:8" x14ac:dyDescent="0.25">
      <c r="B151" s="130">
        <f t="shared" si="17"/>
        <v>46145</v>
      </c>
      <c r="C151" s="208">
        <f t="shared" ca="1" si="18"/>
        <v>217857.14285714287</v>
      </c>
      <c r="D151" s="208">
        <f t="shared" si="14"/>
        <v>0</v>
      </c>
      <c r="E151" s="208">
        <f t="shared" si="15"/>
        <v>0</v>
      </c>
      <c r="F151" s="208">
        <f t="shared" ca="1" si="19"/>
        <v>66.567460317460331</v>
      </c>
      <c r="G151" s="502">
        <f t="shared" ca="1" si="20"/>
        <v>191812.20238095295</v>
      </c>
      <c r="H151" s="502">
        <f t="shared" ca="1" si="16"/>
        <v>409669.34523809585</v>
      </c>
    </row>
    <row r="152" spans="2:8" x14ac:dyDescent="0.25">
      <c r="B152" s="130">
        <f t="shared" si="17"/>
        <v>46146</v>
      </c>
      <c r="C152" s="208">
        <f t="shared" ca="1" si="18"/>
        <v>217857.14285714287</v>
      </c>
      <c r="D152" s="208">
        <f t="shared" si="14"/>
        <v>0</v>
      </c>
      <c r="E152" s="208">
        <f t="shared" si="15"/>
        <v>0</v>
      </c>
      <c r="F152" s="208">
        <f t="shared" ca="1" si="19"/>
        <v>66.567460317460331</v>
      </c>
      <c r="G152" s="502">
        <f t="shared" ca="1" si="20"/>
        <v>191745.63492063549</v>
      </c>
      <c r="H152" s="502">
        <f t="shared" ca="1" si="16"/>
        <v>409602.77777777833</v>
      </c>
    </row>
    <row r="153" spans="2:8" x14ac:dyDescent="0.25">
      <c r="B153" s="130">
        <f t="shared" si="17"/>
        <v>46147</v>
      </c>
      <c r="C153" s="208">
        <f t="shared" ca="1" si="18"/>
        <v>217857.14285714287</v>
      </c>
      <c r="D153" s="208">
        <f t="shared" si="14"/>
        <v>0</v>
      </c>
      <c r="E153" s="208">
        <f t="shared" si="15"/>
        <v>0</v>
      </c>
      <c r="F153" s="208">
        <f t="shared" ca="1" si="19"/>
        <v>66.567460317460331</v>
      </c>
      <c r="G153" s="502">
        <f t="shared" ca="1" si="20"/>
        <v>191679.06746031804</v>
      </c>
      <c r="H153" s="502">
        <f t="shared" ca="1" si="16"/>
        <v>409536.21031746094</v>
      </c>
    </row>
    <row r="154" spans="2:8" x14ac:dyDescent="0.25">
      <c r="B154" s="130">
        <f t="shared" si="17"/>
        <v>46148</v>
      </c>
      <c r="C154" s="208">
        <f t="shared" ca="1" si="18"/>
        <v>217857.14285714287</v>
      </c>
      <c r="D154" s="208">
        <f t="shared" si="14"/>
        <v>0</v>
      </c>
      <c r="E154" s="208">
        <f t="shared" si="15"/>
        <v>0</v>
      </c>
      <c r="F154" s="208">
        <f t="shared" ca="1" si="19"/>
        <v>66.567460317460331</v>
      </c>
      <c r="G154" s="502">
        <f t="shared" ca="1" si="20"/>
        <v>191612.50000000058</v>
      </c>
      <c r="H154" s="502">
        <f t="shared" ca="1" si="16"/>
        <v>409469.64285714342</v>
      </c>
    </row>
    <row r="155" spans="2:8" x14ac:dyDescent="0.25">
      <c r="B155" s="130">
        <f t="shared" si="17"/>
        <v>46149</v>
      </c>
      <c r="C155" s="208">
        <f t="shared" ca="1" si="18"/>
        <v>217857.14285714287</v>
      </c>
      <c r="D155" s="208">
        <f t="shared" si="14"/>
        <v>0</v>
      </c>
      <c r="E155" s="208">
        <f t="shared" si="15"/>
        <v>0</v>
      </c>
      <c r="F155" s="208">
        <f t="shared" ca="1" si="19"/>
        <v>66.567460317460331</v>
      </c>
      <c r="G155" s="502">
        <f t="shared" ca="1" si="20"/>
        <v>191545.93253968313</v>
      </c>
      <c r="H155" s="502">
        <f t="shared" ca="1" si="16"/>
        <v>409403.07539682603</v>
      </c>
    </row>
    <row r="156" spans="2:8" x14ac:dyDescent="0.25">
      <c r="B156" s="130">
        <f t="shared" si="17"/>
        <v>46150</v>
      </c>
      <c r="C156" s="208">
        <f t="shared" ca="1" si="18"/>
        <v>217857.14285714287</v>
      </c>
      <c r="D156" s="208">
        <f t="shared" si="14"/>
        <v>0</v>
      </c>
      <c r="E156" s="208">
        <f t="shared" si="15"/>
        <v>0</v>
      </c>
      <c r="F156" s="208">
        <f t="shared" ca="1" si="19"/>
        <v>66.567460317460331</v>
      </c>
      <c r="G156" s="502">
        <f t="shared" ca="1" si="20"/>
        <v>191479.36507936567</v>
      </c>
      <c r="H156" s="502">
        <f t="shared" ca="1" si="16"/>
        <v>409336.50793650851</v>
      </c>
    </row>
    <row r="157" spans="2:8" x14ac:dyDescent="0.25">
      <c r="B157" s="130">
        <f t="shared" si="17"/>
        <v>46151</v>
      </c>
      <c r="C157" s="208">
        <f t="shared" ca="1" si="18"/>
        <v>217857.14285714287</v>
      </c>
      <c r="D157" s="208">
        <f t="shared" si="14"/>
        <v>0</v>
      </c>
      <c r="E157" s="208">
        <f t="shared" si="15"/>
        <v>0</v>
      </c>
      <c r="F157" s="208">
        <f t="shared" ca="1" si="19"/>
        <v>66.567460317460331</v>
      </c>
      <c r="G157" s="502">
        <f t="shared" ca="1" si="20"/>
        <v>191412.79761904821</v>
      </c>
      <c r="H157" s="502">
        <f t="shared" ca="1" si="16"/>
        <v>409269.94047619111</v>
      </c>
    </row>
    <row r="158" spans="2:8" x14ac:dyDescent="0.25">
      <c r="B158" s="130">
        <f t="shared" si="17"/>
        <v>46152</v>
      </c>
      <c r="C158" s="208">
        <f t="shared" ca="1" si="18"/>
        <v>217857.14285714287</v>
      </c>
      <c r="D158" s="208">
        <f t="shared" ref="D158:D221" si="21">SUMIF($J$3:$J$26,B158,$K$3:$K$26)</f>
        <v>0</v>
      </c>
      <c r="E158" s="208">
        <f t="shared" ref="E158:E221" si="22">-SUMIF($N$3:$N$26,B158,$O$3:$O$26)</f>
        <v>0</v>
      </c>
      <c r="F158" s="208">
        <f t="shared" ca="1" si="19"/>
        <v>66.567460317460331</v>
      </c>
      <c r="G158" s="502">
        <f t="shared" ca="1" si="20"/>
        <v>191346.23015873076</v>
      </c>
      <c r="H158" s="502">
        <f t="shared" ref="H158:H221" ca="1" si="23">+C158+G158</f>
        <v>409203.3730158736</v>
      </c>
    </row>
    <row r="159" spans="2:8" x14ac:dyDescent="0.25">
      <c r="B159" s="130">
        <f t="shared" ref="B159:B222" si="24">+B158+1</f>
        <v>46153</v>
      </c>
      <c r="C159" s="208">
        <f t="shared" ref="C159:C222" ca="1" si="25">+C158+D158+E158</f>
        <v>217857.14285714287</v>
      </c>
      <c r="D159" s="208">
        <f t="shared" si="21"/>
        <v>0</v>
      </c>
      <c r="E159" s="208">
        <f t="shared" si="22"/>
        <v>0</v>
      </c>
      <c r="F159" s="208">
        <f t="shared" ref="F159:F222" ca="1" si="26">+C159*$C$3/360</f>
        <v>66.567460317460331</v>
      </c>
      <c r="G159" s="502">
        <f t="shared" ref="G159:G222" ca="1" si="27">+G158-F159</f>
        <v>191279.6626984133</v>
      </c>
      <c r="H159" s="502">
        <f t="shared" ca="1" si="23"/>
        <v>409136.8055555562</v>
      </c>
    </row>
    <row r="160" spans="2:8" x14ac:dyDescent="0.25">
      <c r="B160" s="130">
        <f t="shared" si="24"/>
        <v>46154</v>
      </c>
      <c r="C160" s="208">
        <f t="shared" ca="1" si="25"/>
        <v>217857.14285714287</v>
      </c>
      <c r="D160" s="208">
        <f t="shared" si="21"/>
        <v>0</v>
      </c>
      <c r="E160" s="208">
        <f t="shared" si="22"/>
        <v>0</v>
      </c>
      <c r="F160" s="208">
        <f t="shared" ca="1" si="26"/>
        <v>66.567460317460331</v>
      </c>
      <c r="G160" s="502">
        <f t="shared" ca="1" si="27"/>
        <v>191213.09523809585</v>
      </c>
      <c r="H160" s="502">
        <f t="shared" ca="1" si="23"/>
        <v>409070.23809523869</v>
      </c>
    </row>
    <row r="161" spans="2:8" x14ac:dyDescent="0.25">
      <c r="B161" s="130">
        <f t="shared" si="24"/>
        <v>46155</v>
      </c>
      <c r="C161" s="208">
        <f t="shared" ca="1" si="25"/>
        <v>217857.14285714287</v>
      </c>
      <c r="D161" s="208">
        <f t="shared" si="21"/>
        <v>0</v>
      </c>
      <c r="E161" s="208">
        <f t="shared" si="22"/>
        <v>0</v>
      </c>
      <c r="F161" s="208">
        <f t="shared" ca="1" si="26"/>
        <v>66.567460317460331</v>
      </c>
      <c r="G161" s="502">
        <f t="shared" ca="1" si="27"/>
        <v>191146.52777777839</v>
      </c>
      <c r="H161" s="502">
        <f t="shared" ca="1" si="23"/>
        <v>409003.67063492129</v>
      </c>
    </row>
    <row r="162" spans="2:8" x14ac:dyDescent="0.25">
      <c r="B162" s="130">
        <f t="shared" si="24"/>
        <v>46156</v>
      </c>
      <c r="C162" s="208">
        <f t="shared" ca="1" si="25"/>
        <v>217857.14285714287</v>
      </c>
      <c r="D162" s="208">
        <f t="shared" si="21"/>
        <v>0</v>
      </c>
      <c r="E162" s="208">
        <f t="shared" si="22"/>
        <v>0</v>
      </c>
      <c r="F162" s="208">
        <f t="shared" ca="1" si="26"/>
        <v>66.567460317460331</v>
      </c>
      <c r="G162" s="502">
        <f t="shared" ca="1" si="27"/>
        <v>191079.96031746094</v>
      </c>
      <c r="H162" s="502">
        <f t="shared" ca="1" si="23"/>
        <v>408937.10317460378</v>
      </c>
    </row>
    <row r="163" spans="2:8" x14ac:dyDescent="0.25">
      <c r="B163" s="130">
        <f t="shared" si="24"/>
        <v>46157</v>
      </c>
      <c r="C163" s="208">
        <f t="shared" ca="1" si="25"/>
        <v>217857.14285714287</v>
      </c>
      <c r="D163" s="208">
        <f t="shared" si="21"/>
        <v>0</v>
      </c>
      <c r="E163" s="208">
        <f t="shared" si="22"/>
        <v>0</v>
      </c>
      <c r="F163" s="208">
        <f t="shared" ca="1" si="26"/>
        <v>66.567460317460331</v>
      </c>
      <c r="G163" s="502">
        <f t="shared" ca="1" si="27"/>
        <v>191013.39285714348</v>
      </c>
      <c r="H163" s="502">
        <f t="shared" ca="1" si="23"/>
        <v>408870.53571428638</v>
      </c>
    </row>
    <row r="164" spans="2:8" x14ac:dyDescent="0.25">
      <c r="B164" s="130">
        <f t="shared" si="24"/>
        <v>46158</v>
      </c>
      <c r="C164" s="208">
        <f t="shared" ca="1" si="25"/>
        <v>217857.14285714287</v>
      </c>
      <c r="D164" s="208">
        <f t="shared" si="21"/>
        <v>0</v>
      </c>
      <c r="E164" s="208">
        <f t="shared" si="22"/>
        <v>0</v>
      </c>
      <c r="F164" s="208">
        <f t="shared" ca="1" si="26"/>
        <v>66.567460317460331</v>
      </c>
      <c r="G164" s="502">
        <f t="shared" ca="1" si="27"/>
        <v>190946.82539682603</v>
      </c>
      <c r="H164" s="502">
        <f t="shared" ca="1" si="23"/>
        <v>408803.96825396887</v>
      </c>
    </row>
    <row r="165" spans="2:8" x14ac:dyDescent="0.25">
      <c r="B165" s="130">
        <f t="shared" si="24"/>
        <v>46159</v>
      </c>
      <c r="C165" s="208">
        <f t="shared" ca="1" si="25"/>
        <v>217857.14285714287</v>
      </c>
      <c r="D165" s="208">
        <f t="shared" si="21"/>
        <v>0</v>
      </c>
      <c r="E165" s="208">
        <f t="shared" si="22"/>
        <v>0</v>
      </c>
      <c r="F165" s="208">
        <f t="shared" ca="1" si="26"/>
        <v>66.567460317460331</v>
      </c>
      <c r="G165" s="502">
        <f t="shared" ca="1" si="27"/>
        <v>190880.25793650857</v>
      </c>
      <c r="H165" s="502">
        <f t="shared" ca="1" si="23"/>
        <v>408737.40079365147</v>
      </c>
    </row>
    <row r="166" spans="2:8" x14ac:dyDescent="0.25">
      <c r="B166" s="130">
        <f t="shared" si="24"/>
        <v>46160</v>
      </c>
      <c r="C166" s="208">
        <f t="shared" ca="1" si="25"/>
        <v>217857.14285714287</v>
      </c>
      <c r="D166" s="208">
        <f t="shared" si="21"/>
        <v>0</v>
      </c>
      <c r="E166" s="208">
        <f t="shared" si="22"/>
        <v>0</v>
      </c>
      <c r="F166" s="208">
        <f t="shared" ca="1" si="26"/>
        <v>66.567460317460331</v>
      </c>
      <c r="G166" s="502">
        <f t="shared" ca="1" si="27"/>
        <v>190813.69047619111</v>
      </c>
      <c r="H166" s="502">
        <f t="shared" ca="1" si="23"/>
        <v>408670.83333333395</v>
      </c>
    </row>
    <row r="167" spans="2:8" x14ac:dyDescent="0.25">
      <c r="B167" s="130">
        <f t="shared" si="24"/>
        <v>46161</v>
      </c>
      <c r="C167" s="208">
        <f t="shared" ca="1" si="25"/>
        <v>217857.14285714287</v>
      </c>
      <c r="D167" s="208">
        <f t="shared" si="21"/>
        <v>0</v>
      </c>
      <c r="E167" s="208">
        <f t="shared" si="22"/>
        <v>0</v>
      </c>
      <c r="F167" s="208">
        <f t="shared" ca="1" si="26"/>
        <v>66.567460317460331</v>
      </c>
      <c r="G167" s="502">
        <f t="shared" ca="1" si="27"/>
        <v>190747.12301587366</v>
      </c>
      <c r="H167" s="502">
        <f t="shared" ca="1" si="23"/>
        <v>408604.26587301656</v>
      </c>
    </row>
    <row r="168" spans="2:8" x14ac:dyDescent="0.25">
      <c r="B168" s="130">
        <f t="shared" si="24"/>
        <v>46162</v>
      </c>
      <c r="C168" s="208">
        <f t="shared" ca="1" si="25"/>
        <v>217857.14285714287</v>
      </c>
      <c r="D168" s="208">
        <f t="shared" si="21"/>
        <v>0</v>
      </c>
      <c r="E168" s="208">
        <f t="shared" si="22"/>
        <v>0</v>
      </c>
      <c r="F168" s="208">
        <f t="shared" ca="1" si="26"/>
        <v>66.567460317460331</v>
      </c>
      <c r="G168" s="502">
        <f t="shared" ca="1" si="27"/>
        <v>190680.5555555562</v>
      </c>
      <c r="H168" s="502">
        <f t="shared" ca="1" si="23"/>
        <v>408537.69841269904</v>
      </c>
    </row>
    <row r="169" spans="2:8" x14ac:dyDescent="0.25">
      <c r="B169" s="130">
        <f t="shared" si="24"/>
        <v>46163</v>
      </c>
      <c r="C169" s="208">
        <f t="shared" ca="1" si="25"/>
        <v>217857.14285714287</v>
      </c>
      <c r="D169" s="208">
        <f t="shared" si="21"/>
        <v>0</v>
      </c>
      <c r="E169" s="208">
        <f t="shared" si="22"/>
        <v>0</v>
      </c>
      <c r="F169" s="208">
        <f t="shared" ca="1" si="26"/>
        <v>66.567460317460331</v>
      </c>
      <c r="G169" s="502">
        <f t="shared" ca="1" si="27"/>
        <v>190613.98809523875</v>
      </c>
      <c r="H169" s="502">
        <f t="shared" ca="1" si="23"/>
        <v>408471.13095238165</v>
      </c>
    </row>
    <row r="170" spans="2:8" x14ac:dyDescent="0.25">
      <c r="B170" s="130">
        <f t="shared" si="24"/>
        <v>46164</v>
      </c>
      <c r="C170" s="208">
        <f t="shared" ca="1" si="25"/>
        <v>217857.14285714287</v>
      </c>
      <c r="D170" s="208">
        <f t="shared" si="21"/>
        <v>0</v>
      </c>
      <c r="E170" s="208">
        <f t="shared" si="22"/>
        <v>0</v>
      </c>
      <c r="F170" s="208">
        <f t="shared" ca="1" si="26"/>
        <v>66.567460317460331</v>
      </c>
      <c r="G170" s="502">
        <f t="shared" ca="1" si="27"/>
        <v>190547.42063492129</v>
      </c>
      <c r="H170" s="502">
        <f t="shared" ca="1" si="23"/>
        <v>408404.56349206413</v>
      </c>
    </row>
    <row r="171" spans="2:8" x14ac:dyDescent="0.25">
      <c r="B171" s="130">
        <f t="shared" si="24"/>
        <v>46165</v>
      </c>
      <c r="C171" s="208">
        <f t="shared" ca="1" si="25"/>
        <v>217857.14285714287</v>
      </c>
      <c r="D171" s="208">
        <f t="shared" si="21"/>
        <v>0</v>
      </c>
      <c r="E171" s="208">
        <f t="shared" si="22"/>
        <v>0</v>
      </c>
      <c r="F171" s="208">
        <f t="shared" ca="1" si="26"/>
        <v>66.567460317460331</v>
      </c>
      <c r="G171" s="502">
        <f t="shared" ca="1" si="27"/>
        <v>190480.85317460384</v>
      </c>
      <c r="H171" s="502">
        <f t="shared" ca="1" si="23"/>
        <v>408337.99603174673</v>
      </c>
    </row>
    <row r="172" spans="2:8" x14ac:dyDescent="0.25">
      <c r="B172" s="130">
        <f t="shared" si="24"/>
        <v>46166</v>
      </c>
      <c r="C172" s="208">
        <f t="shared" ca="1" si="25"/>
        <v>217857.14285714287</v>
      </c>
      <c r="D172" s="208">
        <f t="shared" si="21"/>
        <v>0</v>
      </c>
      <c r="E172" s="208">
        <f t="shared" si="22"/>
        <v>0</v>
      </c>
      <c r="F172" s="208">
        <f t="shared" ca="1" si="26"/>
        <v>66.567460317460331</v>
      </c>
      <c r="G172" s="502">
        <f t="shared" ca="1" si="27"/>
        <v>190414.28571428638</v>
      </c>
      <c r="H172" s="502">
        <f t="shared" ca="1" si="23"/>
        <v>408271.42857142922</v>
      </c>
    </row>
    <row r="173" spans="2:8" x14ac:dyDescent="0.25">
      <c r="B173" s="130">
        <f t="shared" si="24"/>
        <v>46167</v>
      </c>
      <c r="C173" s="208">
        <f t="shared" ca="1" si="25"/>
        <v>217857.14285714287</v>
      </c>
      <c r="D173" s="208">
        <f t="shared" si="21"/>
        <v>0</v>
      </c>
      <c r="E173" s="208">
        <f t="shared" si="22"/>
        <v>0</v>
      </c>
      <c r="F173" s="208">
        <f t="shared" ca="1" si="26"/>
        <v>66.567460317460331</v>
      </c>
      <c r="G173" s="502">
        <f t="shared" ca="1" si="27"/>
        <v>190347.71825396892</v>
      </c>
      <c r="H173" s="502">
        <f t="shared" ca="1" si="23"/>
        <v>408204.86111111182</v>
      </c>
    </row>
    <row r="174" spans="2:8" x14ac:dyDescent="0.25">
      <c r="B174" s="130">
        <f t="shared" si="24"/>
        <v>46168</v>
      </c>
      <c r="C174" s="208">
        <f t="shared" ca="1" si="25"/>
        <v>217857.14285714287</v>
      </c>
      <c r="D174" s="208">
        <f t="shared" si="21"/>
        <v>0</v>
      </c>
      <c r="E174" s="208">
        <f t="shared" si="22"/>
        <v>0</v>
      </c>
      <c r="F174" s="208">
        <f t="shared" ca="1" si="26"/>
        <v>66.567460317460331</v>
      </c>
      <c r="G174" s="502">
        <f t="shared" ca="1" si="27"/>
        <v>190281.15079365147</v>
      </c>
      <c r="H174" s="502">
        <f t="shared" ca="1" si="23"/>
        <v>408138.29365079431</v>
      </c>
    </row>
    <row r="175" spans="2:8" x14ac:dyDescent="0.25">
      <c r="B175" s="130">
        <f t="shared" si="24"/>
        <v>46169</v>
      </c>
      <c r="C175" s="208">
        <f t="shared" ca="1" si="25"/>
        <v>217857.14285714287</v>
      </c>
      <c r="D175" s="208">
        <f t="shared" si="21"/>
        <v>0</v>
      </c>
      <c r="E175" s="208">
        <f t="shared" si="22"/>
        <v>0</v>
      </c>
      <c r="F175" s="208">
        <f t="shared" ca="1" si="26"/>
        <v>66.567460317460331</v>
      </c>
      <c r="G175" s="502">
        <f t="shared" ca="1" si="27"/>
        <v>190214.58333333401</v>
      </c>
      <c r="H175" s="502">
        <f t="shared" ca="1" si="23"/>
        <v>408071.72619047691</v>
      </c>
    </row>
    <row r="176" spans="2:8" x14ac:dyDescent="0.25">
      <c r="B176" s="130">
        <f t="shared" si="24"/>
        <v>46170</v>
      </c>
      <c r="C176" s="208">
        <f t="shared" ca="1" si="25"/>
        <v>217857.14285714287</v>
      </c>
      <c r="D176" s="208">
        <f t="shared" si="21"/>
        <v>0</v>
      </c>
      <c r="E176" s="208">
        <f t="shared" si="22"/>
        <v>0</v>
      </c>
      <c r="F176" s="208">
        <f t="shared" ca="1" si="26"/>
        <v>66.567460317460331</v>
      </c>
      <c r="G176" s="502">
        <f t="shared" ca="1" si="27"/>
        <v>190148.01587301656</v>
      </c>
      <c r="H176" s="502">
        <f t="shared" ca="1" si="23"/>
        <v>408005.1587301594</v>
      </c>
    </row>
    <row r="177" spans="2:8" x14ac:dyDescent="0.25">
      <c r="B177" s="130">
        <f t="shared" si="24"/>
        <v>46171</v>
      </c>
      <c r="C177" s="208">
        <f t="shared" ca="1" si="25"/>
        <v>217857.14285714287</v>
      </c>
      <c r="D177" s="208">
        <f t="shared" si="21"/>
        <v>0</v>
      </c>
      <c r="E177" s="208">
        <f t="shared" si="22"/>
        <v>0</v>
      </c>
      <c r="F177" s="208">
        <f t="shared" ca="1" si="26"/>
        <v>66.567460317460331</v>
      </c>
      <c r="G177" s="502">
        <f t="shared" ca="1" si="27"/>
        <v>190081.4484126991</v>
      </c>
      <c r="H177" s="502">
        <f t="shared" ca="1" si="23"/>
        <v>407938.591269842</v>
      </c>
    </row>
    <row r="178" spans="2:8" x14ac:dyDescent="0.25">
      <c r="B178" s="130">
        <f t="shared" si="24"/>
        <v>46172</v>
      </c>
      <c r="C178" s="208">
        <f t="shared" ca="1" si="25"/>
        <v>217857.14285714287</v>
      </c>
      <c r="D178" s="208">
        <f t="shared" si="21"/>
        <v>0</v>
      </c>
      <c r="E178" s="208">
        <f t="shared" si="22"/>
        <v>0</v>
      </c>
      <c r="F178" s="208">
        <f t="shared" ca="1" si="26"/>
        <v>66.567460317460331</v>
      </c>
      <c r="G178" s="502">
        <f t="shared" ca="1" si="27"/>
        <v>190014.88095238165</v>
      </c>
      <c r="H178" s="502">
        <f t="shared" ca="1" si="23"/>
        <v>407872.02380952449</v>
      </c>
    </row>
    <row r="179" spans="2:8" x14ac:dyDescent="0.25">
      <c r="B179" s="130">
        <f t="shared" si="24"/>
        <v>46173</v>
      </c>
      <c r="C179" s="208">
        <f t="shared" ca="1" si="25"/>
        <v>217857.14285714287</v>
      </c>
      <c r="D179" s="208">
        <f t="shared" si="21"/>
        <v>0</v>
      </c>
      <c r="E179" s="208">
        <f t="shared" si="22"/>
        <v>0</v>
      </c>
      <c r="F179" s="208">
        <f t="shared" ca="1" si="26"/>
        <v>66.567460317460331</v>
      </c>
      <c r="G179" s="502">
        <f t="shared" ca="1" si="27"/>
        <v>189948.31349206419</v>
      </c>
      <c r="H179" s="502">
        <f t="shared" ca="1" si="23"/>
        <v>407805.45634920709</v>
      </c>
    </row>
    <row r="180" spans="2:8" x14ac:dyDescent="0.25">
      <c r="B180" s="130">
        <f t="shared" si="24"/>
        <v>46174</v>
      </c>
      <c r="C180" s="208">
        <f t="shared" ca="1" si="25"/>
        <v>217857.14285714287</v>
      </c>
      <c r="D180" s="208">
        <f t="shared" si="21"/>
        <v>0</v>
      </c>
      <c r="E180" s="208">
        <f t="shared" si="22"/>
        <v>0</v>
      </c>
      <c r="F180" s="208">
        <f t="shared" ca="1" si="26"/>
        <v>66.567460317460331</v>
      </c>
      <c r="G180" s="502">
        <f t="shared" ca="1" si="27"/>
        <v>189881.74603174673</v>
      </c>
      <c r="H180" s="502">
        <f t="shared" ca="1" si="23"/>
        <v>407738.88888888957</v>
      </c>
    </row>
    <row r="181" spans="2:8" x14ac:dyDescent="0.25">
      <c r="B181" s="130">
        <f t="shared" si="24"/>
        <v>46175</v>
      </c>
      <c r="C181" s="208">
        <f t="shared" ca="1" si="25"/>
        <v>217857.14285714287</v>
      </c>
      <c r="D181" s="208">
        <f t="shared" si="21"/>
        <v>0</v>
      </c>
      <c r="E181" s="208">
        <f t="shared" si="22"/>
        <v>0</v>
      </c>
      <c r="F181" s="208">
        <f ca="1">+C181*$C$3/360</f>
        <v>66.567460317460331</v>
      </c>
      <c r="G181" s="502">
        <f t="shared" ca="1" si="27"/>
        <v>189815.17857142928</v>
      </c>
      <c r="H181" s="502">
        <f t="shared" ca="1" si="23"/>
        <v>407672.32142857218</v>
      </c>
    </row>
    <row r="182" spans="2:8" x14ac:dyDescent="0.25">
      <c r="B182" s="130">
        <f t="shared" si="24"/>
        <v>46176</v>
      </c>
      <c r="C182" s="208">
        <f t="shared" ca="1" si="25"/>
        <v>217857.14285714287</v>
      </c>
      <c r="D182" s="208">
        <f t="shared" si="21"/>
        <v>0</v>
      </c>
      <c r="E182" s="208">
        <f t="shared" si="22"/>
        <v>0</v>
      </c>
      <c r="F182" s="208">
        <f t="shared" ca="1" si="26"/>
        <v>66.567460317460331</v>
      </c>
      <c r="G182" s="502">
        <f t="shared" ca="1" si="27"/>
        <v>189748.61111111182</v>
      </c>
      <c r="H182" s="502">
        <f t="shared" ca="1" si="23"/>
        <v>407605.75396825466</v>
      </c>
    </row>
    <row r="183" spans="2:8" x14ac:dyDescent="0.25">
      <c r="B183" s="130">
        <f t="shared" si="24"/>
        <v>46177</v>
      </c>
      <c r="C183" s="208">
        <f t="shared" ca="1" si="25"/>
        <v>217857.14285714287</v>
      </c>
      <c r="D183" s="208">
        <f t="shared" si="21"/>
        <v>0</v>
      </c>
      <c r="E183" s="208">
        <f t="shared" si="22"/>
        <v>0</v>
      </c>
      <c r="F183" s="208">
        <f t="shared" ca="1" si="26"/>
        <v>66.567460317460331</v>
      </c>
      <c r="G183" s="502">
        <f t="shared" ca="1" si="27"/>
        <v>189682.04365079437</v>
      </c>
      <c r="H183" s="502">
        <f t="shared" ca="1" si="23"/>
        <v>407539.18650793727</v>
      </c>
    </row>
    <row r="184" spans="2:8" x14ac:dyDescent="0.25">
      <c r="B184" s="130">
        <f t="shared" si="24"/>
        <v>46178</v>
      </c>
      <c r="C184" s="208">
        <f t="shared" ca="1" si="25"/>
        <v>217857.14285714287</v>
      </c>
      <c r="D184" s="208">
        <f t="shared" si="21"/>
        <v>0</v>
      </c>
      <c r="E184" s="208">
        <f t="shared" si="22"/>
        <v>0</v>
      </c>
      <c r="F184" s="208">
        <f t="shared" ca="1" si="26"/>
        <v>66.567460317460331</v>
      </c>
      <c r="G184" s="502">
        <f t="shared" ca="1" si="27"/>
        <v>189615.47619047691</v>
      </c>
      <c r="H184" s="502">
        <f t="shared" ca="1" si="23"/>
        <v>407472.61904761975</v>
      </c>
    </row>
    <row r="185" spans="2:8" x14ac:dyDescent="0.25">
      <c r="B185" s="130">
        <f t="shared" si="24"/>
        <v>46179</v>
      </c>
      <c r="C185" s="208">
        <f t="shared" ca="1" si="25"/>
        <v>217857.14285714287</v>
      </c>
      <c r="D185" s="208">
        <f t="shared" si="21"/>
        <v>0</v>
      </c>
      <c r="E185" s="208">
        <f t="shared" si="22"/>
        <v>0</v>
      </c>
      <c r="F185" s="208">
        <f t="shared" ca="1" si="26"/>
        <v>66.567460317460331</v>
      </c>
      <c r="G185" s="502">
        <f t="shared" ca="1" si="27"/>
        <v>189548.90873015946</v>
      </c>
      <c r="H185" s="502">
        <f t="shared" ca="1" si="23"/>
        <v>407406.05158730235</v>
      </c>
    </row>
    <row r="186" spans="2:8" x14ac:dyDescent="0.25">
      <c r="B186" s="130">
        <f t="shared" si="24"/>
        <v>46180</v>
      </c>
      <c r="C186" s="208">
        <f t="shared" ca="1" si="25"/>
        <v>217857.14285714287</v>
      </c>
      <c r="D186" s="208">
        <f t="shared" si="21"/>
        <v>0</v>
      </c>
      <c r="E186" s="208">
        <f t="shared" si="22"/>
        <v>0</v>
      </c>
      <c r="F186" s="208">
        <f t="shared" ca="1" si="26"/>
        <v>66.567460317460331</v>
      </c>
      <c r="G186" s="502">
        <f t="shared" ca="1" si="27"/>
        <v>189482.341269842</v>
      </c>
      <c r="H186" s="502">
        <f t="shared" ca="1" si="23"/>
        <v>407339.48412698484</v>
      </c>
    </row>
    <row r="187" spans="2:8" x14ac:dyDescent="0.25">
      <c r="B187" s="130">
        <f t="shared" si="24"/>
        <v>46181</v>
      </c>
      <c r="C187" s="208">
        <f t="shared" ca="1" si="25"/>
        <v>217857.14285714287</v>
      </c>
      <c r="D187" s="208">
        <f t="shared" si="21"/>
        <v>0</v>
      </c>
      <c r="E187" s="208">
        <f t="shared" si="22"/>
        <v>0</v>
      </c>
      <c r="F187" s="208">
        <f t="shared" ca="1" si="26"/>
        <v>66.567460317460331</v>
      </c>
      <c r="G187" s="502">
        <f t="shared" ca="1" si="27"/>
        <v>189415.77380952454</v>
      </c>
      <c r="H187" s="502">
        <f t="shared" ca="1" si="23"/>
        <v>407272.91666666744</v>
      </c>
    </row>
    <row r="188" spans="2:8" x14ac:dyDescent="0.25">
      <c r="B188" s="130">
        <f t="shared" si="24"/>
        <v>46182</v>
      </c>
      <c r="C188" s="208">
        <f t="shared" ca="1" si="25"/>
        <v>217857.14285714287</v>
      </c>
      <c r="D188" s="208">
        <f t="shared" si="21"/>
        <v>0</v>
      </c>
      <c r="E188" s="208">
        <f t="shared" si="22"/>
        <v>0</v>
      </c>
      <c r="F188" s="208">
        <f t="shared" ca="1" si="26"/>
        <v>66.567460317460331</v>
      </c>
      <c r="G188" s="502">
        <f t="shared" ca="1" si="27"/>
        <v>189349.20634920709</v>
      </c>
      <c r="H188" s="502">
        <f t="shared" ca="1" si="23"/>
        <v>407206.34920634993</v>
      </c>
    </row>
    <row r="189" spans="2:8" x14ac:dyDescent="0.25">
      <c r="B189" s="130">
        <f t="shared" si="24"/>
        <v>46183</v>
      </c>
      <c r="C189" s="208">
        <f t="shared" ca="1" si="25"/>
        <v>217857.14285714287</v>
      </c>
      <c r="D189" s="208">
        <f t="shared" si="21"/>
        <v>0</v>
      </c>
      <c r="E189" s="208">
        <f t="shared" si="22"/>
        <v>0</v>
      </c>
      <c r="F189" s="208">
        <f t="shared" ca="1" si="26"/>
        <v>66.567460317460331</v>
      </c>
      <c r="G189" s="502">
        <f t="shared" ca="1" si="27"/>
        <v>189282.63888888963</v>
      </c>
      <c r="H189" s="502">
        <f t="shared" ca="1" si="23"/>
        <v>407139.78174603253</v>
      </c>
    </row>
    <row r="190" spans="2:8" x14ac:dyDescent="0.25">
      <c r="B190" s="130">
        <f t="shared" si="24"/>
        <v>46184</v>
      </c>
      <c r="C190" s="208">
        <f t="shared" ca="1" si="25"/>
        <v>217857.14285714287</v>
      </c>
      <c r="D190" s="208">
        <f t="shared" si="21"/>
        <v>0</v>
      </c>
      <c r="E190" s="208">
        <f t="shared" si="22"/>
        <v>0</v>
      </c>
      <c r="F190" s="208">
        <f t="shared" ca="1" si="26"/>
        <v>66.567460317460331</v>
      </c>
      <c r="G190" s="502">
        <f t="shared" ca="1" si="27"/>
        <v>189216.07142857218</v>
      </c>
      <c r="H190" s="502">
        <f t="shared" ca="1" si="23"/>
        <v>407073.21428571502</v>
      </c>
    </row>
    <row r="191" spans="2:8" x14ac:dyDescent="0.25">
      <c r="B191" s="130">
        <f t="shared" si="24"/>
        <v>46185</v>
      </c>
      <c r="C191" s="208">
        <f t="shared" ca="1" si="25"/>
        <v>217857.14285714287</v>
      </c>
      <c r="D191" s="208">
        <f t="shared" si="21"/>
        <v>0</v>
      </c>
      <c r="E191" s="208">
        <f t="shared" si="22"/>
        <v>0</v>
      </c>
      <c r="F191" s="208">
        <f t="shared" ca="1" si="26"/>
        <v>66.567460317460331</v>
      </c>
      <c r="G191" s="502">
        <f t="shared" ca="1" si="27"/>
        <v>189149.50396825472</v>
      </c>
      <c r="H191" s="502">
        <f t="shared" ca="1" si="23"/>
        <v>407006.64682539762</v>
      </c>
    </row>
    <row r="192" spans="2:8" x14ac:dyDescent="0.25">
      <c r="B192" s="130">
        <f t="shared" si="24"/>
        <v>46186</v>
      </c>
      <c r="C192" s="208">
        <f t="shared" ca="1" si="25"/>
        <v>217857.14285714287</v>
      </c>
      <c r="D192" s="208">
        <f t="shared" si="21"/>
        <v>0</v>
      </c>
      <c r="E192" s="208">
        <f t="shared" si="22"/>
        <v>0</v>
      </c>
      <c r="F192" s="208">
        <f t="shared" ca="1" si="26"/>
        <v>66.567460317460331</v>
      </c>
      <c r="G192" s="502">
        <f t="shared" ca="1" si="27"/>
        <v>189082.93650793727</v>
      </c>
      <c r="H192" s="502">
        <f t="shared" ca="1" si="23"/>
        <v>406940.07936508011</v>
      </c>
    </row>
    <row r="193" spans="2:8" x14ac:dyDescent="0.25">
      <c r="B193" s="130">
        <f t="shared" si="24"/>
        <v>46187</v>
      </c>
      <c r="C193" s="208">
        <f t="shared" ca="1" si="25"/>
        <v>217857.14285714287</v>
      </c>
      <c r="D193" s="208">
        <f t="shared" si="21"/>
        <v>0</v>
      </c>
      <c r="E193" s="208">
        <f t="shared" si="22"/>
        <v>0</v>
      </c>
      <c r="F193" s="208">
        <f t="shared" ca="1" si="26"/>
        <v>66.567460317460331</v>
      </c>
      <c r="G193" s="502">
        <f t="shared" ca="1" si="27"/>
        <v>189016.36904761981</v>
      </c>
      <c r="H193" s="502">
        <f t="shared" ca="1" si="23"/>
        <v>406873.51190476271</v>
      </c>
    </row>
    <row r="194" spans="2:8" x14ac:dyDescent="0.25">
      <c r="B194" s="130">
        <f t="shared" si="24"/>
        <v>46188</v>
      </c>
      <c r="C194" s="208">
        <f t="shared" ca="1" si="25"/>
        <v>217857.14285714287</v>
      </c>
      <c r="D194" s="208">
        <f t="shared" si="21"/>
        <v>0</v>
      </c>
      <c r="E194" s="208">
        <f t="shared" si="22"/>
        <v>0</v>
      </c>
      <c r="F194" s="208">
        <f t="shared" ca="1" si="26"/>
        <v>66.567460317460331</v>
      </c>
      <c r="G194" s="502">
        <f t="shared" ca="1" si="27"/>
        <v>188949.80158730235</v>
      </c>
      <c r="H194" s="502">
        <f t="shared" ca="1" si="23"/>
        <v>406806.94444444519</v>
      </c>
    </row>
    <row r="195" spans="2:8" x14ac:dyDescent="0.25">
      <c r="B195" s="130">
        <f t="shared" si="24"/>
        <v>46189</v>
      </c>
      <c r="C195" s="208">
        <f t="shared" ca="1" si="25"/>
        <v>217857.14285714287</v>
      </c>
      <c r="D195" s="208">
        <f t="shared" si="21"/>
        <v>0</v>
      </c>
      <c r="E195" s="208">
        <f t="shared" si="22"/>
        <v>0</v>
      </c>
      <c r="F195" s="208">
        <f t="shared" ca="1" si="26"/>
        <v>66.567460317460331</v>
      </c>
      <c r="G195" s="502">
        <f t="shared" ca="1" si="27"/>
        <v>188883.2341269849</v>
      </c>
      <c r="H195" s="502">
        <f t="shared" ca="1" si="23"/>
        <v>406740.3769841278</v>
      </c>
    </row>
    <row r="196" spans="2:8" x14ac:dyDescent="0.25">
      <c r="B196" s="130">
        <f t="shared" si="24"/>
        <v>46190</v>
      </c>
      <c r="C196" s="208">
        <f t="shared" ca="1" si="25"/>
        <v>217857.14285714287</v>
      </c>
      <c r="D196" s="208">
        <f t="shared" si="21"/>
        <v>0</v>
      </c>
      <c r="E196" s="208">
        <f t="shared" si="22"/>
        <v>0</v>
      </c>
      <c r="F196" s="208">
        <f t="shared" ca="1" si="26"/>
        <v>66.567460317460331</v>
      </c>
      <c r="G196" s="502">
        <f t="shared" ca="1" si="27"/>
        <v>188816.66666666744</v>
      </c>
      <c r="H196" s="502">
        <f t="shared" ca="1" si="23"/>
        <v>406673.80952381028</v>
      </c>
    </row>
    <row r="197" spans="2:8" x14ac:dyDescent="0.25">
      <c r="B197" s="130">
        <f t="shared" si="24"/>
        <v>46191</v>
      </c>
      <c r="C197" s="208">
        <f t="shared" ca="1" si="25"/>
        <v>217857.14285714287</v>
      </c>
      <c r="D197" s="208">
        <f t="shared" si="21"/>
        <v>0</v>
      </c>
      <c r="E197" s="208">
        <f t="shared" si="22"/>
        <v>0</v>
      </c>
      <c r="F197" s="208">
        <f t="shared" ca="1" si="26"/>
        <v>66.567460317460331</v>
      </c>
      <c r="G197" s="502">
        <f t="shared" ca="1" si="27"/>
        <v>188750.09920634999</v>
      </c>
      <c r="H197" s="502">
        <f t="shared" ca="1" si="23"/>
        <v>406607.24206349289</v>
      </c>
    </row>
    <row r="198" spans="2:8" x14ac:dyDescent="0.25">
      <c r="B198" s="130">
        <f t="shared" si="24"/>
        <v>46192</v>
      </c>
      <c r="C198" s="208">
        <f t="shared" ca="1" si="25"/>
        <v>217857.14285714287</v>
      </c>
      <c r="D198" s="208">
        <f t="shared" si="21"/>
        <v>0</v>
      </c>
      <c r="E198" s="208">
        <f t="shared" si="22"/>
        <v>0</v>
      </c>
      <c r="F198" s="208">
        <f t="shared" ca="1" si="26"/>
        <v>66.567460317460331</v>
      </c>
      <c r="G198" s="502">
        <f t="shared" ca="1" si="27"/>
        <v>188683.53174603253</v>
      </c>
      <c r="H198" s="502">
        <f t="shared" ca="1" si="23"/>
        <v>406540.67460317537</v>
      </c>
    </row>
    <row r="199" spans="2:8" x14ac:dyDescent="0.25">
      <c r="B199" s="130">
        <f t="shared" si="24"/>
        <v>46193</v>
      </c>
      <c r="C199" s="208">
        <f t="shared" ca="1" si="25"/>
        <v>217857.14285714287</v>
      </c>
      <c r="D199" s="208">
        <f t="shared" si="21"/>
        <v>0</v>
      </c>
      <c r="E199" s="208">
        <f t="shared" si="22"/>
        <v>0</v>
      </c>
      <c r="F199" s="208">
        <f t="shared" ca="1" si="26"/>
        <v>66.567460317460331</v>
      </c>
      <c r="G199" s="502">
        <f t="shared" ca="1" si="27"/>
        <v>188616.96428571508</v>
      </c>
      <c r="H199" s="502">
        <f t="shared" ca="1" si="23"/>
        <v>406474.10714285797</v>
      </c>
    </row>
    <row r="200" spans="2:8" x14ac:dyDescent="0.25">
      <c r="B200" s="130">
        <f t="shared" si="24"/>
        <v>46194</v>
      </c>
      <c r="C200" s="208">
        <f t="shared" ca="1" si="25"/>
        <v>217857.14285714287</v>
      </c>
      <c r="D200" s="208">
        <f t="shared" si="21"/>
        <v>0</v>
      </c>
      <c r="E200" s="208">
        <f t="shared" si="22"/>
        <v>0</v>
      </c>
      <c r="F200" s="208">
        <f t="shared" ca="1" si="26"/>
        <v>66.567460317460331</v>
      </c>
      <c r="G200" s="502">
        <f t="shared" ca="1" si="27"/>
        <v>188550.39682539762</v>
      </c>
      <c r="H200" s="502">
        <f t="shared" ca="1" si="23"/>
        <v>406407.53968254046</v>
      </c>
    </row>
    <row r="201" spans="2:8" x14ac:dyDescent="0.25">
      <c r="B201" s="130">
        <f t="shared" si="24"/>
        <v>46195</v>
      </c>
      <c r="C201" s="208">
        <f t="shared" ca="1" si="25"/>
        <v>217857.14285714287</v>
      </c>
      <c r="D201" s="208">
        <f t="shared" si="21"/>
        <v>0</v>
      </c>
      <c r="E201" s="208">
        <f t="shared" si="22"/>
        <v>0</v>
      </c>
      <c r="F201" s="208">
        <f t="shared" ca="1" si="26"/>
        <v>66.567460317460331</v>
      </c>
      <c r="G201" s="502">
        <f t="shared" ca="1" si="27"/>
        <v>188483.82936508016</v>
      </c>
      <c r="H201" s="502">
        <f t="shared" ca="1" si="23"/>
        <v>406340.97222222306</v>
      </c>
    </row>
    <row r="202" spans="2:8" x14ac:dyDescent="0.25">
      <c r="B202" s="130">
        <f t="shared" si="24"/>
        <v>46196</v>
      </c>
      <c r="C202" s="208">
        <f t="shared" ca="1" si="25"/>
        <v>217857.14285714287</v>
      </c>
      <c r="D202" s="208">
        <f t="shared" si="21"/>
        <v>0</v>
      </c>
      <c r="E202" s="208">
        <f t="shared" si="22"/>
        <v>0</v>
      </c>
      <c r="F202" s="208">
        <f t="shared" ca="1" si="26"/>
        <v>66.567460317460331</v>
      </c>
      <c r="G202" s="502">
        <f t="shared" ca="1" si="27"/>
        <v>188417.26190476271</v>
      </c>
      <c r="H202" s="502">
        <f t="shared" ca="1" si="23"/>
        <v>406274.40476190555</v>
      </c>
    </row>
    <row r="203" spans="2:8" x14ac:dyDescent="0.25">
      <c r="B203" s="130">
        <f t="shared" si="24"/>
        <v>46197</v>
      </c>
      <c r="C203" s="208">
        <f t="shared" ca="1" si="25"/>
        <v>217857.14285714287</v>
      </c>
      <c r="D203" s="208">
        <f t="shared" si="21"/>
        <v>0</v>
      </c>
      <c r="E203" s="208">
        <f t="shared" si="22"/>
        <v>0</v>
      </c>
      <c r="F203" s="208">
        <f t="shared" ca="1" si="26"/>
        <v>66.567460317460331</v>
      </c>
      <c r="G203" s="502">
        <f t="shared" ca="1" si="27"/>
        <v>188350.69444444525</v>
      </c>
      <c r="H203" s="502">
        <f t="shared" ca="1" si="23"/>
        <v>406207.83730158815</v>
      </c>
    </row>
    <row r="204" spans="2:8" x14ac:dyDescent="0.25">
      <c r="B204" s="130">
        <f t="shared" si="24"/>
        <v>46198</v>
      </c>
      <c r="C204" s="208">
        <f t="shared" ca="1" si="25"/>
        <v>217857.14285714287</v>
      </c>
      <c r="D204" s="208">
        <f t="shared" si="21"/>
        <v>0</v>
      </c>
      <c r="E204" s="208">
        <f t="shared" si="22"/>
        <v>0</v>
      </c>
      <c r="F204" s="208">
        <f t="shared" ca="1" si="26"/>
        <v>66.567460317460331</v>
      </c>
      <c r="G204" s="502">
        <f t="shared" ca="1" si="27"/>
        <v>188284.1269841278</v>
      </c>
      <c r="H204" s="502">
        <f t="shared" ca="1" si="23"/>
        <v>406141.26984127064</v>
      </c>
    </row>
    <row r="205" spans="2:8" x14ac:dyDescent="0.25">
      <c r="B205" s="130">
        <f t="shared" si="24"/>
        <v>46199</v>
      </c>
      <c r="C205" s="208">
        <f t="shared" ca="1" si="25"/>
        <v>217857.14285714287</v>
      </c>
      <c r="D205" s="208">
        <f t="shared" si="21"/>
        <v>0</v>
      </c>
      <c r="E205" s="208">
        <f t="shared" si="22"/>
        <v>0</v>
      </c>
      <c r="F205" s="208">
        <f t="shared" ca="1" si="26"/>
        <v>66.567460317460331</v>
      </c>
      <c r="G205" s="502">
        <f t="shared" ca="1" si="27"/>
        <v>188217.55952381034</v>
      </c>
      <c r="H205" s="502">
        <f t="shared" ca="1" si="23"/>
        <v>406074.70238095324</v>
      </c>
    </row>
    <row r="206" spans="2:8" x14ac:dyDescent="0.25">
      <c r="B206" s="130">
        <f t="shared" si="24"/>
        <v>46200</v>
      </c>
      <c r="C206" s="208">
        <f t="shared" ca="1" si="25"/>
        <v>217857.14285714287</v>
      </c>
      <c r="D206" s="208">
        <f t="shared" si="21"/>
        <v>0</v>
      </c>
      <c r="E206" s="208">
        <f t="shared" si="22"/>
        <v>0</v>
      </c>
      <c r="F206" s="208">
        <f t="shared" ca="1" si="26"/>
        <v>66.567460317460331</v>
      </c>
      <c r="G206" s="502">
        <f t="shared" ca="1" si="27"/>
        <v>188150.99206349289</v>
      </c>
      <c r="H206" s="502">
        <f t="shared" ca="1" si="23"/>
        <v>406008.13492063573</v>
      </c>
    </row>
    <row r="207" spans="2:8" x14ac:dyDescent="0.25">
      <c r="B207" s="130">
        <f t="shared" si="24"/>
        <v>46201</v>
      </c>
      <c r="C207" s="208">
        <f t="shared" ca="1" si="25"/>
        <v>217857.14285714287</v>
      </c>
      <c r="D207" s="208">
        <f t="shared" si="21"/>
        <v>0</v>
      </c>
      <c r="E207" s="208">
        <f t="shared" si="22"/>
        <v>0</v>
      </c>
      <c r="F207" s="208">
        <f t="shared" ca="1" si="26"/>
        <v>66.567460317460331</v>
      </c>
      <c r="G207" s="502">
        <f t="shared" ca="1" si="27"/>
        <v>188084.42460317543</v>
      </c>
      <c r="H207" s="502">
        <f t="shared" ca="1" si="23"/>
        <v>405941.56746031833</v>
      </c>
    </row>
    <row r="208" spans="2:8" x14ac:dyDescent="0.25">
      <c r="B208" s="130">
        <f t="shared" si="24"/>
        <v>46202</v>
      </c>
      <c r="C208" s="208">
        <f t="shared" ca="1" si="25"/>
        <v>217857.14285714287</v>
      </c>
      <c r="D208" s="208">
        <f t="shared" si="21"/>
        <v>0</v>
      </c>
      <c r="E208" s="208">
        <f t="shared" si="22"/>
        <v>0</v>
      </c>
      <c r="F208" s="208">
        <f t="shared" ca="1" si="26"/>
        <v>66.567460317460331</v>
      </c>
      <c r="G208" s="502">
        <f t="shared" ca="1" si="27"/>
        <v>188017.85714285797</v>
      </c>
      <c r="H208" s="502">
        <f t="shared" ca="1" si="23"/>
        <v>405875.00000000081</v>
      </c>
    </row>
    <row r="209" spans="2:8" x14ac:dyDescent="0.25">
      <c r="B209" s="130">
        <f t="shared" si="24"/>
        <v>46203</v>
      </c>
      <c r="C209" s="208">
        <f t="shared" ca="1" si="25"/>
        <v>217857.14285714287</v>
      </c>
      <c r="D209" s="208">
        <f t="shared" si="21"/>
        <v>0</v>
      </c>
      <c r="E209" s="208">
        <f t="shared" si="22"/>
        <v>0</v>
      </c>
      <c r="F209" s="208">
        <f t="shared" ca="1" si="26"/>
        <v>66.567460317460331</v>
      </c>
      <c r="G209" s="502">
        <f t="shared" ca="1" si="27"/>
        <v>187951.28968254052</v>
      </c>
      <c r="H209" s="502">
        <f t="shared" ca="1" si="23"/>
        <v>405808.43253968342</v>
      </c>
    </row>
    <row r="210" spans="2:8" x14ac:dyDescent="0.25">
      <c r="B210" s="130">
        <f t="shared" si="24"/>
        <v>46204</v>
      </c>
      <c r="C210" s="208">
        <f t="shared" ca="1" si="25"/>
        <v>217857.14285714287</v>
      </c>
      <c r="D210" s="208">
        <f t="shared" si="21"/>
        <v>0</v>
      </c>
      <c r="E210" s="208">
        <f t="shared" si="22"/>
        <v>0</v>
      </c>
      <c r="F210" s="208">
        <f t="shared" ca="1" si="26"/>
        <v>66.567460317460331</v>
      </c>
      <c r="G210" s="502">
        <f t="shared" ca="1" si="27"/>
        <v>187884.72222222306</v>
      </c>
      <c r="H210" s="502">
        <f t="shared" ca="1" si="23"/>
        <v>405741.8650793659</v>
      </c>
    </row>
    <row r="211" spans="2:8" x14ac:dyDescent="0.25">
      <c r="B211" s="130">
        <f t="shared" si="24"/>
        <v>46205</v>
      </c>
      <c r="C211" s="208">
        <f t="shared" ca="1" si="25"/>
        <v>217857.14285714287</v>
      </c>
      <c r="D211" s="208">
        <f t="shared" si="21"/>
        <v>0</v>
      </c>
      <c r="E211" s="208">
        <f t="shared" si="22"/>
        <v>0</v>
      </c>
      <c r="F211" s="208">
        <f t="shared" ca="1" si="26"/>
        <v>66.567460317460331</v>
      </c>
      <c r="G211" s="502">
        <f t="shared" ca="1" si="27"/>
        <v>187818.15476190561</v>
      </c>
      <c r="H211" s="502">
        <f t="shared" ca="1" si="23"/>
        <v>405675.29761904851</v>
      </c>
    </row>
    <row r="212" spans="2:8" x14ac:dyDescent="0.25">
      <c r="B212" s="130">
        <f t="shared" si="24"/>
        <v>46206</v>
      </c>
      <c r="C212" s="208">
        <f t="shared" ca="1" si="25"/>
        <v>217857.14285714287</v>
      </c>
      <c r="D212" s="208">
        <f t="shared" si="21"/>
        <v>0</v>
      </c>
      <c r="E212" s="208">
        <f t="shared" si="22"/>
        <v>0</v>
      </c>
      <c r="F212" s="208">
        <f t="shared" ca="1" si="26"/>
        <v>66.567460317460331</v>
      </c>
      <c r="G212" s="502">
        <f t="shared" ca="1" si="27"/>
        <v>187751.58730158815</v>
      </c>
      <c r="H212" s="502">
        <f t="shared" ca="1" si="23"/>
        <v>405608.73015873099</v>
      </c>
    </row>
    <row r="213" spans="2:8" x14ac:dyDescent="0.25">
      <c r="B213" s="130">
        <f t="shared" si="24"/>
        <v>46207</v>
      </c>
      <c r="C213" s="208">
        <f t="shared" ca="1" si="25"/>
        <v>217857.14285714287</v>
      </c>
      <c r="D213" s="208">
        <f t="shared" si="21"/>
        <v>0</v>
      </c>
      <c r="E213" s="208">
        <f t="shared" si="22"/>
        <v>0</v>
      </c>
      <c r="F213" s="208">
        <f t="shared" ca="1" si="26"/>
        <v>66.567460317460331</v>
      </c>
      <c r="G213" s="502">
        <f t="shared" ca="1" si="27"/>
        <v>187685.0198412707</v>
      </c>
      <c r="H213" s="502">
        <f t="shared" ca="1" si="23"/>
        <v>405542.16269841359</v>
      </c>
    </row>
    <row r="214" spans="2:8" x14ac:dyDescent="0.25">
      <c r="B214" s="130">
        <f t="shared" si="24"/>
        <v>46208</v>
      </c>
      <c r="C214" s="208">
        <f t="shared" ca="1" si="25"/>
        <v>217857.14285714287</v>
      </c>
      <c r="D214" s="208">
        <f t="shared" si="21"/>
        <v>0</v>
      </c>
      <c r="E214" s="208">
        <f t="shared" si="22"/>
        <v>0</v>
      </c>
      <c r="F214" s="208">
        <f t="shared" ca="1" si="26"/>
        <v>66.567460317460331</v>
      </c>
      <c r="G214" s="502">
        <f t="shared" ca="1" si="27"/>
        <v>187618.45238095324</v>
      </c>
      <c r="H214" s="502">
        <f t="shared" ca="1" si="23"/>
        <v>405475.59523809608</v>
      </c>
    </row>
    <row r="215" spans="2:8" x14ac:dyDescent="0.25">
      <c r="B215" s="130">
        <f t="shared" si="24"/>
        <v>46209</v>
      </c>
      <c r="C215" s="208">
        <f t="shared" ca="1" si="25"/>
        <v>217857.14285714287</v>
      </c>
      <c r="D215" s="208">
        <f t="shared" si="21"/>
        <v>0</v>
      </c>
      <c r="E215" s="208">
        <f t="shared" si="22"/>
        <v>0</v>
      </c>
      <c r="F215" s="208">
        <f t="shared" ca="1" si="26"/>
        <v>66.567460317460331</v>
      </c>
      <c r="G215" s="502">
        <f t="shared" ca="1" si="27"/>
        <v>187551.88492063578</v>
      </c>
      <c r="H215" s="502">
        <f t="shared" ca="1" si="23"/>
        <v>405409.02777777868</v>
      </c>
    </row>
    <row r="216" spans="2:8" x14ac:dyDescent="0.25">
      <c r="B216" s="130">
        <f t="shared" si="24"/>
        <v>46210</v>
      </c>
      <c r="C216" s="208">
        <f t="shared" ca="1" si="25"/>
        <v>217857.14285714287</v>
      </c>
      <c r="D216" s="208">
        <f t="shared" si="21"/>
        <v>0</v>
      </c>
      <c r="E216" s="208">
        <f t="shared" si="22"/>
        <v>0</v>
      </c>
      <c r="F216" s="208">
        <f t="shared" ca="1" si="26"/>
        <v>66.567460317460331</v>
      </c>
      <c r="G216" s="502">
        <f t="shared" ca="1" si="27"/>
        <v>187485.31746031833</v>
      </c>
      <c r="H216" s="502">
        <f t="shared" ca="1" si="23"/>
        <v>405342.46031746117</v>
      </c>
    </row>
    <row r="217" spans="2:8" x14ac:dyDescent="0.25">
      <c r="B217" s="130">
        <f t="shared" si="24"/>
        <v>46211</v>
      </c>
      <c r="C217" s="208">
        <f t="shared" ca="1" si="25"/>
        <v>217857.14285714287</v>
      </c>
      <c r="D217" s="208">
        <f t="shared" si="21"/>
        <v>0</v>
      </c>
      <c r="E217" s="208">
        <f t="shared" si="22"/>
        <v>0</v>
      </c>
      <c r="F217" s="208">
        <f t="shared" ca="1" si="26"/>
        <v>66.567460317460331</v>
      </c>
      <c r="G217" s="502">
        <f t="shared" ca="1" si="27"/>
        <v>187418.75000000087</v>
      </c>
      <c r="H217" s="502">
        <f t="shared" ca="1" si="23"/>
        <v>405275.89285714377</v>
      </c>
    </row>
    <row r="218" spans="2:8" x14ac:dyDescent="0.25">
      <c r="B218" s="130">
        <f t="shared" si="24"/>
        <v>46212</v>
      </c>
      <c r="C218" s="208">
        <f t="shared" ca="1" si="25"/>
        <v>217857.14285714287</v>
      </c>
      <c r="D218" s="208">
        <f t="shared" si="21"/>
        <v>0</v>
      </c>
      <c r="E218" s="208">
        <f t="shared" si="22"/>
        <v>0</v>
      </c>
      <c r="F218" s="208">
        <f t="shared" ca="1" si="26"/>
        <v>66.567460317460331</v>
      </c>
      <c r="G218" s="502">
        <f t="shared" ca="1" si="27"/>
        <v>187352.18253968342</v>
      </c>
      <c r="H218" s="502">
        <f t="shared" ca="1" si="23"/>
        <v>405209.32539682626</v>
      </c>
    </row>
    <row r="219" spans="2:8" x14ac:dyDescent="0.25">
      <c r="B219" s="130">
        <f t="shared" si="24"/>
        <v>46213</v>
      </c>
      <c r="C219" s="208">
        <f t="shared" ca="1" si="25"/>
        <v>217857.14285714287</v>
      </c>
      <c r="D219" s="208">
        <f t="shared" si="21"/>
        <v>0</v>
      </c>
      <c r="E219" s="208">
        <f t="shared" si="22"/>
        <v>0</v>
      </c>
      <c r="F219" s="208">
        <f t="shared" ca="1" si="26"/>
        <v>66.567460317460331</v>
      </c>
      <c r="G219" s="502">
        <f t="shared" ca="1" si="27"/>
        <v>187285.61507936596</v>
      </c>
      <c r="H219" s="502">
        <f t="shared" ca="1" si="23"/>
        <v>405142.75793650886</v>
      </c>
    </row>
    <row r="220" spans="2:8" x14ac:dyDescent="0.25">
      <c r="B220" s="130">
        <f t="shared" si="24"/>
        <v>46214</v>
      </c>
      <c r="C220" s="208">
        <f t="shared" ca="1" si="25"/>
        <v>217857.14285714287</v>
      </c>
      <c r="D220" s="208">
        <f t="shared" si="21"/>
        <v>0</v>
      </c>
      <c r="E220" s="208">
        <f t="shared" si="22"/>
        <v>0</v>
      </c>
      <c r="F220" s="208">
        <f t="shared" ca="1" si="26"/>
        <v>66.567460317460331</v>
      </c>
      <c r="G220" s="502">
        <f t="shared" ca="1" si="27"/>
        <v>187219.04761904851</v>
      </c>
      <c r="H220" s="502">
        <f t="shared" ca="1" si="23"/>
        <v>405076.19047619135</v>
      </c>
    </row>
    <row r="221" spans="2:8" x14ac:dyDescent="0.25">
      <c r="B221" s="130">
        <f t="shared" si="24"/>
        <v>46215</v>
      </c>
      <c r="C221" s="208">
        <f t="shared" ca="1" si="25"/>
        <v>217857.14285714287</v>
      </c>
      <c r="D221" s="208">
        <f t="shared" si="21"/>
        <v>0</v>
      </c>
      <c r="E221" s="208">
        <f t="shared" si="22"/>
        <v>0</v>
      </c>
      <c r="F221" s="208">
        <f t="shared" ca="1" si="26"/>
        <v>66.567460317460331</v>
      </c>
      <c r="G221" s="502">
        <f t="shared" ca="1" si="27"/>
        <v>187152.48015873105</v>
      </c>
      <c r="H221" s="502">
        <f t="shared" ca="1" si="23"/>
        <v>405009.62301587395</v>
      </c>
    </row>
    <row r="222" spans="2:8" x14ac:dyDescent="0.25">
      <c r="B222" s="130">
        <f t="shared" si="24"/>
        <v>46216</v>
      </c>
      <c r="C222" s="208">
        <f t="shared" ca="1" si="25"/>
        <v>217857.14285714287</v>
      </c>
      <c r="D222" s="208">
        <f t="shared" ref="D222:D285" si="28">SUMIF($J$3:$J$26,B222,$K$3:$K$26)</f>
        <v>0</v>
      </c>
      <c r="E222" s="208">
        <f t="shared" ref="E222:E285" si="29">-SUMIF($N$3:$N$26,B222,$O$3:$O$26)</f>
        <v>0</v>
      </c>
      <c r="F222" s="208">
        <f t="shared" ca="1" si="26"/>
        <v>66.567460317460331</v>
      </c>
      <c r="G222" s="502">
        <f t="shared" ca="1" si="27"/>
        <v>187085.91269841359</v>
      </c>
      <c r="H222" s="502">
        <f t="shared" ref="H222:H285" ca="1" si="30">+C222+G222</f>
        <v>404943.05555555644</v>
      </c>
    </row>
    <row r="223" spans="2:8" x14ac:dyDescent="0.25">
      <c r="B223" s="130">
        <f t="shared" ref="B223:B286" si="31">+B222+1</f>
        <v>46217</v>
      </c>
      <c r="C223" s="208">
        <f t="shared" ref="C223:C286" ca="1" si="32">+C222+D222+E222</f>
        <v>217857.14285714287</v>
      </c>
      <c r="D223" s="208">
        <f t="shared" si="28"/>
        <v>0</v>
      </c>
      <c r="E223" s="208">
        <f t="shared" si="29"/>
        <v>0</v>
      </c>
      <c r="F223" s="208">
        <f t="shared" ref="F223:F286" ca="1" si="33">+C223*$C$3/360</f>
        <v>66.567460317460331</v>
      </c>
      <c r="G223" s="502">
        <f t="shared" ref="G223:G286" ca="1" si="34">+G222-F223</f>
        <v>187019.34523809614</v>
      </c>
      <c r="H223" s="502">
        <f t="shared" ca="1" si="30"/>
        <v>404876.48809523904</v>
      </c>
    </row>
    <row r="224" spans="2:8" x14ac:dyDescent="0.25">
      <c r="B224" s="130">
        <f t="shared" si="31"/>
        <v>46218</v>
      </c>
      <c r="C224" s="208">
        <f t="shared" ca="1" si="32"/>
        <v>217857.14285714287</v>
      </c>
      <c r="D224" s="208">
        <f t="shared" si="28"/>
        <v>0</v>
      </c>
      <c r="E224" s="208">
        <f t="shared" si="29"/>
        <v>0</v>
      </c>
      <c r="F224" s="208">
        <f t="shared" ca="1" si="33"/>
        <v>66.567460317460331</v>
      </c>
      <c r="G224" s="502">
        <f t="shared" ca="1" si="34"/>
        <v>186952.77777777868</v>
      </c>
      <c r="H224" s="502">
        <f t="shared" ca="1" si="30"/>
        <v>404809.92063492152</v>
      </c>
    </row>
    <row r="225" spans="2:8" x14ac:dyDescent="0.25">
      <c r="B225" s="130">
        <f t="shared" si="31"/>
        <v>46219</v>
      </c>
      <c r="C225" s="208">
        <f t="shared" ca="1" si="32"/>
        <v>217857.14285714287</v>
      </c>
      <c r="D225" s="208">
        <f t="shared" si="28"/>
        <v>0</v>
      </c>
      <c r="E225" s="208">
        <f t="shared" si="29"/>
        <v>0</v>
      </c>
      <c r="F225" s="208">
        <f t="shared" ca="1" si="33"/>
        <v>66.567460317460331</v>
      </c>
      <c r="G225" s="502">
        <f t="shared" ca="1" si="34"/>
        <v>186886.21031746123</v>
      </c>
      <c r="H225" s="502">
        <f t="shared" ca="1" si="30"/>
        <v>404743.35317460413</v>
      </c>
    </row>
    <row r="226" spans="2:8" x14ac:dyDescent="0.25">
      <c r="B226" s="130">
        <f t="shared" si="31"/>
        <v>46220</v>
      </c>
      <c r="C226" s="208">
        <f t="shared" ca="1" si="32"/>
        <v>217857.14285714287</v>
      </c>
      <c r="D226" s="208">
        <f t="shared" si="28"/>
        <v>0</v>
      </c>
      <c r="E226" s="208">
        <f t="shared" si="29"/>
        <v>0</v>
      </c>
      <c r="F226" s="208">
        <f t="shared" ca="1" si="33"/>
        <v>66.567460317460331</v>
      </c>
      <c r="G226" s="502">
        <f t="shared" ca="1" si="34"/>
        <v>186819.64285714377</v>
      </c>
      <c r="H226" s="502">
        <f t="shared" ca="1" si="30"/>
        <v>404676.78571428661</v>
      </c>
    </row>
    <row r="227" spans="2:8" x14ac:dyDescent="0.25">
      <c r="B227" s="130">
        <f t="shared" si="31"/>
        <v>46221</v>
      </c>
      <c r="C227" s="208">
        <f t="shared" ca="1" si="32"/>
        <v>217857.14285714287</v>
      </c>
      <c r="D227" s="208">
        <f t="shared" si="28"/>
        <v>0</v>
      </c>
      <c r="E227" s="208">
        <f t="shared" si="29"/>
        <v>0</v>
      </c>
      <c r="F227" s="208">
        <f t="shared" ca="1" si="33"/>
        <v>66.567460317460331</v>
      </c>
      <c r="G227" s="502">
        <f t="shared" ca="1" si="34"/>
        <v>186753.07539682632</v>
      </c>
      <c r="H227" s="502">
        <f t="shared" ca="1" si="30"/>
        <v>404610.21825396921</v>
      </c>
    </row>
    <row r="228" spans="2:8" x14ac:dyDescent="0.25">
      <c r="B228" s="130">
        <f t="shared" si="31"/>
        <v>46222</v>
      </c>
      <c r="C228" s="208">
        <f t="shared" ca="1" si="32"/>
        <v>217857.14285714287</v>
      </c>
      <c r="D228" s="208">
        <f t="shared" si="28"/>
        <v>0</v>
      </c>
      <c r="E228" s="208">
        <f t="shared" si="29"/>
        <v>0</v>
      </c>
      <c r="F228" s="208">
        <f t="shared" ca="1" si="33"/>
        <v>66.567460317460331</v>
      </c>
      <c r="G228" s="502">
        <f t="shared" ca="1" si="34"/>
        <v>186686.50793650886</v>
      </c>
      <c r="H228" s="502">
        <f t="shared" ca="1" si="30"/>
        <v>404543.6507936517</v>
      </c>
    </row>
    <row r="229" spans="2:8" x14ac:dyDescent="0.25">
      <c r="B229" s="130">
        <f t="shared" si="31"/>
        <v>46223</v>
      </c>
      <c r="C229" s="208">
        <f t="shared" ca="1" si="32"/>
        <v>217857.14285714287</v>
      </c>
      <c r="D229" s="208">
        <f t="shared" si="28"/>
        <v>0</v>
      </c>
      <c r="E229" s="208">
        <f t="shared" si="29"/>
        <v>0</v>
      </c>
      <c r="F229" s="208">
        <f t="shared" ca="1" si="33"/>
        <v>66.567460317460331</v>
      </c>
      <c r="G229" s="502">
        <f t="shared" ca="1" si="34"/>
        <v>186619.9404761914</v>
      </c>
      <c r="H229" s="502">
        <f t="shared" ca="1" si="30"/>
        <v>404477.0833333343</v>
      </c>
    </row>
    <row r="230" spans="2:8" x14ac:dyDescent="0.25">
      <c r="B230" s="130">
        <f t="shared" si="31"/>
        <v>46224</v>
      </c>
      <c r="C230" s="208">
        <f t="shared" ca="1" si="32"/>
        <v>217857.14285714287</v>
      </c>
      <c r="D230" s="208">
        <f t="shared" si="28"/>
        <v>0</v>
      </c>
      <c r="E230" s="208">
        <f t="shared" si="29"/>
        <v>0</v>
      </c>
      <c r="F230" s="208">
        <f t="shared" ca="1" si="33"/>
        <v>66.567460317460331</v>
      </c>
      <c r="G230" s="502">
        <f t="shared" ca="1" si="34"/>
        <v>186553.37301587395</v>
      </c>
      <c r="H230" s="502">
        <f t="shared" ca="1" si="30"/>
        <v>404410.51587301679</v>
      </c>
    </row>
    <row r="231" spans="2:8" x14ac:dyDescent="0.25">
      <c r="B231" s="130">
        <f t="shared" si="31"/>
        <v>46225</v>
      </c>
      <c r="C231" s="208">
        <f t="shared" ca="1" si="32"/>
        <v>217857.14285714287</v>
      </c>
      <c r="D231" s="208">
        <f t="shared" si="28"/>
        <v>0</v>
      </c>
      <c r="E231" s="208">
        <f t="shared" si="29"/>
        <v>0</v>
      </c>
      <c r="F231" s="208">
        <f t="shared" ca="1" si="33"/>
        <v>66.567460317460331</v>
      </c>
      <c r="G231" s="502">
        <f t="shared" ca="1" si="34"/>
        <v>186486.80555555649</v>
      </c>
      <c r="H231" s="502">
        <f t="shared" ca="1" si="30"/>
        <v>404343.94841269939</v>
      </c>
    </row>
    <row r="232" spans="2:8" x14ac:dyDescent="0.25">
      <c r="B232" s="130">
        <f t="shared" si="31"/>
        <v>46226</v>
      </c>
      <c r="C232" s="208">
        <f t="shared" ca="1" si="32"/>
        <v>217857.14285714287</v>
      </c>
      <c r="D232" s="208">
        <f t="shared" si="28"/>
        <v>0</v>
      </c>
      <c r="E232" s="208">
        <f t="shared" si="29"/>
        <v>0</v>
      </c>
      <c r="F232" s="208">
        <f t="shared" ca="1" si="33"/>
        <v>66.567460317460331</v>
      </c>
      <c r="G232" s="502">
        <f t="shared" ca="1" si="34"/>
        <v>186420.23809523904</v>
      </c>
      <c r="H232" s="502">
        <f t="shared" ca="1" si="30"/>
        <v>404277.38095238188</v>
      </c>
    </row>
    <row r="233" spans="2:8" x14ac:dyDescent="0.25">
      <c r="B233" s="130">
        <f t="shared" si="31"/>
        <v>46227</v>
      </c>
      <c r="C233" s="208">
        <f t="shared" ca="1" si="32"/>
        <v>217857.14285714287</v>
      </c>
      <c r="D233" s="208">
        <f t="shared" si="28"/>
        <v>0</v>
      </c>
      <c r="E233" s="208">
        <f t="shared" si="29"/>
        <v>0</v>
      </c>
      <c r="F233" s="208">
        <f t="shared" ca="1" si="33"/>
        <v>66.567460317460331</v>
      </c>
      <c r="G233" s="502">
        <f t="shared" ca="1" si="34"/>
        <v>186353.67063492158</v>
      </c>
      <c r="H233" s="502">
        <f t="shared" ca="1" si="30"/>
        <v>404210.81349206448</v>
      </c>
    </row>
    <row r="234" spans="2:8" x14ac:dyDescent="0.25">
      <c r="B234" s="130">
        <f t="shared" si="31"/>
        <v>46228</v>
      </c>
      <c r="C234" s="208">
        <f t="shared" ca="1" si="32"/>
        <v>217857.14285714287</v>
      </c>
      <c r="D234" s="208">
        <f t="shared" si="28"/>
        <v>0</v>
      </c>
      <c r="E234" s="208">
        <f t="shared" si="29"/>
        <v>0</v>
      </c>
      <c r="F234" s="208">
        <f t="shared" ca="1" si="33"/>
        <v>66.567460317460331</v>
      </c>
      <c r="G234" s="502">
        <f t="shared" ca="1" si="34"/>
        <v>186287.10317460413</v>
      </c>
      <c r="H234" s="502">
        <f t="shared" ca="1" si="30"/>
        <v>404144.24603174697</v>
      </c>
    </row>
    <row r="235" spans="2:8" x14ac:dyDescent="0.25">
      <c r="B235" s="130">
        <f t="shared" si="31"/>
        <v>46229</v>
      </c>
      <c r="C235" s="208">
        <f t="shared" ca="1" si="32"/>
        <v>217857.14285714287</v>
      </c>
      <c r="D235" s="208">
        <f t="shared" si="28"/>
        <v>0</v>
      </c>
      <c r="E235" s="208">
        <f t="shared" si="29"/>
        <v>0</v>
      </c>
      <c r="F235" s="208">
        <f t="shared" ca="1" si="33"/>
        <v>66.567460317460331</v>
      </c>
      <c r="G235" s="502">
        <f t="shared" ca="1" si="34"/>
        <v>186220.53571428667</v>
      </c>
      <c r="H235" s="502">
        <f t="shared" ca="1" si="30"/>
        <v>404077.67857142957</v>
      </c>
    </row>
    <row r="236" spans="2:8" x14ac:dyDescent="0.25">
      <c r="B236" s="130">
        <f t="shared" si="31"/>
        <v>46230</v>
      </c>
      <c r="C236" s="208">
        <f t="shared" ca="1" si="32"/>
        <v>217857.14285714287</v>
      </c>
      <c r="D236" s="208">
        <f t="shared" si="28"/>
        <v>0</v>
      </c>
      <c r="E236" s="208">
        <f t="shared" si="29"/>
        <v>0</v>
      </c>
      <c r="F236" s="208">
        <f t="shared" ca="1" si="33"/>
        <v>66.567460317460331</v>
      </c>
      <c r="G236" s="502">
        <f t="shared" ca="1" si="34"/>
        <v>186153.96825396921</v>
      </c>
      <c r="H236" s="502">
        <f t="shared" ca="1" si="30"/>
        <v>404011.11111111206</v>
      </c>
    </row>
    <row r="237" spans="2:8" x14ac:dyDescent="0.25">
      <c r="B237" s="130">
        <f t="shared" si="31"/>
        <v>46231</v>
      </c>
      <c r="C237" s="208">
        <f t="shared" ca="1" si="32"/>
        <v>217857.14285714287</v>
      </c>
      <c r="D237" s="208">
        <f t="shared" si="28"/>
        <v>0</v>
      </c>
      <c r="E237" s="208">
        <f t="shared" si="29"/>
        <v>0</v>
      </c>
      <c r="F237" s="208">
        <f t="shared" ca="1" si="33"/>
        <v>66.567460317460331</v>
      </c>
      <c r="G237" s="502">
        <f t="shared" ca="1" si="34"/>
        <v>186087.40079365176</v>
      </c>
      <c r="H237" s="502">
        <f t="shared" ca="1" si="30"/>
        <v>403944.54365079466</v>
      </c>
    </row>
    <row r="238" spans="2:8" x14ac:dyDescent="0.25">
      <c r="B238" s="130">
        <f t="shared" si="31"/>
        <v>46232</v>
      </c>
      <c r="C238" s="208">
        <f t="shared" ca="1" si="32"/>
        <v>217857.14285714287</v>
      </c>
      <c r="D238" s="208">
        <f t="shared" si="28"/>
        <v>0</v>
      </c>
      <c r="E238" s="208">
        <f t="shared" si="29"/>
        <v>0</v>
      </c>
      <c r="F238" s="208">
        <f t="shared" ca="1" si="33"/>
        <v>66.567460317460331</v>
      </c>
      <c r="G238" s="502">
        <f t="shared" ca="1" si="34"/>
        <v>186020.8333333343</v>
      </c>
      <c r="H238" s="502">
        <f t="shared" ca="1" si="30"/>
        <v>403877.97619047714</v>
      </c>
    </row>
    <row r="239" spans="2:8" x14ac:dyDescent="0.25">
      <c r="B239" s="130">
        <f t="shared" si="31"/>
        <v>46233</v>
      </c>
      <c r="C239" s="208">
        <f t="shared" ca="1" si="32"/>
        <v>217857.14285714287</v>
      </c>
      <c r="D239" s="208">
        <f t="shared" si="28"/>
        <v>0</v>
      </c>
      <c r="E239" s="208">
        <f t="shared" si="29"/>
        <v>0</v>
      </c>
      <c r="F239" s="208">
        <f t="shared" ca="1" si="33"/>
        <v>66.567460317460331</v>
      </c>
      <c r="G239" s="502">
        <f t="shared" ca="1" si="34"/>
        <v>185954.26587301685</v>
      </c>
      <c r="H239" s="502">
        <f t="shared" ca="1" si="30"/>
        <v>403811.40873015975</v>
      </c>
    </row>
    <row r="240" spans="2:8" x14ac:dyDescent="0.25">
      <c r="B240" s="130">
        <f t="shared" si="31"/>
        <v>46234</v>
      </c>
      <c r="C240" s="208">
        <f t="shared" ca="1" si="32"/>
        <v>217857.14285714287</v>
      </c>
      <c r="D240" s="208">
        <f t="shared" si="28"/>
        <v>0</v>
      </c>
      <c r="E240" s="208">
        <f t="shared" si="29"/>
        <v>0</v>
      </c>
      <c r="F240" s="208">
        <f t="shared" ca="1" si="33"/>
        <v>66.567460317460331</v>
      </c>
      <c r="G240" s="502">
        <f t="shared" ca="1" si="34"/>
        <v>185887.69841269939</v>
      </c>
      <c r="H240" s="502">
        <f t="shared" ca="1" si="30"/>
        <v>403744.84126984223</v>
      </c>
    </row>
    <row r="241" spans="2:8" x14ac:dyDescent="0.25">
      <c r="B241" s="130">
        <f t="shared" si="31"/>
        <v>46235</v>
      </c>
      <c r="C241" s="208">
        <f t="shared" ca="1" si="32"/>
        <v>217857.14285714287</v>
      </c>
      <c r="D241" s="208">
        <f t="shared" si="28"/>
        <v>0</v>
      </c>
      <c r="E241" s="208">
        <f t="shared" si="29"/>
        <v>0</v>
      </c>
      <c r="F241" s="208">
        <f t="shared" ca="1" si="33"/>
        <v>66.567460317460331</v>
      </c>
      <c r="G241" s="502">
        <f t="shared" ca="1" si="34"/>
        <v>185821.13095238194</v>
      </c>
      <c r="H241" s="502">
        <f t="shared" ca="1" si="30"/>
        <v>403678.27380952484</v>
      </c>
    </row>
    <row r="242" spans="2:8" x14ac:dyDescent="0.25">
      <c r="B242" s="130">
        <f t="shared" si="31"/>
        <v>46236</v>
      </c>
      <c r="C242" s="208">
        <f t="shared" ca="1" si="32"/>
        <v>217857.14285714287</v>
      </c>
      <c r="D242" s="208">
        <f t="shared" si="28"/>
        <v>0</v>
      </c>
      <c r="E242" s="208">
        <f t="shared" si="29"/>
        <v>0</v>
      </c>
      <c r="F242" s="208">
        <f t="shared" ca="1" si="33"/>
        <v>66.567460317460331</v>
      </c>
      <c r="G242" s="502">
        <f t="shared" ca="1" si="34"/>
        <v>185754.56349206448</v>
      </c>
      <c r="H242" s="502">
        <f t="shared" ca="1" si="30"/>
        <v>403611.70634920732</v>
      </c>
    </row>
    <row r="243" spans="2:8" x14ac:dyDescent="0.25">
      <c r="B243" s="130">
        <f t="shared" si="31"/>
        <v>46237</v>
      </c>
      <c r="C243" s="208">
        <f t="shared" ca="1" si="32"/>
        <v>217857.14285714287</v>
      </c>
      <c r="D243" s="208">
        <f t="shared" si="28"/>
        <v>0</v>
      </c>
      <c r="E243" s="208">
        <f t="shared" si="29"/>
        <v>0</v>
      </c>
      <c r="F243" s="208">
        <f t="shared" ca="1" si="33"/>
        <v>66.567460317460331</v>
      </c>
      <c r="G243" s="502">
        <f t="shared" ca="1" si="34"/>
        <v>185687.99603174702</v>
      </c>
      <c r="H243" s="502">
        <f t="shared" ca="1" si="30"/>
        <v>403545.13888888992</v>
      </c>
    </row>
    <row r="244" spans="2:8" x14ac:dyDescent="0.25">
      <c r="B244" s="130">
        <f t="shared" si="31"/>
        <v>46238</v>
      </c>
      <c r="C244" s="208">
        <f t="shared" ca="1" si="32"/>
        <v>217857.14285714287</v>
      </c>
      <c r="D244" s="208">
        <f t="shared" si="28"/>
        <v>0</v>
      </c>
      <c r="E244" s="208">
        <f t="shared" si="29"/>
        <v>0</v>
      </c>
      <c r="F244" s="208">
        <f t="shared" ca="1" si="33"/>
        <v>66.567460317460331</v>
      </c>
      <c r="G244" s="502">
        <f t="shared" ca="1" si="34"/>
        <v>185621.42857142957</v>
      </c>
      <c r="H244" s="502">
        <f t="shared" ca="1" si="30"/>
        <v>403478.57142857241</v>
      </c>
    </row>
    <row r="245" spans="2:8" x14ac:dyDescent="0.25">
      <c r="B245" s="130">
        <f t="shared" si="31"/>
        <v>46239</v>
      </c>
      <c r="C245" s="208">
        <f t="shared" ca="1" si="32"/>
        <v>217857.14285714287</v>
      </c>
      <c r="D245" s="208">
        <f t="shared" si="28"/>
        <v>0</v>
      </c>
      <c r="E245" s="208">
        <f t="shared" si="29"/>
        <v>0</v>
      </c>
      <c r="F245" s="208">
        <f t="shared" ca="1" si="33"/>
        <v>66.567460317460331</v>
      </c>
      <c r="G245" s="502">
        <f t="shared" ca="1" si="34"/>
        <v>185554.86111111211</v>
      </c>
      <c r="H245" s="502">
        <f t="shared" ca="1" si="30"/>
        <v>403412.00396825501</v>
      </c>
    </row>
    <row r="246" spans="2:8" x14ac:dyDescent="0.25">
      <c r="B246" s="130">
        <f t="shared" si="31"/>
        <v>46240</v>
      </c>
      <c r="C246" s="208">
        <f t="shared" ca="1" si="32"/>
        <v>217857.14285714287</v>
      </c>
      <c r="D246" s="208">
        <f t="shared" si="28"/>
        <v>0</v>
      </c>
      <c r="E246" s="208">
        <f t="shared" si="29"/>
        <v>0</v>
      </c>
      <c r="F246" s="208">
        <f t="shared" ca="1" si="33"/>
        <v>66.567460317460331</v>
      </c>
      <c r="G246" s="502">
        <f t="shared" ca="1" si="34"/>
        <v>185488.29365079466</v>
      </c>
      <c r="H246" s="502">
        <f t="shared" ca="1" si="30"/>
        <v>403345.4365079375</v>
      </c>
    </row>
    <row r="247" spans="2:8" x14ac:dyDescent="0.25">
      <c r="B247" s="130">
        <f t="shared" si="31"/>
        <v>46241</v>
      </c>
      <c r="C247" s="208">
        <f t="shared" ca="1" si="32"/>
        <v>217857.14285714287</v>
      </c>
      <c r="D247" s="208">
        <f t="shared" si="28"/>
        <v>0</v>
      </c>
      <c r="E247" s="208">
        <f t="shared" si="29"/>
        <v>0</v>
      </c>
      <c r="F247" s="208">
        <f t="shared" ca="1" si="33"/>
        <v>66.567460317460331</v>
      </c>
      <c r="G247" s="502">
        <f t="shared" ca="1" si="34"/>
        <v>185421.7261904772</v>
      </c>
      <c r="H247" s="502">
        <f t="shared" ca="1" si="30"/>
        <v>403278.8690476201</v>
      </c>
    </row>
    <row r="248" spans="2:8" x14ac:dyDescent="0.25">
      <c r="B248" s="130">
        <f t="shared" si="31"/>
        <v>46242</v>
      </c>
      <c r="C248" s="208">
        <f t="shared" ca="1" si="32"/>
        <v>217857.14285714287</v>
      </c>
      <c r="D248" s="208">
        <f t="shared" si="28"/>
        <v>0</v>
      </c>
      <c r="E248" s="208">
        <f t="shared" si="29"/>
        <v>0</v>
      </c>
      <c r="F248" s="208">
        <f t="shared" ca="1" si="33"/>
        <v>66.567460317460331</v>
      </c>
      <c r="G248" s="502">
        <f t="shared" ca="1" si="34"/>
        <v>185355.15873015975</v>
      </c>
      <c r="H248" s="502">
        <f t="shared" ca="1" si="30"/>
        <v>403212.30158730259</v>
      </c>
    </row>
    <row r="249" spans="2:8" x14ac:dyDescent="0.25">
      <c r="B249" s="130">
        <f t="shared" si="31"/>
        <v>46243</v>
      </c>
      <c r="C249" s="208">
        <f t="shared" ca="1" si="32"/>
        <v>217857.14285714287</v>
      </c>
      <c r="D249" s="208">
        <f t="shared" si="28"/>
        <v>0</v>
      </c>
      <c r="E249" s="208">
        <f t="shared" si="29"/>
        <v>0</v>
      </c>
      <c r="F249" s="208">
        <f t="shared" ca="1" si="33"/>
        <v>66.567460317460331</v>
      </c>
      <c r="G249" s="502">
        <f t="shared" ca="1" si="34"/>
        <v>185288.59126984229</v>
      </c>
      <c r="H249" s="502">
        <f t="shared" ca="1" si="30"/>
        <v>403145.73412698519</v>
      </c>
    </row>
    <row r="250" spans="2:8" x14ac:dyDescent="0.25">
      <c r="B250" s="130">
        <f t="shared" si="31"/>
        <v>46244</v>
      </c>
      <c r="C250" s="208">
        <f t="shared" ca="1" si="32"/>
        <v>217857.14285714287</v>
      </c>
      <c r="D250" s="208">
        <f t="shared" si="28"/>
        <v>0</v>
      </c>
      <c r="E250" s="208">
        <f t="shared" si="29"/>
        <v>0</v>
      </c>
      <c r="F250" s="208">
        <f t="shared" ca="1" si="33"/>
        <v>66.567460317460331</v>
      </c>
      <c r="G250" s="502">
        <f t="shared" ca="1" si="34"/>
        <v>185222.02380952484</v>
      </c>
      <c r="H250" s="502">
        <f t="shared" ca="1" si="30"/>
        <v>403079.16666666768</v>
      </c>
    </row>
    <row r="251" spans="2:8" x14ac:dyDescent="0.25">
      <c r="B251" s="130">
        <f t="shared" si="31"/>
        <v>46245</v>
      </c>
      <c r="C251" s="208">
        <f t="shared" ca="1" si="32"/>
        <v>217857.14285714287</v>
      </c>
      <c r="D251" s="208">
        <f t="shared" si="28"/>
        <v>0</v>
      </c>
      <c r="E251" s="208">
        <f t="shared" si="29"/>
        <v>0</v>
      </c>
      <c r="F251" s="208">
        <f t="shared" ca="1" si="33"/>
        <v>66.567460317460331</v>
      </c>
      <c r="G251" s="502">
        <f t="shared" ca="1" si="34"/>
        <v>185155.45634920738</v>
      </c>
      <c r="H251" s="502">
        <f t="shared" ca="1" si="30"/>
        <v>403012.59920635028</v>
      </c>
    </row>
    <row r="252" spans="2:8" x14ac:dyDescent="0.25">
      <c r="B252" s="130">
        <f t="shared" si="31"/>
        <v>46246</v>
      </c>
      <c r="C252" s="208">
        <f t="shared" ca="1" si="32"/>
        <v>217857.14285714287</v>
      </c>
      <c r="D252" s="208">
        <f t="shared" si="28"/>
        <v>0</v>
      </c>
      <c r="E252" s="208">
        <f t="shared" si="29"/>
        <v>0</v>
      </c>
      <c r="F252" s="208">
        <f t="shared" ca="1" si="33"/>
        <v>66.567460317460331</v>
      </c>
      <c r="G252" s="502">
        <f t="shared" ca="1" si="34"/>
        <v>185088.88888888992</v>
      </c>
      <c r="H252" s="502">
        <f t="shared" ca="1" si="30"/>
        <v>402946.03174603276</v>
      </c>
    </row>
    <row r="253" spans="2:8" x14ac:dyDescent="0.25">
      <c r="B253" s="130">
        <f t="shared" si="31"/>
        <v>46247</v>
      </c>
      <c r="C253" s="208">
        <f t="shared" ca="1" si="32"/>
        <v>217857.14285714287</v>
      </c>
      <c r="D253" s="208">
        <f t="shared" si="28"/>
        <v>0</v>
      </c>
      <c r="E253" s="208">
        <f t="shared" si="29"/>
        <v>0</v>
      </c>
      <c r="F253" s="208">
        <f t="shared" ca="1" si="33"/>
        <v>66.567460317460331</v>
      </c>
      <c r="G253" s="502">
        <f t="shared" ca="1" si="34"/>
        <v>185022.32142857247</v>
      </c>
      <c r="H253" s="502">
        <f t="shared" ca="1" si="30"/>
        <v>402879.46428571537</v>
      </c>
    </row>
    <row r="254" spans="2:8" x14ac:dyDescent="0.25">
      <c r="B254" s="130">
        <f t="shared" si="31"/>
        <v>46248</v>
      </c>
      <c r="C254" s="208">
        <f t="shared" ca="1" si="32"/>
        <v>217857.14285714287</v>
      </c>
      <c r="D254" s="208">
        <f t="shared" si="28"/>
        <v>0</v>
      </c>
      <c r="E254" s="208">
        <f t="shared" si="29"/>
        <v>0</v>
      </c>
      <c r="F254" s="208">
        <f t="shared" ca="1" si="33"/>
        <v>66.567460317460331</v>
      </c>
      <c r="G254" s="502">
        <f t="shared" ca="1" si="34"/>
        <v>184955.75396825501</v>
      </c>
      <c r="H254" s="502">
        <f t="shared" ca="1" si="30"/>
        <v>402812.89682539785</v>
      </c>
    </row>
    <row r="255" spans="2:8" x14ac:dyDescent="0.25">
      <c r="B255" s="130">
        <f t="shared" si="31"/>
        <v>46249</v>
      </c>
      <c r="C255" s="208">
        <f t="shared" ca="1" si="32"/>
        <v>217857.14285714287</v>
      </c>
      <c r="D255" s="208">
        <f t="shared" si="28"/>
        <v>0</v>
      </c>
      <c r="E255" s="208">
        <f t="shared" si="29"/>
        <v>0</v>
      </c>
      <c r="F255" s="208">
        <f t="shared" ca="1" si="33"/>
        <v>66.567460317460331</v>
      </c>
      <c r="G255" s="502">
        <f t="shared" ca="1" si="34"/>
        <v>184889.18650793756</v>
      </c>
      <c r="H255" s="502">
        <f t="shared" ca="1" si="30"/>
        <v>402746.32936508046</v>
      </c>
    </row>
    <row r="256" spans="2:8" x14ac:dyDescent="0.25">
      <c r="B256" s="130">
        <f t="shared" si="31"/>
        <v>46250</v>
      </c>
      <c r="C256" s="208">
        <f t="shared" ca="1" si="32"/>
        <v>217857.14285714287</v>
      </c>
      <c r="D256" s="208">
        <f t="shared" si="28"/>
        <v>0</v>
      </c>
      <c r="E256" s="208">
        <f t="shared" si="29"/>
        <v>0</v>
      </c>
      <c r="F256" s="208">
        <f t="shared" ca="1" si="33"/>
        <v>66.567460317460331</v>
      </c>
      <c r="G256" s="502">
        <f t="shared" ca="1" si="34"/>
        <v>184822.6190476201</v>
      </c>
      <c r="H256" s="502">
        <f t="shared" ca="1" si="30"/>
        <v>402679.76190476294</v>
      </c>
    </row>
    <row r="257" spans="2:8" x14ac:dyDescent="0.25">
      <c r="B257" s="130">
        <f t="shared" si="31"/>
        <v>46251</v>
      </c>
      <c r="C257" s="208">
        <f t="shared" ca="1" si="32"/>
        <v>217857.14285714287</v>
      </c>
      <c r="D257" s="208">
        <f t="shared" si="28"/>
        <v>0</v>
      </c>
      <c r="E257" s="208">
        <f t="shared" si="29"/>
        <v>0</v>
      </c>
      <c r="F257" s="208">
        <f t="shared" ca="1" si="33"/>
        <v>66.567460317460331</v>
      </c>
      <c r="G257" s="502">
        <f t="shared" ca="1" si="34"/>
        <v>184756.05158730265</v>
      </c>
      <c r="H257" s="502">
        <f t="shared" ca="1" si="30"/>
        <v>402613.19444444554</v>
      </c>
    </row>
    <row r="258" spans="2:8" x14ac:dyDescent="0.25">
      <c r="B258" s="130">
        <f t="shared" si="31"/>
        <v>46252</v>
      </c>
      <c r="C258" s="208">
        <f t="shared" ca="1" si="32"/>
        <v>217857.14285714287</v>
      </c>
      <c r="D258" s="208">
        <f t="shared" si="28"/>
        <v>0</v>
      </c>
      <c r="E258" s="208">
        <f t="shared" si="29"/>
        <v>0</v>
      </c>
      <c r="F258" s="208">
        <f t="shared" ca="1" si="33"/>
        <v>66.567460317460331</v>
      </c>
      <c r="G258" s="502">
        <f t="shared" ca="1" si="34"/>
        <v>184689.48412698519</v>
      </c>
      <c r="H258" s="502">
        <f t="shared" ca="1" si="30"/>
        <v>402546.62698412803</v>
      </c>
    </row>
    <row r="259" spans="2:8" x14ac:dyDescent="0.25">
      <c r="B259" s="130">
        <f t="shared" si="31"/>
        <v>46253</v>
      </c>
      <c r="C259" s="208">
        <f t="shared" ca="1" si="32"/>
        <v>217857.14285714287</v>
      </c>
      <c r="D259" s="208">
        <f t="shared" si="28"/>
        <v>0</v>
      </c>
      <c r="E259" s="208">
        <f t="shared" si="29"/>
        <v>0</v>
      </c>
      <c r="F259" s="208">
        <f t="shared" ca="1" si="33"/>
        <v>66.567460317460331</v>
      </c>
      <c r="G259" s="502">
        <f t="shared" ca="1" si="34"/>
        <v>184622.91666666773</v>
      </c>
      <c r="H259" s="502">
        <f t="shared" ca="1" si="30"/>
        <v>402480.05952381063</v>
      </c>
    </row>
    <row r="260" spans="2:8" x14ac:dyDescent="0.25">
      <c r="B260" s="130">
        <f t="shared" si="31"/>
        <v>46254</v>
      </c>
      <c r="C260" s="208">
        <f t="shared" ca="1" si="32"/>
        <v>217857.14285714287</v>
      </c>
      <c r="D260" s="208">
        <f t="shared" si="28"/>
        <v>0</v>
      </c>
      <c r="E260" s="208">
        <f t="shared" si="29"/>
        <v>0</v>
      </c>
      <c r="F260" s="208">
        <f t="shared" ca="1" si="33"/>
        <v>66.567460317460331</v>
      </c>
      <c r="G260" s="502">
        <f t="shared" ca="1" si="34"/>
        <v>184556.34920635028</v>
      </c>
      <c r="H260" s="502">
        <f t="shared" ca="1" si="30"/>
        <v>402413.49206349312</v>
      </c>
    </row>
    <row r="261" spans="2:8" x14ac:dyDescent="0.25">
      <c r="B261" s="130">
        <f t="shared" si="31"/>
        <v>46255</v>
      </c>
      <c r="C261" s="208">
        <f t="shared" ca="1" si="32"/>
        <v>217857.14285714287</v>
      </c>
      <c r="D261" s="208">
        <f t="shared" si="28"/>
        <v>0</v>
      </c>
      <c r="E261" s="208">
        <f t="shared" si="29"/>
        <v>0</v>
      </c>
      <c r="F261" s="208">
        <f t="shared" ca="1" si="33"/>
        <v>66.567460317460331</v>
      </c>
      <c r="G261" s="502">
        <f t="shared" ca="1" si="34"/>
        <v>184489.78174603282</v>
      </c>
      <c r="H261" s="502">
        <f t="shared" ca="1" si="30"/>
        <v>402346.92460317572</v>
      </c>
    </row>
    <row r="262" spans="2:8" x14ac:dyDescent="0.25">
      <c r="B262" s="130">
        <f t="shared" si="31"/>
        <v>46256</v>
      </c>
      <c r="C262" s="208">
        <f t="shared" ca="1" si="32"/>
        <v>217857.14285714287</v>
      </c>
      <c r="D262" s="208">
        <f t="shared" si="28"/>
        <v>0</v>
      </c>
      <c r="E262" s="208">
        <f t="shared" si="29"/>
        <v>0</v>
      </c>
      <c r="F262" s="208">
        <f t="shared" ca="1" si="33"/>
        <v>66.567460317460331</v>
      </c>
      <c r="G262" s="502">
        <f t="shared" ca="1" si="34"/>
        <v>184423.21428571537</v>
      </c>
      <c r="H262" s="502">
        <f t="shared" ca="1" si="30"/>
        <v>402280.35714285821</v>
      </c>
    </row>
    <row r="263" spans="2:8" x14ac:dyDescent="0.25">
      <c r="B263" s="130">
        <f t="shared" si="31"/>
        <v>46257</v>
      </c>
      <c r="C263" s="208">
        <f t="shared" ca="1" si="32"/>
        <v>217857.14285714287</v>
      </c>
      <c r="D263" s="208">
        <f t="shared" si="28"/>
        <v>0</v>
      </c>
      <c r="E263" s="208">
        <f t="shared" si="29"/>
        <v>0</v>
      </c>
      <c r="F263" s="208">
        <f t="shared" ca="1" si="33"/>
        <v>66.567460317460331</v>
      </c>
      <c r="G263" s="502">
        <f t="shared" ca="1" si="34"/>
        <v>184356.64682539791</v>
      </c>
      <c r="H263" s="502">
        <f t="shared" ca="1" si="30"/>
        <v>402213.78968254081</v>
      </c>
    </row>
    <row r="264" spans="2:8" x14ac:dyDescent="0.25">
      <c r="B264" s="130">
        <f t="shared" si="31"/>
        <v>46258</v>
      </c>
      <c r="C264" s="208">
        <f t="shared" ca="1" si="32"/>
        <v>217857.14285714287</v>
      </c>
      <c r="D264" s="208">
        <f t="shared" si="28"/>
        <v>0</v>
      </c>
      <c r="E264" s="208">
        <f t="shared" si="29"/>
        <v>0</v>
      </c>
      <c r="F264" s="208">
        <f t="shared" ca="1" si="33"/>
        <v>66.567460317460331</v>
      </c>
      <c r="G264" s="502">
        <f t="shared" ca="1" si="34"/>
        <v>184290.07936508046</v>
      </c>
      <c r="H264" s="502">
        <f t="shared" ca="1" si="30"/>
        <v>402147.2222222233</v>
      </c>
    </row>
    <row r="265" spans="2:8" x14ac:dyDescent="0.25">
      <c r="B265" s="130">
        <f t="shared" si="31"/>
        <v>46259</v>
      </c>
      <c r="C265" s="208">
        <f t="shared" ca="1" si="32"/>
        <v>217857.14285714287</v>
      </c>
      <c r="D265" s="208">
        <f t="shared" si="28"/>
        <v>0</v>
      </c>
      <c r="E265" s="208">
        <f t="shared" si="29"/>
        <v>0</v>
      </c>
      <c r="F265" s="208">
        <f t="shared" ca="1" si="33"/>
        <v>66.567460317460331</v>
      </c>
      <c r="G265" s="502">
        <f t="shared" ca="1" si="34"/>
        <v>184223.511904763</v>
      </c>
      <c r="H265" s="502">
        <f t="shared" ca="1" si="30"/>
        <v>402080.6547619059</v>
      </c>
    </row>
    <row r="266" spans="2:8" x14ac:dyDescent="0.25">
      <c r="B266" s="130">
        <f t="shared" si="31"/>
        <v>46260</v>
      </c>
      <c r="C266" s="208">
        <f t="shared" ca="1" si="32"/>
        <v>217857.14285714287</v>
      </c>
      <c r="D266" s="208">
        <f t="shared" si="28"/>
        <v>0</v>
      </c>
      <c r="E266" s="208">
        <f t="shared" si="29"/>
        <v>0</v>
      </c>
      <c r="F266" s="208">
        <f t="shared" ca="1" si="33"/>
        <v>66.567460317460331</v>
      </c>
      <c r="G266" s="502">
        <f t="shared" ca="1" si="34"/>
        <v>184156.94444444554</v>
      </c>
      <c r="H266" s="502">
        <f t="shared" ca="1" si="30"/>
        <v>402014.08730158838</v>
      </c>
    </row>
    <row r="267" spans="2:8" x14ac:dyDescent="0.25">
      <c r="B267" s="130">
        <f t="shared" si="31"/>
        <v>46261</v>
      </c>
      <c r="C267" s="208">
        <f t="shared" ca="1" si="32"/>
        <v>217857.14285714287</v>
      </c>
      <c r="D267" s="208">
        <f t="shared" si="28"/>
        <v>0</v>
      </c>
      <c r="E267" s="208">
        <f t="shared" si="29"/>
        <v>0</v>
      </c>
      <c r="F267" s="208">
        <f t="shared" ca="1" si="33"/>
        <v>66.567460317460331</v>
      </c>
      <c r="G267" s="502">
        <f t="shared" ca="1" si="34"/>
        <v>184090.37698412809</v>
      </c>
      <c r="H267" s="502">
        <f t="shared" ca="1" si="30"/>
        <v>401947.51984127099</v>
      </c>
    </row>
    <row r="268" spans="2:8" x14ac:dyDescent="0.25">
      <c r="B268" s="130">
        <f t="shared" si="31"/>
        <v>46262</v>
      </c>
      <c r="C268" s="208">
        <f t="shared" ca="1" si="32"/>
        <v>217857.14285714287</v>
      </c>
      <c r="D268" s="208">
        <f t="shared" si="28"/>
        <v>0</v>
      </c>
      <c r="E268" s="208">
        <f t="shared" si="29"/>
        <v>0</v>
      </c>
      <c r="F268" s="208">
        <f t="shared" ca="1" si="33"/>
        <v>66.567460317460331</v>
      </c>
      <c r="G268" s="502">
        <f t="shared" ca="1" si="34"/>
        <v>184023.80952381063</v>
      </c>
      <c r="H268" s="502">
        <f t="shared" ca="1" si="30"/>
        <v>401880.95238095347</v>
      </c>
    </row>
    <row r="269" spans="2:8" x14ac:dyDescent="0.25">
      <c r="B269" s="130">
        <f t="shared" si="31"/>
        <v>46263</v>
      </c>
      <c r="C269" s="208">
        <f t="shared" ca="1" si="32"/>
        <v>217857.14285714287</v>
      </c>
      <c r="D269" s="208">
        <f t="shared" si="28"/>
        <v>0</v>
      </c>
      <c r="E269" s="208">
        <f t="shared" si="29"/>
        <v>0</v>
      </c>
      <c r="F269" s="208">
        <f t="shared" ca="1" si="33"/>
        <v>66.567460317460331</v>
      </c>
      <c r="G269" s="502">
        <f t="shared" ca="1" si="34"/>
        <v>183957.24206349318</v>
      </c>
      <c r="H269" s="502">
        <f t="shared" ca="1" si="30"/>
        <v>401814.38492063608</v>
      </c>
    </row>
    <row r="270" spans="2:8" x14ac:dyDescent="0.25">
      <c r="B270" s="130">
        <f t="shared" si="31"/>
        <v>46264</v>
      </c>
      <c r="C270" s="208">
        <f t="shared" ca="1" si="32"/>
        <v>217857.14285714287</v>
      </c>
      <c r="D270" s="208">
        <f t="shared" si="28"/>
        <v>0</v>
      </c>
      <c r="E270" s="208">
        <f t="shared" si="29"/>
        <v>0</v>
      </c>
      <c r="F270" s="208">
        <f t="shared" ca="1" si="33"/>
        <v>66.567460317460331</v>
      </c>
      <c r="G270" s="502">
        <f t="shared" ca="1" si="34"/>
        <v>183890.67460317572</v>
      </c>
      <c r="H270" s="502">
        <f t="shared" ca="1" si="30"/>
        <v>401747.81746031856</v>
      </c>
    </row>
    <row r="271" spans="2:8" x14ac:dyDescent="0.25">
      <c r="B271" s="130">
        <f t="shared" si="31"/>
        <v>46265</v>
      </c>
      <c r="C271" s="208">
        <f t="shared" ca="1" si="32"/>
        <v>217857.14285714287</v>
      </c>
      <c r="D271" s="208">
        <f t="shared" si="28"/>
        <v>0</v>
      </c>
      <c r="E271" s="208">
        <f t="shared" si="29"/>
        <v>0</v>
      </c>
      <c r="F271" s="208">
        <f t="shared" ca="1" si="33"/>
        <v>66.567460317460331</v>
      </c>
      <c r="G271" s="502">
        <f t="shared" ca="1" si="34"/>
        <v>183824.10714285827</v>
      </c>
      <c r="H271" s="502">
        <f t="shared" ca="1" si="30"/>
        <v>401681.25000000116</v>
      </c>
    </row>
    <row r="272" spans="2:8" x14ac:dyDescent="0.25">
      <c r="B272" s="130">
        <f t="shared" si="31"/>
        <v>46266</v>
      </c>
      <c r="C272" s="208">
        <f t="shared" ca="1" si="32"/>
        <v>217857.14285714287</v>
      </c>
      <c r="D272" s="208">
        <f t="shared" si="28"/>
        <v>0</v>
      </c>
      <c r="E272" s="208">
        <f t="shared" si="29"/>
        <v>0</v>
      </c>
      <c r="F272" s="208">
        <f t="shared" ca="1" si="33"/>
        <v>66.567460317460331</v>
      </c>
      <c r="G272" s="502">
        <f t="shared" ca="1" si="34"/>
        <v>183757.53968254081</v>
      </c>
      <c r="H272" s="502">
        <f t="shared" ca="1" si="30"/>
        <v>401614.68253968365</v>
      </c>
    </row>
    <row r="273" spans="2:8" x14ac:dyDescent="0.25">
      <c r="B273" s="130">
        <f t="shared" si="31"/>
        <v>46267</v>
      </c>
      <c r="C273" s="208">
        <f t="shared" ca="1" si="32"/>
        <v>217857.14285714287</v>
      </c>
      <c r="D273" s="208">
        <f t="shared" si="28"/>
        <v>0</v>
      </c>
      <c r="E273" s="208">
        <f t="shared" si="29"/>
        <v>0</v>
      </c>
      <c r="F273" s="208">
        <f t="shared" ca="1" si="33"/>
        <v>66.567460317460331</v>
      </c>
      <c r="G273" s="502">
        <f t="shared" ca="1" si="34"/>
        <v>183690.97222222335</v>
      </c>
      <c r="H273" s="502">
        <f t="shared" ca="1" si="30"/>
        <v>401548.11507936625</v>
      </c>
    </row>
    <row r="274" spans="2:8" x14ac:dyDescent="0.25">
      <c r="B274" s="130">
        <f t="shared" si="31"/>
        <v>46268</v>
      </c>
      <c r="C274" s="208">
        <f t="shared" ca="1" si="32"/>
        <v>217857.14285714287</v>
      </c>
      <c r="D274" s="208">
        <f t="shared" si="28"/>
        <v>0</v>
      </c>
      <c r="E274" s="208">
        <f t="shared" si="29"/>
        <v>0</v>
      </c>
      <c r="F274" s="208">
        <f t="shared" ca="1" si="33"/>
        <v>66.567460317460331</v>
      </c>
      <c r="G274" s="502">
        <f t="shared" ca="1" si="34"/>
        <v>183624.4047619059</v>
      </c>
      <c r="H274" s="502">
        <f t="shared" ca="1" si="30"/>
        <v>401481.54761904874</v>
      </c>
    </row>
    <row r="275" spans="2:8" x14ac:dyDescent="0.25">
      <c r="B275" s="130">
        <f t="shared" si="31"/>
        <v>46269</v>
      </c>
      <c r="C275" s="208">
        <f t="shared" ca="1" si="32"/>
        <v>217857.14285714287</v>
      </c>
      <c r="D275" s="208">
        <f t="shared" si="28"/>
        <v>0</v>
      </c>
      <c r="E275" s="208">
        <f t="shared" si="29"/>
        <v>0</v>
      </c>
      <c r="F275" s="208">
        <f t="shared" ca="1" si="33"/>
        <v>66.567460317460331</v>
      </c>
      <c r="G275" s="502">
        <f t="shared" ca="1" si="34"/>
        <v>183557.83730158844</v>
      </c>
      <c r="H275" s="502">
        <f t="shared" ca="1" si="30"/>
        <v>401414.98015873134</v>
      </c>
    </row>
    <row r="276" spans="2:8" x14ac:dyDescent="0.25">
      <c r="B276" s="130">
        <f t="shared" si="31"/>
        <v>46270</v>
      </c>
      <c r="C276" s="208">
        <f t="shared" ca="1" si="32"/>
        <v>217857.14285714287</v>
      </c>
      <c r="D276" s="208">
        <f t="shared" si="28"/>
        <v>0</v>
      </c>
      <c r="E276" s="208">
        <f t="shared" si="29"/>
        <v>0</v>
      </c>
      <c r="F276" s="208">
        <f t="shared" ca="1" si="33"/>
        <v>66.567460317460331</v>
      </c>
      <c r="G276" s="502">
        <f t="shared" ca="1" si="34"/>
        <v>183491.26984127099</v>
      </c>
      <c r="H276" s="502">
        <f t="shared" ca="1" si="30"/>
        <v>401348.41269841383</v>
      </c>
    </row>
    <row r="277" spans="2:8" x14ac:dyDescent="0.25">
      <c r="B277" s="130">
        <f t="shared" si="31"/>
        <v>46271</v>
      </c>
      <c r="C277" s="208">
        <f t="shared" ca="1" si="32"/>
        <v>217857.14285714287</v>
      </c>
      <c r="D277" s="208">
        <f t="shared" si="28"/>
        <v>0</v>
      </c>
      <c r="E277" s="208">
        <f t="shared" si="29"/>
        <v>0</v>
      </c>
      <c r="F277" s="208">
        <f t="shared" ca="1" si="33"/>
        <v>66.567460317460331</v>
      </c>
      <c r="G277" s="502">
        <f t="shared" ca="1" si="34"/>
        <v>183424.70238095353</v>
      </c>
      <c r="H277" s="502">
        <f t="shared" ca="1" si="30"/>
        <v>401281.84523809643</v>
      </c>
    </row>
    <row r="278" spans="2:8" x14ac:dyDescent="0.25">
      <c r="B278" s="130">
        <f t="shared" si="31"/>
        <v>46272</v>
      </c>
      <c r="C278" s="208">
        <f t="shared" ca="1" si="32"/>
        <v>217857.14285714287</v>
      </c>
      <c r="D278" s="208">
        <f t="shared" si="28"/>
        <v>0</v>
      </c>
      <c r="E278" s="208">
        <f t="shared" si="29"/>
        <v>0</v>
      </c>
      <c r="F278" s="208">
        <f t="shared" ca="1" si="33"/>
        <v>66.567460317460331</v>
      </c>
      <c r="G278" s="502">
        <f t="shared" ca="1" si="34"/>
        <v>183358.13492063608</v>
      </c>
      <c r="H278" s="502">
        <f t="shared" ca="1" si="30"/>
        <v>401215.27777777892</v>
      </c>
    </row>
    <row r="279" spans="2:8" x14ac:dyDescent="0.25">
      <c r="B279" s="130">
        <f t="shared" si="31"/>
        <v>46273</v>
      </c>
      <c r="C279" s="208">
        <f t="shared" ca="1" si="32"/>
        <v>217857.14285714287</v>
      </c>
      <c r="D279" s="208">
        <f t="shared" si="28"/>
        <v>0</v>
      </c>
      <c r="E279" s="208">
        <f t="shared" si="29"/>
        <v>0</v>
      </c>
      <c r="F279" s="208">
        <f t="shared" ca="1" si="33"/>
        <v>66.567460317460331</v>
      </c>
      <c r="G279" s="502">
        <f t="shared" ca="1" si="34"/>
        <v>183291.56746031862</v>
      </c>
      <c r="H279" s="502">
        <f t="shared" ca="1" si="30"/>
        <v>401148.71031746152</v>
      </c>
    </row>
    <row r="280" spans="2:8" x14ac:dyDescent="0.25">
      <c r="B280" s="130">
        <f t="shared" si="31"/>
        <v>46274</v>
      </c>
      <c r="C280" s="208">
        <f t="shared" ca="1" si="32"/>
        <v>217857.14285714287</v>
      </c>
      <c r="D280" s="208">
        <f t="shared" si="28"/>
        <v>0</v>
      </c>
      <c r="E280" s="208">
        <f t="shared" si="29"/>
        <v>0</v>
      </c>
      <c r="F280" s="208">
        <f t="shared" ca="1" si="33"/>
        <v>66.567460317460331</v>
      </c>
      <c r="G280" s="502">
        <f t="shared" ca="1" si="34"/>
        <v>183225.00000000116</v>
      </c>
      <c r="H280" s="502">
        <f t="shared" ca="1" si="30"/>
        <v>401082.142857144</v>
      </c>
    </row>
    <row r="281" spans="2:8" x14ac:dyDescent="0.25">
      <c r="B281" s="130">
        <f t="shared" si="31"/>
        <v>46275</v>
      </c>
      <c r="C281" s="208">
        <f t="shared" ca="1" si="32"/>
        <v>217857.14285714287</v>
      </c>
      <c r="D281" s="208">
        <f t="shared" si="28"/>
        <v>0</v>
      </c>
      <c r="E281" s="208">
        <f t="shared" si="29"/>
        <v>0</v>
      </c>
      <c r="F281" s="208">
        <f t="shared" ca="1" si="33"/>
        <v>66.567460317460331</v>
      </c>
      <c r="G281" s="502">
        <f t="shared" ca="1" si="34"/>
        <v>183158.43253968371</v>
      </c>
      <c r="H281" s="502">
        <f t="shared" ca="1" si="30"/>
        <v>401015.57539682661</v>
      </c>
    </row>
    <row r="282" spans="2:8" x14ac:dyDescent="0.25">
      <c r="B282" s="130">
        <f t="shared" si="31"/>
        <v>46276</v>
      </c>
      <c r="C282" s="208">
        <f t="shared" ca="1" si="32"/>
        <v>217857.14285714287</v>
      </c>
      <c r="D282" s="208">
        <f t="shared" si="28"/>
        <v>0</v>
      </c>
      <c r="E282" s="208">
        <f t="shared" si="29"/>
        <v>0</v>
      </c>
      <c r="F282" s="208">
        <f t="shared" ca="1" si="33"/>
        <v>66.567460317460331</v>
      </c>
      <c r="G282" s="502">
        <f t="shared" ca="1" si="34"/>
        <v>183091.86507936625</v>
      </c>
      <c r="H282" s="502">
        <f t="shared" ca="1" si="30"/>
        <v>400949.00793650909</v>
      </c>
    </row>
    <row r="283" spans="2:8" x14ac:dyDescent="0.25">
      <c r="B283" s="130">
        <f t="shared" si="31"/>
        <v>46277</v>
      </c>
      <c r="C283" s="208">
        <f t="shared" ca="1" si="32"/>
        <v>217857.14285714287</v>
      </c>
      <c r="D283" s="208">
        <f t="shared" si="28"/>
        <v>0</v>
      </c>
      <c r="E283" s="208">
        <f t="shared" si="29"/>
        <v>0</v>
      </c>
      <c r="F283" s="208">
        <f t="shared" ca="1" si="33"/>
        <v>66.567460317460331</v>
      </c>
      <c r="G283" s="502">
        <f t="shared" ca="1" si="34"/>
        <v>183025.2976190488</v>
      </c>
      <c r="H283" s="502">
        <f t="shared" ca="1" si="30"/>
        <v>400882.4404761917</v>
      </c>
    </row>
    <row r="284" spans="2:8" x14ac:dyDescent="0.25">
      <c r="B284" s="130">
        <f t="shared" si="31"/>
        <v>46278</v>
      </c>
      <c r="C284" s="208">
        <f t="shared" ca="1" si="32"/>
        <v>217857.14285714287</v>
      </c>
      <c r="D284" s="208">
        <f t="shared" si="28"/>
        <v>0</v>
      </c>
      <c r="E284" s="208">
        <f t="shared" si="29"/>
        <v>0</v>
      </c>
      <c r="F284" s="208">
        <f t="shared" ca="1" si="33"/>
        <v>66.567460317460331</v>
      </c>
      <c r="G284" s="502">
        <f t="shared" ca="1" si="34"/>
        <v>182958.73015873134</v>
      </c>
      <c r="H284" s="502">
        <f t="shared" ca="1" si="30"/>
        <v>400815.87301587418</v>
      </c>
    </row>
    <row r="285" spans="2:8" x14ac:dyDescent="0.25">
      <c r="B285" s="130">
        <f t="shared" si="31"/>
        <v>46279</v>
      </c>
      <c r="C285" s="208">
        <f t="shared" ca="1" si="32"/>
        <v>217857.14285714287</v>
      </c>
      <c r="D285" s="208">
        <f t="shared" si="28"/>
        <v>0</v>
      </c>
      <c r="E285" s="208">
        <f t="shared" si="29"/>
        <v>0</v>
      </c>
      <c r="F285" s="208">
        <f t="shared" ca="1" si="33"/>
        <v>66.567460317460331</v>
      </c>
      <c r="G285" s="502">
        <f t="shared" ca="1" si="34"/>
        <v>182892.16269841389</v>
      </c>
      <c r="H285" s="502">
        <f t="shared" ca="1" si="30"/>
        <v>400749.30555555678</v>
      </c>
    </row>
    <row r="286" spans="2:8" x14ac:dyDescent="0.25">
      <c r="B286" s="130">
        <f t="shared" si="31"/>
        <v>46280</v>
      </c>
      <c r="C286" s="208">
        <f t="shared" ca="1" si="32"/>
        <v>217857.14285714287</v>
      </c>
      <c r="D286" s="208">
        <f t="shared" ref="D286:D349" si="35">SUMIF($J$3:$J$26,B286,$K$3:$K$26)</f>
        <v>0</v>
      </c>
      <c r="E286" s="208">
        <f t="shared" ref="E286:E349" si="36">-SUMIF($N$3:$N$26,B286,$O$3:$O$26)</f>
        <v>0</v>
      </c>
      <c r="F286" s="208">
        <f t="shared" ca="1" si="33"/>
        <v>66.567460317460331</v>
      </c>
      <c r="G286" s="502">
        <f t="shared" ca="1" si="34"/>
        <v>182825.59523809643</v>
      </c>
      <c r="H286" s="502">
        <f t="shared" ref="H286:H349" ca="1" si="37">+C286+G286</f>
        <v>400682.73809523927</v>
      </c>
    </row>
    <row r="287" spans="2:8" x14ac:dyDescent="0.25">
      <c r="B287" s="130">
        <f t="shared" ref="B287:B350" si="38">+B286+1</f>
        <v>46281</v>
      </c>
      <c r="C287" s="208">
        <f t="shared" ref="C287:C350" ca="1" si="39">+C286+D286+E286</f>
        <v>217857.14285714287</v>
      </c>
      <c r="D287" s="208">
        <f t="shared" si="35"/>
        <v>0</v>
      </c>
      <c r="E287" s="208">
        <f t="shared" si="36"/>
        <v>0</v>
      </c>
      <c r="F287" s="208">
        <f t="shared" ref="F287:F350" ca="1" si="40">+C287*$C$3/360</f>
        <v>66.567460317460331</v>
      </c>
      <c r="G287" s="502">
        <f t="shared" ref="G287:G350" ca="1" si="41">+G286-F287</f>
        <v>182759.02777777897</v>
      </c>
      <c r="H287" s="502">
        <f t="shared" ca="1" si="37"/>
        <v>400616.17063492187</v>
      </c>
    </row>
    <row r="288" spans="2:8" x14ac:dyDescent="0.25">
      <c r="B288" s="130">
        <f t="shared" si="38"/>
        <v>46282</v>
      </c>
      <c r="C288" s="208">
        <f t="shared" ca="1" si="39"/>
        <v>217857.14285714287</v>
      </c>
      <c r="D288" s="208">
        <f t="shared" si="35"/>
        <v>0</v>
      </c>
      <c r="E288" s="208">
        <f t="shared" si="36"/>
        <v>0</v>
      </c>
      <c r="F288" s="208">
        <f t="shared" ca="1" si="40"/>
        <v>66.567460317460331</v>
      </c>
      <c r="G288" s="502">
        <f t="shared" ca="1" si="41"/>
        <v>182692.46031746152</v>
      </c>
      <c r="H288" s="502">
        <f t="shared" ca="1" si="37"/>
        <v>400549.60317460436</v>
      </c>
    </row>
    <row r="289" spans="2:8" x14ac:dyDescent="0.25">
      <c r="B289" s="130">
        <f t="shared" si="38"/>
        <v>46283</v>
      </c>
      <c r="C289" s="208">
        <f t="shared" ca="1" si="39"/>
        <v>217857.14285714287</v>
      </c>
      <c r="D289" s="208">
        <f t="shared" si="35"/>
        <v>0</v>
      </c>
      <c r="E289" s="208">
        <f t="shared" si="36"/>
        <v>0</v>
      </c>
      <c r="F289" s="208">
        <f t="shared" ca="1" si="40"/>
        <v>66.567460317460331</v>
      </c>
      <c r="G289" s="502">
        <f t="shared" ca="1" si="41"/>
        <v>182625.89285714406</v>
      </c>
      <c r="H289" s="502">
        <f t="shared" ca="1" si="37"/>
        <v>400483.03571428696</v>
      </c>
    </row>
    <row r="290" spans="2:8" x14ac:dyDescent="0.25">
      <c r="B290" s="130">
        <f t="shared" si="38"/>
        <v>46284</v>
      </c>
      <c r="C290" s="208">
        <f t="shared" ca="1" si="39"/>
        <v>217857.14285714287</v>
      </c>
      <c r="D290" s="208">
        <f t="shared" si="35"/>
        <v>0</v>
      </c>
      <c r="E290" s="208">
        <f t="shared" si="36"/>
        <v>0</v>
      </c>
      <c r="F290" s="208">
        <f t="shared" ca="1" si="40"/>
        <v>66.567460317460331</v>
      </c>
      <c r="G290" s="502">
        <f t="shared" ca="1" si="41"/>
        <v>182559.32539682661</v>
      </c>
      <c r="H290" s="502">
        <f t="shared" ca="1" si="37"/>
        <v>400416.46825396945</v>
      </c>
    </row>
    <row r="291" spans="2:8" x14ac:dyDescent="0.25">
      <c r="B291" s="130">
        <f t="shared" si="38"/>
        <v>46285</v>
      </c>
      <c r="C291" s="208">
        <f t="shared" ca="1" si="39"/>
        <v>217857.14285714287</v>
      </c>
      <c r="D291" s="208">
        <f t="shared" si="35"/>
        <v>0</v>
      </c>
      <c r="E291" s="208">
        <f t="shared" si="36"/>
        <v>0</v>
      </c>
      <c r="F291" s="208">
        <f t="shared" ca="1" si="40"/>
        <v>66.567460317460331</v>
      </c>
      <c r="G291" s="502">
        <f t="shared" ca="1" si="41"/>
        <v>182492.75793650915</v>
      </c>
      <c r="H291" s="502">
        <f t="shared" ca="1" si="37"/>
        <v>400349.90079365205</v>
      </c>
    </row>
    <row r="292" spans="2:8" x14ac:dyDescent="0.25">
      <c r="B292" s="130">
        <f t="shared" si="38"/>
        <v>46286</v>
      </c>
      <c r="C292" s="208">
        <f t="shared" ca="1" si="39"/>
        <v>217857.14285714287</v>
      </c>
      <c r="D292" s="208">
        <f t="shared" si="35"/>
        <v>0</v>
      </c>
      <c r="E292" s="208">
        <f t="shared" si="36"/>
        <v>0</v>
      </c>
      <c r="F292" s="208">
        <f t="shared" ca="1" si="40"/>
        <v>66.567460317460331</v>
      </c>
      <c r="G292" s="502">
        <f t="shared" ca="1" si="41"/>
        <v>182426.1904761917</v>
      </c>
      <c r="H292" s="502">
        <f t="shared" ca="1" si="37"/>
        <v>400283.33333333454</v>
      </c>
    </row>
    <row r="293" spans="2:8" x14ac:dyDescent="0.25">
      <c r="B293" s="130">
        <f t="shared" si="38"/>
        <v>46287</v>
      </c>
      <c r="C293" s="208">
        <f t="shared" ca="1" si="39"/>
        <v>217857.14285714287</v>
      </c>
      <c r="D293" s="208">
        <f t="shared" si="35"/>
        <v>0</v>
      </c>
      <c r="E293" s="208">
        <f t="shared" si="36"/>
        <v>0</v>
      </c>
      <c r="F293" s="208">
        <f t="shared" ca="1" si="40"/>
        <v>66.567460317460331</v>
      </c>
      <c r="G293" s="502">
        <f t="shared" ca="1" si="41"/>
        <v>182359.62301587424</v>
      </c>
      <c r="H293" s="502">
        <f t="shared" ca="1" si="37"/>
        <v>400216.76587301714</v>
      </c>
    </row>
    <row r="294" spans="2:8" x14ac:dyDescent="0.25">
      <c r="B294" s="130">
        <f t="shared" si="38"/>
        <v>46288</v>
      </c>
      <c r="C294" s="208">
        <f t="shared" ca="1" si="39"/>
        <v>217857.14285714287</v>
      </c>
      <c r="D294" s="208">
        <f t="shared" si="35"/>
        <v>0</v>
      </c>
      <c r="E294" s="208">
        <f t="shared" si="36"/>
        <v>0</v>
      </c>
      <c r="F294" s="208">
        <f t="shared" ca="1" si="40"/>
        <v>66.567460317460331</v>
      </c>
      <c r="G294" s="502">
        <f t="shared" ca="1" si="41"/>
        <v>182293.05555555678</v>
      </c>
      <c r="H294" s="502">
        <f t="shared" ca="1" si="37"/>
        <v>400150.19841269962</v>
      </c>
    </row>
    <row r="295" spans="2:8" x14ac:dyDescent="0.25">
      <c r="B295" s="130">
        <f t="shared" si="38"/>
        <v>46289</v>
      </c>
      <c r="C295" s="208">
        <f t="shared" ca="1" si="39"/>
        <v>217857.14285714287</v>
      </c>
      <c r="D295" s="208">
        <f t="shared" si="35"/>
        <v>0</v>
      </c>
      <c r="E295" s="208">
        <f t="shared" si="36"/>
        <v>0</v>
      </c>
      <c r="F295" s="208">
        <f t="shared" ca="1" si="40"/>
        <v>66.567460317460331</v>
      </c>
      <c r="G295" s="502">
        <f t="shared" ca="1" si="41"/>
        <v>182226.48809523933</v>
      </c>
      <c r="H295" s="502">
        <f t="shared" ca="1" si="37"/>
        <v>400083.63095238223</v>
      </c>
    </row>
    <row r="296" spans="2:8" x14ac:dyDescent="0.25">
      <c r="B296" s="130">
        <f t="shared" si="38"/>
        <v>46290</v>
      </c>
      <c r="C296" s="208">
        <f t="shared" ca="1" si="39"/>
        <v>217857.14285714287</v>
      </c>
      <c r="D296" s="208">
        <f t="shared" si="35"/>
        <v>0</v>
      </c>
      <c r="E296" s="208">
        <f t="shared" si="36"/>
        <v>0</v>
      </c>
      <c r="F296" s="208">
        <f t="shared" ca="1" si="40"/>
        <v>66.567460317460331</v>
      </c>
      <c r="G296" s="502">
        <f t="shared" ca="1" si="41"/>
        <v>182159.92063492187</v>
      </c>
      <c r="H296" s="502">
        <f t="shared" ca="1" si="37"/>
        <v>400017.06349206471</v>
      </c>
    </row>
    <row r="297" spans="2:8" x14ac:dyDescent="0.25">
      <c r="B297" s="130">
        <f t="shared" si="38"/>
        <v>46291</v>
      </c>
      <c r="C297" s="208">
        <f t="shared" ca="1" si="39"/>
        <v>217857.14285714287</v>
      </c>
      <c r="D297" s="208">
        <f t="shared" si="35"/>
        <v>0</v>
      </c>
      <c r="E297" s="208">
        <f t="shared" si="36"/>
        <v>0</v>
      </c>
      <c r="F297" s="208">
        <f t="shared" ca="1" si="40"/>
        <v>66.567460317460331</v>
      </c>
      <c r="G297" s="502">
        <f t="shared" ca="1" si="41"/>
        <v>182093.35317460442</v>
      </c>
      <c r="H297" s="502">
        <f t="shared" ca="1" si="37"/>
        <v>399950.49603174732</v>
      </c>
    </row>
    <row r="298" spans="2:8" x14ac:dyDescent="0.25">
      <c r="B298" s="130">
        <f t="shared" si="38"/>
        <v>46292</v>
      </c>
      <c r="C298" s="208">
        <f t="shared" ca="1" si="39"/>
        <v>217857.14285714287</v>
      </c>
      <c r="D298" s="208">
        <f t="shared" si="35"/>
        <v>0</v>
      </c>
      <c r="E298" s="208">
        <f t="shared" si="36"/>
        <v>0</v>
      </c>
      <c r="F298" s="208">
        <f t="shared" ca="1" si="40"/>
        <v>66.567460317460331</v>
      </c>
      <c r="G298" s="502">
        <f t="shared" ca="1" si="41"/>
        <v>182026.78571428696</v>
      </c>
      <c r="H298" s="502">
        <f t="shared" ca="1" si="37"/>
        <v>399883.9285714298</v>
      </c>
    </row>
    <row r="299" spans="2:8" x14ac:dyDescent="0.25">
      <c r="B299" s="130">
        <f t="shared" si="38"/>
        <v>46293</v>
      </c>
      <c r="C299" s="208">
        <f t="shared" ca="1" si="39"/>
        <v>217857.14285714287</v>
      </c>
      <c r="D299" s="208">
        <f t="shared" si="35"/>
        <v>0</v>
      </c>
      <c r="E299" s="208">
        <f t="shared" si="36"/>
        <v>0</v>
      </c>
      <c r="F299" s="208">
        <f t="shared" ca="1" si="40"/>
        <v>66.567460317460331</v>
      </c>
      <c r="G299" s="502">
        <f t="shared" ca="1" si="41"/>
        <v>181960.21825396951</v>
      </c>
      <c r="H299" s="502">
        <f t="shared" ca="1" si="37"/>
        <v>399817.3611111124</v>
      </c>
    </row>
    <row r="300" spans="2:8" x14ac:dyDescent="0.25">
      <c r="B300" s="130">
        <f t="shared" si="38"/>
        <v>46294</v>
      </c>
      <c r="C300" s="208">
        <f t="shared" ca="1" si="39"/>
        <v>217857.14285714287</v>
      </c>
      <c r="D300" s="208">
        <f t="shared" si="35"/>
        <v>0</v>
      </c>
      <c r="E300" s="208">
        <f t="shared" si="36"/>
        <v>0</v>
      </c>
      <c r="F300" s="208">
        <f t="shared" ca="1" si="40"/>
        <v>66.567460317460331</v>
      </c>
      <c r="G300" s="502">
        <f t="shared" ca="1" si="41"/>
        <v>181893.65079365205</v>
      </c>
      <c r="H300" s="502">
        <f t="shared" ca="1" si="37"/>
        <v>399750.79365079489</v>
      </c>
    </row>
    <row r="301" spans="2:8" x14ac:dyDescent="0.25">
      <c r="B301" s="130">
        <f t="shared" si="38"/>
        <v>46295</v>
      </c>
      <c r="C301" s="208">
        <f t="shared" ca="1" si="39"/>
        <v>217857.14285714287</v>
      </c>
      <c r="D301" s="208">
        <f t="shared" si="35"/>
        <v>0</v>
      </c>
      <c r="E301" s="208">
        <f t="shared" si="36"/>
        <v>0</v>
      </c>
      <c r="F301" s="208">
        <f t="shared" ca="1" si="40"/>
        <v>66.567460317460331</v>
      </c>
      <c r="G301" s="502">
        <f t="shared" ca="1" si="41"/>
        <v>181827.08333333459</v>
      </c>
      <c r="H301" s="502">
        <f t="shared" ca="1" si="37"/>
        <v>399684.22619047749</v>
      </c>
    </row>
    <row r="302" spans="2:8" x14ac:dyDescent="0.25">
      <c r="B302" s="130">
        <f t="shared" si="38"/>
        <v>46296</v>
      </c>
      <c r="C302" s="208">
        <f t="shared" ca="1" si="39"/>
        <v>217857.14285714287</v>
      </c>
      <c r="D302" s="208">
        <f t="shared" si="35"/>
        <v>0</v>
      </c>
      <c r="E302" s="208">
        <f t="shared" si="36"/>
        <v>0</v>
      </c>
      <c r="F302" s="208">
        <f t="shared" ca="1" si="40"/>
        <v>66.567460317460331</v>
      </c>
      <c r="G302" s="502">
        <f t="shared" ca="1" si="41"/>
        <v>181760.51587301714</v>
      </c>
      <c r="H302" s="502">
        <f t="shared" ca="1" si="37"/>
        <v>399617.65873015998</v>
      </c>
    </row>
    <row r="303" spans="2:8" x14ac:dyDescent="0.25">
      <c r="B303" s="130">
        <f t="shared" si="38"/>
        <v>46297</v>
      </c>
      <c r="C303" s="208">
        <f t="shared" ca="1" si="39"/>
        <v>217857.14285714287</v>
      </c>
      <c r="D303" s="208">
        <f t="shared" si="35"/>
        <v>0</v>
      </c>
      <c r="E303" s="208">
        <f t="shared" si="36"/>
        <v>0</v>
      </c>
      <c r="F303" s="208">
        <f t="shared" ca="1" si="40"/>
        <v>66.567460317460331</v>
      </c>
      <c r="G303" s="502">
        <f t="shared" ca="1" si="41"/>
        <v>181693.94841269968</v>
      </c>
      <c r="H303" s="502">
        <f t="shared" ca="1" si="37"/>
        <v>399551.09126984258</v>
      </c>
    </row>
    <row r="304" spans="2:8" x14ac:dyDescent="0.25">
      <c r="B304" s="130">
        <f t="shared" si="38"/>
        <v>46298</v>
      </c>
      <c r="C304" s="208">
        <f t="shared" ca="1" si="39"/>
        <v>217857.14285714287</v>
      </c>
      <c r="D304" s="208">
        <f t="shared" si="35"/>
        <v>0</v>
      </c>
      <c r="E304" s="208">
        <f t="shared" si="36"/>
        <v>0</v>
      </c>
      <c r="F304" s="208">
        <f t="shared" ca="1" si="40"/>
        <v>66.567460317460331</v>
      </c>
      <c r="G304" s="502">
        <f t="shared" ca="1" si="41"/>
        <v>181627.38095238223</v>
      </c>
      <c r="H304" s="502">
        <f t="shared" ca="1" si="37"/>
        <v>399484.52380952507</v>
      </c>
    </row>
    <row r="305" spans="2:8" x14ac:dyDescent="0.25">
      <c r="B305" s="130">
        <f t="shared" si="38"/>
        <v>46299</v>
      </c>
      <c r="C305" s="208">
        <f t="shared" ca="1" si="39"/>
        <v>217857.14285714287</v>
      </c>
      <c r="D305" s="208">
        <f t="shared" si="35"/>
        <v>0</v>
      </c>
      <c r="E305" s="208">
        <f t="shared" si="36"/>
        <v>0</v>
      </c>
      <c r="F305" s="208">
        <f t="shared" ca="1" si="40"/>
        <v>66.567460317460331</v>
      </c>
      <c r="G305" s="502">
        <f t="shared" ca="1" si="41"/>
        <v>181560.81349206477</v>
      </c>
      <c r="H305" s="502">
        <f t="shared" ca="1" si="37"/>
        <v>399417.95634920767</v>
      </c>
    </row>
    <row r="306" spans="2:8" x14ac:dyDescent="0.25">
      <c r="B306" s="130">
        <f t="shared" si="38"/>
        <v>46300</v>
      </c>
      <c r="C306" s="208">
        <f t="shared" ca="1" si="39"/>
        <v>217857.14285714287</v>
      </c>
      <c r="D306" s="208">
        <f t="shared" si="35"/>
        <v>0</v>
      </c>
      <c r="E306" s="208">
        <f t="shared" si="36"/>
        <v>0</v>
      </c>
      <c r="F306" s="208">
        <f t="shared" ca="1" si="40"/>
        <v>66.567460317460331</v>
      </c>
      <c r="G306" s="502">
        <f t="shared" ca="1" si="41"/>
        <v>181494.24603174732</v>
      </c>
      <c r="H306" s="502">
        <f t="shared" ca="1" si="37"/>
        <v>399351.38888889016</v>
      </c>
    </row>
    <row r="307" spans="2:8" x14ac:dyDescent="0.25">
      <c r="B307" s="130">
        <f t="shared" si="38"/>
        <v>46301</v>
      </c>
      <c r="C307" s="208">
        <f t="shared" ca="1" si="39"/>
        <v>217857.14285714287</v>
      </c>
      <c r="D307" s="208">
        <f t="shared" si="35"/>
        <v>0</v>
      </c>
      <c r="E307" s="208">
        <f t="shared" si="36"/>
        <v>0</v>
      </c>
      <c r="F307" s="208">
        <f t="shared" ca="1" si="40"/>
        <v>66.567460317460331</v>
      </c>
      <c r="G307" s="502">
        <f t="shared" ca="1" si="41"/>
        <v>181427.67857142986</v>
      </c>
      <c r="H307" s="502">
        <f t="shared" ca="1" si="37"/>
        <v>399284.82142857276</v>
      </c>
    </row>
    <row r="308" spans="2:8" x14ac:dyDescent="0.25">
      <c r="B308" s="130">
        <f t="shared" si="38"/>
        <v>46302</v>
      </c>
      <c r="C308" s="208">
        <f t="shared" ca="1" si="39"/>
        <v>217857.14285714287</v>
      </c>
      <c r="D308" s="208">
        <f t="shared" si="35"/>
        <v>0</v>
      </c>
      <c r="E308" s="208">
        <f t="shared" si="36"/>
        <v>0</v>
      </c>
      <c r="F308" s="208">
        <f t="shared" ca="1" si="40"/>
        <v>66.567460317460331</v>
      </c>
      <c r="G308" s="502">
        <f t="shared" ca="1" si="41"/>
        <v>181361.1111111124</v>
      </c>
      <c r="H308" s="502">
        <f t="shared" ca="1" si="37"/>
        <v>399218.25396825525</v>
      </c>
    </row>
    <row r="309" spans="2:8" x14ac:dyDescent="0.25">
      <c r="B309" s="130">
        <f t="shared" si="38"/>
        <v>46303</v>
      </c>
      <c r="C309" s="208">
        <f t="shared" ca="1" si="39"/>
        <v>217857.14285714287</v>
      </c>
      <c r="D309" s="208">
        <f t="shared" si="35"/>
        <v>0</v>
      </c>
      <c r="E309" s="208">
        <f t="shared" si="36"/>
        <v>0</v>
      </c>
      <c r="F309" s="208">
        <f t="shared" ca="1" si="40"/>
        <v>66.567460317460331</v>
      </c>
      <c r="G309" s="502">
        <f t="shared" ca="1" si="41"/>
        <v>181294.54365079495</v>
      </c>
      <c r="H309" s="502">
        <f t="shared" ca="1" si="37"/>
        <v>399151.68650793785</v>
      </c>
    </row>
    <row r="310" spans="2:8" x14ac:dyDescent="0.25">
      <c r="B310" s="130">
        <f t="shared" si="38"/>
        <v>46304</v>
      </c>
      <c r="C310" s="208">
        <f t="shared" ca="1" si="39"/>
        <v>217857.14285714287</v>
      </c>
      <c r="D310" s="208">
        <f t="shared" si="35"/>
        <v>0</v>
      </c>
      <c r="E310" s="208">
        <f t="shared" si="36"/>
        <v>0</v>
      </c>
      <c r="F310" s="208">
        <f t="shared" ca="1" si="40"/>
        <v>66.567460317460331</v>
      </c>
      <c r="G310" s="502">
        <f t="shared" ca="1" si="41"/>
        <v>181227.97619047749</v>
      </c>
      <c r="H310" s="502">
        <f t="shared" ca="1" si="37"/>
        <v>399085.11904762033</v>
      </c>
    </row>
    <row r="311" spans="2:8" x14ac:dyDescent="0.25">
      <c r="B311" s="130">
        <f t="shared" si="38"/>
        <v>46305</v>
      </c>
      <c r="C311" s="208">
        <f t="shared" ca="1" si="39"/>
        <v>217857.14285714287</v>
      </c>
      <c r="D311" s="208">
        <f t="shared" si="35"/>
        <v>0</v>
      </c>
      <c r="E311" s="208">
        <f t="shared" si="36"/>
        <v>0</v>
      </c>
      <c r="F311" s="208">
        <f t="shared" ca="1" si="40"/>
        <v>66.567460317460331</v>
      </c>
      <c r="G311" s="502">
        <f t="shared" ca="1" si="41"/>
        <v>181161.40873016004</v>
      </c>
      <c r="H311" s="502">
        <f t="shared" ca="1" si="37"/>
        <v>399018.55158730294</v>
      </c>
    </row>
    <row r="312" spans="2:8" x14ac:dyDescent="0.25">
      <c r="B312" s="130">
        <f t="shared" si="38"/>
        <v>46306</v>
      </c>
      <c r="C312" s="208">
        <f t="shared" ca="1" si="39"/>
        <v>217857.14285714287</v>
      </c>
      <c r="D312" s="208">
        <f t="shared" si="35"/>
        <v>0</v>
      </c>
      <c r="E312" s="208">
        <f t="shared" si="36"/>
        <v>0</v>
      </c>
      <c r="F312" s="208">
        <f t="shared" ca="1" si="40"/>
        <v>66.567460317460331</v>
      </c>
      <c r="G312" s="502">
        <f t="shared" ca="1" si="41"/>
        <v>181094.84126984258</v>
      </c>
      <c r="H312" s="502">
        <f t="shared" ca="1" si="37"/>
        <v>398951.98412698542</v>
      </c>
    </row>
    <row r="313" spans="2:8" x14ac:dyDescent="0.25">
      <c r="B313" s="130">
        <f t="shared" si="38"/>
        <v>46307</v>
      </c>
      <c r="C313" s="208">
        <f t="shared" ca="1" si="39"/>
        <v>217857.14285714287</v>
      </c>
      <c r="D313" s="208">
        <f t="shared" si="35"/>
        <v>0</v>
      </c>
      <c r="E313" s="208">
        <f t="shared" si="36"/>
        <v>0</v>
      </c>
      <c r="F313" s="208">
        <f t="shared" ca="1" si="40"/>
        <v>66.567460317460331</v>
      </c>
      <c r="G313" s="502">
        <f t="shared" ca="1" si="41"/>
        <v>181028.27380952513</v>
      </c>
      <c r="H313" s="502">
        <f t="shared" ca="1" si="37"/>
        <v>398885.41666666802</v>
      </c>
    </row>
    <row r="314" spans="2:8" x14ac:dyDescent="0.25">
      <c r="B314" s="130">
        <f t="shared" si="38"/>
        <v>46308</v>
      </c>
      <c r="C314" s="208">
        <f t="shared" ca="1" si="39"/>
        <v>217857.14285714287</v>
      </c>
      <c r="D314" s="208">
        <f t="shared" si="35"/>
        <v>0</v>
      </c>
      <c r="E314" s="208">
        <f t="shared" si="36"/>
        <v>0</v>
      </c>
      <c r="F314" s="208">
        <f t="shared" ca="1" si="40"/>
        <v>66.567460317460331</v>
      </c>
      <c r="G314" s="502">
        <f t="shared" ca="1" si="41"/>
        <v>180961.70634920767</v>
      </c>
      <c r="H314" s="502">
        <f t="shared" ca="1" si="37"/>
        <v>398818.84920635051</v>
      </c>
    </row>
    <row r="315" spans="2:8" x14ac:dyDescent="0.25">
      <c r="B315" s="130">
        <f t="shared" si="38"/>
        <v>46309</v>
      </c>
      <c r="C315" s="208">
        <f t="shared" ca="1" si="39"/>
        <v>217857.14285714287</v>
      </c>
      <c r="D315" s="208">
        <f t="shared" si="35"/>
        <v>0</v>
      </c>
      <c r="E315" s="208">
        <f t="shared" si="36"/>
        <v>0</v>
      </c>
      <c r="F315" s="208">
        <f t="shared" ca="1" si="40"/>
        <v>66.567460317460331</v>
      </c>
      <c r="G315" s="502">
        <f t="shared" ca="1" si="41"/>
        <v>180895.13888889021</v>
      </c>
      <c r="H315" s="502">
        <f t="shared" ca="1" si="37"/>
        <v>398752.28174603311</v>
      </c>
    </row>
    <row r="316" spans="2:8" x14ac:dyDescent="0.25">
      <c r="B316" s="130">
        <f t="shared" si="38"/>
        <v>46310</v>
      </c>
      <c r="C316" s="208">
        <f t="shared" ca="1" si="39"/>
        <v>217857.14285714287</v>
      </c>
      <c r="D316" s="208">
        <f t="shared" si="35"/>
        <v>0</v>
      </c>
      <c r="E316" s="208">
        <f t="shared" si="36"/>
        <v>0</v>
      </c>
      <c r="F316" s="208">
        <f t="shared" ca="1" si="40"/>
        <v>66.567460317460331</v>
      </c>
      <c r="G316" s="502">
        <f t="shared" ca="1" si="41"/>
        <v>180828.57142857276</v>
      </c>
      <c r="H316" s="502">
        <f t="shared" ca="1" si="37"/>
        <v>398685.7142857156</v>
      </c>
    </row>
    <row r="317" spans="2:8" x14ac:dyDescent="0.25">
      <c r="B317" s="130">
        <f t="shared" si="38"/>
        <v>46311</v>
      </c>
      <c r="C317" s="208">
        <f t="shared" ca="1" si="39"/>
        <v>217857.14285714287</v>
      </c>
      <c r="D317" s="208">
        <f t="shared" si="35"/>
        <v>0</v>
      </c>
      <c r="E317" s="208">
        <f t="shared" si="36"/>
        <v>0</v>
      </c>
      <c r="F317" s="208">
        <f t="shared" ca="1" si="40"/>
        <v>66.567460317460331</v>
      </c>
      <c r="G317" s="502">
        <f t="shared" ca="1" si="41"/>
        <v>180762.0039682553</v>
      </c>
      <c r="H317" s="502">
        <f t="shared" ca="1" si="37"/>
        <v>398619.1468253982</v>
      </c>
    </row>
    <row r="318" spans="2:8" x14ac:dyDescent="0.25">
      <c r="B318" s="130">
        <f t="shared" si="38"/>
        <v>46312</v>
      </c>
      <c r="C318" s="208">
        <f t="shared" ca="1" si="39"/>
        <v>217857.14285714287</v>
      </c>
      <c r="D318" s="208">
        <f t="shared" si="35"/>
        <v>0</v>
      </c>
      <c r="E318" s="208">
        <f t="shared" si="36"/>
        <v>0</v>
      </c>
      <c r="F318" s="208">
        <f t="shared" ca="1" si="40"/>
        <v>66.567460317460331</v>
      </c>
      <c r="G318" s="502">
        <f t="shared" ca="1" si="41"/>
        <v>180695.43650793785</v>
      </c>
      <c r="H318" s="502">
        <f t="shared" ca="1" si="37"/>
        <v>398552.57936508069</v>
      </c>
    </row>
    <row r="319" spans="2:8" x14ac:dyDescent="0.25">
      <c r="B319" s="130">
        <f t="shared" si="38"/>
        <v>46313</v>
      </c>
      <c r="C319" s="208">
        <f t="shared" ca="1" si="39"/>
        <v>217857.14285714287</v>
      </c>
      <c r="D319" s="208">
        <f t="shared" si="35"/>
        <v>0</v>
      </c>
      <c r="E319" s="208">
        <f t="shared" si="36"/>
        <v>0</v>
      </c>
      <c r="F319" s="208">
        <f t="shared" ca="1" si="40"/>
        <v>66.567460317460331</v>
      </c>
      <c r="G319" s="502">
        <f t="shared" ca="1" si="41"/>
        <v>180628.86904762039</v>
      </c>
      <c r="H319" s="502">
        <f t="shared" ca="1" si="37"/>
        <v>398486.01190476329</v>
      </c>
    </row>
    <row r="320" spans="2:8" x14ac:dyDescent="0.25">
      <c r="B320" s="130">
        <f t="shared" si="38"/>
        <v>46314</v>
      </c>
      <c r="C320" s="208">
        <f t="shared" ca="1" si="39"/>
        <v>217857.14285714287</v>
      </c>
      <c r="D320" s="208">
        <f t="shared" si="35"/>
        <v>0</v>
      </c>
      <c r="E320" s="208">
        <f t="shared" si="36"/>
        <v>0</v>
      </c>
      <c r="F320" s="208">
        <f t="shared" ca="1" si="40"/>
        <v>66.567460317460331</v>
      </c>
      <c r="G320" s="502">
        <f t="shared" ca="1" si="41"/>
        <v>180562.30158730294</v>
      </c>
      <c r="H320" s="502">
        <f t="shared" ca="1" si="37"/>
        <v>398419.44444444578</v>
      </c>
    </row>
    <row r="321" spans="2:8" x14ac:dyDescent="0.25">
      <c r="B321" s="130">
        <f t="shared" si="38"/>
        <v>46315</v>
      </c>
      <c r="C321" s="208">
        <f t="shared" ca="1" si="39"/>
        <v>217857.14285714287</v>
      </c>
      <c r="D321" s="208">
        <f t="shared" si="35"/>
        <v>0</v>
      </c>
      <c r="E321" s="208">
        <f t="shared" si="36"/>
        <v>0</v>
      </c>
      <c r="F321" s="208">
        <f t="shared" ca="1" si="40"/>
        <v>66.567460317460331</v>
      </c>
      <c r="G321" s="502">
        <f t="shared" ca="1" si="41"/>
        <v>180495.73412698548</v>
      </c>
      <c r="H321" s="502">
        <f t="shared" ca="1" si="37"/>
        <v>398352.87698412838</v>
      </c>
    </row>
    <row r="322" spans="2:8" x14ac:dyDescent="0.25">
      <c r="B322" s="130">
        <f t="shared" si="38"/>
        <v>46316</v>
      </c>
      <c r="C322" s="208">
        <f t="shared" ca="1" si="39"/>
        <v>217857.14285714287</v>
      </c>
      <c r="D322" s="208">
        <f t="shared" si="35"/>
        <v>0</v>
      </c>
      <c r="E322" s="208">
        <f t="shared" si="36"/>
        <v>0</v>
      </c>
      <c r="F322" s="208">
        <f t="shared" ca="1" si="40"/>
        <v>66.567460317460331</v>
      </c>
      <c r="G322" s="502">
        <f t="shared" ca="1" si="41"/>
        <v>180429.16666666802</v>
      </c>
      <c r="H322" s="502">
        <f t="shared" ca="1" si="37"/>
        <v>398286.30952381087</v>
      </c>
    </row>
    <row r="323" spans="2:8" x14ac:dyDescent="0.25">
      <c r="B323" s="130">
        <f t="shared" si="38"/>
        <v>46317</v>
      </c>
      <c r="C323" s="208">
        <f t="shared" ca="1" si="39"/>
        <v>217857.14285714287</v>
      </c>
      <c r="D323" s="208">
        <f t="shared" si="35"/>
        <v>0</v>
      </c>
      <c r="E323" s="208">
        <f t="shared" si="36"/>
        <v>0</v>
      </c>
      <c r="F323" s="208">
        <f t="shared" ca="1" si="40"/>
        <v>66.567460317460331</v>
      </c>
      <c r="G323" s="502">
        <f t="shared" ca="1" si="41"/>
        <v>180362.59920635057</v>
      </c>
      <c r="H323" s="502">
        <f t="shared" ca="1" si="37"/>
        <v>398219.74206349347</v>
      </c>
    </row>
    <row r="324" spans="2:8" x14ac:dyDescent="0.25">
      <c r="B324" s="130">
        <f t="shared" si="38"/>
        <v>46318</v>
      </c>
      <c r="C324" s="208">
        <f t="shared" ca="1" si="39"/>
        <v>217857.14285714287</v>
      </c>
      <c r="D324" s="208">
        <f t="shared" si="35"/>
        <v>0</v>
      </c>
      <c r="E324" s="208">
        <f t="shared" si="36"/>
        <v>0</v>
      </c>
      <c r="F324" s="208">
        <f t="shared" ca="1" si="40"/>
        <v>66.567460317460331</v>
      </c>
      <c r="G324" s="502">
        <f t="shared" ca="1" si="41"/>
        <v>180296.03174603311</v>
      </c>
      <c r="H324" s="502">
        <f t="shared" ca="1" si="37"/>
        <v>398153.17460317595</v>
      </c>
    </row>
    <row r="325" spans="2:8" x14ac:dyDescent="0.25">
      <c r="B325" s="130">
        <f t="shared" si="38"/>
        <v>46319</v>
      </c>
      <c r="C325" s="208">
        <f t="shared" ca="1" si="39"/>
        <v>217857.14285714287</v>
      </c>
      <c r="D325" s="208">
        <f t="shared" si="35"/>
        <v>0</v>
      </c>
      <c r="E325" s="208">
        <f t="shared" si="36"/>
        <v>0</v>
      </c>
      <c r="F325" s="208">
        <f t="shared" ca="1" si="40"/>
        <v>66.567460317460331</v>
      </c>
      <c r="G325" s="502">
        <f t="shared" ca="1" si="41"/>
        <v>180229.46428571566</v>
      </c>
      <c r="H325" s="502">
        <f t="shared" ca="1" si="37"/>
        <v>398086.60714285856</v>
      </c>
    </row>
    <row r="326" spans="2:8" x14ac:dyDescent="0.25">
      <c r="B326" s="130">
        <f t="shared" si="38"/>
        <v>46320</v>
      </c>
      <c r="C326" s="208">
        <f t="shared" ca="1" si="39"/>
        <v>217857.14285714287</v>
      </c>
      <c r="D326" s="208">
        <f t="shared" si="35"/>
        <v>0</v>
      </c>
      <c r="E326" s="208">
        <f t="shared" si="36"/>
        <v>0</v>
      </c>
      <c r="F326" s="208">
        <f t="shared" ca="1" si="40"/>
        <v>66.567460317460331</v>
      </c>
      <c r="G326" s="502">
        <f t="shared" ca="1" si="41"/>
        <v>180162.8968253982</v>
      </c>
      <c r="H326" s="502">
        <f t="shared" ca="1" si="37"/>
        <v>398020.03968254104</v>
      </c>
    </row>
    <row r="327" spans="2:8" x14ac:dyDescent="0.25">
      <c r="B327" s="130">
        <f t="shared" si="38"/>
        <v>46321</v>
      </c>
      <c r="C327" s="208">
        <f t="shared" ca="1" si="39"/>
        <v>217857.14285714287</v>
      </c>
      <c r="D327" s="208">
        <f t="shared" si="35"/>
        <v>0</v>
      </c>
      <c r="E327" s="208">
        <f t="shared" si="36"/>
        <v>0</v>
      </c>
      <c r="F327" s="208">
        <f t="shared" ca="1" si="40"/>
        <v>66.567460317460331</v>
      </c>
      <c r="G327" s="502">
        <f t="shared" ca="1" si="41"/>
        <v>180096.32936508075</v>
      </c>
      <c r="H327" s="502">
        <f t="shared" ca="1" si="37"/>
        <v>397953.47222222365</v>
      </c>
    </row>
    <row r="328" spans="2:8" x14ac:dyDescent="0.25">
      <c r="B328" s="130">
        <f t="shared" si="38"/>
        <v>46322</v>
      </c>
      <c r="C328" s="208">
        <f t="shared" ca="1" si="39"/>
        <v>217857.14285714287</v>
      </c>
      <c r="D328" s="208">
        <f t="shared" si="35"/>
        <v>0</v>
      </c>
      <c r="E328" s="208">
        <f t="shared" si="36"/>
        <v>0</v>
      </c>
      <c r="F328" s="208">
        <f t="shared" ca="1" si="40"/>
        <v>66.567460317460331</v>
      </c>
      <c r="G328" s="502">
        <f t="shared" ca="1" si="41"/>
        <v>180029.76190476329</v>
      </c>
      <c r="H328" s="502">
        <f t="shared" ca="1" si="37"/>
        <v>397886.90476190613</v>
      </c>
    </row>
    <row r="329" spans="2:8" x14ac:dyDescent="0.25">
      <c r="B329" s="130">
        <f t="shared" si="38"/>
        <v>46323</v>
      </c>
      <c r="C329" s="208">
        <f t="shared" ca="1" si="39"/>
        <v>217857.14285714287</v>
      </c>
      <c r="D329" s="208">
        <f t="shared" si="35"/>
        <v>0</v>
      </c>
      <c r="E329" s="208">
        <f t="shared" si="36"/>
        <v>0</v>
      </c>
      <c r="F329" s="208">
        <f t="shared" ca="1" si="40"/>
        <v>66.567460317460331</v>
      </c>
      <c r="G329" s="502">
        <f t="shared" ca="1" si="41"/>
        <v>179963.19444444583</v>
      </c>
      <c r="H329" s="502">
        <f t="shared" ca="1" si="37"/>
        <v>397820.33730158873</v>
      </c>
    </row>
    <row r="330" spans="2:8" x14ac:dyDescent="0.25">
      <c r="B330" s="130">
        <f t="shared" si="38"/>
        <v>46324</v>
      </c>
      <c r="C330" s="208">
        <f t="shared" ca="1" si="39"/>
        <v>217857.14285714287</v>
      </c>
      <c r="D330" s="208">
        <f t="shared" si="35"/>
        <v>0</v>
      </c>
      <c r="E330" s="208">
        <f t="shared" si="36"/>
        <v>0</v>
      </c>
      <c r="F330" s="208">
        <f t="shared" ca="1" si="40"/>
        <v>66.567460317460331</v>
      </c>
      <c r="G330" s="502">
        <f t="shared" ca="1" si="41"/>
        <v>179896.62698412838</v>
      </c>
      <c r="H330" s="502">
        <f t="shared" ca="1" si="37"/>
        <v>397753.76984127122</v>
      </c>
    </row>
    <row r="331" spans="2:8" x14ac:dyDescent="0.25">
      <c r="B331" s="130">
        <f t="shared" si="38"/>
        <v>46325</v>
      </c>
      <c r="C331" s="208">
        <f t="shared" ca="1" si="39"/>
        <v>217857.14285714287</v>
      </c>
      <c r="D331" s="208">
        <f t="shared" si="35"/>
        <v>0</v>
      </c>
      <c r="E331" s="208">
        <f t="shared" si="36"/>
        <v>0</v>
      </c>
      <c r="F331" s="208">
        <f t="shared" ca="1" si="40"/>
        <v>66.567460317460331</v>
      </c>
      <c r="G331" s="502">
        <f t="shared" ca="1" si="41"/>
        <v>179830.05952381092</v>
      </c>
      <c r="H331" s="502">
        <f t="shared" ca="1" si="37"/>
        <v>397687.20238095382</v>
      </c>
    </row>
    <row r="332" spans="2:8" x14ac:dyDescent="0.25">
      <c r="B332" s="130">
        <f t="shared" si="38"/>
        <v>46326</v>
      </c>
      <c r="C332" s="208">
        <f t="shared" ca="1" si="39"/>
        <v>217857.14285714287</v>
      </c>
      <c r="D332" s="208">
        <f t="shared" si="35"/>
        <v>0</v>
      </c>
      <c r="E332" s="208">
        <f t="shared" si="36"/>
        <v>0</v>
      </c>
      <c r="F332" s="208">
        <f t="shared" ca="1" si="40"/>
        <v>66.567460317460331</v>
      </c>
      <c r="G332" s="502">
        <f t="shared" ca="1" si="41"/>
        <v>179763.49206349347</v>
      </c>
      <c r="H332" s="502">
        <f t="shared" ca="1" si="37"/>
        <v>397620.63492063631</v>
      </c>
    </row>
    <row r="333" spans="2:8" x14ac:dyDescent="0.25">
      <c r="B333" s="130">
        <f t="shared" si="38"/>
        <v>46327</v>
      </c>
      <c r="C333" s="208">
        <f t="shared" ca="1" si="39"/>
        <v>217857.14285714287</v>
      </c>
      <c r="D333" s="208">
        <f t="shared" si="35"/>
        <v>0</v>
      </c>
      <c r="E333" s="208">
        <f t="shared" si="36"/>
        <v>0</v>
      </c>
      <c r="F333" s="208">
        <f t="shared" ca="1" si="40"/>
        <v>66.567460317460331</v>
      </c>
      <c r="G333" s="502">
        <f t="shared" ca="1" si="41"/>
        <v>179696.92460317601</v>
      </c>
      <c r="H333" s="502">
        <f t="shared" ca="1" si="37"/>
        <v>397554.06746031891</v>
      </c>
    </row>
    <row r="334" spans="2:8" x14ac:dyDescent="0.25">
      <c r="B334" s="130">
        <f t="shared" si="38"/>
        <v>46328</v>
      </c>
      <c r="C334" s="208">
        <f t="shared" ca="1" si="39"/>
        <v>217857.14285714287</v>
      </c>
      <c r="D334" s="208">
        <f t="shared" si="35"/>
        <v>0</v>
      </c>
      <c r="E334" s="208">
        <f t="shared" si="36"/>
        <v>0</v>
      </c>
      <c r="F334" s="208">
        <f t="shared" ca="1" si="40"/>
        <v>66.567460317460331</v>
      </c>
      <c r="G334" s="502">
        <f t="shared" ca="1" si="41"/>
        <v>179630.35714285856</v>
      </c>
      <c r="H334" s="502">
        <f t="shared" ca="1" si="37"/>
        <v>397487.5000000014</v>
      </c>
    </row>
    <row r="335" spans="2:8" x14ac:dyDescent="0.25">
      <c r="B335" s="130">
        <f t="shared" si="38"/>
        <v>46329</v>
      </c>
      <c r="C335" s="208">
        <f t="shared" ca="1" si="39"/>
        <v>217857.14285714287</v>
      </c>
      <c r="D335" s="208">
        <f t="shared" si="35"/>
        <v>0</v>
      </c>
      <c r="E335" s="208">
        <f t="shared" si="36"/>
        <v>0</v>
      </c>
      <c r="F335" s="208">
        <f t="shared" ca="1" si="40"/>
        <v>66.567460317460331</v>
      </c>
      <c r="G335" s="502">
        <f t="shared" ca="1" si="41"/>
        <v>179563.7896825411</v>
      </c>
      <c r="H335" s="502">
        <f t="shared" ca="1" si="37"/>
        <v>397420.932539684</v>
      </c>
    </row>
    <row r="336" spans="2:8" x14ac:dyDescent="0.25">
      <c r="B336" s="130">
        <f t="shared" si="38"/>
        <v>46330</v>
      </c>
      <c r="C336" s="208">
        <f t="shared" ca="1" si="39"/>
        <v>217857.14285714287</v>
      </c>
      <c r="D336" s="208">
        <f t="shared" si="35"/>
        <v>0</v>
      </c>
      <c r="E336" s="208">
        <f t="shared" si="36"/>
        <v>0</v>
      </c>
      <c r="F336" s="208">
        <f t="shared" ca="1" si="40"/>
        <v>66.567460317460331</v>
      </c>
      <c r="G336" s="502">
        <f t="shared" ca="1" si="41"/>
        <v>179497.22222222365</v>
      </c>
      <c r="H336" s="502">
        <f t="shared" ca="1" si="37"/>
        <v>397354.36507936649</v>
      </c>
    </row>
    <row r="337" spans="2:8" x14ac:dyDescent="0.25">
      <c r="B337" s="130">
        <f t="shared" si="38"/>
        <v>46331</v>
      </c>
      <c r="C337" s="208">
        <f t="shared" ca="1" si="39"/>
        <v>217857.14285714287</v>
      </c>
      <c r="D337" s="208">
        <f t="shared" si="35"/>
        <v>0</v>
      </c>
      <c r="E337" s="208">
        <f t="shared" si="36"/>
        <v>0</v>
      </c>
      <c r="F337" s="208">
        <f t="shared" ca="1" si="40"/>
        <v>66.567460317460331</v>
      </c>
      <c r="G337" s="502">
        <f t="shared" ca="1" si="41"/>
        <v>179430.65476190619</v>
      </c>
      <c r="H337" s="502">
        <f t="shared" ca="1" si="37"/>
        <v>397287.79761904909</v>
      </c>
    </row>
    <row r="338" spans="2:8" x14ac:dyDescent="0.25">
      <c r="B338" s="130">
        <f t="shared" si="38"/>
        <v>46332</v>
      </c>
      <c r="C338" s="208">
        <f t="shared" ca="1" si="39"/>
        <v>217857.14285714287</v>
      </c>
      <c r="D338" s="208">
        <f t="shared" si="35"/>
        <v>0</v>
      </c>
      <c r="E338" s="208">
        <f t="shared" si="36"/>
        <v>0</v>
      </c>
      <c r="F338" s="208">
        <f t="shared" ca="1" si="40"/>
        <v>66.567460317460331</v>
      </c>
      <c r="G338" s="502">
        <f t="shared" ca="1" si="41"/>
        <v>179364.08730158873</v>
      </c>
      <c r="H338" s="502">
        <f t="shared" ca="1" si="37"/>
        <v>397221.23015873157</v>
      </c>
    </row>
    <row r="339" spans="2:8" x14ac:dyDescent="0.25">
      <c r="B339" s="130">
        <f t="shared" si="38"/>
        <v>46333</v>
      </c>
      <c r="C339" s="208">
        <f t="shared" ca="1" si="39"/>
        <v>217857.14285714287</v>
      </c>
      <c r="D339" s="208">
        <f t="shared" si="35"/>
        <v>0</v>
      </c>
      <c r="E339" s="208">
        <f t="shared" si="36"/>
        <v>0</v>
      </c>
      <c r="F339" s="208">
        <f t="shared" ca="1" si="40"/>
        <v>66.567460317460331</v>
      </c>
      <c r="G339" s="502">
        <f t="shared" ca="1" si="41"/>
        <v>179297.51984127128</v>
      </c>
      <c r="H339" s="502">
        <f t="shared" ca="1" si="37"/>
        <v>397154.66269841418</v>
      </c>
    </row>
    <row r="340" spans="2:8" x14ac:dyDescent="0.25">
      <c r="B340" s="130">
        <f t="shared" si="38"/>
        <v>46334</v>
      </c>
      <c r="C340" s="208">
        <f t="shared" ca="1" si="39"/>
        <v>217857.14285714287</v>
      </c>
      <c r="D340" s="208">
        <f t="shared" si="35"/>
        <v>0</v>
      </c>
      <c r="E340" s="208">
        <f t="shared" si="36"/>
        <v>0</v>
      </c>
      <c r="F340" s="208">
        <f t="shared" ca="1" si="40"/>
        <v>66.567460317460331</v>
      </c>
      <c r="G340" s="502">
        <f t="shared" ca="1" si="41"/>
        <v>179230.95238095382</v>
      </c>
      <c r="H340" s="502">
        <f t="shared" ca="1" si="37"/>
        <v>397088.09523809666</v>
      </c>
    </row>
    <row r="341" spans="2:8" x14ac:dyDescent="0.25">
      <c r="B341" s="130">
        <f t="shared" si="38"/>
        <v>46335</v>
      </c>
      <c r="C341" s="208">
        <f t="shared" ca="1" si="39"/>
        <v>217857.14285714287</v>
      </c>
      <c r="D341" s="208">
        <f t="shared" si="35"/>
        <v>0</v>
      </c>
      <c r="E341" s="208">
        <f t="shared" si="36"/>
        <v>0</v>
      </c>
      <c r="F341" s="208">
        <f t="shared" ca="1" si="40"/>
        <v>66.567460317460331</v>
      </c>
      <c r="G341" s="502">
        <f t="shared" ca="1" si="41"/>
        <v>179164.38492063637</v>
      </c>
      <c r="H341" s="502">
        <f t="shared" ca="1" si="37"/>
        <v>397021.52777777927</v>
      </c>
    </row>
    <row r="342" spans="2:8" x14ac:dyDescent="0.25">
      <c r="B342" s="130">
        <f t="shared" si="38"/>
        <v>46336</v>
      </c>
      <c r="C342" s="208">
        <f t="shared" ca="1" si="39"/>
        <v>217857.14285714287</v>
      </c>
      <c r="D342" s="208">
        <f t="shared" si="35"/>
        <v>0</v>
      </c>
      <c r="E342" s="208">
        <f t="shared" si="36"/>
        <v>0</v>
      </c>
      <c r="F342" s="208">
        <f t="shared" ca="1" si="40"/>
        <v>66.567460317460331</v>
      </c>
      <c r="G342" s="502">
        <f t="shared" ca="1" si="41"/>
        <v>179097.81746031891</v>
      </c>
      <c r="H342" s="502">
        <f t="shared" ca="1" si="37"/>
        <v>396954.96031746175</v>
      </c>
    </row>
    <row r="343" spans="2:8" x14ac:dyDescent="0.25">
      <c r="B343" s="130">
        <f t="shared" si="38"/>
        <v>46337</v>
      </c>
      <c r="C343" s="208">
        <f t="shared" ca="1" si="39"/>
        <v>217857.14285714287</v>
      </c>
      <c r="D343" s="208">
        <f t="shared" si="35"/>
        <v>0</v>
      </c>
      <c r="E343" s="208">
        <f t="shared" si="36"/>
        <v>0</v>
      </c>
      <c r="F343" s="208">
        <f t="shared" ca="1" si="40"/>
        <v>66.567460317460331</v>
      </c>
      <c r="G343" s="502">
        <f t="shared" ca="1" si="41"/>
        <v>179031.25000000146</v>
      </c>
      <c r="H343" s="502">
        <f t="shared" ca="1" si="37"/>
        <v>396888.39285714435</v>
      </c>
    </row>
    <row r="344" spans="2:8" x14ac:dyDescent="0.25">
      <c r="B344" s="130">
        <f t="shared" si="38"/>
        <v>46338</v>
      </c>
      <c r="C344" s="208">
        <f t="shared" ca="1" si="39"/>
        <v>217857.14285714287</v>
      </c>
      <c r="D344" s="208">
        <f t="shared" si="35"/>
        <v>0</v>
      </c>
      <c r="E344" s="208">
        <f t="shared" si="36"/>
        <v>0</v>
      </c>
      <c r="F344" s="208">
        <f t="shared" ca="1" si="40"/>
        <v>66.567460317460331</v>
      </c>
      <c r="G344" s="502">
        <f t="shared" ca="1" si="41"/>
        <v>178964.682539684</v>
      </c>
      <c r="H344" s="502">
        <f t="shared" ca="1" si="37"/>
        <v>396821.82539682684</v>
      </c>
    </row>
    <row r="345" spans="2:8" x14ac:dyDescent="0.25">
      <c r="B345" s="130">
        <f t="shared" si="38"/>
        <v>46339</v>
      </c>
      <c r="C345" s="208">
        <f t="shared" ca="1" si="39"/>
        <v>217857.14285714287</v>
      </c>
      <c r="D345" s="208">
        <f t="shared" si="35"/>
        <v>0</v>
      </c>
      <c r="E345" s="208">
        <f t="shared" si="36"/>
        <v>0</v>
      </c>
      <c r="F345" s="208">
        <f t="shared" ca="1" si="40"/>
        <v>66.567460317460331</v>
      </c>
      <c r="G345" s="502">
        <f t="shared" ca="1" si="41"/>
        <v>178898.11507936654</v>
      </c>
      <c r="H345" s="502">
        <f t="shared" ca="1" si="37"/>
        <v>396755.25793650944</v>
      </c>
    </row>
    <row r="346" spans="2:8" x14ac:dyDescent="0.25">
      <c r="B346" s="130">
        <f t="shared" si="38"/>
        <v>46340</v>
      </c>
      <c r="C346" s="208">
        <f t="shared" ca="1" si="39"/>
        <v>217857.14285714287</v>
      </c>
      <c r="D346" s="208">
        <f t="shared" si="35"/>
        <v>0</v>
      </c>
      <c r="E346" s="208">
        <f t="shared" si="36"/>
        <v>0</v>
      </c>
      <c r="F346" s="208">
        <f t="shared" ca="1" si="40"/>
        <v>66.567460317460331</v>
      </c>
      <c r="G346" s="502">
        <f t="shared" ca="1" si="41"/>
        <v>178831.54761904909</v>
      </c>
      <c r="H346" s="502">
        <f t="shared" ca="1" si="37"/>
        <v>396688.69047619193</v>
      </c>
    </row>
    <row r="347" spans="2:8" x14ac:dyDescent="0.25">
      <c r="B347" s="130">
        <f t="shared" si="38"/>
        <v>46341</v>
      </c>
      <c r="C347" s="208">
        <f t="shared" ca="1" si="39"/>
        <v>217857.14285714287</v>
      </c>
      <c r="D347" s="208">
        <f t="shared" si="35"/>
        <v>0</v>
      </c>
      <c r="E347" s="208">
        <f t="shared" si="36"/>
        <v>0</v>
      </c>
      <c r="F347" s="208">
        <f t="shared" ca="1" si="40"/>
        <v>66.567460317460331</v>
      </c>
      <c r="G347" s="502">
        <f t="shared" ca="1" si="41"/>
        <v>178764.98015873163</v>
      </c>
      <c r="H347" s="502">
        <f t="shared" ca="1" si="37"/>
        <v>396622.12301587453</v>
      </c>
    </row>
    <row r="348" spans="2:8" x14ac:dyDescent="0.25">
      <c r="B348" s="130">
        <f t="shared" si="38"/>
        <v>46342</v>
      </c>
      <c r="C348" s="208">
        <f t="shared" ca="1" si="39"/>
        <v>217857.14285714287</v>
      </c>
      <c r="D348" s="208">
        <f t="shared" si="35"/>
        <v>0</v>
      </c>
      <c r="E348" s="208">
        <f t="shared" si="36"/>
        <v>0</v>
      </c>
      <c r="F348" s="208">
        <f t="shared" ca="1" si="40"/>
        <v>66.567460317460331</v>
      </c>
      <c r="G348" s="502">
        <f t="shared" ca="1" si="41"/>
        <v>178698.41269841418</v>
      </c>
      <c r="H348" s="502">
        <f t="shared" ca="1" si="37"/>
        <v>396555.55555555702</v>
      </c>
    </row>
    <row r="349" spans="2:8" x14ac:dyDescent="0.25">
      <c r="B349" s="130">
        <f t="shared" si="38"/>
        <v>46343</v>
      </c>
      <c r="C349" s="208">
        <f t="shared" ca="1" si="39"/>
        <v>217857.14285714287</v>
      </c>
      <c r="D349" s="208">
        <f t="shared" si="35"/>
        <v>0</v>
      </c>
      <c r="E349" s="208">
        <f t="shared" si="36"/>
        <v>0</v>
      </c>
      <c r="F349" s="208">
        <f t="shared" ca="1" si="40"/>
        <v>66.567460317460331</v>
      </c>
      <c r="G349" s="502">
        <f t="shared" ca="1" si="41"/>
        <v>178631.84523809672</v>
      </c>
      <c r="H349" s="502">
        <f t="shared" ca="1" si="37"/>
        <v>396488.98809523962</v>
      </c>
    </row>
    <row r="350" spans="2:8" x14ac:dyDescent="0.25">
      <c r="B350" s="130">
        <f t="shared" si="38"/>
        <v>46344</v>
      </c>
      <c r="C350" s="208">
        <f t="shared" ca="1" si="39"/>
        <v>217857.14285714287</v>
      </c>
      <c r="D350" s="208">
        <f t="shared" ref="D350:D413" si="42">SUMIF($J$3:$J$26,B350,$K$3:$K$26)</f>
        <v>0</v>
      </c>
      <c r="E350" s="208">
        <f t="shared" ref="E350:E413" si="43">-SUMIF($N$3:$N$26,B350,$O$3:$O$26)</f>
        <v>0</v>
      </c>
      <c r="F350" s="208">
        <f t="shared" ca="1" si="40"/>
        <v>66.567460317460331</v>
      </c>
      <c r="G350" s="502">
        <f t="shared" ca="1" si="41"/>
        <v>178565.27777777927</v>
      </c>
      <c r="H350" s="502">
        <f t="shared" ref="H350:H413" ca="1" si="44">+C350+G350</f>
        <v>396422.42063492211</v>
      </c>
    </row>
    <row r="351" spans="2:8" x14ac:dyDescent="0.25">
      <c r="B351" s="130">
        <f t="shared" ref="B351:B414" si="45">+B350+1</f>
        <v>46345</v>
      </c>
      <c r="C351" s="208">
        <f t="shared" ref="C351:C414" ca="1" si="46">+C350+D350+E350</f>
        <v>217857.14285714287</v>
      </c>
      <c r="D351" s="208">
        <f t="shared" si="42"/>
        <v>0</v>
      </c>
      <c r="E351" s="208">
        <f t="shared" si="43"/>
        <v>0</v>
      </c>
      <c r="F351" s="208">
        <f t="shared" ref="F351:F414" ca="1" si="47">+C351*$C$3/360</f>
        <v>66.567460317460331</v>
      </c>
      <c r="G351" s="502">
        <f t="shared" ref="G351:G414" ca="1" si="48">+G350-F351</f>
        <v>178498.71031746181</v>
      </c>
      <c r="H351" s="502">
        <f t="shared" ca="1" si="44"/>
        <v>396355.85317460471</v>
      </c>
    </row>
    <row r="352" spans="2:8" x14ac:dyDescent="0.25">
      <c r="B352" s="130">
        <f t="shared" si="45"/>
        <v>46346</v>
      </c>
      <c r="C352" s="208">
        <f t="shared" ca="1" si="46"/>
        <v>217857.14285714287</v>
      </c>
      <c r="D352" s="208">
        <f t="shared" si="42"/>
        <v>0</v>
      </c>
      <c r="E352" s="208">
        <f t="shared" si="43"/>
        <v>0</v>
      </c>
      <c r="F352" s="208">
        <f t="shared" ca="1" si="47"/>
        <v>66.567460317460331</v>
      </c>
      <c r="G352" s="502">
        <f t="shared" ca="1" si="48"/>
        <v>178432.14285714435</v>
      </c>
      <c r="H352" s="502">
        <f t="shared" ca="1" si="44"/>
        <v>396289.28571428719</v>
      </c>
    </row>
    <row r="353" spans="2:8" x14ac:dyDescent="0.25">
      <c r="B353" s="130">
        <f t="shared" si="45"/>
        <v>46347</v>
      </c>
      <c r="C353" s="208">
        <f t="shared" ca="1" si="46"/>
        <v>217857.14285714287</v>
      </c>
      <c r="D353" s="208">
        <f t="shared" si="42"/>
        <v>0</v>
      </c>
      <c r="E353" s="208">
        <f t="shared" si="43"/>
        <v>0</v>
      </c>
      <c r="F353" s="208">
        <f t="shared" ca="1" si="47"/>
        <v>66.567460317460331</v>
      </c>
      <c r="G353" s="502">
        <f t="shared" ca="1" si="48"/>
        <v>178365.5753968269</v>
      </c>
      <c r="H353" s="502">
        <f t="shared" ca="1" si="44"/>
        <v>396222.7182539698</v>
      </c>
    </row>
    <row r="354" spans="2:8" x14ac:dyDescent="0.25">
      <c r="B354" s="130">
        <f t="shared" si="45"/>
        <v>46348</v>
      </c>
      <c r="C354" s="208">
        <f t="shared" ca="1" si="46"/>
        <v>217857.14285714287</v>
      </c>
      <c r="D354" s="208">
        <f t="shared" si="42"/>
        <v>0</v>
      </c>
      <c r="E354" s="208">
        <f t="shared" si="43"/>
        <v>0</v>
      </c>
      <c r="F354" s="208">
        <f t="shared" ca="1" si="47"/>
        <v>66.567460317460331</v>
      </c>
      <c r="G354" s="502">
        <f t="shared" ca="1" si="48"/>
        <v>178299.00793650944</v>
      </c>
      <c r="H354" s="502">
        <f t="shared" ca="1" si="44"/>
        <v>396156.15079365228</v>
      </c>
    </row>
    <row r="355" spans="2:8" x14ac:dyDescent="0.25">
      <c r="B355" s="130">
        <f t="shared" si="45"/>
        <v>46349</v>
      </c>
      <c r="C355" s="208">
        <f t="shared" ca="1" si="46"/>
        <v>217857.14285714287</v>
      </c>
      <c r="D355" s="208">
        <f t="shared" si="42"/>
        <v>0</v>
      </c>
      <c r="E355" s="208">
        <f t="shared" si="43"/>
        <v>0</v>
      </c>
      <c r="F355" s="208">
        <f t="shared" ca="1" si="47"/>
        <v>66.567460317460331</v>
      </c>
      <c r="G355" s="502">
        <f t="shared" ca="1" si="48"/>
        <v>178232.44047619199</v>
      </c>
      <c r="H355" s="502">
        <f t="shared" ca="1" si="44"/>
        <v>396089.58333333489</v>
      </c>
    </row>
    <row r="356" spans="2:8" x14ac:dyDescent="0.25">
      <c r="B356" s="130">
        <f t="shared" si="45"/>
        <v>46350</v>
      </c>
      <c r="C356" s="208">
        <f t="shared" ca="1" si="46"/>
        <v>217857.14285714287</v>
      </c>
      <c r="D356" s="208">
        <f t="shared" si="42"/>
        <v>0</v>
      </c>
      <c r="E356" s="208">
        <f t="shared" si="43"/>
        <v>0</v>
      </c>
      <c r="F356" s="208">
        <f t="shared" ca="1" si="47"/>
        <v>66.567460317460331</v>
      </c>
      <c r="G356" s="502">
        <f t="shared" ca="1" si="48"/>
        <v>178165.87301587453</v>
      </c>
      <c r="H356" s="502">
        <f t="shared" ca="1" si="44"/>
        <v>396023.01587301737</v>
      </c>
    </row>
    <row r="357" spans="2:8" x14ac:dyDescent="0.25">
      <c r="B357" s="130">
        <f t="shared" si="45"/>
        <v>46351</v>
      </c>
      <c r="C357" s="208">
        <f t="shared" ca="1" si="46"/>
        <v>217857.14285714287</v>
      </c>
      <c r="D357" s="208">
        <f t="shared" si="42"/>
        <v>0</v>
      </c>
      <c r="E357" s="208">
        <f t="shared" si="43"/>
        <v>0</v>
      </c>
      <c r="F357" s="208">
        <f t="shared" ca="1" si="47"/>
        <v>66.567460317460331</v>
      </c>
      <c r="G357" s="502">
        <f t="shared" ca="1" si="48"/>
        <v>178099.30555555708</v>
      </c>
      <c r="H357" s="502">
        <f t="shared" ca="1" si="44"/>
        <v>395956.44841269997</v>
      </c>
    </row>
    <row r="358" spans="2:8" x14ac:dyDescent="0.25">
      <c r="B358" s="130">
        <f t="shared" si="45"/>
        <v>46352</v>
      </c>
      <c r="C358" s="208">
        <f t="shared" ca="1" si="46"/>
        <v>217857.14285714287</v>
      </c>
      <c r="D358" s="208">
        <f t="shared" si="42"/>
        <v>0</v>
      </c>
      <c r="E358" s="208">
        <f t="shared" si="43"/>
        <v>0</v>
      </c>
      <c r="F358" s="208">
        <f t="shared" ca="1" si="47"/>
        <v>66.567460317460331</v>
      </c>
      <c r="G358" s="502">
        <f t="shared" ca="1" si="48"/>
        <v>178032.73809523962</v>
      </c>
      <c r="H358" s="502">
        <f t="shared" ca="1" si="44"/>
        <v>395889.88095238246</v>
      </c>
    </row>
    <row r="359" spans="2:8" x14ac:dyDescent="0.25">
      <c r="B359" s="130">
        <f t="shared" si="45"/>
        <v>46353</v>
      </c>
      <c r="C359" s="208">
        <f t="shared" ca="1" si="46"/>
        <v>217857.14285714287</v>
      </c>
      <c r="D359" s="208">
        <f t="shared" si="42"/>
        <v>0</v>
      </c>
      <c r="E359" s="208">
        <f t="shared" si="43"/>
        <v>0</v>
      </c>
      <c r="F359" s="208">
        <f t="shared" ca="1" si="47"/>
        <v>66.567460317460331</v>
      </c>
      <c r="G359" s="502">
        <f t="shared" ca="1" si="48"/>
        <v>177966.17063492216</v>
      </c>
      <c r="H359" s="502">
        <f t="shared" ca="1" si="44"/>
        <v>395823.31349206506</v>
      </c>
    </row>
    <row r="360" spans="2:8" x14ac:dyDescent="0.25">
      <c r="B360" s="130">
        <f t="shared" si="45"/>
        <v>46354</v>
      </c>
      <c r="C360" s="208">
        <f t="shared" ca="1" si="46"/>
        <v>217857.14285714287</v>
      </c>
      <c r="D360" s="208">
        <f t="shared" si="42"/>
        <v>0</v>
      </c>
      <c r="E360" s="208">
        <f t="shared" si="43"/>
        <v>0</v>
      </c>
      <c r="F360" s="208">
        <f t="shared" ca="1" si="47"/>
        <v>66.567460317460331</v>
      </c>
      <c r="G360" s="502">
        <f t="shared" ca="1" si="48"/>
        <v>177899.60317460471</v>
      </c>
      <c r="H360" s="502">
        <f t="shared" ca="1" si="44"/>
        <v>395756.74603174755</v>
      </c>
    </row>
    <row r="361" spans="2:8" x14ac:dyDescent="0.25">
      <c r="B361" s="130">
        <f t="shared" si="45"/>
        <v>46355</v>
      </c>
      <c r="C361" s="208">
        <f t="shared" ca="1" si="46"/>
        <v>217857.14285714287</v>
      </c>
      <c r="D361" s="208">
        <f t="shared" si="42"/>
        <v>0</v>
      </c>
      <c r="E361" s="208">
        <f t="shared" si="43"/>
        <v>0</v>
      </c>
      <c r="F361" s="208">
        <f t="shared" ca="1" si="47"/>
        <v>66.567460317460331</v>
      </c>
      <c r="G361" s="502">
        <f t="shared" ca="1" si="48"/>
        <v>177833.03571428725</v>
      </c>
      <c r="H361" s="502">
        <f t="shared" ca="1" si="44"/>
        <v>395690.17857143015</v>
      </c>
    </row>
    <row r="362" spans="2:8" x14ac:dyDescent="0.25">
      <c r="B362" s="130">
        <f t="shared" si="45"/>
        <v>46356</v>
      </c>
      <c r="C362" s="208">
        <f t="shared" ca="1" si="46"/>
        <v>217857.14285714287</v>
      </c>
      <c r="D362" s="208">
        <f t="shared" si="42"/>
        <v>0</v>
      </c>
      <c r="E362" s="208">
        <f t="shared" si="43"/>
        <v>0</v>
      </c>
      <c r="F362" s="208">
        <f t="shared" ca="1" si="47"/>
        <v>66.567460317460331</v>
      </c>
      <c r="G362" s="502">
        <f t="shared" ca="1" si="48"/>
        <v>177766.4682539698</v>
      </c>
      <c r="H362" s="502">
        <f t="shared" ca="1" si="44"/>
        <v>395623.61111111264</v>
      </c>
    </row>
    <row r="363" spans="2:8" x14ac:dyDescent="0.25">
      <c r="B363" s="130">
        <f t="shared" si="45"/>
        <v>46357</v>
      </c>
      <c r="C363" s="208">
        <f t="shared" ca="1" si="46"/>
        <v>217857.14285714287</v>
      </c>
      <c r="D363" s="208">
        <f t="shared" si="42"/>
        <v>0</v>
      </c>
      <c r="E363" s="208">
        <f t="shared" si="43"/>
        <v>0</v>
      </c>
      <c r="F363" s="208">
        <f t="shared" ca="1" si="47"/>
        <v>66.567460317460331</v>
      </c>
      <c r="G363" s="502">
        <f t="shared" ca="1" si="48"/>
        <v>177699.90079365234</v>
      </c>
      <c r="H363" s="502">
        <f t="shared" ca="1" si="44"/>
        <v>395557.04365079524</v>
      </c>
    </row>
    <row r="364" spans="2:8" x14ac:dyDescent="0.25">
      <c r="B364" s="130">
        <f t="shared" si="45"/>
        <v>46358</v>
      </c>
      <c r="C364" s="208">
        <f t="shared" ca="1" si="46"/>
        <v>217857.14285714287</v>
      </c>
      <c r="D364" s="208">
        <f t="shared" si="42"/>
        <v>0</v>
      </c>
      <c r="E364" s="208">
        <f t="shared" si="43"/>
        <v>0</v>
      </c>
      <c r="F364" s="208">
        <f t="shared" ca="1" si="47"/>
        <v>66.567460317460331</v>
      </c>
      <c r="G364" s="502">
        <f t="shared" ca="1" si="48"/>
        <v>177633.33333333489</v>
      </c>
      <c r="H364" s="502">
        <f t="shared" ca="1" si="44"/>
        <v>395490.47619047773</v>
      </c>
    </row>
    <row r="365" spans="2:8" x14ac:dyDescent="0.25">
      <c r="B365" s="130">
        <f t="shared" si="45"/>
        <v>46359</v>
      </c>
      <c r="C365" s="208">
        <f t="shared" ca="1" si="46"/>
        <v>217857.14285714287</v>
      </c>
      <c r="D365" s="208">
        <f t="shared" si="42"/>
        <v>0</v>
      </c>
      <c r="E365" s="208">
        <f t="shared" si="43"/>
        <v>0</v>
      </c>
      <c r="F365" s="208">
        <f t="shared" ca="1" si="47"/>
        <v>66.567460317460331</v>
      </c>
      <c r="G365" s="502">
        <f t="shared" ca="1" si="48"/>
        <v>177566.76587301743</v>
      </c>
      <c r="H365" s="502">
        <f t="shared" ca="1" si="44"/>
        <v>395423.90873016033</v>
      </c>
    </row>
    <row r="366" spans="2:8" x14ac:dyDescent="0.25">
      <c r="B366" s="130">
        <f t="shared" si="45"/>
        <v>46360</v>
      </c>
      <c r="C366" s="208">
        <f t="shared" ca="1" si="46"/>
        <v>217857.14285714287</v>
      </c>
      <c r="D366" s="208">
        <f t="shared" si="42"/>
        <v>0</v>
      </c>
      <c r="E366" s="208">
        <f t="shared" si="43"/>
        <v>0</v>
      </c>
      <c r="F366" s="208">
        <f t="shared" ca="1" si="47"/>
        <v>66.567460317460331</v>
      </c>
      <c r="G366" s="502">
        <f t="shared" ca="1" si="48"/>
        <v>177500.19841269997</v>
      </c>
      <c r="H366" s="502">
        <f t="shared" ca="1" si="44"/>
        <v>395357.34126984281</v>
      </c>
    </row>
    <row r="367" spans="2:8" x14ac:dyDescent="0.25">
      <c r="B367" s="130">
        <f t="shared" si="45"/>
        <v>46361</v>
      </c>
      <c r="C367" s="208">
        <f t="shared" ca="1" si="46"/>
        <v>217857.14285714287</v>
      </c>
      <c r="D367" s="208">
        <f t="shared" si="42"/>
        <v>0</v>
      </c>
      <c r="E367" s="208">
        <f t="shared" si="43"/>
        <v>0</v>
      </c>
      <c r="F367" s="208">
        <f t="shared" ca="1" si="47"/>
        <v>66.567460317460331</v>
      </c>
      <c r="G367" s="502">
        <f t="shared" ca="1" si="48"/>
        <v>177433.63095238252</v>
      </c>
      <c r="H367" s="502">
        <f t="shared" ca="1" si="44"/>
        <v>395290.77380952542</v>
      </c>
    </row>
    <row r="368" spans="2:8" x14ac:dyDescent="0.25">
      <c r="B368" s="130">
        <f t="shared" si="45"/>
        <v>46362</v>
      </c>
      <c r="C368" s="208">
        <f t="shared" ca="1" si="46"/>
        <v>217857.14285714287</v>
      </c>
      <c r="D368" s="208">
        <f t="shared" si="42"/>
        <v>0</v>
      </c>
      <c r="E368" s="208">
        <f t="shared" si="43"/>
        <v>0</v>
      </c>
      <c r="F368" s="208">
        <f t="shared" ca="1" si="47"/>
        <v>66.567460317460331</v>
      </c>
      <c r="G368" s="502">
        <f t="shared" ca="1" si="48"/>
        <v>177367.06349206506</v>
      </c>
      <c r="H368" s="502">
        <f t="shared" ca="1" si="44"/>
        <v>395224.2063492079</v>
      </c>
    </row>
    <row r="369" spans="2:8" x14ac:dyDescent="0.25">
      <c r="B369" s="130">
        <f t="shared" si="45"/>
        <v>46363</v>
      </c>
      <c r="C369" s="208">
        <f t="shared" ca="1" si="46"/>
        <v>217857.14285714287</v>
      </c>
      <c r="D369" s="208">
        <f t="shared" si="42"/>
        <v>0</v>
      </c>
      <c r="E369" s="208">
        <f t="shared" si="43"/>
        <v>0</v>
      </c>
      <c r="F369" s="208">
        <f t="shared" ca="1" si="47"/>
        <v>66.567460317460331</v>
      </c>
      <c r="G369" s="502">
        <f t="shared" ca="1" si="48"/>
        <v>177300.49603174761</v>
      </c>
      <c r="H369" s="502">
        <f t="shared" ca="1" si="44"/>
        <v>395157.63888889051</v>
      </c>
    </row>
    <row r="370" spans="2:8" x14ac:dyDescent="0.25">
      <c r="B370" s="130">
        <f t="shared" si="45"/>
        <v>46364</v>
      </c>
      <c r="C370" s="208">
        <f t="shared" ca="1" si="46"/>
        <v>217857.14285714287</v>
      </c>
      <c r="D370" s="208">
        <f t="shared" si="42"/>
        <v>0</v>
      </c>
      <c r="E370" s="208">
        <f t="shared" si="43"/>
        <v>0</v>
      </c>
      <c r="F370" s="208">
        <f t="shared" ca="1" si="47"/>
        <v>66.567460317460331</v>
      </c>
      <c r="G370" s="502">
        <f t="shared" ca="1" si="48"/>
        <v>177233.92857143015</v>
      </c>
      <c r="H370" s="502">
        <f t="shared" ca="1" si="44"/>
        <v>395091.07142857299</v>
      </c>
    </row>
    <row r="371" spans="2:8" x14ac:dyDescent="0.25">
      <c r="B371" s="130">
        <f t="shared" si="45"/>
        <v>46365</v>
      </c>
      <c r="C371" s="208">
        <f t="shared" ca="1" si="46"/>
        <v>217857.14285714287</v>
      </c>
      <c r="D371" s="208">
        <f t="shared" si="42"/>
        <v>0</v>
      </c>
      <c r="E371" s="208">
        <f t="shared" si="43"/>
        <v>0</v>
      </c>
      <c r="F371" s="208">
        <f t="shared" ca="1" si="47"/>
        <v>66.567460317460331</v>
      </c>
      <c r="G371" s="502">
        <f t="shared" ca="1" si="48"/>
        <v>177167.3611111127</v>
      </c>
      <c r="H371" s="502">
        <f t="shared" ca="1" si="44"/>
        <v>395024.50396825559</v>
      </c>
    </row>
    <row r="372" spans="2:8" x14ac:dyDescent="0.25">
      <c r="B372" s="130">
        <f t="shared" si="45"/>
        <v>46366</v>
      </c>
      <c r="C372" s="208">
        <f t="shared" ca="1" si="46"/>
        <v>217857.14285714287</v>
      </c>
      <c r="D372" s="208">
        <f t="shared" si="42"/>
        <v>0</v>
      </c>
      <c r="E372" s="208">
        <f t="shared" si="43"/>
        <v>0</v>
      </c>
      <c r="F372" s="208">
        <f t="shared" ca="1" si="47"/>
        <v>66.567460317460331</v>
      </c>
      <c r="G372" s="502">
        <f t="shared" ca="1" si="48"/>
        <v>177100.79365079524</v>
      </c>
      <c r="H372" s="502">
        <f t="shared" ca="1" si="44"/>
        <v>394957.93650793808</v>
      </c>
    </row>
    <row r="373" spans="2:8" x14ac:dyDescent="0.25">
      <c r="B373" s="130">
        <f t="shared" si="45"/>
        <v>46367</v>
      </c>
      <c r="C373" s="208">
        <f t="shared" ca="1" si="46"/>
        <v>217857.14285714287</v>
      </c>
      <c r="D373" s="208">
        <f t="shared" si="42"/>
        <v>0</v>
      </c>
      <c r="E373" s="208">
        <f t="shared" si="43"/>
        <v>0</v>
      </c>
      <c r="F373" s="208">
        <f t="shared" ca="1" si="47"/>
        <v>66.567460317460331</v>
      </c>
      <c r="G373" s="502">
        <f t="shared" ca="1" si="48"/>
        <v>177034.22619047778</v>
      </c>
      <c r="H373" s="502">
        <f t="shared" ca="1" si="44"/>
        <v>394891.36904762068</v>
      </c>
    </row>
    <row r="374" spans="2:8" x14ac:dyDescent="0.25">
      <c r="B374" s="130">
        <f t="shared" si="45"/>
        <v>46368</v>
      </c>
      <c r="C374" s="208">
        <f t="shared" ca="1" si="46"/>
        <v>217857.14285714287</v>
      </c>
      <c r="D374" s="208">
        <f t="shared" si="42"/>
        <v>0</v>
      </c>
      <c r="E374" s="208">
        <f t="shared" si="43"/>
        <v>0</v>
      </c>
      <c r="F374" s="208">
        <f t="shared" ca="1" si="47"/>
        <v>66.567460317460331</v>
      </c>
      <c r="G374" s="502">
        <f t="shared" ca="1" si="48"/>
        <v>176967.65873016033</v>
      </c>
      <c r="H374" s="502">
        <f t="shared" ca="1" si="44"/>
        <v>394824.80158730317</v>
      </c>
    </row>
    <row r="375" spans="2:8" x14ac:dyDescent="0.25">
      <c r="B375" s="130">
        <f t="shared" si="45"/>
        <v>46369</v>
      </c>
      <c r="C375" s="208">
        <f t="shared" ca="1" si="46"/>
        <v>217857.14285714287</v>
      </c>
      <c r="D375" s="208">
        <f t="shared" si="42"/>
        <v>0</v>
      </c>
      <c r="E375" s="208">
        <f t="shared" si="43"/>
        <v>0</v>
      </c>
      <c r="F375" s="208">
        <f t="shared" ca="1" si="47"/>
        <v>66.567460317460331</v>
      </c>
      <c r="G375" s="502">
        <f t="shared" ca="1" si="48"/>
        <v>176901.09126984287</v>
      </c>
      <c r="H375" s="502">
        <f t="shared" ca="1" si="44"/>
        <v>394758.23412698577</v>
      </c>
    </row>
    <row r="376" spans="2:8" x14ac:dyDescent="0.25">
      <c r="B376" s="130">
        <f t="shared" si="45"/>
        <v>46370</v>
      </c>
      <c r="C376" s="208">
        <f t="shared" ca="1" si="46"/>
        <v>217857.14285714287</v>
      </c>
      <c r="D376" s="208">
        <f t="shared" si="42"/>
        <v>0</v>
      </c>
      <c r="E376" s="208">
        <f t="shared" si="43"/>
        <v>0</v>
      </c>
      <c r="F376" s="208">
        <f t="shared" ca="1" si="47"/>
        <v>66.567460317460331</v>
      </c>
      <c r="G376" s="502">
        <f t="shared" ca="1" si="48"/>
        <v>176834.52380952542</v>
      </c>
      <c r="H376" s="502">
        <f t="shared" ca="1" si="44"/>
        <v>394691.66666666826</v>
      </c>
    </row>
    <row r="377" spans="2:8" x14ac:dyDescent="0.25">
      <c r="B377" s="130">
        <f t="shared" si="45"/>
        <v>46371</v>
      </c>
      <c r="C377" s="208">
        <f t="shared" ca="1" si="46"/>
        <v>217857.14285714287</v>
      </c>
      <c r="D377" s="208">
        <f t="shared" si="42"/>
        <v>0</v>
      </c>
      <c r="E377" s="208">
        <f t="shared" si="43"/>
        <v>0</v>
      </c>
      <c r="F377" s="208">
        <f t="shared" ca="1" si="47"/>
        <v>66.567460317460331</v>
      </c>
      <c r="G377" s="502">
        <f t="shared" ca="1" si="48"/>
        <v>176767.95634920796</v>
      </c>
      <c r="H377" s="502">
        <f t="shared" ca="1" si="44"/>
        <v>394625.09920635086</v>
      </c>
    </row>
    <row r="378" spans="2:8" x14ac:dyDescent="0.25">
      <c r="B378" s="130">
        <f t="shared" si="45"/>
        <v>46372</v>
      </c>
      <c r="C378" s="208">
        <f t="shared" ca="1" si="46"/>
        <v>217857.14285714287</v>
      </c>
      <c r="D378" s="208">
        <f t="shared" si="42"/>
        <v>0</v>
      </c>
      <c r="E378" s="208">
        <f t="shared" si="43"/>
        <v>0</v>
      </c>
      <c r="F378" s="208">
        <f t="shared" ca="1" si="47"/>
        <v>66.567460317460331</v>
      </c>
      <c r="G378" s="502">
        <f t="shared" ca="1" si="48"/>
        <v>176701.38888889051</v>
      </c>
      <c r="H378" s="502">
        <f t="shared" ca="1" si="44"/>
        <v>394558.53174603335</v>
      </c>
    </row>
    <row r="379" spans="2:8" x14ac:dyDescent="0.25">
      <c r="B379" s="130">
        <f t="shared" si="45"/>
        <v>46373</v>
      </c>
      <c r="C379" s="208">
        <f t="shared" ca="1" si="46"/>
        <v>217857.14285714287</v>
      </c>
      <c r="D379" s="208">
        <f t="shared" si="42"/>
        <v>0</v>
      </c>
      <c r="E379" s="208">
        <f t="shared" si="43"/>
        <v>0</v>
      </c>
      <c r="F379" s="208">
        <f t="shared" ca="1" si="47"/>
        <v>66.567460317460331</v>
      </c>
      <c r="G379" s="502">
        <f t="shared" ca="1" si="48"/>
        <v>176634.82142857305</v>
      </c>
      <c r="H379" s="502">
        <f t="shared" ca="1" si="44"/>
        <v>394491.96428571595</v>
      </c>
    </row>
    <row r="380" spans="2:8" x14ac:dyDescent="0.25">
      <c r="B380" s="130">
        <f t="shared" si="45"/>
        <v>46374</v>
      </c>
      <c r="C380" s="208">
        <f t="shared" ca="1" si="46"/>
        <v>217857.14285714287</v>
      </c>
      <c r="D380" s="208">
        <f t="shared" si="42"/>
        <v>0</v>
      </c>
      <c r="E380" s="208">
        <f t="shared" si="43"/>
        <v>0</v>
      </c>
      <c r="F380" s="208">
        <f t="shared" ca="1" si="47"/>
        <v>66.567460317460331</v>
      </c>
      <c r="G380" s="502">
        <f t="shared" ca="1" si="48"/>
        <v>176568.25396825559</v>
      </c>
      <c r="H380" s="502">
        <f t="shared" ca="1" si="44"/>
        <v>394425.39682539843</v>
      </c>
    </row>
    <row r="381" spans="2:8" x14ac:dyDescent="0.25">
      <c r="B381" s="130">
        <f t="shared" si="45"/>
        <v>46375</v>
      </c>
      <c r="C381" s="208">
        <f t="shared" ca="1" si="46"/>
        <v>217857.14285714287</v>
      </c>
      <c r="D381" s="208">
        <f t="shared" si="42"/>
        <v>0</v>
      </c>
      <c r="E381" s="208">
        <f t="shared" si="43"/>
        <v>0</v>
      </c>
      <c r="F381" s="208">
        <f t="shared" ca="1" si="47"/>
        <v>66.567460317460331</v>
      </c>
      <c r="G381" s="502">
        <f t="shared" ca="1" si="48"/>
        <v>176501.68650793814</v>
      </c>
      <c r="H381" s="502">
        <f t="shared" ca="1" si="44"/>
        <v>394358.82936508104</v>
      </c>
    </row>
    <row r="382" spans="2:8" x14ac:dyDescent="0.25">
      <c r="B382" s="130">
        <f t="shared" si="45"/>
        <v>46376</v>
      </c>
      <c r="C382" s="208">
        <f t="shared" ca="1" si="46"/>
        <v>217857.14285714287</v>
      </c>
      <c r="D382" s="208">
        <f t="shared" si="42"/>
        <v>0</v>
      </c>
      <c r="E382" s="208">
        <f t="shared" si="43"/>
        <v>0</v>
      </c>
      <c r="F382" s="208">
        <f t="shared" ca="1" si="47"/>
        <v>66.567460317460331</v>
      </c>
      <c r="G382" s="502">
        <f t="shared" ca="1" si="48"/>
        <v>176435.11904762068</v>
      </c>
      <c r="H382" s="502">
        <f t="shared" ca="1" si="44"/>
        <v>394292.26190476352</v>
      </c>
    </row>
    <row r="383" spans="2:8" x14ac:dyDescent="0.25">
      <c r="B383" s="130">
        <f t="shared" si="45"/>
        <v>46377</v>
      </c>
      <c r="C383" s="208">
        <f t="shared" ca="1" si="46"/>
        <v>217857.14285714287</v>
      </c>
      <c r="D383" s="208">
        <f t="shared" si="42"/>
        <v>0</v>
      </c>
      <c r="E383" s="208">
        <f t="shared" si="43"/>
        <v>0</v>
      </c>
      <c r="F383" s="208">
        <f t="shared" ca="1" si="47"/>
        <v>66.567460317460331</v>
      </c>
      <c r="G383" s="502">
        <f t="shared" ca="1" si="48"/>
        <v>176368.55158730323</v>
      </c>
      <c r="H383" s="502">
        <f t="shared" ca="1" si="44"/>
        <v>394225.69444444613</v>
      </c>
    </row>
    <row r="384" spans="2:8" x14ac:dyDescent="0.25">
      <c r="B384" s="130">
        <f t="shared" si="45"/>
        <v>46378</v>
      </c>
      <c r="C384" s="208">
        <f t="shared" ca="1" si="46"/>
        <v>217857.14285714287</v>
      </c>
      <c r="D384" s="208">
        <f t="shared" si="42"/>
        <v>0</v>
      </c>
      <c r="E384" s="208">
        <f t="shared" si="43"/>
        <v>0</v>
      </c>
      <c r="F384" s="208">
        <f t="shared" ca="1" si="47"/>
        <v>66.567460317460331</v>
      </c>
      <c r="G384" s="502">
        <f t="shared" ca="1" si="48"/>
        <v>176301.98412698577</v>
      </c>
      <c r="H384" s="502">
        <f t="shared" ca="1" si="44"/>
        <v>394159.12698412861</v>
      </c>
    </row>
    <row r="385" spans="2:8" x14ac:dyDescent="0.25">
      <c r="B385" s="130">
        <f t="shared" si="45"/>
        <v>46379</v>
      </c>
      <c r="C385" s="208">
        <f t="shared" ca="1" si="46"/>
        <v>217857.14285714287</v>
      </c>
      <c r="D385" s="208">
        <f t="shared" si="42"/>
        <v>0</v>
      </c>
      <c r="E385" s="208">
        <f t="shared" si="43"/>
        <v>0</v>
      </c>
      <c r="F385" s="208">
        <f t="shared" ca="1" si="47"/>
        <v>66.567460317460331</v>
      </c>
      <c r="G385" s="502">
        <f t="shared" ca="1" si="48"/>
        <v>176235.41666666832</v>
      </c>
      <c r="H385" s="502">
        <f t="shared" ca="1" si="44"/>
        <v>394092.55952381121</v>
      </c>
    </row>
    <row r="386" spans="2:8" x14ac:dyDescent="0.25">
      <c r="B386" s="130">
        <f t="shared" si="45"/>
        <v>46380</v>
      </c>
      <c r="C386" s="208">
        <f t="shared" ca="1" si="46"/>
        <v>217857.14285714287</v>
      </c>
      <c r="D386" s="208">
        <f t="shared" si="42"/>
        <v>0</v>
      </c>
      <c r="E386" s="208">
        <f t="shared" si="43"/>
        <v>0</v>
      </c>
      <c r="F386" s="208">
        <f t="shared" ca="1" si="47"/>
        <v>66.567460317460331</v>
      </c>
      <c r="G386" s="502">
        <f t="shared" ca="1" si="48"/>
        <v>176168.84920635086</v>
      </c>
      <c r="H386" s="502">
        <f t="shared" ca="1" si="44"/>
        <v>394025.9920634937</v>
      </c>
    </row>
    <row r="387" spans="2:8" x14ac:dyDescent="0.25">
      <c r="B387" s="130">
        <f t="shared" si="45"/>
        <v>46381</v>
      </c>
      <c r="C387" s="208">
        <f t="shared" ca="1" si="46"/>
        <v>217857.14285714287</v>
      </c>
      <c r="D387" s="208">
        <f t="shared" si="42"/>
        <v>0</v>
      </c>
      <c r="E387" s="208">
        <f t="shared" si="43"/>
        <v>0</v>
      </c>
      <c r="F387" s="208">
        <f t="shared" ca="1" si="47"/>
        <v>66.567460317460331</v>
      </c>
      <c r="G387" s="502">
        <f t="shared" ca="1" si="48"/>
        <v>176102.2817460334</v>
      </c>
      <c r="H387" s="502">
        <f t="shared" ca="1" si="44"/>
        <v>393959.4246031763</v>
      </c>
    </row>
    <row r="388" spans="2:8" x14ac:dyDescent="0.25">
      <c r="B388" s="130">
        <f t="shared" si="45"/>
        <v>46382</v>
      </c>
      <c r="C388" s="208">
        <f t="shared" ca="1" si="46"/>
        <v>217857.14285714287</v>
      </c>
      <c r="D388" s="208">
        <f t="shared" si="42"/>
        <v>0</v>
      </c>
      <c r="E388" s="208">
        <f t="shared" si="43"/>
        <v>0</v>
      </c>
      <c r="F388" s="208">
        <f t="shared" ca="1" si="47"/>
        <v>66.567460317460331</v>
      </c>
      <c r="G388" s="502">
        <f t="shared" ca="1" si="48"/>
        <v>176035.71428571595</v>
      </c>
      <c r="H388" s="502">
        <f t="shared" ca="1" si="44"/>
        <v>393892.85714285879</v>
      </c>
    </row>
    <row r="389" spans="2:8" x14ac:dyDescent="0.25">
      <c r="B389" s="130">
        <f t="shared" si="45"/>
        <v>46383</v>
      </c>
      <c r="C389" s="208">
        <f t="shared" ca="1" si="46"/>
        <v>217857.14285714287</v>
      </c>
      <c r="D389" s="208">
        <f t="shared" si="42"/>
        <v>0</v>
      </c>
      <c r="E389" s="208">
        <f t="shared" si="43"/>
        <v>0</v>
      </c>
      <c r="F389" s="208">
        <f t="shared" ca="1" si="47"/>
        <v>66.567460317460331</v>
      </c>
      <c r="G389" s="502">
        <f t="shared" ca="1" si="48"/>
        <v>175969.14682539849</v>
      </c>
      <c r="H389" s="502">
        <f t="shared" ca="1" si="44"/>
        <v>393826.28968254139</v>
      </c>
    </row>
    <row r="390" spans="2:8" x14ac:dyDescent="0.25">
      <c r="B390" s="130">
        <f t="shared" si="45"/>
        <v>46384</v>
      </c>
      <c r="C390" s="208">
        <f t="shared" ca="1" si="46"/>
        <v>217857.14285714287</v>
      </c>
      <c r="D390" s="208">
        <f t="shared" si="42"/>
        <v>0</v>
      </c>
      <c r="E390" s="208">
        <f t="shared" si="43"/>
        <v>0</v>
      </c>
      <c r="F390" s="208">
        <f t="shared" ca="1" si="47"/>
        <v>66.567460317460331</v>
      </c>
      <c r="G390" s="502">
        <f t="shared" ca="1" si="48"/>
        <v>175902.57936508104</v>
      </c>
      <c r="H390" s="502">
        <f t="shared" ca="1" si="44"/>
        <v>393759.72222222388</v>
      </c>
    </row>
    <row r="391" spans="2:8" x14ac:dyDescent="0.25">
      <c r="B391" s="130">
        <f t="shared" si="45"/>
        <v>46385</v>
      </c>
      <c r="C391" s="208">
        <f t="shared" ca="1" si="46"/>
        <v>217857.14285714287</v>
      </c>
      <c r="D391" s="208">
        <f t="shared" si="42"/>
        <v>0</v>
      </c>
      <c r="E391" s="208">
        <f t="shared" si="43"/>
        <v>0</v>
      </c>
      <c r="F391" s="208">
        <f t="shared" ca="1" si="47"/>
        <v>66.567460317460331</v>
      </c>
      <c r="G391" s="502">
        <f t="shared" ca="1" si="48"/>
        <v>175836.01190476358</v>
      </c>
      <c r="H391" s="502">
        <f t="shared" ca="1" si="44"/>
        <v>393693.15476190648</v>
      </c>
    </row>
    <row r="392" spans="2:8" x14ac:dyDescent="0.25">
      <c r="B392" s="130">
        <f t="shared" si="45"/>
        <v>46386</v>
      </c>
      <c r="C392" s="208">
        <f t="shared" ca="1" si="46"/>
        <v>217857.14285714287</v>
      </c>
      <c r="D392" s="208">
        <f t="shared" si="42"/>
        <v>0</v>
      </c>
      <c r="E392" s="208">
        <f t="shared" si="43"/>
        <v>0</v>
      </c>
      <c r="F392" s="208">
        <f t="shared" ca="1" si="47"/>
        <v>66.567460317460331</v>
      </c>
      <c r="G392" s="502">
        <f t="shared" ca="1" si="48"/>
        <v>175769.44444444613</v>
      </c>
      <c r="H392" s="502">
        <f t="shared" ca="1" si="44"/>
        <v>393626.58730158897</v>
      </c>
    </row>
    <row r="393" spans="2:8" x14ac:dyDescent="0.25">
      <c r="B393" s="130">
        <f t="shared" si="45"/>
        <v>46387</v>
      </c>
      <c r="C393" s="208">
        <f t="shared" ca="1" si="46"/>
        <v>217857.14285714287</v>
      </c>
      <c r="D393" s="208">
        <f t="shared" si="42"/>
        <v>0</v>
      </c>
      <c r="E393" s="208">
        <f t="shared" si="43"/>
        <v>0</v>
      </c>
      <c r="F393" s="208">
        <f t="shared" ca="1" si="47"/>
        <v>66.567460317460331</v>
      </c>
      <c r="G393" s="502">
        <f t="shared" ca="1" si="48"/>
        <v>175702.87698412867</v>
      </c>
      <c r="H393" s="502">
        <f t="shared" ca="1" si="44"/>
        <v>393560.01984127157</v>
      </c>
    </row>
    <row r="394" spans="2:8" x14ac:dyDescent="0.25">
      <c r="B394" s="130">
        <f t="shared" si="45"/>
        <v>46388</v>
      </c>
      <c r="C394" s="208">
        <f t="shared" ca="1" si="46"/>
        <v>217857.14285714287</v>
      </c>
      <c r="D394" s="208">
        <f t="shared" si="42"/>
        <v>0</v>
      </c>
      <c r="E394" s="208">
        <f t="shared" si="43"/>
        <v>0</v>
      </c>
      <c r="F394" s="208">
        <f t="shared" ca="1" si="47"/>
        <v>66.567460317460331</v>
      </c>
      <c r="G394" s="502">
        <f t="shared" ca="1" si="48"/>
        <v>175636.30952381121</v>
      </c>
      <c r="H394" s="502">
        <f t="shared" ca="1" si="44"/>
        <v>393493.45238095406</v>
      </c>
    </row>
    <row r="395" spans="2:8" x14ac:dyDescent="0.25">
      <c r="B395" s="130">
        <f t="shared" si="45"/>
        <v>46389</v>
      </c>
      <c r="C395" s="208">
        <f t="shared" ca="1" si="46"/>
        <v>217857.14285714287</v>
      </c>
      <c r="D395" s="208">
        <f t="shared" si="42"/>
        <v>0</v>
      </c>
      <c r="E395" s="208">
        <f t="shared" si="43"/>
        <v>0</v>
      </c>
      <c r="F395" s="208">
        <f t="shared" ca="1" si="47"/>
        <v>66.567460317460331</v>
      </c>
      <c r="G395" s="502">
        <f t="shared" ca="1" si="48"/>
        <v>175569.74206349376</v>
      </c>
      <c r="H395" s="502">
        <f t="shared" ca="1" si="44"/>
        <v>393426.88492063666</v>
      </c>
    </row>
    <row r="396" spans="2:8" x14ac:dyDescent="0.25">
      <c r="B396" s="130">
        <f t="shared" si="45"/>
        <v>46390</v>
      </c>
      <c r="C396" s="208">
        <f t="shared" ca="1" si="46"/>
        <v>217857.14285714287</v>
      </c>
      <c r="D396" s="208">
        <f t="shared" si="42"/>
        <v>0</v>
      </c>
      <c r="E396" s="208">
        <f t="shared" si="43"/>
        <v>0</v>
      </c>
      <c r="F396" s="208">
        <f t="shared" ca="1" si="47"/>
        <v>66.567460317460331</v>
      </c>
      <c r="G396" s="502">
        <f t="shared" ca="1" si="48"/>
        <v>175503.1746031763</v>
      </c>
      <c r="H396" s="502">
        <f t="shared" ca="1" si="44"/>
        <v>393360.31746031914</v>
      </c>
    </row>
    <row r="397" spans="2:8" x14ac:dyDescent="0.25">
      <c r="B397" s="130">
        <f t="shared" si="45"/>
        <v>46391</v>
      </c>
      <c r="C397" s="208">
        <f t="shared" ca="1" si="46"/>
        <v>217857.14285714287</v>
      </c>
      <c r="D397" s="208">
        <f t="shared" si="42"/>
        <v>0</v>
      </c>
      <c r="E397" s="208">
        <f t="shared" si="43"/>
        <v>0</v>
      </c>
      <c r="F397" s="208">
        <f t="shared" ca="1" si="47"/>
        <v>66.567460317460331</v>
      </c>
      <c r="G397" s="502">
        <f t="shared" ca="1" si="48"/>
        <v>175436.60714285885</v>
      </c>
      <c r="H397" s="502">
        <f t="shared" ca="1" si="44"/>
        <v>393293.75000000175</v>
      </c>
    </row>
    <row r="398" spans="2:8" x14ac:dyDescent="0.25">
      <c r="B398" s="130">
        <f t="shared" si="45"/>
        <v>46392</v>
      </c>
      <c r="C398" s="208">
        <f t="shared" ca="1" si="46"/>
        <v>217857.14285714287</v>
      </c>
      <c r="D398" s="208">
        <f t="shared" si="42"/>
        <v>0</v>
      </c>
      <c r="E398" s="208">
        <f t="shared" si="43"/>
        <v>0</v>
      </c>
      <c r="F398" s="208">
        <f t="shared" ca="1" si="47"/>
        <v>66.567460317460331</v>
      </c>
      <c r="G398" s="502">
        <f t="shared" ca="1" si="48"/>
        <v>175370.03968254139</v>
      </c>
      <c r="H398" s="502">
        <f t="shared" ca="1" si="44"/>
        <v>393227.18253968423</v>
      </c>
    </row>
    <row r="399" spans="2:8" x14ac:dyDescent="0.25">
      <c r="B399" s="130">
        <f t="shared" si="45"/>
        <v>46393</v>
      </c>
      <c r="C399" s="208">
        <f t="shared" ca="1" si="46"/>
        <v>217857.14285714287</v>
      </c>
      <c r="D399" s="208">
        <f t="shared" si="42"/>
        <v>0</v>
      </c>
      <c r="E399" s="208">
        <f t="shared" si="43"/>
        <v>0</v>
      </c>
      <c r="F399" s="208">
        <f t="shared" ca="1" si="47"/>
        <v>66.567460317460331</v>
      </c>
      <c r="G399" s="502">
        <f t="shared" ca="1" si="48"/>
        <v>175303.47222222394</v>
      </c>
      <c r="H399" s="502">
        <f t="shared" ca="1" si="44"/>
        <v>393160.61507936683</v>
      </c>
    </row>
    <row r="400" spans="2:8" x14ac:dyDescent="0.25">
      <c r="B400" s="130">
        <f t="shared" si="45"/>
        <v>46394</v>
      </c>
      <c r="C400" s="208">
        <f t="shared" ca="1" si="46"/>
        <v>217857.14285714287</v>
      </c>
      <c r="D400" s="208">
        <f t="shared" si="42"/>
        <v>0</v>
      </c>
      <c r="E400" s="208">
        <f t="shared" si="43"/>
        <v>0</v>
      </c>
      <c r="F400" s="208">
        <f t="shared" ca="1" si="47"/>
        <v>66.567460317460331</v>
      </c>
      <c r="G400" s="502">
        <f t="shared" ca="1" si="48"/>
        <v>175236.90476190648</v>
      </c>
      <c r="H400" s="502">
        <f t="shared" ca="1" si="44"/>
        <v>393094.04761904932</v>
      </c>
    </row>
    <row r="401" spans="2:8" x14ac:dyDescent="0.25">
      <c r="B401" s="130">
        <f t="shared" si="45"/>
        <v>46395</v>
      </c>
      <c r="C401" s="208">
        <f t="shared" ca="1" si="46"/>
        <v>217857.14285714287</v>
      </c>
      <c r="D401" s="208">
        <f t="shared" si="42"/>
        <v>0</v>
      </c>
      <c r="E401" s="208">
        <f t="shared" si="43"/>
        <v>0</v>
      </c>
      <c r="F401" s="208">
        <f t="shared" ca="1" si="47"/>
        <v>66.567460317460331</v>
      </c>
      <c r="G401" s="502">
        <f t="shared" ca="1" si="48"/>
        <v>175170.33730158902</v>
      </c>
      <c r="H401" s="502">
        <f t="shared" ca="1" si="44"/>
        <v>393027.48015873192</v>
      </c>
    </row>
    <row r="402" spans="2:8" x14ac:dyDescent="0.25">
      <c r="B402" s="130">
        <f t="shared" si="45"/>
        <v>46396</v>
      </c>
      <c r="C402" s="208">
        <f t="shared" ca="1" si="46"/>
        <v>217857.14285714287</v>
      </c>
      <c r="D402" s="208">
        <f t="shared" si="42"/>
        <v>0</v>
      </c>
      <c r="E402" s="208">
        <f t="shared" si="43"/>
        <v>0</v>
      </c>
      <c r="F402" s="208">
        <f t="shared" ca="1" si="47"/>
        <v>66.567460317460331</v>
      </c>
      <c r="G402" s="502">
        <f t="shared" ca="1" si="48"/>
        <v>175103.76984127157</v>
      </c>
      <c r="H402" s="502">
        <f t="shared" ca="1" si="44"/>
        <v>392960.91269841441</v>
      </c>
    </row>
    <row r="403" spans="2:8" x14ac:dyDescent="0.25">
      <c r="B403" s="130">
        <f t="shared" si="45"/>
        <v>46397</v>
      </c>
      <c r="C403" s="208">
        <f t="shared" ca="1" si="46"/>
        <v>217857.14285714287</v>
      </c>
      <c r="D403" s="208">
        <f t="shared" si="42"/>
        <v>0</v>
      </c>
      <c r="E403" s="208">
        <f t="shared" si="43"/>
        <v>0</v>
      </c>
      <c r="F403" s="208">
        <f t="shared" ca="1" si="47"/>
        <v>66.567460317460331</v>
      </c>
      <c r="G403" s="502">
        <f t="shared" ca="1" si="48"/>
        <v>175037.20238095411</v>
      </c>
      <c r="H403" s="502">
        <f t="shared" ca="1" si="44"/>
        <v>392894.34523809701</v>
      </c>
    </row>
    <row r="404" spans="2:8" x14ac:dyDescent="0.25">
      <c r="B404" s="130">
        <f t="shared" si="45"/>
        <v>46398</v>
      </c>
      <c r="C404" s="208">
        <f t="shared" ca="1" si="46"/>
        <v>217857.14285714287</v>
      </c>
      <c r="D404" s="208">
        <f t="shared" si="42"/>
        <v>0</v>
      </c>
      <c r="E404" s="208">
        <f t="shared" si="43"/>
        <v>0</v>
      </c>
      <c r="F404" s="208">
        <f t="shared" ca="1" si="47"/>
        <v>66.567460317460331</v>
      </c>
      <c r="G404" s="502">
        <f t="shared" ca="1" si="48"/>
        <v>174970.63492063666</v>
      </c>
      <c r="H404" s="502">
        <f t="shared" ca="1" si="44"/>
        <v>392827.7777777795</v>
      </c>
    </row>
    <row r="405" spans="2:8" x14ac:dyDescent="0.25">
      <c r="B405" s="130">
        <f t="shared" si="45"/>
        <v>46399</v>
      </c>
      <c r="C405" s="208">
        <f t="shared" ca="1" si="46"/>
        <v>217857.14285714287</v>
      </c>
      <c r="D405" s="208">
        <f t="shared" si="42"/>
        <v>0</v>
      </c>
      <c r="E405" s="208">
        <f t="shared" si="43"/>
        <v>0</v>
      </c>
      <c r="F405" s="208">
        <f t="shared" ca="1" si="47"/>
        <v>66.567460317460331</v>
      </c>
      <c r="G405" s="502">
        <f t="shared" ca="1" si="48"/>
        <v>174904.0674603192</v>
      </c>
      <c r="H405" s="502">
        <f t="shared" ca="1" si="44"/>
        <v>392761.2103174621</v>
      </c>
    </row>
    <row r="406" spans="2:8" x14ac:dyDescent="0.25">
      <c r="B406" s="130">
        <f t="shared" si="45"/>
        <v>46400</v>
      </c>
      <c r="C406" s="208">
        <f t="shared" ca="1" si="46"/>
        <v>217857.14285714287</v>
      </c>
      <c r="D406" s="208">
        <f t="shared" si="42"/>
        <v>0</v>
      </c>
      <c r="E406" s="208">
        <f t="shared" si="43"/>
        <v>0</v>
      </c>
      <c r="F406" s="208">
        <f t="shared" ca="1" si="47"/>
        <v>66.567460317460331</v>
      </c>
      <c r="G406" s="502">
        <f t="shared" ca="1" si="48"/>
        <v>174837.50000000175</v>
      </c>
      <c r="H406" s="502">
        <f t="shared" ca="1" si="44"/>
        <v>392694.64285714459</v>
      </c>
    </row>
    <row r="407" spans="2:8" x14ac:dyDescent="0.25">
      <c r="B407" s="130">
        <f t="shared" si="45"/>
        <v>46401</v>
      </c>
      <c r="C407" s="208">
        <f t="shared" ca="1" si="46"/>
        <v>217857.14285714287</v>
      </c>
      <c r="D407" s="208">
        <f t="shared" si="42"/>
        <v>0</v>
      </c>
      <c r="E407" s="208">
        <f t="shared" si="43"/>
        <v>0</v>
      </c>
      <c r="F407" s="208">
        <f t="shared" ca="1" si="47"/>
        <v>66.567460317460331</v>
      </c>
      <c r="G407" s="502">
        <f t="shared" ca="1" si="48"/>
        <v>174770.93253968429</v>
      </c>
      <c r="H407" s="502">
        <f t="shared" ca="1" si="44"/>
        <v>392628.07539682719</v>
      </c>
    </row>
    <row r="408" spans="2:8" x14ac:dyDescent="0.25">
      <c r="B408" s="130">
        <f t="shared" si="45"/>
        <v>46402</v>
      </c>
      <c r="C408" s="208">
        <f t="shared" ca="1" si="46"/>
        <v>217857.14285714287</v>
      </c>
      <c r="D408" s="208">
        <f t="shared" si="42"/>
        <v>0</v>
      </c>
      <c r="E408" s="208">
        <f t="shared" si="43"/>
        <v>0</v>
      </c>
      <c r="F408" s="208">
        <f t="shared" ca="1" si="47"/>
        <v>66.567460317460331</v>
      </c>
      <c r="G408" s="502">
        <f t="shared" ca="1" si="48"/>
        <v>174704.36507936683</v>
      </c>
      <c r="H408" s="502">
        <f t="shared" ca="1" si="44"/>
        <v>392561.50793650968</v>
      </c>
    </row>
    <row r="409" spans="2:8" x14ac:dyDescent="0.25">
      <c r="B409" s="130">
        <f t="shared" si="45"/>
        <v>46403</v>
      </c>
      <c r="C409" s="208">
        <f t="shared" ca="1" si="46"/>
        <v>217857.14285714287</v>
      </c>
      <c r="D409" s="208">
        <f t="shared" si="42"/>
        <v>0</v>
      </c>
      <c r="E409" s="208">
        <f t="shared" si="43"/>
        <v>0</v>
      </c>
      <c r="F409" s="208">
        <f t="shared" ca="1" si="47"/>
        <v>66.567460317460331</v>
      </c>
      <c r="G409" s="502">
        <f t="shared" ca="1" si="48"/>
        <v>174637.79761904938</v>
      </c>
      <c r="H409" s="502">
        <f t="shared" ca="1" si="44"/>
        <v>392494.94047619228</v>
      </c>
    </row>
    <row r="410" spans="2:8" x14ac:dyDescent="0.25">
      <c r="B410" s="130">
        <f t="shared" si="45"/>
        <v>46404</v>
      </c>
      <c r="C410" s="208">
        <f t="shared" ca="1" si="46"/>
        <v>217857.14285714287</v>
      </c>
      <c r="D410" s="208">
        <f t="shared" si="42"/>
        <v>0</v>
      </c>
      <c r="E410" s="208">
        <f t="shared" si="43"/>
        <v>0</v>
      </c>
      <c r="F410" s="208">
        <f t="shared" ca="1" si="47"/>
        <v>66.567460317460331</v>
      </c>
      <c r="G410" s="502">
        <f t="shared" ca="1" si="48"/>
        <v>174571.23015873192</v>
      </c>
      <c r="H410" s="502">
        <f t="shared" ca="1" si="44"/>
        <v>392428.37301587476</v>
      </c>
    </row>
    <row r="411" spans="2:8" x14ac:dyDescent="0.25">
      <c r="B411" s="130">
        <f t="shared" si="45"/>
        <v>46405</v>
      </c>
      <c r="C411" s="208">
        <f t="shared" ca="1" si="46"/>
        <v>217857.14285714287</v>
      </c>
      <c r="D411" s="208">
        <f t="shared" si="42"/>
        <v>0</v>
      </c>
      <c r="E411" s="208">
        <f t="shared" si="43"/>
        <v>0</v>
      </c>
      <c r="F411" s="208">
        <f t="shared" ca="1" si="47"/>
        <v>66.567460317460331</v>
      </c>
      <c r="G411" s="502">
        <f t="shared" ca="1" si="48"/>
        <v>174504.66269841447</v>
      </c>
      <c r="H411" s="502">
        <f t="shared" ca="1" si="44"/>
        <v>392361.80555555737</v>
      </c>
    </row>
    <row r="412" spans="2:8" x14ac:dyDescent="0.25">
      <c r="B412" s="130">
        <f t="shared" si="45"/>
        <v>46406</v>
      </c>
      <c r="C412" s="208">
        <f t="shared" ca="1" si="46"/>
        <v>217857.14285714287</v>
      </c>
      <c r="D412" s="208">
        <f t="shared" si="42"/>
        <v>0</v>
      </c>
      <c r="E412" s="208">
        <f t="shared" si="43"/>
        <v>0</v>
      </c>
      <c r="F412" s="208">
        <f t="shared" ca="1" si="47"/>
        <v>66.567460317460331</v>
      </c>
      <c r="G412" s="502">
        <f t="shared" ca="1" si="48"/>
        <v>174438.09523809701</v>
      </c>
      <c r="H412" s="502">
        <f t="shared" ca="1" si="44"/>
        <v>392295.23809523985</v>
      </c>
    </row>
    <row r="413" spans="2:8" x14ac:dyDescent="0.25">
      <c r="B413" s="130">
        <f t="shared" si="45"/>
        <v>46407</v>
      </c>
      <c r="C413" s="208">
        <f t="shared" ca="1" si="46"/>
        <v>217857.14285714287</v>
      </c>
      <c r="D413" s="208">
        <f t="shared" si="42"/>
        <v>0</v>
      </c>
      <c r="E413" s="208">
        <f t="shared" si="43"/>
        <v>0</v>
      </c>
      <c r="F413" s="208">
        <f t="shared" ca="1" si="47"/>
        <v>66.567460317460331</v>
      </c>
      <c r="G413" s="502">
        <f t="shared" ca="1" si="48"/>
        <v>174371.52777777956</v>
      </c>
      <c r="H413" s="502">
        <f t="shared" ca="1" si="44"/>
        <v>392228.67063492246</v>
      </c>
    </row>
    <row r="414" spans="2:8" x14ac:dyDescent="0.25">
      <c r="B414" s="130">
        <f t="shared" si="45"/>
        <v>46408</v>
      </c>
      <c r="C414" s="208">
        <f t="shared" ca="1" si="46"/>
        <v>217857.14285714287</v>
      </c>
      <c r="D414" s="208">
        <f t="shared" ref="D414:D477" si="49">SUMIF($J$3:$J$26,B414,$K$3:$K$26)</f>
        <v>0</v>
      </c>
      <c r="E414" s="208">
        <f t="shared" ref="E414:E477" si="50">-SUMIF($N$3:$N$26,B414,$O$3:$O$26)</f>
        <v>0</v>
      </c>
      <c r="F414" s="208">
        <f t="shared" ca="1" si="47"/>
        <v>66.567460317460331</v>
      </c>
      <c r="G414" s="502">
        <f t="shared" ca="1" si="48"/>
        <v>174304.9603174621</v>
      </c>
      <c r="H414" s="502">
        <f t="shared" ref="H414:H477" ca="1" si="51">+C414+G414</f>
        <v>392162.10317460494</v>
      </c>
    </row>
    <row r="415" spans="2:8" x14ac:dyDescent="0.25">
      <c r="B415" s="130">
        <f t="shared" ref="B415:B478" si="52">+B414+1</f>
        <v>46409</v>
      </c>
      <c r="C415" s="208">
        <f t="shared" ref="C415:C478" ca="1" si="53">+C414+D414+E414</f>
        <v>217857.14285714287</v>
      </c>
      <c r="D415" s="208">
        <f t="shared" si="49"/>
        <v>0</v>
      </c>
      <c r="E415" s="208">
        <f t="shared" si="50"/>
        <v>0</v>
      </c>
      <c r="F415" s="208">
        <f t="shared" ref="F415:F478" ca="1" si="54">+C415*$C$3/360</f>
        <v>66.567460317460331</v>
      </c>
      <c r="G415" s="502">
        <f t="shared" ref="G415:G478" ca="1" si="55">+G414-F415</f>
        <v>174238.39285714464</v>
      </c>
      <c r="H415" s="502">
        <f t="shared" ca="1" si="51"/>
        <v>392095.53571428754</v>
      </c>
    </row>
    <row r="416" spans="2:8" x14ac:dyDescent="0.25">
      <c r="B416" s="130">
        <f t="shared" si="52"/>
        <v>46410</v>
      </c>
      <c r="C416" s="208">
        <f t="shared" ca="1" si="53"/>
        <v>217857.14285714287</v>
      </c>
      <c r="D416" s="208">
        <f t="shared" si="49"/>
        <v>0</v>
      </c>
      <c r="E416" s="208">
        <f t="shared" si="50"/>
        <v>0</v>
      </c>
      <c r="F416" s="208">
        <f t="shared" ca="1" si="54"/>
        <v>66.567460317460331</v>
      </c>
      <c r="G416" s="502">
        <f t="shared" ca="1" si="55"/>
        <v>174171.82539682719</v>
      </c>
      <c r="H416" s="502">
        <f t="shared" ca="1" si="51"/>
        <v>392028.96825397003</v>
      </c>
    </row>
    <row r="417" spans="2:8" x14ac:dyDescent="0.25">
      <c r="B417" s="130">
        <f t="shared" si="52"/>
        <v>46411</v>
      </c>
      <c r="C417" s="208">
        <f t="shared" ca="1" si="53"/>
        <v>217857.14285714287</v>
      </c>
      <c r="D417" s="208">
        <f t="shared" si="49"/>
        <v>0</v>
      </c>
      <c r="E417" s="208">
        <f t="shared" si="50"/>
        <v>0</v>
      </c>
      <c r="F417" s="208">
        <f t="shared" ca="1" si="54"/>
        <v>66.567460317460331</v>
      </c>
      <c r="G417" s="502">
        <f t="shared" ca="1" si="55"/>
        <v>174105.25793650973</v>
      </c>
      <c r="H417" s="502">
        <f t="shared" ca="1" si="51"/>
        <v>391962.40079365263</v>
      </c>
    </row>
    <row r="418" spans="2:8" x14ac:dyDescent="0.25">
      <c r="B418" s="130">
        <f t="shared" si="52"/>
        <v>46412</v>
      </c>
      <c r="C418" s="208">
        <f t="shared" ca="1" si="53"/>
        <v>217857.14285714287</v>
      </c>
      <c r="D418" s="208">
        <f t="shared" si="49"/>
        <v>0</v>
      </c>
      <c r="E418" s="208">
        <f t="shared" si="50"/>
        <v>0</v>
      </c>
      <c r="F418" s="208">
        <f t="shared" ca="1" si="54"/>
        <v>66.567460317460331</v>
      </c>
      <c r="G418" s="502">
        <f t="shared" ca="1" si="55"/>
        <v>174038.69047619228</v>
      </c>
      <c r="H418" s="502">
        <f t="shared" ca="1" si="51"/>
        <v>391895.83333333512</v>
      </c>
    </row>
    <row r="419" spans="2:8" x14ac:dyDescent="0.25">
      <c r="B419" s="130">
        <f t="shared" si="52"/>
        <v>46413</v>
      </c>
      <c r="C419" s="208">
        <f t="shared" ca="1" si="53"/>
        <v>217857.14285714287</v>
      </c>
      <c r="D419" s="208">
        <f t="shared" si="49"/>
        <v>0</v>
      </c>
      <c r="E419" s="208">
        <f t="shared" si="50"/>
        <v>0</v>
      </c>
      <c r="F419" s="208">
        <f t="shared" ca="1" si="54"/>
        <v>66.567460317460331</v>
      </c>
      <c r="G419" s="502">
        <f t="shared" ca="1" si="55"/>
        <v>173972.12301587482</v>
      </c>
      <c r="H419" s="502">
        <f t="shared" ca="1" si="51"/>
        <v>391829.26587301772</v>
      </c>
    </row>
    <row r="420" spans="2:8" x14ac:dyDescent="0.25">
      <c r="B420" s="130">
        <f t="shared" si="52"/>
        <v>46414</v>
      </c>
      <c r="C420" s="208">
        <f t="shared" ca="1" si="53"/>
        <v>217857.14285714287</v>
      </c>
      <c r="D420" s="208">
        <f t="shared" si="49"/>
        <v>0</v>
      </c>
      <c r="E420" s="208">
        <f t="shared" si="50"/>
        <v>0</v>
      </c>
      <c r="F420" s="208">
        <f t="shared" ca="1" si="54"/>
        <v>66.567460317460331</v>
      </c>
      <c r="G420" s="502">
        <f t="shared" ca="1" si="55"/>
        <v>173905.55555555737</v>
      </c>
      <c r="H420" s="502">
        <f t="shared" ca="1" si="51"/>
        <v>391762.69841270021</v>
      </c>
    </row>
    <row r="421" spans="2:8" x14ac:dyDescent="0.25">
      <c r="B421" s="130">
        <f t="shared" si="52"/>
        <v>46415</v>
      </c>
      <c r="C421" s="208">
        <f t="shared" ca="1" si="53"/>
        <v>217857.14285714287</v>
      </c>
      <c r="D421" s="208">
        <f t="shared" si="49"/>
        <v>0</v>
      </c>
      <c r="E421" s="208">
        <f t="shared" si="50"/>
        <v>0</v>
      </c>
      <c r="F421" s="208">
        <f t="shared" ca="1" si="54"/>
        <v>66.567460317460331</v>
      </c>
      <c r="G421" s="502">
        <f t="shared" ca="1" si="55"/>
        <v>173838.98809523991</v>
      </c>
      <c r="H421" s="502">
        <f t="shared" ca="1" si="51"/>
        <v>391696.13095238281</v>
      </c>
    </row>
    <row r="422" spans="2:8" x14ac:dyDescent="0.25">
      <c r="B422" s="130">
        <f t="shared" si="52"/>
        <v>46416</v>
      </c>
      <c r="C422" s="208">
        <f t="shared" ca="1" si="53"/>
        <v>217857.14285714287</v>
      </c>
      <c r="D422" s="208">
        <f t="shared" si="49"/>
        <v>0</v>
      </c>
      <c r="E422" s="208">
        <f t="shared" si="50"/>
        <v>0</v>
      </c>
      <c r="F422" s="208">
        <f t="shared" ca="1" si="54"/>
        <v>66.567460317460331</v>
      </c>
      <c r="G422" s="502">
        <f t="shared" ca="1" si="55"/>
        <v>173772.42063492246</v>
      </c>
      <c r="H422" s="502">
        <f t="shared" ca="1" si="51"/>
        <v>391629.5634920653</v>
      </c>
    </row>
    <row r="423" spans="2:8" x14ac:dyDescent="0.25">
      <c r="B423" s="130">
        <f t="shared" si="52"/>
        <v>46417</v>
      </c>
      <c r="C423" s="208">
        <f t="shared" ca="1" si="53"/>
        <v>217857.14285714287</v>
      </c>
      <c r="D423" s="208">
        <f t="shared" si="49"/>
        <v>0</v>
      </c>
      <c r="E423" s="208">
        <f t="shared" si="50"/>
        <v>0</v>
      </c>
      <c r="F423" s="208">
        <f t="shared" ca="1" si="54"/>
        <v>66.567460317460331</v>
      </c>
      <c r="G423" s="502">
        <f t="shared" ca="1" si="55"/>
        <v>173705.853174605</v>
      </c>
      <c r="H423" s="502">
        <f t="shared" ca="1" si="51"/>
        <v>391562.9960317479</v>
      </c>
    </row>
    <row r="424" spans="2:8" x14ac:dyDescent="0.25">
      <c r="B424" s="130">
        <f t="shared" si="52"/>
        <v>46418</v>
      </c>
      <c r="C424" s="208">
        <f t="shared" ca="1" si="53"/>
        <v>217857.14285714287</v>
      </c>
      <c r="D424" s="208">
        <f t="shared" si="49"/>
        <v>0</v>
      </c>
      <c r="E424" s="208">
        <f t="shared" si="50"/>
        <v>0</v>
      </c>
      <c r="F424" s="208">
        <f t="shared" ca="1" si="54"/>
        <v>66.567460317460331</v>
      </c>
      <c r="G424" s="502">
        <f t="shared" ca="1" si="55"/>
        <v>173639.28571428754</v>
      </c>
      <c r="H424" s="502">
        <f t="shared" ca="1" si="51"/>
        <v>391496.42857143038</v>
      </c>
    </row>
    <row r="425" spans="2:8" x14ac:dyDescent="0.25">
      <c r="B425" s="130">
        <f t="shared" si="52"/>
        <v>46419</v>
      </c>
      <c r="C425" s="208">
        <f t="shared" ca="1" si="53"/>
        <v>217857.14285714287</v>
      </c>
      <c r="D425" s="208">
        <f t="shared" si="49"/>
        <v>0</v>
      </c>
      <c r="E425" s="208">
        <f t="shared" si="50"/>
        <v>0</v>
      </c>
      <c r="F425" s="208">
        <f t="shared" ca="1" si="54"/>
        <v>66.567460317460331</v>
      </c>
      <c r="G425" s="502">
        <f t="shared" ca="1" si="55"/>
        <v>173572.71825397009</v>
      </c>
      <c r="H425" s="502">
        <f t="shared" ca="1" si="51"/>
        <v>391429.86111111299</v>
      </c>
    </row>
    <row r="426" spans="2:8" x14ac:dyDescent="0.25">
      <c r="B426" s="130">
        <f t="shared" si="52"/>
        <v>46420</v>
      </c>
      <c r="C426" s="208">
        <f t="shared" ca="1" si="53"/>
        <v>217857.14285714287</v>
      </c>
      <c r="D426" s="208">
        <f t="shared" si="49"/>
        <v>0</v>
      </c>
      <c r="E426" s="208">
        <f t="shared" si="50"/>
        <v>0</v>
      </c>
      <c r="F426" s="208">
        <f t="shared" ca="1" si="54"/>
        <v>66.567460317460331</v>
      </c>
      <c r="G426" s="502">
        <f t="shared" ca="1" si="55"/>
        <v>173506.15079365263</v>
      </c>
      <c r="H426" s="502">
        <f t="shared" ca="1" si="51"/>
        <v>391363.29365079547</v>
      </c>
    </row>
    <row r="427" spans="2:8" x14ac:dyDescent="0.25">
      <c r="B427" s="130">
        <f t="shared" si="52"/>
        <v>46421</v>
      </c>
      <c r="C427" s="208">
        <f t="shared" ca="1" si="53"/>
        <v>217857.14285714287</v>
      </c>
      <c r="D427" s="208">
        <f t="shared" si="49"/>
        <v>0</v>
      </c>
      <c r="E427" s="208">
        <f t="shared" si="50"/>
        <v>0</v>
      </c>
      <c r="F427" s="208">
        <f t="shared" ca="1" si="54"/>
        <v>66.567460317460331</v>
      </c>
      <c r="G427" s="502">
        <f t="shared" ca="1" si="55"/>
        <v>173439.58333333518</v>
      </c>
      <c r="H427" s="502">
        <f t="shared" ca="1" si="51"/>
        <v>391296.72619047808</v>
      </c>
    </row>
    <row r="428" spans="2:8" x14ac:dyDescent="0.25">
      <c r="B428" s="130">
        <f t="shared" si="52"/>
        <v>46422</v>
      </c>
      <c r="C428" s="208">
        <f t="shared" ca="1" si="53"/>
        <v>217857.14285714287</v>
      </c>
      <c r="D428" s="208">
        <f t="shared" si="49"/>
        <v>0</v>
      </c>
      <c r="E428" s="208">
        <f t="shared" si="50"/>
        <v>0</v>
      </c>
      <c r="F428" s="208">
        <f t="shared" ca="1" si="54"/>
        <v>66.567460317460331</v>
      </c>
      <c r="G428" s="502">
        <f t="shared" ca="1" si="55"/>
        <v>173373.01587301772</v>
      </c>
      <c r="H428" s="502">
        <f t="shared" ca="1" si="51"/>
        <v>391230.15873016056</v>
      </c>
    </row>
    <row r="429" spans="2:8" x14ac:dyDescent="0.25">
      <c r="B429" s="130">
        <f t="shared" si="52"/>
        <v>46423</v>
      </c>
      <c r="C429" s="208">
        <f t="shared" ca="1" si="53"/>
        <v>217857.14285714287</v>
      </c>
      <c r="D429" s="208">
        <f t="shared" si="49"/>
        <v>0</v>
      </c>
      <c r="E429" s="208">
        <f t="shared" si="50"/>
        <v>0</v>
      </c>
      <c r="F429" s="208">
        <f t="shared" ca="1" si="54"/>
        <v>66.567460317460331</v>
      </c>
      <c r="G429" s="502">
        <f t="shared" ca="1" si="55"/>
        <v>173306.44841270027</v>
      </c>
      <c r="H429" s="502">
        <f t="shared" ca="1" si="51"/>
        <v>391163.59126984316</v>
      </c>
    </row>
    <row r="430" spans="2:8" x14ac:dyDescent="0.25">
      <c r="B430" s="130">
        <f t="shared" si="52"/>
        <v>46424</v>
      </c>
      <c r="C430" s="208">
        <f t="shared" ca="1" si="53"/>
        <v>217857.14285714287</v>
      </c>
      <c r="D430" s="208">
        <f t="shared" si="49"/>
        <v>0</v>
      </c>
      <c r="E430" s="208">
        <f t="shared" si="50"/>
        <v>0</v>
      </c>
      <c r="F430" s="208">
        <f t="shared" ca="1" si="54"/>
        <v>66.567460317460331</v>
      </c>
      <c r="G430" s="502">
        <f t="shared" ca="1" si="55"/>
        <v>173239.88095238281</v>
      </c>
      <c r="H430" s="502">
        <f t="shared" ca="1" si="51"/>
        <v>391097.02380952565</v>
      </c>
    </row>
    <row r="431" spans="2:8" x14ac:dyDescent="0.25">
      <c r="B431" s="130">
        <f t="shared" si="52"/>
        <v>46425</v>
      </c>
      <c r="C431" s="208">
        <f t="shared" ca="1" si="53"/>
        <v>217857.14285714287</v>
      </c>
      <c r="D431" s="208">
        <f t="shared" si="49"/>
        <v>0</v>
      </c>
      <c r="E431" s="208">
        <f t="shared" si="50"/>
        <v>0</v>
      </c>
      <c r="F431" s="208">
        <f t="shared" ca="1" si="54"/>
        <v>66.567460317460331</v>
      </c>
      <c r="G431" s="502">
        <f t="shared" ca="1" si="55"/>
        <v>173173.31349206535</v>
      </c>
      <c r="H431" s="502">
        <f t="shared" ca="1" si="51"/>
        <v>391030.45634920825</v>
      </c>
    </row>
    <row r="432" spans="2:8" x14ac:dyDescent="0.25">
      <c r="B432" s="130">
        <f t="shared" si="52"/>
        <v>46426</v>
      </c>
      <c r="C432" s="208">
        <f t="shared" ca="1" si="53"/>
        <v>217857.14285714287</v>
      </c>
      <c r="D432" s="208">
        <f t="shared" si="49"/>
        <v>0</v>
      </c>
      <c r="E432" s="208">
        <f t="shared" si="50"/>
        <v>0</v>
      </c>
      <c r="F432" s="208">
        <f t="shared" ca="1" si="54"/>
        <v>66.567460317460331</v>
      </c>
      <c r="G432" s="502">
        <f t="shared" ca="1" si="55"/>
        <v>173106.7460317479</v>
      </c>
      <c r="H432" s="502">
        <f t="shared" ca="1" si="51"/>
        <v>390963.88888889074</v>
      </c>
    </row>
    <row r="433" spans="2:8" x14ac:dyDescent="0.25">
      <c r="B433" s="130">
        <f t="shared" si="52"/>
        <v>46427</v>
      </c>
      <c r="C433" s="208">
        <f t="shared" ca="1" si="53"/>
        <v>217857.14285714287</v>
      </c>
      <c r="D433" s="208">
        <f t="shared" si="49"/>
        <v>0</v>
      </c>
      <c r="E433" s="208">
        <f t="shared" si="50"/>
        <v>0</v>
      </c>
      <c r="F433" s="208">
        <f t="shared" ca="1" si="54"/>
        <v>66.567460317460331</v>
      </c>
      <c r="G433" s="502">
        <f t="shared" ca="1" si="55"/>
        <v>173040.17857143044</v>
      </c>
      <c r="H433" s="502">
        <f t="shared" ca="1" si="51"/>
        <v>390897.32142857334</v>
      </c>
    </row>
    <row r="434" spans="2:8" x14ac:dyDescent="0.25">
      <c r="B434" s="130">
        <f t="shared" si="52"/>
        <v>46428</v>
      </c>
      <c r="C434" s="208">
        <f t="shared" ca="1" si="53"/>
        <v>217857.14285714287</v>
      </c>
      <c r="D434" s="208">
        <f t="shared" si="49"/>
        <v>0</v>
      </c>
      <c r="E434" s="208">
        <f t="shared" si="50"/>
        <v>0</v>
      </c>
      <c r="F434" s="208">
        <f t="shared" ca="1" si="54"/>
        <v>66.567460317460331</v>
      </c>
      <c r="G434" s="502">
        <f t="shared" ca="1" si="55"/>
        <v>172973.61111111299</v>
      </c>
      <c r="H434" s="502">
        <f t="shared" ca="1" si="51"/>
        <v>390830.75396825583</v>
      </c>
    </row>
    <row r="435" spans="2:8" x14ac:dyDescent="0.25">
      <c r="B435" s="130">
        <f t="shared" si="52"/>
        <v>46429</v>
      </c>
      <c r="C435" s="208">
        <f t="shared" ca="1" si="53"/>
        <v>217857.14285714287</v>
      </c>
      <c r="D435" s="208">
        <f t="shared" si="49"/>
        <v>0</v>
      </c>
      <c r="E435" s="208">
        <f t="shared" si="50"/>
        <v>0</v>
      </c>
      <c r="F435" s="208">
        <f t="shared" ca="1" si="54"/>
        <v>66.567460317460331</v>
      </c>
      <c r="G435" s="502">
        <f t="shared" ca="1" si="55"/>
        <v>172907.04365079553</v>
      </c>
      <c r="H435" s="502">
        <f t="shared" ca="1" si="51"/>
        <v>390764.18650793843</v>
      </c>
    </row>
    <row r="436" spans="2:8" x14ac:dyDescent="0.25">
      <c r="B436" s="130">
        <f t="shared" si="52"/>
        <v>46430</v>
      </c>
      <c r="C436" s="208">
        <f t="shared" ca="1" si="53"/>
        <v>217857.14285714287</v>
      </c>
      <c r="D436" s="208">
        <f t="shared" si="49"/>
        <v>0</v>
      </c>
      <c r="E436" s="208">
        <f t="shared" si="50"/>
        <v>0</v>
      </c>
      <c r="F436" s="208">
        <f t="shared" ca="1" si="54"/>
        <v>66.567460317460331</v>
      </c>
      <c r="G436" s="502">
        <f t="shared" ca="1" si="55"/>
        <v>172840.47619047808</v>
      </c>
      <c r="H436" s="502">
        <f t="shared" ca="1" si="51"/>
        <v>390697.61904762092</v>
      </c>
    </row>
    <row r="437" spans="2:8" x14ac:dyDescent="0.25">
      <c r="B437" s="130">
        <f t="shared" si="52"/>
        <v>46431</v>
      </c>
      <c r="C437" s="208">
        <f t="shared" ca="1" si="53"/>
        <v>217857.14285714287</v>
      </c>
      <c r="D437" s="208">
        <f t="shared" si="49"/>
        <v>0</v>
      </c>
      <c r="E437" s="208">
        <f t="shared" si="50"/>
        <v>0</v>
      </c>
      <c r="F437" s="208">
        <f t="shared" ca="1" si="54"/>
        <v>66.567460317460331</v>
      </c>
      <c r="G437" s="502">
        <f t="shared" ca="1" si="55"/>
        <v>172773.90873016062</v>
      </c>
      <c r="H437" s="502">
        <f t="shared" ca="1" si="51"/>
        <v>390631.05158730352</v>
      </c>
    </row>
    <row r="438" spans="2:8" x14ac:dyDescent="0.25">
      <c r="B438" s="130">
        <f t="shared" si="52"/>
        <v>46432</v>
      </c>
      <c r="C438" s="208">
        <f t="shared" ca="1" si="53"/>
        <v>217857.14285714287</v>
      </c>
      <c r="D438" s="208">
        <f t="shared" si="49"/>
        <v>0</v>
      </c>
      <c r="E438" s="208">
        <f t="shared" si="50"/>
        <v>0</v>
      </c>
      <c r="F438" s="208">
        <f t="shared" ca="1" si="54"/>
        <v>66.567460317460331</v>
      </c>
      <c r="G438" s="502">
        <f t="shared" ca="1" si="55"/>
        <v>172707.34126984316</v>
      </c>
      <c r="H438" s="502">
        <f t="shared" ca="1" si="51"/>
        <v>390564.484126986</v>
      </c>
    </row>
    <row r="439" spans="2:8" x14ac:dyDescent="0.25">
      <c r="B439" s="130">
        <f t="shared" si="52"/>
        <v>46433</v>
      </c>
      <c r="C439" s="208">
        <f t="shared" ca="1" si="53"/>
        <v>217857.14285714287</v>
      </c>
      <c r="D439" s="208">
        <f t="shared" si="49"/>
        <v>0</v>
      </c>
      <c r="E439" s="208">
        <f t="shared" si="50"/>
        <v>0</v>
      </c>
      <c r="F439" s="208">
        <f t="shared" ca="1" si="54"/>
        <v>66.567460317460331</v>
      </c>
      <c r="G439" s="502">
        <f t="shared" ca="1" si="55"/>
        <v>172640.77380952571</v>
      </c>
      <c r="H439" s="502">
        <f t="shared" ca="1" si="51"/>
        <v>390497.91666666861</v>
      </c>
    </row>
    <row r="440" spans="2:8" x14ac:dyDescent="0.25">
      <c r="B440" s="130">
        <f t="shared" si="52"/>
        <v>46434</v>
      </c>
      <c r="C440" s="208">
        <f t="shared" ca="1" si="53"/>
        <v>217857.14285714287</v>
      </c>
      <c r="D440" s="208">
        <f t="shared" si="49"/>
        <v>0</v>
      </c>
      <c r="E440" s="208">
        <f t="shared" si="50"/>
        <v>0</v>
      </c>
      <c r="F440" s="208">
        <f t="shared" ca="1" si="54"/>
        <v>66.567460317460331</v>
      </c>
      <c r="G440" s="502">
        <f t="shared" ca="1" si="55"/>
        <v>172574.20634920825</v>
      </c>
      <c r="H440" s="502">
        <f t="shared" ca="1" si="51"/>
        <v>390431.34920635109</v>
      </c>
    </row>
    <row r="441" spans="2:8" x14ac:dyDescent="0.25">
      <c r="B441" s="130">
        <f t="shared" si="52"/>
        <v>46435</v>
      </c>
      <c r="C441" s="208">
        <f t="shared" ca="1" si="53"/>
        <v>217857.14285714287</v>
      </c>
      <c r="D441" s="208">
        <f t="shared" si="49"/>
        <v>0</v>
      </c>
      <c r="E441" s="208">
        <f t="shared" si="50"/>
        <v>0</v>
      </c>
      <c r="F441" s="208">
        <f t="shared" ca="1" si="54"/>
        <v>66.567460317460331</v>
      </c>
      <c r="G441" s="502">
        <f t="shared" ca="1" si="55"/>
        <v>172507.6388888908</v>
      </c>
      <c r="H441" s="502">
        <f t="shared" ca="1" si="51"/>
        <v>390364.7817460337</v>
      </c>
    </row>
    <row r="442" spans="2:8" x14ac:dyDescent="0.25">
      <c r="B442" s="130">
        <f t="shared" si="52"/>
        <v>46436</v>
      </c>
      <c r="C442" s="208">
        <f t="shared" ca="1" si="53"/>
        <v>217857.14285714287</v>
      </c>
      <c r="D442" s="208">
        <f t="shared" si="49"/>
        <v>0</v>
      </c>
      <c r="E442" s="208">
        <f t="shared" si="50"/>
        <v>0</v>
      </c>
      <c r="F442" s="208">
        <f t="shared" ca="1" si="54"/>
        <v>66.567460317460331</v>
      </c>
      <c r="G442" s="502">
        <f t="shared" ca="1" si="55"/>
        <v>172441.07142857334</v>
      </c>
      <c r="H442" s="502">
        <f t="shared" ca="1" si="51"/>
        <v>390298.21428571618</v>
      </c>
    </row>
    <row r="443" spans="2:8" x14ac:dyDescent="0.25">
      <c r="B443" s="130">
        <f t="shared" si="52"/>
        <v>46437</v>
      </c>
      <c r="C443" s="208">
        <f t="shared" ca="1" si="53"/>
        <v>217857.14285714287</v>
      </c>
      <c r="D443" s="208">
        <f t="shared" si="49"/>
        <v>0</v>
      </c>
      <c r="E443" s="208">
        <f t="shared" si="50"/>
        <v>0</v>
      </c>
      <c r="F443" s="208">
        <f t="shared" ca="1" si="54"/>
        <v>66.567460317460331</v>
      </c>
      <c r="G443" s="502">
        <f t="shared" ca="1" si="55"/>
        <v>172374.50396825589</v>
      </c>
      <c r="H443" s="502">
        <f t="shared" ca="1" si="51"/>
        <v>390231.64682539878</v>
      </c>
    </row>
    <row r="444" spans="2:8" x14ac:dyDescent="0.25">
      <c r="B444" s="130">
        <f t="shared" si="52"/>
        <v>46438</v>
      </c>
      <c r="C444" s="208">
        <f t="shared" ca="1" si="53"/>
        <v>217857.14285714287</v>
      </c>
      <c r="D444" s="208">
        <f t="shared" si="49"/>
        <v>0</v>
      </c>
      <c r="E444" s="208">
        <f t="shared" si="50"/>
        <v>0</v>
      </c>
      <c r="F444" s="208">
        <f t="shared" ca="1" si="54"/>
        <v>66.567460317460331</v>
      </c>
      <c r="G444" s="502">
        <f t="shared" ca="1" si="55"/>
        <v>172307.93650793843</v>
      </c>
      <c r="H444" s="502">
        <f t="shared" ca="1" si="51"/>
        <v>390165.07936508127</v>
      </c>
    </row>
    <row r="445" spans="2:8" x14ac:dyDescent="0.25">
      <c r="B445" s="130">
        <f t="shared" si="52"/>
        <v>46439</v>
      </c>
      <c r="C445" s="208">
        <f t="shared" ca="1" si="53"/>
        <v>217857.14285714287</v>
      </c>
      <c r="D445" s="208">
        <f t="shared" si="49"/>
        <v>0</v>
      </c>
      <c r="E445" s="208">
        <f t="shared" si="50"/>
        <v>0</v>
      </c>
      <c r="F445" s="208">
        <f t="shared" ca="1" si="54"/>
        <v>66.567460317460331</v>
      </c>
      <c r="G445" s="502">
        <f t="shared" ca="1" si="55"/>
        <v>172241.36904762097</v>
      </c>
      <c r="H445" s="502">
        <f t="shared" ca="1" si="51"/>
        <v>390098.51190476387</v>
      </c>
    </row>
    <row r="446" spans="2:8" x14ac:dyDescent="0.25">
      <c r="B446" s="130">
        <f t="shared" si="52"/>
        <v>46440</v>
      </c>
      <c r="C446" s="208">
        <f t="shared" ca="1" si="53"/>
        <v>217857.14285714287</v>
      </c>
      <c r="D446" s="208">
        <f t="shared" si="49"/>
        <v>0</v>
      </c>
      <c r="E446" s="208">
        <f t="shared" si="50"/>
        <v>0</v>
      </c>
      <c r="F446" s="208">
        <f t="shared" ca="1" si="54"/>
        <v>66.567460317460331</v>
      </c>
      <c r="G446" s="502">
        <f t="shared" ca="1" si="55"/>
        <v>172174.80158730352</v>
      </c>
      <c r="H446" s="502">
        <f t="shared" ca="1" si="51"/>
        <v>390031.94444444636</v>
      </c>
    </row>
    <row r="447" spans="2:8" x14ac:dyDescent="0.25">
      <c r="B447" s="130">
        <f t="shared" si="52"/>
        <v>46441</v>
      </c>
      <c r="C447" s="208">
        <f t="shared" ca="1" si="53"/>
        <v>217857.14285714287</v>
      </c>
      <c r="D447" s="208">
        <f t="shared" si="49"/>
        <v>0</v>
      </c>
      <c r="E447" s="208">
        <f t="shared" si="50"/>
        <v>0</v>
      </c>
      <c r="F447" s="208">
        <f t="shared" ca="1" si="54"/>
        <v>66.567460317460331</v>
      </c>
      <c r="G447" s="502">
        <f t="shared" ca="1" si="55"/>
        <v>172108.23412698606</v>
      </c>
      <c r="H447" s="502">
        <f t="shared" ca="1" si="51"/>
        <v>389965.37698412896</v>
      </c>
    </row>
    <row r="448" spans="2:8" x14ac:dyDescent="0.25">
      <c r="B448" s="130">
        <f t="shared" si="52"/>
        <v>46442</v>
      </c>
      <c r="C448" s="208">
        <f t="shared" ca="1" si="53"/>
        <v>217857.14285714287</v>
      </c>
      <c r="D448" s="208">
        <f t="shared" si="49"/>
        <v>0</v>
      </c>
      <c r="E448" s="208">
        <f t="shared" si="50"/>
        <v>0</v>
      </c>
      <c r="F448" s="208">
        <f t="shared" ca="1" si="54"/>
        <v>66.567460317460331</v>
      </c>
      <c r="G448" s="502">
        <f t="shared" ca="1" si="55"/>
        <v>172041.66666666861</v>
      </c>
      <c r="H448" s="502">
        <f t="shared" ca="1" si="51"/>
        <v>389898.80952381145</v>
      </c>
    </row>
    <row r="449" spans="2:8" x14ac:dyDescent="0.25">
      <c r="B449" s="130">
        <f t="shared" si="52"/>
        <v>46443</v>
      </c>
      <c r="C449" s="208">
        <f t="shared" ca="1" si="53"/>
        <v>217857.14285714287</v>
      </c>
      <c r="D449" s="208">
        <f t="shared" si="49"/>
        <v>0</v>
      </c>
      <c r="E449" s="208">
        <f t="shared" si="50"/>
        <v>0</v>
      </c>
      <c r="F449" s="208">
        <f t="shared" ca="1" si="54"/>
        <v>66.567460317460331</v>
      </c>
      <c r="G449" s="502">
        <f t="shared" ca="1" si="55"/>
        <v>171975.09920635115</v>
      </c>
      <c r="H449" s="502">
        <f t="shared" ca="1" si="51"/>
        <v>389832.24206349405</v>
      </c>
    </row>
    <row r="450" spans="2:8" x14ac:dyDescent="0.25">
      <c r="B450" s="130">
        <f t="shared" si="52"/>
        <v>46444</v>
      </c>
      <c r="C450" s="208">
        <f t="shared" ca="1" si="53"/>
        <v>217857.14285714287</v>
      </c>
      <c r="D450" s="208">
        <f t="shared" si="49"/>
        <v>0</v>
      </c>
      <c r="E450" s="208">
        <f t="shared" si="50"/>
        <v>0</v>
      </c>
      <c r="F450" s="208">
        <f t="shared" ca="1" si="54"/>
        <v>66.567460317460331</v>
      </c>
      <c r="G450" s="502">
        <f t="shared" ca="1" si="55"/>
        <v>171908.5317460337</v>
      </c>
      <c r="H450" s="502">
        <f t="shared" ca="1" si="51"/>
        <v>389765.67460317654</v>
      </c>
    </row>
    <row r="451" spans="2:8" x14ac:dyDescent="0.25">
      <c r="B451" s="130">
        <f t="shared" si="52"/>
        <v>46445</v>
      </c>
      <c r="C451" s="208">
        <f t="shared" ca="1" si="53"/>
        <v>217857.14285714287</v>
      </c>
      <c r="D451" s="208">
        <f t="shared" si="49"/>
        <v>0</v>
      </c>
      <c r="E451" s="208">
        <f t="shared" si="50"/>
        <v>0</v>
      </c>
      <c r="F451" s="208">
        <f t="shared" ca="1" si="54"/>
        <v>66.567460317460331</v>
      </c>
      <c r="G451" s="502">
        <f t="shared" ca="1" si="55"/>
        <v>171841.96428571624</v>
      </c>
      <c r="H451" s="502">
        <f t="shared" ca="1" si="51"/>
        <v>389699.10714285914</v>
      </c>
    </row>
    <row r="452" spans="2:8" x14ac:dyDescent="0.25">
      <c r="B452" s="130">
        <f t="shared" si="52"/>
        <v>46446</v>
      </c>
      <c r="C452" s="208">
        <f t="shared" ca="1" si="53"/>
        <v>217857.14285714287</v>
      </c>
      <c r="D452" s="208">
        <f t="shared" si="49"/>
        <v>0</v>
      </c>
      <c r="E452" s="208">
        <f t="shared" si="50"/>
        <v>0</v>
      </c>
      <c r="F452" s="208">
        <f t="shared" ca="1" si="54"/>
        <v>66.567460317460331</v>
      </c>
      <c r="G452" s="502">
        <f t="shared" ca="1" si="55"/>
        <v>171775.39682539878</v>
      </c>
      <c r="H452" s="502">
        <f t="shared" ca="1" si="51"/>
        <v>389632.53968254162</v>
      </c>
    </row>
    <row r="453" spans="2:8" x14ac:dyDescent="0.25">
      <c r="B453" s="130">
        <f t="shared" si="52"/>
        <v>46447</v>
      </c>
      <c r="C453" s="208">
        <f t="shared" ca="1" si="53"/>
        <v>217857.14285714287</v>
      </c>
      <c r="D453" s="208">
        <f t="shared" si="49"/>
        <v>0</v>
      </c>
      <c r="E453" s="208">
        <f t="shared" si="50"/>
        <v>0</v>
      </c>
      <c r="F453" s="208">
        <f t="shared" ca="1" si="54"/>
        <v>66.567460317460331</v>
      </c>
      <c r="G453" s="502">
        <f t="shared" ca="1" si="55"/>
        <v>171708.82936508133</v>
      </c>
      <c r="H453" s="502">
        <f t="shared" ca="1" si="51"/>
        <v>389565.97222222423</v>
      </c>
    </row>
    <row r="454" spans="2:8" x14ac:dyDescent="0.25">
      <c r="B454" s="130">
        <f t="shared" si="52"/>
        <v>46448</v>
      </c>
      <c r="C454" s="208">
        <f t="shared" ca="1" si="53"/>
        <v>217857.14285714287</v>
      </c>
      <c r="D454" s="208">
        <f t="shared" si="49"/>
        <v>0</v>
      </c>
      <c r="E454" s="208">
        <f t="shared" si="50"/>
        <v>0</v>
      </c>
      <c r="F454" s="208">
        <f t="shared" ca="1" si="54"/>
        <v>66.567460317460331</v>
      </c>
      <c r="G454" s="502">
        <f t="shared" ca="1" si="55"/>
        <v>171642.26190476387</v>
      </c>
      <c r="H454" s="502">
        <f t="shared" ca="1" si="51"/>
        <v>389499.40476190671</v>
      </c>
    </row>
    <row r="455" spans="2:8" x14ac:dyDescent="0.25">
      <c r="B455" s="130">
        <f t="shared" si="52"/>
        <v>46449</v>
      </c>
      <c r="C455" s="208">
        <f t="shared" ca="1" si="53"/>
        <v>217857.14285714287</v>
      </c>
      <c r="D455" s="208">
        <f t="shared" si="49"/>
        <v>0</v>
      </c>
      <c r="E455" s="208">
        <f t="shared" si="50"/>
        <v>0</v>
      </c>
      <c r="F455" s="208">
        <f t="shared" ca="1" si="54"/>
        <v>66.567460317460331</v>
      </c>
      <c r="G455" s="502">
        <f t="shared" ca="1" si="55"/>
        <v>171575.69444444642</v>
      </c>
      <c r="H455" s="502">
        <f t="shared" ca="1" si="51"/>
        <v>389432.83730158932</v>
      </c>
    </row>
    <row r="456" spans="2:8" x14ac:dyDescent="0.25">
      <c r="B456" s="130">
        <f t="shared" si="52"/>
        <v>46450</v>
      </c>
      <c r="C456" s="208">
        <f t="shared" ca="1" si="53"/>
        <v>217857.14285714287</v>
      </c>
      <c r="D456" s="208">
        <f t="shared" si="49"/>
        <v>0</v>
      </c>
      <c r="E456" s="208">
        <f t="shared" si="50"/>
        <v>0</v>
      </c>
      <c r="F456" s="208">
        <f t="shared" ca="1" si="54"/>
        <v>66.567460317460331</v>
      </c>
      <c r="G456" s="502">
        <f t="shared" ca="1" si="55"/>
        <v>171509.12698412896</v>
      </c>
      <c r="H456" s="502">
        <f t="shared" ca="1" si="51"/>
        <v>389366.2698412718</v>
      </c>
    </row>
    <row r="457" spans="2:8" x14ac:dyDescent="0.25">
      <c r="B457" s="130">
        <f t="shared" si="52"/>
        <v>46451</v>
      </c>
      <c r="C457" s="208">
        <f t="shared" ca="1" si="53"/>
        <v>217857.14285714287</v>
      </c>
      <c r="D457" s="208">
        <f t="shared" si="49"/>
        <v>0</v>
      </c>
      <c r="E457" s="208">
        <f t="shared" si="50"/>
        <v>0</v>
      </c>
      <c r="F457" s="208">
        <f t="shared" ca="1" si="54"/>
        <v>66.567460317460331</v>
      </c>
      <c r="G457" s="502">
        <f t="shared" ca="1" si="55"/>
        <v>171442.55952381151</v>
      </c>
      <c r="H457" s="502">
        <f t="shared" ca="1" si="51"/>
        <v>389299.7023809544</v>
      </c>
    </row>
    <row r="458" spans="2:8" x14ac:dyDescent="0.25">
      <c r="B458" s="130">
        <f t="shared" si="52"/>
        <v>46452</v>
      </c>
      <c r="C458" s="208">
        <f t="shared" ca="1" si="53"/>
        <v>217857.14285714287</v>
      </c>
      <c r="D458" s="208">
        <f t="shared" si="49"/>
        <v>0</v>
      </c>
      <c r="E458" s="208">
        <f t="shared" si="50"/>
        <v>0</v>
      </c>
      <c r="F458" s="208">
        <f t="shared" ca="1" si="54"/>
        <v>66.567460317460331</v>
      </c>
      <c r="G458" s="502">
        <f t="shared" ca="1" si="55"/>
        <v>171375.99206349405</v>
      </c>
      <c r="H458" s="502">
        <f t="shared" ca="1" si="51"/>
        <v>389233.13492063689</v>
      </c>
    </row>
    <row r="459" spans="2:8" x14ac:dyDescent="0.25">
      <c r="B459" s="130">
        <f t="shared" si="52"/>
        <v>46453</v>
      </c>
      <c r="C459" s="208">
        <f t="shared" ca="1" si="53"/>
        <v>217857.14285714287</v>
      </c>
      <c r="D459" s="208">
        <f t="shared" si="49"/>
        <v>0</v>
      </c>
      <c r="E459" s="208">
        <f t="shared" si="50"/>
        <v>0</v>
      </c>
      <c r="F459" s="208">
        <f t="shared" ca="1" si="54"/>
        <v>66.567460317460331</v>
      </c>
      <c r="G459" s="502">
        <f t="shared" ca="1" si="55"/>
        <v>171309.42460317659</v>
      </c>
      <c r="H459" s="502">
        <f t="shared" ca="1" si="51"/>
        <v>389166.56746031949</v>
      </c>
    </row>
    <row r="460" spans="2:8" x14ac:dyDescent="0.25">
      <c r="B460" s="130">
        <f t="shared" si="52"/>
        <v>46454</v>
      </c>
      <c r="C460" s="208">
        <f t="shared" ca="1" si="53"/>
        <v>217857.14285714287</v>
      </c>
      <c r="D460" s="208">
        <f t="shared" si="49"/>
        <v>0</v>
      </c>
      <c r="E460" s="208">
        <f t="shared" si="50"/>
        <v>0</v>
      </c>
      <c r="F460" s="208">
        <f t="shared" ca="1" si="54"/>
        <v>66.567460317460331</v>
      </c>
      <c r="G460" s="502">
        <f t="shared" ca="1" si="55"/>
        <v>171242.85714285914</v>
      </c>
      <c r="H460" s="502">
        <f t="shared" ca="1" si="51"/>
        <v>389100.00000000198</v>
      </c>
    </row>
    <row r="461" spans="2:8" x14ac:dyDescent="0.25">
      <c r="B461" s="130">
        <f t="shared" si="52"/>
        <v>46455</v>
      </c>
      <c r="C461" s="208">
        <f t="shared" ca="1" si="53"/>
        <v>217857.14285714287</v>
      </c>
      <c r="D461" s="208">
        <f t="shared" si="49"/>
        <v>0</v>
      </c>
      <c r="E461" s="208">
        <f t="shared" si="50"/>
        <v>0</v>
      </c>
      <c r="F461" s="208">
        <f t="shared" ca="1" si="54"/>
        <v>66.567460317460331</v>
      </c>
      <c r="G461" s="502">
        <f t="shared" ca="1" si="55"/>
        <v>171176.28968254168</v>
      </c>
      <c r="H461" s="502">
        <f t="shared" ca="1" si="51"/>
        <v>389033.43253968458</v>
      </c>
    </row>
    <row r="462" spans="2:8" x14ac:dyDescent="0.25">
      <c r="B462" s="130">
        <f t="shared" si="52"/>
        <v>46456</v>
      </c>
      <c r="C462" s="208">
        <f t="shared" ca="1" si="53"/>
        <v>217857.14285714287</v>
      </c>
      <c r="D462" s="208">
        <f t="shared" si="49"/>
        <v>0</v>
      </c>
      <c r="E462" s="208">
        <f t="shared" si="50"/>
        <v>0</v>
      </c>
      <c r="F462" s="208">
        <f t="shared" ca="1" si="54"/>
        <v>66.567460317460331</v>
      </c>
      <c r="G462" s="502">
        <f t="shared" ca="1" si="55"/>
        <v>171109.72222222423</v>
      </c>
      <c r="H462" s="502">
        <f t="shared" ca="1" si="51"/>
        <v>388966.86507936707</v>
      </c>
    </row>
    <row r="463" spans="2:8" x14ac:dyDescent="0.25">
      <c r="B463" s="130">
        <f t="shared" si="52"/>
        <v>46457</v>
      </c>
      <c r="C463" s="208">
        <f t="shared" ca="1" si="53"/>
        <v>217857.14285714287</v>
      </c>
      <c r="D463" s="208">
        <f t="shared" si="49"/>
        <v>0</v>
      </c>
      <c r="E463" s="208">
        <f t="shared" si="50"/>
        <v>0</v>
      </c>
      <c r="F463" s="208">
        <f t="shared" ca="1" si="54"/>
        <v>66.567460317460331</v>
      </c>
      <c r="G463" s="502">
        <f t="shared" ca="1" si="55"/>
        <v>171043.15476190677</v>
      </c>
      <c r="H463" s="502">
        <f t="shared" ca="1" si="51"/>
        <v>388900.29761904967</v>
      </c>
    </row>
    <row r="464" spans="2:8" x14ac:dyDescent="0.25">
      <c r="B464" s="130">
        <f t="shared" si="52"/>
        <v>46458</v>
      </c>
      <c r="C464" s="208">
        <f t="shared" ca="1" si="53"/>
        <v>217857.14285714287</v>
      </c>
      <c r="D464" s="208">
        <f t="shared" si="49"/>
        <v>0</v>
      </c>
      <c r="E464" s="208">
        <f t="shared" si="50"/>
        <v>0</v>
      </c>
      <c r="F464" s="208">
        <f t="shared" ca="1" si="54"/>
        <v>66.567460317460331</v>
      </c>
      <c r="G464" s="502">
        <f t="shared" ca="1" si="55"/>
        <v>170976.58730158932</v>
      </c>
      <c r="H464" s="502">
        <f t="shared" ca="1" si="51"/>
        <v>388833.73015873216</v>
      </c>
    </row>
    <row r="465" spans="2:8" x14ac:dyDescent="0.25">
      <c r="B465" s="130">
        <f t="shared" si="52"/>
        <v>46459</v>
      </c>
      <c r="C465" s="208">
        <f t="shared" ca="1" si="53"/>
        <v>217857.14285714287</v>
      </c>
      <c r="D465" s="208">
        <f t="shared" si="49"/>
        <v>0</v>
      </c>
      <c r="E465" s="208">
        <f t="shared" si="50"/>
        <v>0</v>
      </c>
      <c r="F465" s="208">
        <f t="shared" ca="1" si="54"/>
        <v>66.567460317460331</v>
      </c>
      <c r="G465" s="502">
        <f t="shared" ca="1" si="55"/>
        <v>170910.01984127186</v>
      </c>
      <c r="H465" s="502">
        <f t="shared" ca="1" si="51"/>
        <v>388767.16269841476</v>
      </c>
    </row>
    <row r="466" spans="2:8" x14ac:dyDescent="0.25">
      <c r="B466" s="130">
        <f t="shared" si="52"/>
        <v>46460</v>
      </c>
      <c r="C466" s="208">
        <f t="shared" ca="1" si="53"/>
        <v>217857.14285714287</v>
      </c>
      <c r="D466" s="208">
        <f t="shared" si="49"/>
        <v>0</v>
      </c>
      <c r="E466" s="208">
        <f t="shared" si="50"/>
        <v>0</v>
      </c>
      <c r="F466" s="208">
        <f t="shared" ca="1" si="54"/>
        <v>66.567460317460331</v>
      </c>
      <c r="G466" s="502">
        <f t="shared" ca="1" si="55"/>
        <v>170843.4523809544</v>
      </c>
      <c r="H466" s="502">
        <f t="shared" ca="1" si="51"/>
        <v>388700.59523809724</v>
      </c>
    </row>
    <row r="467" spans="2:8" x14ac:dyDescent="0.25">
      <c r="B467" s="130">
        <f t="shared" si="52"/>
        <v>46461</v>
      </c>
      <c r="C467" s="208">
        <f t="shared" ca="1" si="53"/>
        <v>217857.14285714287</v>
      </c>
      <c r="D467" s="208">
        <f t="shared" si="49"/>
        <v>0</v>
      </c>
      <c r="E467" s="208">
        <f t="shared" si="50"/>
        <v>0</v>
      </c>
      <c r="F467" s="208">
        <f t="shared" ca="1" si="54"/>
        <v>66.567460317460331</v>
      </c>
      <c r="G467" s="502">
        <f t="shared" ca="1" si="55"/>
        <v>170776.88492063695</v>
      </c>
      <c r="H467" s="502">
        <f t="shared" ca="1" si="51"/>
        <v>388634.02777777985</v>
      </c>
    </row>
    <row r="468" spans="2:8" x14ac:dyDescent="0.25">
      <c r="B468" s="130">
        <f t="shared" si="52"/>
        <v>46462</v>
      </c>
      <c r="C468" s="208">
        <f t="shared" ca="1" si="53"/>
        <v>217857.14285714287</v>
      </c>
      <c r="D468" s="208">
        <f t="shared" si="49"/>
        <v>0</v>
      </c>
      <c r="E468" s="208">
        <f t="shared" si="50"/>
        <v>0</v>
      </c>
      <c r="F468" s="208">
        <f t="shared" ca="1" si="54"/>
        <v>66.567460317460331</v>
      </c>
      <c r="G468" s="502">
        <f t="shared" ca="1" si="55"/>
        <v>170710.31746031949</v>
      </c>
      <c r="H468" s="502">
        <f t="shared" ca="1" si="51"/>
        <v>388567.46031746233</v>
      </c>
    </row>
    <row r="469" spans="2:8" x14ac:dyDescent="0.25">
      <c r="B469" s="130">
        <f t="shared" si="52"/>
        <v>46463</v>
      </c>
      <c r="C469" s="208">
        <f t="shared" ca="1" si="53"/>
        <v>217857.14285714287</v>
      </c>
      <c r="D469" s="208">
        <f t="shared" si="49"/>
        <v>0</v>
      </c>
      <c r="E469" s="208">
        <f t="shared" si="50"/>
        <v>0</v>
      </c>
      <c r="F469" s="208">
        <f t="shared" ca="1" si="54"/>
        <v>66.567460317460331</v>
      </c>
      <c r="G469" s="502">
        <f t="shared" ca="1" si="55"/>
        <v>170643.75000000204</v>
      </c>
      <c r="H469" s="502">
        <f t="shared" ca="1" si="51"/>
        <v>388500.89285714494</v>
      </c>
    </row>
    <row r="470" spans="2:8" x14ac:dyDescent="0.25">
      <c r="B470" s="130">
        <f t="shared" si="52"/>
        <v>46464</v>
      </c>
      <c r="C470" s="208">
        <f t="shared" ca="1" si="53"/>
        <v>217857.14285714287</v>
      </c>
      <c r="D470" s="208">
        <f t="shared" si="49"/>
        <v>0</v>
      </c>
      <c r="E470" s="208">
        <f t="shared" si="50"/>
        <v>0</v>
      </c>
      <c r="F470" s="208">
        <f t="shared" ca="1" si="54"/>
        <v>66.567460317460331</v>
      </c>
      <c r="G470" s="502">
        <f t="shared" ca="1" si="55"/>
        <v>170577.18253968458</v>
      </c>
      <c r="H470" s="502">
        <f t="shared" ca="1" si="51"/>
        <v>388434.32539682742</v>
      </c>
    </row>
    <row r="471" spans="2:8" x14ac:dyDescent="0.25">
      <c r="B471" s="130">
        <f t="shared" si="52"/>
        <v>46465</v>
      </c>
      <c r="C471" s="208">
        <f t="shared" ca="1" si="53"/>
        <v>217857.14285714287</v>
      </c>
      <c r="D471" s="208">
        <f t="shared" si="49"/>
        <v>0</v>
      </c>
      <c r="E471" s="208">
        <f t="shared" si="50"/>
        <v>0</v>
      </c>
      <c r="F471" s="208">
        <f t="shared" ca="1" si="54"/>
        <v>66.567460317460331</v>
      </c>
      <c r="G471" s="502">
        <f t="shared" ca="1" si="55"/>
        <v>170510.61507936713</v>
      </c>
      <c r="H471" s="502">
        <f t="shared" ca="1" si="51"/>
        <v>388367.75793651002</v>
      </c>
    </row>
    <row r="472" spans="2:8" x14ac:dyDescent="0.25">
      <c r="B472" s="130">
        <f t="shared" si="52"/>
        <v>46466</v>
      </c>
      <c r="C472" s="208">
        <f t="shared" ca="1" si="53"/>
        <v>217857.14285714287</v>
      </c>
      <c r="D472" s="208">
        <f t="shared" si="49"/>
        <v>0</v>
      </c>
      <c r="E472" s="208">
        <f t="shared" si="50"/>
        <v>0</v>
      </c>
      <c r="F472" s="208">
        <f t="shared" ca="1" si="54"/>
        <v>66.567460317460331</v>
      </c>
      <c r="G472" s="502">
        <f t="shared" ca="1" si="55"/>
        <v>170444.04761904967</v>
      </c>
      <c r="H472" s="502">
        <f t="shared" ca="1" si="51"/>
        <v>388301.19047619251</v>
      </c>
    </row>
    <row r="473" spans="2:8" x14ac:dyDescent="0.25">
      <c r="B473" s="130">
        <f t="shared" si="52"/>
        <v>46467</v>
      </c>
      <c r="C473" s="208">
        <f t="shared" ca="1" si="53"/>
        <v>217857.14285714287</v>
      </c>
      <c r="D473" s="208">
        <f t="shared" si="49"/>
        <v>0</v>
      </c>
      <c r="E473" s="208">
        <f t="shared" si="50"/>
        <v>0</v>
      </c>
      <c r="F473" s="208">
        <f t="shared" ca="1" si="54"/>
        <v>66.567460317460331</v>
      </c>
      <c r="G473" s="502">
        <f t="shared" ca="1" si="55"/>
        <v>170377.48015873221</v>
      </c>
      <c r="H473" s="502">
        <f t="shared" ca="1" si="51"/>
        <v>388234.62301587511</v>
      </c>
    </row>
    <row r="474" spans="2:8" x14ac:dyDescent="0.25">
      <c r="B474" s="130">
        <f t="shared" si="52"/>
        <v>46468</v>
      </c>
      <c r="C474" s="208">
        <f t="shared" ca="1" si="53"/>
        <v>217857.14285714287</v>
      </c>
      <c r="D474" s="208">
        <f t="shared" si="49"/>
        <v>0</v>
      </c>
      <c r="E474" s="208">
        <f t="shared" si="50"/>
        <v>0</v>
      </c>
      <c r="F474" s="208">
        <f t="shared" ca="1" si="54"/>
        <v>66.567460317460331</v>
      </c>
      <c r="G474" s="502">
        <f t="shared" ca="1" si="55"/>
        <v>170310.91269841476</v>
      </c>
      <c r="H474" s="502">
        <f t="shared" ca="1" si="51"/>
        <v>388168.0555555576</v>
      </c>
    </row>
    <row r="475" spans="2:8" x14ac:dyDescent="0.25">
      <c r="B475" s="130">
        <f t="shared" si="52"/>
        <v>46469</v>
      </c>
      <c r="C475" s="208">
        <f t="shared" ca="1" si="53"/>
        <v>217857.14285714287</v>
      </c>
      <c r="D475" s="208">
        <f t="shared" si="49"/>
        <v>0</v>
      </c>
      <c r="E475" s="208">
        <f t="shared" si="50"/>
        <v>0</v>
      </c>
      <c r="F475" s="208">
        <f t="shared" ca="1" si="54"/>
        <v>66.567460317460331</v>
      </c>
      <c r="G475" s="502">
        <f t="shared" ca="1" si="55"/>
        <v>170244.3452380973</v>
      </c>
      <c r="H475" s="502">
        <f t="shared" ca="1" si="51"/>
        <v>388101.4880952402</v>
      </c>
    </row>
    <row r="476" spans="2:8" x14ac:dyDescent="0.25">
      <c r="B476" s="130">
        <f t="shared" si="52"/>
        <v>46470</v>
      </c>
      <c r="C476" s="208">
        <f t="shared" ca="1" si="53"/>
        <v>217857.14285714287</v>
      </c>
      <c r="D476" s="208">
        <f t="shared" si="49"/>
        <v>0</v>
      </c>
      <c r="E476" s="208">
        <f t="shared" si="50"/>
        <v>0</v>
      </c>
      <c r="F476" s="208">
        <f t="shared" ca="1" si="54"/>
        <v>66.567460317460331</v>
      </c>
      <c r="G476" s="502">
        <f t="shared" ca="1" si="55"/>
        <v>170177.77777777985</v>
      </c>
      <c r="H476" s="502">
        <f t="shared" ca="1" si="51"/>
        <v>388034.92063492269</v>
      </c>
    </row>
    <row r="477" spans="2:8" x14ac:dyDescent="0.25">
      <c r="B477" s="130">
        <f t="shared" si="52"/>
        <v>46471</v>
      </c>
      <c r="C477" s="208">
        <f t="shared" ca="1" si="53"/>
        <v>217857.14285714287</v>
      </c>
      <c r="D477" s="208">
        <f t="shared" si="49"/>
        <v>0</v>
      </c>
      <c r="E477" s="208">
        <f t="shared" si="50"/>
        <v>0</v>
      </c>
      <c r="F477" s="208">
        <f t="shared" ca="1" si="54"/>
        <v>66.567460317460331</v>
      </c>
      <c r="G477" s="502">
        <f t="shared" ca="1" si="55"/>
        <v>170111.21031746239</v>
      </c>
      <c r="H477" s="502">
        <f t="shared" ca="1" si="51"/>
        <v>387968.35317460529</v>
      </c>
    </row>
    <row r="478" spans="2:8" x14ac:dyDescent="0.25">
      <c r="B478" s="130">
        <f t="shared" si="52"/>
        <v>46472</v>
      </c>
      <c r="C478" s="208">
        <f t="shared" ca="1" si="53"/>
        <v>217857.14285714287</v>
      </c>
      <c r="D478" s="208">
        <f t="shared" ref="D478:D541" si="56">SUMIF($J$3:$J$26,B478,$K$3:$K$26)</f>
        <v>0</v>
      </c>
      <c r="E478" s="208">
        <f t="shared" ref="E478:E541" si="57">-SUMIF($N$3:$N$26,B478,$O$3:$O$26)</f>
        <v>0</v>
      </c>
      <c r="F478" s="208">
        <f t="shared" ca="1" si="54"/>
        <v>66.567460317460331</v>
      </c>
      <c r="G478" s="502">
        <f t="shared" ca="1" si="55"/>
        <v>170044.64285714494</v>
      </c>
      <c r="H478" s="502">
        <f t="shared" ref="H478:H541" ca="1" si="58">+C478+G478</f>
        <v>387901.78571428778</v>
      </c>
    </row>
    <row r="479" spans="2:8" x14ac:dyDescent="0.25">
      <c r="B479" s="130">
        <f t="shared" ref="B479:B542" si="59">+B478+1</f>
        <v>46473</v>
      </c>
      <c r="C479" s="208">
        <f t="shared" ref="C479:C542" ca="1" si="60">+C478+D478+E478</f>
        <v>217857.14285714287</v>
      </c>
      <c r="D479" s="208">
        <f t="shared" si="56"/>
        <v>0</v>
      </c>
      <c r="E479" s="208">
        <f t="shared" si="57"/>
        <v>0</v>
      </c>
      <c r="F479" s="208">
        <f t="shared" ref="F479:F542" ca="1" si="61">+C479*$C$3/360</f>
        <v>66.567460317460331</v>
      </c>
      <c r="G479" s="502">
        <f t="shared" ref="G479:G542" ca="1" si="62">+G478-F479</f>
        <v>169978.07539682748</v>
      </c>
      <c r="H479" s="502">
        <f t="shared" ca="1" si="58"/>
        <v>387835.21825397038</v>
      </c>
    </row>
    <row r="480" spans="2:8" x14ac:dyDescent="0.25">
      <c r="B480" s="130">
        <f t="shared" si="59"/>
        <v>46474</v>
      </c>
      <c r="C480" s="208">
        <f t="shared" ca="1" si="60"/>
        <v>217857.14285714287</v>
      </c>
      <c r="D480" s="208">
        <f t="shared" si="56"/>
        <v>0</v>
      </c>
      <c r="E480" s="208">
        <f t="shared" si="57"/>
        <v>0</v>
      </c>
      <c r="F480" s="208">
        <f t="shared" ca="1" si="61"/>
        <v>66.567460317460331</v>
      </c>
      <c r="G480" s="502">
        <f t="shared" ca="1" si="62"/>
        <v>169911.50793651002</v>
      </c>
      <c r="H480" s="502">
        <f t="shared" ca="1" si="58"/>
        <v>387768.65079365287</v>
      </c>
    </row>
    <row r="481" spans="2:8" x14ac:dyDescent="0.25">
      <c r="B481" s="130">
        <f t="shared" si="59"/>
        <v>46475</v>
      </c>
      <c r="C481" s="208">
        <f t="shared" ca="1" si="60"/>
        <v>217857.14285714287</v>
      </c>
      <c r="D481" s="208">
        <f t="shared" si="56"/>
        <v>0</v>
      </c>
      <c r="E481" s="208">
        <f t="shared" si="57"/>
        <v>0</v>
      </c>
      <c r="F481" s="208">
        <f t="shared" ca="1" si="61"/>
        <v>66.567460317460331</v>
      </c>
      <c r="G481" s="502">
        <f t="shared" ca="1" si="62"/>
        <v>169844.94047619257</v>
      </c>
      <c r="H481" s="502">
        <f t="shared" ca="1" si="58"/>
        <v>387702.08333333547</v>
      </c>
    </row>
    <row r="482" spans="2:8" x14ac:dyDescent="0.25">
      <c r="B482" s="130">
        <f t="shared" si="59"/>
        <v>46476</v>
      </c>
      <c r="C482" s="208">
        <f t="shared" ca="1" si="60"/>
        <v>217857.14285714287</v>
      </c>
      <c r="D482" s="208">
        <f t="shared" si="56"/>
        <v>0</v>
      </c>
      <c r="E482" s="208">
        <f t="shared" si="57"/>
        <v>0</v>
      </c>
      <c r="F482" s="208">
        <f t="shared" ca="1" si="61"/>
        <v>66.567460317460331</v>
      </c>
      <c r="G482" s="502">
        <f t="shared" ca="1" si="62"/>
        <v>169778.37301587511</v>
      </c>
      <c r="H482" s="502">
        <f t="shared" ca="1" si="58"/>
        <v>387635.51587301795</v>
      </c>
    </row>
    <row r="483" spans="2:8" x14ac:dyDescent="0.25">
      <c r="B483" s="130">
        <f t="shared" si="59"/>
        <v>46477</v>
      </c>
      <c r="C483" s="208">
        <f t="shared" ca="1" si="60"/>
        <v>217857.14285714287</v>
      </c>
      <c r="D483" s="208">
        <f t="shared" si="56"/>
        <v>0</v>
      </c>
      <c r="E483" s="208">
        <f t="shared" si="57"/>
        <v>0</v>
      </c>
      <c r="F483" s="208">
        <f t="shared" ca="1" si="61"/>
        <v>66.567460317460331</v>
      </c>
      <c r="G483" s="502">
        <f t="shared" ca="1" si="62"/>
        <v>169711.80555555766</v>
      </c>
      <c r="H483" s="502">
        <f t="shared" ca="1" si="58"/>
        <v>387568.94841270056</v>
      </c>
    </row>
    <row r="484" spans="2:8" x14ac:dyDescent="0.25">
      <c r="B484" s="130">
        <f t="shared" si="59"/>
        <v>46478</v>
      </c>
      <c r="C484" s="208">
        <f t="shared" ca="1" si="60"/>
        <v>217857.14285714287</v>
      </c>
      <c r="D484" s="208">
        <f t="shared" si="56"/>
        <v>0</v>
      </c>
      <c r="E484" s="208">
        <f t="shared" si="57"/>
        <v>0</v>
      </c>
      <c r="F484" s="208">
        <f t="shared" ca="1" si="61"/>
        <v>66.567460317460331</v>
      </c>
      <c r="G484" s="502">
        <f t="shared" ca="1" si="62"/>
        <v>169645.2380952402</v>
      </c>
      <c r="H484" s="502">
        <f t="shared" ca="1" si="58"/>
        <v>387502.38095238304</v>
      </c>
    </row>
    <row r="485" spans="2:8" x14ac:dyDescent="0.25">
      <c r="B485" s="130">
        <f t="shared" si="59"/>
        <v>46479</v>
      </c>
      <c r="C485" s="208">
        <f t="shared" ca="1" si="60"/>
        <v>217857.14285714287</v>
      </c>
      <c r="D485" s="208">
        <f t="shared" si="56"/>
        <v>0</v>
      </c>
      <c r="E485" s="208">
        <f t="shared" si="57"/>
        <v>0</v>
      </c>
      <c r="F485" s="208">
        <f t="shared" ca="1" si="61"/>
        <v>66.567460317460331</v>
      </c>
      <c r="G485" s="502">
        <f t="shared" ca="1" si="62"/>
        <v>169578.67063492275</v>
      </c>
      <c r="H485" s="502">
        <f t="shared" ca="1" si="58"/>
        <v>387435.81349206564</v>
      </c>
    </row>
    <row r="486" spans="2:8" x14ac:dyDescent="0.25">
      <c r="B486" s="130">
        <f t="shared" si="59"/>
        <v>46480</v>
      </c>
      <c r="C486" s="208">
        <f t="shared" ca="1" si="60"/>
        <v>217857.14285714287</v>
      </c>
      <c r="D486" s="208">
        <f t="shared" si="56"/>
        <v>0</v>
      </c>
      <c r="E486" s="208">
        <f t="shared" si="57"/>
        <v>0</v>
      </c>
      <c r="F486" s="208">
        <f t="shared" ca="1" si="61"/>
        <v>66.567460317460331</v>
      </c>
      <c r="G486" s="502">
        <f t="shared" ca="1" si="62"/>
        <v>169512.10317460529</v>
      </c>
      <c r="H486" s="502">
        <f t="shared" ca="1" si="58"/>
        <v>387369.24603174813</v>
      </c>
    </row>
    <row r="487" spans="2:8" x14ac:dyDescent="0.25">
      <c r="B487" s="130">
        <f t="shared" si="59"/>
        <v>46481</v>
      </c>
      <c r="C487" s="208">
        <f t="shared" ca="1" si="60"/>
        <v>217857.14285714287</v>
      </c>
      <c r="D487" s="208">
        <f t="shared" si="56"/>
        <v>0</v>
      </c>
      <c r="E487" s="208">
        <f t="shared" si="57"/>
        <v>0</v>
      </c>
      <c r="F487" s="208">
        <f t="shared" ca="1" si="61"/>
        <v>66.567460317460331</v>
      </c>
      <c r="G487" s="502">
        <f t="shared" ca="1" si="62"/>
        <v>169445.53571428783</v>
      </c>
      <c r="H487" s="502">
        <f t="shared" ca="1" si="58"/>
        <v>387302.67857143073</v>
      </c>
    </row>
    <row r="488" spans="2:8" x14ac:dyDescent="0.25">
      <c r="B488" s="130">
        <f t="shared" si="59"/>
        <v>46482</v>
      </c>
      <c r="C488" s="208">
        <f t="shared" ca="1" si="60"/>
        <v>217857.14285714287</v>
      </c>
      <c r="D488" s="208">
        <f t="shared" si="56"/>
        <v>0</v>
      </c>
      <c r="E488" s="208">
        <f t="shared" si="57"/>
        <v>0</v>
      </c>
      <c r="F488" s="208">
        <f t="shared" ca="1" si="61"/>
        <v>66.567460317460331</v>
      </c>
      <c r="G488" s="502">
        <f t="shared" ca="1" si="62"/>
        <v>169378.96825397038</v>
      </c>
      <c r="H488" s="502">
        <f t="shared" ca="1" si="58"/>
        <v>387236.11111111322</v>
      </c>
    </row>
    <row r="489" spans="2:8" x14ac:dyDescent="0.25">
      <c r="B489" s="130">
        <f t="shared" si="59"/>
        <v>46483</v>
      </c>
      <c r="C489" s="208">
        <f t="shared" ca="1" si="60"/>
        <v>217857.14285714287</v>
      </c>
      <c r="D489" s="208">
        <f t="shared" si="56"/>
        <v>0</v>
      </c>
      <c r="E489" s="208">
        <f t="shared" si="57"/>
        <v>0</v>
      </c>
      <c r="F489" s="208">
        <f t="shared" ca="1" si="61"/>
        <v>66.567460317460331</v>
      </c>
      <c r="G489" s="502">
        <f t="shared" ca="1" si="62"/>
        <v>169312.40079365292</v>
      </c>
      <c r="H489" s="502">
        <f t="shared" ca="1" si="58"/>
        <v>387169.54365079582</v>
      </c>
    </row>
    <row r="490" spans="2:8" x14ac:dyDescent="0.25">
      <c r="B490" s="130">
        <f t="shared" si="59"/>
        <v>46484</v>
      </c>
      <c r="C490" s="208">
        <f t="shared" ca="1" si="60"/>
        <v>217857.14285714287</v>
      </c>
      <c r="D490" s="208">
        <f t="shared" si="56"/>
        <v>0</v>
      </c>
      <c r="E490" s="208">
        <f t="shared" si="57"/>
        <v>0</v>
      </c>
      <c r="F490" s="208">
        <f t="shared" ca="1" si="61"/>
        <v>66.567460317460331</v>
      </c>
      <c r="G490" s="502">
        <f t="shared" ca="1" si="62"/>
        <v>169245.83333333547</v>
      </c>
      <c r="H490" s="502">
        <f t="shared" ca="1" si="58"/>
        <v>387102.97619047831</v>
      </c>
    </row>
    <row r="491" spans="2:8" x14ac:dyDescent="0.25">
      <c r="B491" s="130">
        <f t="shared" si="59"/>
        <v>46485</v>
      </c>
      <c r="C491" s="208">
        <f t="shared" ca="1" si="60"/>
        <v>217857.14285714287</v>
      </c>
      <c r="D491" s="208">
        <f t="shared" si="56"/>
        <v>0</v>
      </c>
      <c r="E491" s="208">
        <f t="shared" si="57"/>
        <v>0</v>
      </c>
      <c r="F491" s="208">
        <f t="shared" ca="1" si="61"/>
        <v>66.567460317460331</v>
      </c>
      <c r="G491" s="502">
        <f t="shared" ca="1" si="62"/>
        <v>169179.26587301801</v>
      </c>
      <c r="H491" s="502">
        <f t="shared" ca="1" si="58"/>
        <v>387036.40873016091</v>
      </c>
    </row>
    <row r="492" spans="2:8" x14ac:dyDescent="0.25">
      <c r="B492" s="130">
        <f t="shared" si="59"/>
        <v>46486</v>
      </c>
      <c r="C492" s="208">
        <f t="shared" ca="1" si="60"/>
        <v>217857.14285714287</v>
      </c>
      <c r="D492" s="208">
        <f t="shared" si="56"/>
        <v>0</v>
      </c>
      <c r="E492" s="208">
        <f t="shared" si="57"/>
        <v>0</v>
      </c>
      <c r="F492" s="208">
        <f t="shared" ca="1" si="61"/>
        <v>66.567460317460331</v>
      </c>
      <c r="G492" s="502">
        <f t="shared" ca="1" si="62"/>
        <v>169112.69841270056</v>
      </c>
      <c r="H492" s="502">
        <f t="shared" ca="1" si="58"/>
        <v>386969.8412698434</v>
      </c>
    </row>
    <row r="493" spans="2:8" x14ac:dyDescent="0.25">
      <c r="B493" s="130">
        <f t="shared" si="59"/>
        <v>46487</v>
      </c>
      <c r="C493" s="208">
        <f t="shared" ca="1" si="60"/>
        <v>217857.14285714287</v>
      </c>
      <c r="D493" s="208">
        <f t="shared" si="56"/>
        <v>0</v>
      </c>
      <c r="E493" s="208">
        <f t="shared" si="57"/>
        <v>0</v>
      </c>
      <c r="F493" s="208">
        <f t="shared" ca="1" si="61"/>
        <v>66.567460317460331</v>
      </c>
      <c r="G493" s="502">
        <f t="shared" ca="1" si="62"/>
        <v>169046.1309523831</v>
      </c>
      <c r="H493" s="502">
        <f t="shared" ca="1" si="58"/>
        <v>386903.273809526</v>
      </c>
    </row>
    <row r="494" spans="2:8" x14ac:dyDescent="0.25">
      <c r="B494" s="130">
        <f t="shared" si="59"/>
        <v>46488</v>
      </c>
      <c r="C494" s="208">
        <f t="shared" ca="1" si="60"/>
        <v>217857.14285714287</v>
      </c>
      <c r="D494" s="208">
        <f t="shared" si="56"/>
        <v>0</v>
      </c>
      <c r="E494" s="208">
        <f t="shared" si="57"/>
        <v>0</v>
      </c>
      <c r="F494" s="208">
        <f t="shared" ca="1" si="61"/>
        <v>66.567460317460331</v>
      </c>
      <c r="G494" s="502">
        <f t="shared" ca="1" si="62"/>
        <v>168979.56349206564</v>
      </c>
      <c r="H494" s="502">
        <f t="shared" ca="1" si="58"/>
        <v>386836.70634920849</v>
      </c>
    </row>
    <row r="495" spans="2:8" x14ac:dyDescent="0.25">
      <c r="B495" s="130">
        <f t="shared" si="59"/>
        <v>46489</v>
      </c>
      <c r="C495" s="208">
        <f t="shared" ca="1" si="60"/>
        <v>217857.14285714287</v>
      </c>
      <c r="D495" s="208">
        <f t="shared" si="56"/>
        <v>0</v>
      </c>
      <c r="E495" s="208">
        <f t="shared" si="57"/>
        <v>0</v>
      </c>
      <c r="F495" s="208">
        <f t="shared" ca="1" si="61"/>
        <v>66.567460317460331</v>
      </c>
      <c r="G495" s="502">
        <f t="shared" ca="1" si="62"/>
        <v>168912.99603174819</v>
      </c>
      <c r="H495" s="502">
        <f t="shared" ca="1" si="58"/>
        <v>386770.13888889109</v>
      </c>
    </row>
    <row r="496" spans="2:8" x14ac:dyDescent="0.25">
      <c r="B496" s="130">
        <f t="shared" si="59"/>
        <v>46490</v>
      </c>
      <c r="C496" s="208">
        <f t="shared" ca="1" si="60"/>
        <v>217857.14285714287</v>
      </c>
      <c r="D496" s="208">
        <f t="shared" si="56"/>
        <v>0</v>
      </c>
      <c r="E496" s="208">
        <f t="shared" si="57"/>
        <v>0</v>
      </c>
      <c r="F496" s="208">
        <f t="shared" ca="1" si="61"/>
        <v>66.567460317460331</v>
      </c>
      <c r="G496" s="502">
        <f t="shared" ca="1" si="62"/>
        <v>168846.42857143073</v>
      </c>
      <c r="H496" s="502">
        <f t="shared" ca="1" si="58"/>
        <v>386703.57142857357</v>
      </c>
    </row>
    <row r="497" spans="2:8" x14ac:dyDescent="0.25">
      <c r="B497" s="130">
        <f t="shared" si="59"/>
        <v>46491</v>
      </c>
      <c r="C497" s="208">
        <f t="shared" ca="1" si="60"/>
        <v>217857.14285714287</v>
      </c>
      <c r="D497" s="208">
        <f t="shared" si="56"/>
        <v>0</v>
      </c>
      <c r="E497" s="208">
        <f t="shared" si="57"/>
        <v>0</v>
      </c>
      <c r="F497" s="208">
        <f t="shared" ca="1" si="61"/>
        <v>66.567460317460331</v>
      </c>
      <c r="G497" s="502">
        <f t="shared" ca="1" si="62"/>
        <v>168779.86111111328</v>
      </c>
      <c r="H497" s="502">
        <f t="shared" ca="1" si="58"/>
        <v>386637.00396825618</v>
      </c>
    </row>
    <row r="498" spans="2:8" x14ac:dyDescent="0.25">
      <c r="B498" s="130">
        <f t="shared" si="59"/>
        <v>46492</v>
      </c>
      <c r="C498" s="208">
        <f t="shared" ca="1" si="60"/>
        <v>217857.14285714287</v>
      </c>
      <c r="D498" s="208">
        <f t="shared" si="56"/>
        <v>0</v>
      </c>
      <c r="E498" s="208">
        <f t="shared" si="57"/>
        <v>0</v>
      </c>
      <c r="F498" s="208">
        <f t="shared" ca="1" si="61"/>
        <v>66.567460317460331</v>
      </c>
      <c r="G498" s="502">
        <f t="shared" ca="1" si="62"/>
        <v>168713.29365079582</v>
      </c>
      <c r="H498" s="502">
        <f t="shared" ca="1" si="58"/>
        <v>386570.43650793866</v>
      </c>
    </row>
    <row r="499" spans="2:8" x14ac:dyDescent="0.25">
      <c r="B499" s="130">
        <f t="shared" si="59"/>
        <v>46493</v>
      </c>
      <c r="C499" s="208">
        <f t="shared" ca="1" si="60"/>
        <v>217857.14285714287</v>
      </c>
      <c r="D499" s="208">
        <f t="shared" si="56"/>
        <v>0</v>
      </c>
      <c r="E499" s="208">
        <f t="shared" si="57"/>
        <v>0</v>
      </c>
      <c r="F499" s="208">
        <f t="shared" ca="1" si="61"/>
        <v>66.567460317460331</v>
      </c>
      <c r="G499" s="502">
        <f t="shared" ca="1" si="62"/>
        <v>168646.72619047837</v>
      </c>
      <c r="H499" s="502">
        <f t="shared" ca="1" si="58"/>
        <v>386503.86904762127</v>
      </c>
    </row>
    <row r="500" spans="2:8" x14ac:dyDescent="0.25">
      <c r="B500" s="130">
        <f t="shared" si="59"/>
        <v>46494</v>
      </c>
      <c r="C500" s="208">
        <f t="shared" ca="1" si="60"/>
        <v>217857.14285714287</v>
      </c>
      <c r="D500" s="208">
        <f t="shared" si="56"/>
        <v>0</v>
      </c>
      <c r="E500" s="208">
        <f t="shared" si="57"/>
        <v>0</v>
      </c>
      <c r="F500" s="208">
        <f t="shared" ca="1" si="61"/>
        <v>66.567460317460331</v>
      </c>
      <c r="G500" s="502">
        <f t="shared" ca="1" si="62"/>
        <v>168580.15873016091</v>
      </c>
      <c r="H500" s="502">
        <f t="shared" ca="1" si="58"/>
        <v>386437.30158730375</v>
      </c>
    </row>
    <row r="501" spans="2:8" x14ac:dyDescent="0.25">
      <c r="B501" s="130">
        <f t="shared" si="59"/>
        <v>46495</v>
      </c>
      <c r="C501" s="208">
        <f t="shared" ca="1" si="60"/>
        <v>217857.14285714287</v>
      </c>
      <c r="D501" s="208">
        <f t="shared" si="56"/>
        <v>0</v>
      </c>
      <c r="E501" s="208">
        <f t="shared" si="57"/>
        <v>0</v>
      </c>
      <c r="F501" s="208">
        <f t="shared" ca="1" si="61"/>
        <v>66.567460317460331</v>
      </c>
      <c r="G501" s="502">
        <f t="shared" ca="1" si="62"/>
        <v>168513.59126984345</v>
      </c>
      <c r="H501" s="502">
        <f t="shared" ca="1" si="58"/>
        <v>386370.73412698635</v>
      </c>
    </row>
    <row r="502" spans="2:8" x14ac:dyDescent="0.25">
      <c r="B502" s="130">
        <f t="shared" si="59"/>
        <v>46496</v>
      </c>
      <c r="C502" s="208">
        <f t="shared" ca="1" si="60"/>
        <v>217857.14285714287</v>
      </c>
      <c r="D502" s="208">
        <f t="shared" si="56"/>
        <v>0</v>
      </c>
      <c r="E502" s="208">
        <f t="shared" si="57"/>
        <v>0</v>
      </c>
      <c r="F502" s="208">
        <f t="shared" ca="1" si="61"/>
        <v>66.567460317460331</v>
      </c>
      <c r="G502" s="502">
        <f t="shared" ca="1" si="62"/>
        <v>168447.023809526</v>
      </c>
      <c r="H502" s="502">
        <f t="shared" ca="1" si="58"/>
        <v>386304.16666666884</v>
      </c>
    </row>
    <row r="503" spans="2:8" x14ac:dyDescent="0.25">
      <c r="B503" s="130">
        <f t="shared" si="59"/>
        <v>46497</v>
      </c>
      <c r="C503" s="208">
        <f t="shared" ca="1" si="60"/>
        <v>217857.14285714287</v>
      </c>
      <c r="D503" s="208">
        <f t="shared" si="56"/>
        <v>0</v>
      </c>
      <c r="E503" s="208">
        <f t="shared" si="57"/>
        <v>0</v>
      </c>
      <c r="F503" s="208">
        <f t="shared" ca="1" si="61"/>
        <v>66.567460317460331</v>
      </c>
      <c r="G503" s="502">
        <f t="shared" ca="1" si="62"/>
        <v>168380.45634920854</v>
      </c>
      <c r="H503" s="502">
        <f t="shared" ca="1" si="58"/>
        <v>386237.59920635144</v>
      </c>
    </row>
    <row r="504" spans="2:8" x14ac:dyDescent="0.25">
      <c r="B504" s="130">
        <f t="shared" si="59"/>
        <v>46498</v>
      </c>
      <c r="C504" s="208">
        <f t="shared" ca="1" si="60"/>
        <v>217857.14285714287</v>
      </c>
      <c r="D504" s="208">
        <f t="shared" si="56"/>
        <v>0</v>
      </c>
      <c r="E504" s="208">
        <f t="shared" si="57"/>
        <v>0</v>
      </c>
      <c r="F504" s="208">
        <f t="shared" ca="1" si="61"/>
        <v>66.567460317460331</v>
      </c>
      <c r="G504" s="502">
        <f t="shared" ca="1" si="62"/>
        <v>168313.88888889109</v>
      </c>
      <c r="H504" s="502">
        <f t="shared" ca="1" si="58"/>
        <v>386171.03174603393</v>
      </c>
    </row>
    <row r="505" spans="2:8" x14ac:dyDescent="0.25">
      <c r="B505" s="130">
        <f t="shared" si="59"/>
        <v>46499</v>
      </c>
      <c r="C505" s="208">
        <f t="shared" ca="1" si="60"/>
        <v>217857.14285714287</v>
      </c>
      <c r="D505" s="208">
        <f t="shared" si="56"/>
        <v>0</v>
      </c>
      <c r="E505" s="208">
        <f t="shared" si="57"/>
        <v>0</v>
      </c>
      <c r="F505" s="208">
        <f t="shared" ca="1" si="61"/>
        <v>66.567460317460331</v>
      </c>
      <c r="G505" s="502">
        <f t="shared" ca="1" si="62"/>
        <v>168247.32142857363</v>
      </c>
      <c r="H505" s="502">
        <f t="shared" ca="1" si="58"/>
        <v>386104.46428571653</v>
      </c>
    </row>
    <row r="506" spans="2:8" x14ac:dyDescent="0.25">
      <c r="B506" s="130">
        <f t="shared" si="59"/>
        <v>46500</v>
      </c>
      <c r="C506" s="208">
        <f t="shared" ca="1" si="60"/>
        <v>217857.14285714287</v>
      </c>
      <c r="D506" s="208">
        <f t="shared" si="56"/>
        <v>0</v>
      </c>
      <c r="E506" s="208">
        <f t="shared" si="57"/>
        <v>0</v>
      </c>
      <c r="F506" s="208">
        <f t="shared" ca="1" si="61"/>
        <v>66.567460317460331</v>
      </c>
      <c r="G506" s="502">
        <f t="shared" ca="1" si="62"/>
        <v>168180.75396825618</v>
      </c>
      <c r="H506" s="502">
        <f t="shared" ca="1" si="58"/>
        <v>386037.89682539902</v>
      </c>
    </row>
    <row r="507" spans="2:8" x14ac:dyDescent="0.25">
      <c r="B507" s="130">
        <f t="shared" si="59"/>
        <v>46501</v>
      </c>
      <c r="C507" s="208">
        <f t="shared" ca="1" si="60"/>
        <v>217857.14285714287</v>
      </c>
      <c r="D507" s="208">
        <f t="shared" si="56"/>
        <v>0</v>
      </c>
      <c r="E507" s="208">
        <f t="shared" si="57"/>
        <v>0</v>
      </c>
      <c r="F507" s="208">
        <f t="shared" ca="1" si="61"/>
        <v>66.567460317460331</v>
      </c>
      <c r="G507" s="502">
        <f t="shared" ca="1" si="62"/>
        <v>168114.18650793872</v>
      </c>
      <c r="H507" s="502">
        <f t="shared" ca="1" si="58"/>
        <v>385971.32936508162</v>
      </c>
    </row>
    <row r="508" spans="2:8" x14ac:dyDescent="0.25">
      <c r="B508" s="130">
        <f t="shared" si="59"/>
        <v>46502</v>
      </c>
      <c r="C508" s="208">
        <f t="shared" ca="1" si="60"/>
        <v>217857.14285714287</v>
      </c>
      <c r="D508" s="208">
        <f t="shared" si="56"/>
        <v>0</v>
      </c>
      <c r="E508" s="208">
        <f t="shared" si="57"/>
        <v>0</v>
      </c>
      <c r="F508" s="208">
        <f t="shared" ca="1" si="61"/>
        <v>66.567460317460331</v>
      </c>
      <c r="G508" s="502">
        <f t="shared" ca="1" si="62"/>
        <v>168047.61904762127</v>
      </c>
      <c r="H508" s="502">
        <f t="shared" ca="1" si="58"/>
        <v>385904.76190476411</v>
      </c>
    </row>
    <row r="509" spans="2:8" x14ac:dyDescent="0.25">
      <c r="B509" s="130">
        <f t="shared" si="59"/>
        <v>46503</v>
      </c>
      <c r="C509" s="208">
        <f t="shared" ca="1" si="60"/>
        <v>217857.14285714287</v>
      </c>
      <c r="D509" s="208">
        <f t="shared" si="56"/>
        <v>0</v>
      </c>
      <c r="E509" s="208">
        <f t="shared" si="57"/>
        <v>0</v>
      </c>
      <c r="F509" s="208">
        <f t="shared" ca="1" si="61"/>
        <v>66.567460317460331</v>
      </c>
      <c r="G509" s="502">
        <f t="shared" ca="1" si="62"/>
        <v>167981.05158730381</v>
      </c>
      <c r="H509" s="502">
        <f t="shared" ca="1" si="58"/>
        <v>385838.19444444671</v>
      </c>
    </row>
    <row r="510" spans="2:8" x14ac:dyDescent="0.25">
      <c r="B510" s="130">
        <f t="shared" si="59"/>
        <v>46504</v>
      </c>
      <c r="C510" s="208">
        <f t="shared" ca="1" si="60"/>
        <v>217857.14285714287</v>
      </c>
      <c r="D510" s="208">
        <f t="shared" si="56"/>
        <v>0</v>
      </c>
      <c r="E510" s="208">
        <f t="shared" si="57"/>
        <v>0</v>
      </c>
      <c r="F510" s="208">
        <f t="shared" ca="1" si="61"/>
        <v>66.567460317460331</v>
      </c>
      <c r="G510" s="502">
        <f t="shared" ca="1" si="62"/>
        <v>167914.48412698635</v>
      </c>
      <c r="H510" s="502">
        <f t="shared" ca="1" si="58"/>
        <v>385771.62698412919</v>
      </c>
    </row>
    <row r="511" spans="2:8" x14ac:dyDescent="0.25">
      <c r="B511" s="130">
        <f t="shared" si="59"/>
        <v>46505</v>
      </c>
      <c r="C511" s="208">
        <f t="shared" ca="1" si="60"/>
        <v>217857.14285714287</v>
      </c>
      <c r="D511" s="208">
        <f t="shared" si="56"/>
        <v>0</v>
      </c>
      <c r="E511" s="208">
        <f t="shared" si="57"/>
        <v>0</v>
      </c>
      <c r="F511" s="208">
        <f t="shared" ca="1" si="61"/>
        <v>66.567460317460331</v>
      </c>
      <c r="G511" s="502">
        <f t="shared" ca="1" si="62"/>
        <v>167847.9166666689</v>
      </c>
      <c r="H511" s="502">
        <f t="shared" ca="1" si="58"/>
        <v>385705.0595238118</v>
      </c>
    </row>
    <row r="512" spans="2:8" x14ac:dyDescent="0.25">
      <c r="B512" s="130">
        <f t="shared" si="59"/>
        <v>46506</v>
      </c>
      <c r="C512" s="208">
        <f t="shared" ca="1" si="60"/>
        <v>217857.14285714287</v>
      </c>
      <c r="D512" s="208">
        <f t="shared" si="56"/>
        <v>0</v>
      </c>
      <c r="E512" s="208">
        <f t="shared" si="57"/>
        <v>0</v>
      </c>
      <c r="F512" s="208">
        <f t="shared" ca="1" si="61"/>
        <v>66.567460317460331</v>
      </c>
      <c r="G512" s="502">
        <f t="shared" ca="1" si="62"/>
        <v>167781.34920635144</v>
      </c>
      <c r="H512" s="502">
        <f t="shared" ca="1" si="58"/>
        <v>385638.49206349428</v>
      </c>
    </row>
    <row r="513" spans="2:8" x14ac:dyDescent="0.25">
      <c r="B513" s="130">
        <f t="shared" si="59"/>
        <v>46507</v>
      </c>
      <c r="C513" s="208">
        <f t="shared" ca="1" si="60"/>
        <v>217857.14285714287</v>
      </c>
      <c r="D513" s="208">
        <f t="shared" si="56"/>
        <v>0</v>
      </c>
      <c r="E513" s="208">
        <f t="shared" si="57"/>
        <v>0</v>
      </c>
      <c r="F513" s="208">
        <f t="shared" ca="1" si="61"/>
        <v>66.567460317460331</v>
      </c>
      <c r="G513" s="502">
        <f t="shared" ca="1" si="62"/>
        <v>167714.78174603399</v>
      </c>
      <c r="H513" s="502">
        <f t="shared" ca="1" si="58"/>
        <v>385571.92460317689</v>
      </c>
    </row>
    <row r="514" spans="2:8" x14ac:dyDescent="0.25">
      <c r="B514" s="130">
        <f t="shared" si="59"/>
        <v>46508</v>
      </c>
      <c r="C514" s="208">
        <f t="shared" ca="1" si="60"/>
        <v>217857.14285714287</v>
      </c>
      <c r="D514" s="208">
        <f t="shared" si="56"/>
        <v>0</v>
      </c>
      <c r="E514" s="208">
        <f t="shared" si="57"/>
        <v>0</v>
      </c>
      <c r="F514" s="208">
        <f t="shared" ca="1" si="61"/>
        <v>66.567460317460331</v>
      </c>
      <c r="G514" s="502">
        <f t="shared" ca="1" si="62"/>
        <v>167648.21428571653</v>
      </c>
      <c r="H514" s="502">
        <f t="shared" ca="1" si="58"/>
        <v>385505.35714285937</v>
      </c>
    </row>
    <row r="515" spans="2:8" x14ac:dyDescent="0.25">
      <c r="B515" s="130">
        <f t="shared" si="59"/>
        <v>46509</v>
      </c>
      <c r="C515" s="208">
        <f t="shared" ca="1" si="60"/>
        <v>217857.14285714287</v>
      </c>
      <c r="D515" s="208">
        <f t="shared" si="56"/>
        <v>0</v>
      </c>
      <c r="E515" s="208">
        <f t="shared" si="57"/>
        <v>0</v>
      </c>
      <c r="F515" s="208">
        <f t="shared" ca="1" si="61"/>
        <v>66.567460317460331</v>
      </c>
      <c r="G515" s="502">
        <f t="shared" ca="1" si="62"/>
        <v>167581.64682539908</v>
      </c>
      <c r="H515" s="502">
        <f t="shared" ca="1" si="58"/>
        <v>385438.78968254197</v>
      </c>
    </row>
    <row r="516" spans="2:8" x14ac:dyDescent="0.25">
      <c r="B516" s="130">
        <f t="shared" si="59"/>
        <v>46510</v>
      </c>
      <c r="C516" s="208">
        <f t="shared" ca="1" si="60"/>
        <v>217857.14285714287</v>
      </c>
      <c r="D516" s="208">
        <f t="shared" si="56"/>
        <v>0</v>
      </c>
      <c r="E516" s="208">
        <f t="shared" si="57"/>
        <v>0</v>
      </c>
      <c r="F516" s="208">
        <f t="shared" ca="1" si="61"/>
        <v>66.567460317460331</v>
      </c>
      <c r="G516" s="502">
        <f t="shared" ca="1" si="62"/>
        <v>167515.07936508162</v>
      </c>
      <c r="H516" s="502">
        <f t="shared" ca="1" si="58"/>
        <v>385372.22222222446</v>
      </c>
    </row>
    <row r="517" spans="2:8" x14ac:dyDescent="0.25">
      <c r="B517" s="130">
        <f t="shared" si="59"/>
        <v>46511</v>
      </c>
      <c r="C517" s="208">
        <f t="shared" ca="1" si="60"/>
        <v>217857.14285714287</v>
      </c>
      <c r="D517" s="208">
        <f t="shared" si="56"/>
        <v>0</v>
      </c>
      <c r="E517" s="208">
        <f t="shared" si="57"/>
        <v>0</v>
      </c>
      <c r="F517" s="208">
        <f t="shared" ca="1" si="61"/>
        <v>66.567460317460331</v>
      </c>
      <c r="G517" s="502">
        <f t="shared" ca="1" si="62"/>
        <v>167448.51190476416</v>
      </c>
      <c r="H517" s="502">
        <f t="shared" ca="1" si="58"/>
        <v>385305.65476190706</v>
      </c>
    </row>
    <row r="518" spans="2:8" x14ac:dyDescent="0.25">
      <c r="B518" s="130">
        <f t="shared" si="59"/>
        <v>46512</v>
      </c>
      <c r="C518" s="208">
        <f t="shared" ca="1" si="60"/>
        <v>217857.14285714287</v>
      </c>
      <c r="D518" s="208">
        <f t="shared" si="56"/>
        <v>0</v>
      </c>
      <c r="E518" s="208">
        <f t="shared" si="57"/>
        <v>0</v>
      </c>
      <c r="F518" s="208">
        <f t="shared" ca="1" si="61"/>
        <v>66.567460317460331</v>
      </c>
      <c r="G518" s="502">
        <f t="shared" ca="1" si="62"/>
        <v>167381.94444444671</v>
      </c>
      <c r="H518" s="502">
        <f t="shared" ca="1" si="58"/>
        <v>385239.08730158955</v>
      </c>
    </row>
    <row r="519" spans="2:8" x14ac:dyDescent="0.25">
      <c r="B519" s="130">
        <f t="shared" si="59"/>
        <v>46513</v>
      </c>
      <c r="C519" s="208">
        <f t="shared" ca="1" si="60"/>
        <v>217857.14285714287</v>
      </c>
      <c r="D519" s="208">
        <f t="shared" si="56"/>
        <v>0</v>
      </c>
      <c r="E519" s="208">
        <f t="shared" si="57"/>
        <v>0</v>
      </c>
      <c r="F519" s="208">
        <f t="shared" ca="1" si="61"/>
        <v>66.567460317460331</v>
      </c>
      <c r="G519" s="502">
        <f t="shared" ca="1" si="62"/>
        <v>167315.37698412925</v>
      </c>
      <c r="H519" s="502">
        <f t="shared" ca="1" si="58"/>
        <v>385172.51984127215</v>
      </c>
    </row>
    <row r="520" spans="2:8" x14ac:dyDescent="0.25">
      <c r="B520" s="130">
        <f t="shared" si="59"/>
        <v>46514</v>
      </c>
      <c r="C520" s="208">
        <f t="shared" ca="1" si="60"/>
        <v>217857.14285714287</v>
      </c>
      <c r="D520" s="208">
        <f t="shared" si="56"/>
        <v>0</v>
      </c>
      <c r="E520" s="208">
        <f t="shared" si="57"/>
        <v>0</v>
      </c>
      <c r="F520" s="208">
        <f t="shared" ca="1" si="61"/>
        <v>66.567460317460331</v>
      </c>
      <c r="G520" s="502">
        <f t="shared" ca="1" si="62"/>
        <v>167248.8095238118</v>
      </c>
      <c r="H520" s="502">
        <f t="shared" ca="1" si="58"/>
        <v>385105.95238095464</v>
      </c>
    </row>
    <row r="521" spans="2:8" x14ac:dyDescent="0.25">
      <c r="B521" s="130">
        <f t="shared" si="59"/>
        <v>46515</v>
      </c>
      <c r="C521" s="208">
        <f t="shared" ca="1" si="60"/>
        <v>217857.14285714287</v>
      </c>
      <c r="D521" s="208">
        <f t="shared" si="56"/>
        <v>0</v>
      </c>
      <c r="E521" s="208">
        <f t="shared" si="57"/>
        <v>0</v>
      </c>
      <c r="F521" s="208">
        <f t="shared" ca="1" si="61"/>
        <v>66.567460317460331</v>
      </c>
      <c r="G521" s="502">
        <f t="shared" ca="1" si="62"/>
        <v>167182.24206349434</v>
      </c>
      <c r="H521" s="502">
        <f t="shared" ca="1" si="58"/>
        <v>385039.38492063724</v>
      </c>
    </row>
    <row r="522" spans="2:8" x14ac:dyDescent="0.25">
      <c r="B522" s="130">
        <f t="shared" si="59"/>
        <v>46516</v>
      </c>
      <c r="C522" s="208">
        <f t="shared" ca="1" si="60"/>
        <v>217857.14285714287</v>
      </c>
      <c r="D522" s="208">
        <f t="shared" si="56"/>
        <v>0</v>
      </c>
      <c r="E522" s="208">
        <f t="shared" si="57"/>
        <v>0</v>
      </c>
      <c r="F522" s="208">
        <f t="shared" ca="1" si="61"/>
        <v>66.567460317460331</v>
      </c>
      <c r="G522" s="502">
        <f t="shared" ca="1" si="62"/>
        <v>167115.67460317689</v>
      </c>
      <c r="H522" s="502">
        <f t="shared" ca="1" si="58"/>
        <v>384972.81746031973</v>
      </c>
    </row>
    <row r="523" spans="2:8" x14ac:dyDescent="0.25">
      <c r="B523" s="130">
        <f t="shared" si="59"/>
        <v>46517</v>
      </c>
      <c r="C523" s="208">
        <f t="shared" ca="1" si="60"/>
        <v>217857.14285714287</v>
      </c>
      <c r="D523" s="208">
        <f t="shared" si="56"/>
        <v>0</v>
      </c>
      <c r="E523" s="208">
        <f t="shared" si="57"/>
        <v>0</v>
      </c>
      <c r="F523" s="208">
        <f t="shared" ca="1" si="61"/>
        <v>66.567460317460331</v>
      </c>
      <c r="G523" s="502">
        <f t="shared" ca="1" si="62"/>
        <v>167049.10714285943</v>
      </c>
      <c r="H523" s="502">
        <f t="shared" ca="1" si="58"/>
        <v>384906.25000000233</v>
      </c>
    </row>
    <row r="524" spans="2:8" x14ac:dyDescent="0.25">
      <c r="B524" s="130">
        <f t="shared" si="59"/>
        <v>46518</v>
      </c>
      <c r="C524" s="208">
        <f t="shared" ca="1" si="60"/>
        <v>217857.14285714287</v>
      </c>
      <c r="D524" s="208">
        <f t="shared" si="56"/>
        <v>0</v>
      </c>
      <c r="E524" s="208">
        <f t="shared" si="57"/>
        <v>0</v>
      </c>
      <c r="F524" s="208">
        <f t="shared" ca="1" si="61"/>
        <v>66.567460317460331</v>
      </c>
      <c r="G524" s="502">
        <f t="shared" ca="1" si="62"/>
        <v>166982.53968254197</v>
      </c>
      <c r="H524" s="502">
        <f t="shared" ca="1" si="58"/>
        <v>384839.68253968481</v>
      </c>
    </row>
    <row r="525" spans="2:8" x14ac:dyDescent="0.25">
      <c r="B525" s="130">
        <f t="shared" si="59"/>
        <v>46519</v>
      </c>
      <c r="C525" s="208">
        <f t="shared" ca="1" si="60"/>
        <v>217857.14285714287</v>
      </c>
      <c r="D525" s="208">
        <f t="shared" si="56"/>
        <v>0</v>
      </c>
      <c r="E525" s="208">
        <f t="shared" si="57"/>
        <v>0</v>
      </c>
      <c r="F525" s="208">
        <f t="shared" ca="1" si="61"/>
        <v>66.567460317460331</v>
      </c>
      <c r="G525" s="502">
        <f t="shared" ca="1" si="62"/>
        <v>166915.97222222452</v>
      </c>
      <c r="H525" s="502">
        <f t="shared" ca="1" si="58"/>
        <v>384773.11507936742</v>
      </c>
    </row>
    <row r="526" spans="2:8" x14ac:dyDescent="0.25">
      <c r="B526" s="130">
        <f t="shared" si="59"/>
        <v>46520</v>
      </c>
      <c r="C526" s="208">
        <f t="shared" ca="1" si="60"/>
        <v>217857.14285714287</v>
      </c>
      <c r="D526" s="208">
        <f t="shared" si="56"/>
        <v>0</v>
      </c>
      <c r="E526" s="208">
        <f t="shared" si="57"/>
        <v>0</v>
      </c>
      <c r="F526" s="208">
        <f t="shared" ca="1" si="61"/>
        <v>66.567460317460331</v>
      </c>
      <c r="G526" s="502">
        <f t="shared" ca="1" si="62"/>
        <v>166849.40476190706</v>
      </c>
      <c r="H526" s="502">
        <f t="shared" ca="1" si="58"/>
        <v>384706.5476190499</v>
      </c>
    </row>
    <row r="527" spans="2:8" x14ac:dyDescent="0.25">
      <c r="B527" s="130">
        <f t="shared" si="59"/>
        <v>46521</v>
      </c>
      <c r="C527" s="208">
        <f t="shared" ca="1" si="60"/>
        <v>217857.14285714287</v>
      </c>
      <c r="D527" s="208">
        <f t="shared" si="56"/>
        <v>0</v>
      </c>
      <c r="E527" s="208">
        <f t="shared" si="57"/>
        <v>0</v>
      </c>
      <c r="F527" s="208">
        <f t="shared" ca="1" si="61"/>
        <v>66.567460317460331</v>
      </c>
      <c r="G527" s="502">
        <f t="shared" ca="1" si="62"/>
        <v>166782.83730158961</v>
      </c>
      <c r="H527" s="502">
        <f t="shared" ca="1" si="58"/>
        <v>384639.98015873251</v>
      </c>
    </row>
    <row r="528" spans="2:8" x14ac:dyDescent="0.25">
      <c r="B528" s="130">
        <f t="shared" si="59"/>
        <v>46522</v>
      </c>
      <c r="C528" s="208">
        <f t="shared" ca="1" si="60"/>
        <v>217857.14285714287</v>
      </c>
      <c r="D528" s="208">
        <f t="shared" si="56"/>
        <v>0</v>
      </c>
      <c r="E528" s="208">
        <f t="shared" si="57"/>
        <v>0</v>
      </c>
      <c r="F528" s="208">
        <f t="shared" ca="1" si="61"/>
        <v>66.567460317460331</v>
      </c>
      <c r="G528" s="502">
        <f t="shared" ca="1" si="62"/>
        <v>166716.26984127215</v>
      </c>
      <c r="H528" s="502">
        <f t="shared" ca="1" si="58"/>
        <v>384573.41269841499</v>
      </c>
    </row>
    <row r="529" spans="2:8" x14ac:dyDescent="0.25">
      <c r="B529" s="130">
        <f t="shared" si="59"/>
        <v>46523</v>
      </c>
      <c r="C529" s="208">
        <f t="shared" ca="1" si="60"/>
        <v>217857.14285714287</v>
      </c>
      <c r="D529" s="208">
        <f t="shared" si="56"/>
        <v>0</v>
      </c>
      <c r="E529" s="208">
        <f t="shared" si="57"/>
        <v>0</v>
      </c>
      <c r="F529" s="208">
        <f t="shared" ca="1" si="61"/>
        <v>66.567460317460331</v>
      </c>
      <c r="G529" s="502">
        <f t="shared" ca="1" si="62"/>
        <v>166649.7023809547</v>
      </c>
      <c r="H529" s="502">
        <f t="shared" ca="1" si="58"/>
        <v>384506.84523809759</v>
      </c>
    </row>
    <row r="530" spans="2:8" x14ac:dyDescent="0.25">
      <c r="B530" s="130">
        <f t="shared" si="59"/>
        <v>46524</v>
      </c>
      <c r="C530" s="208">
        <f t="shared" ca="1" si="60"/>
        <v>217857.14285714287</v>
      </c>
      <c r="D530" s="208">
        <f t="shared" si="56"/>
        <v>0</v>
      </c>
      <c r="E530" s="208">
        <f t="shared" si="57"/>
        <v>0</v>
      </c>
      <c r="F530" s="208">
        <f t="shared" ca="1" si="61"/>
        <v>66.567460317460331</v>
      </c>
      <c r="G530" s="502">
        <f t="shared" ca="1" si="62"/>
        <v>166583.13492063724</v>
      </c>
      <c r="H530" s="502">
        <f t="shared" ca="1" si="58"/>
        <v>384440.27777778008</v>
      </c>
    </row>
    <row r="531" spans="2:8" x14ac:dyDescent="0.25">
      <c r="B531" s="130">
        <f t="shared" si="59"/>
        <v>46525</v>
      </c>
      <c r="C531" s="208">
        <f t="shared" ca="1" si="60"/>
        <v>217857.14285714287</v>
      </c>
      <c r="D531" s="208">
        <f t="shared" si="56"/>
        <v>0</v>
      </c>
      <c r="E531" s="208">
        <f t="shared" si="57"/>
        <v>0</v>
      </c>
      <c r="F531" s="208">
        <f t="shared" ca="1" si="61"/>
        <v>66.567460317460331</v>
      </c>
      <c r="G531" s="502">
        <f t="shared" ca="1" si="62"/>
        <v>166516.56746031978</v>
      </c>
      <c r="H531" s="502">
        <f t="shared" ca="1" si="58"/>
        <v>384373.71031746268</v>
      </c>
    </row>
    <row r="532" spans="2:8" x14ac:dyDescent="0.25">
      <c r="B532" s="130">
        <f t="shared" si="59"/>
        <v>46526</v>
      </c>
      <c r="C532" s="208">
        <f t="shared" ca="1" si="60"/>
        <v>217857.14285714287</v>
      </c>
      <c r="D532" s="208">
        <f t="shared" si="56"/>
        <v>0</v>
      </c>
      <c r="E532" s="208">
        <f t="shared" si="57"/>
        <v>0</v>
      </c>
      <c r="F532" s="208">
        <f t="shared" ca="1" si="61"/>
        <v>66.567460317460331</v>
      </c>
      <c r="G532" s="502">
        <f t="shared" ca="1" si="62"/>
        <v>166450.00000000233</v>
      </c>
      <c r="H532" s="502">
        <f t="shared" ca="1" si="58"/>
        <v>384307.14285714517</v>
      </c>
    </row>
    <row r="533" spans="2:8" x14ac:dyDescent="0.25">
      <c r="B533" s="130">
        <f t="shared" si="59"/>
        <v>46527</v>
      </c>
      <c r="C533" s="208">
        <f t="shared" ca="1" si="60"/>
        <v>217857.14285714287</v>
      </c>
      <c r="D533" s="208">
        <f t="shared" si="56"/>
        <v>0</v>
      </c>
      <c r="E533" s="208">
        <f t="shared" si="57"/>
        <v>0</v>
      </c>
      <c r="F533" s="208">
        <f t="shared" ca="1" si="61"/>
        <v>66.567460317460331</v>
      </c>
      <c r="G533" s="502">
        <f t="shared" ca="1" si="62"/>
        <v>166383.43253968487</v>
      </c>
      <c r="H533" s="502">
        <f t="shared" ca="1" si="58"/>
        <v>384240.57539682777</v>
      </c>
    </row>
    <row r="534" spans="2:8" x14ac:dyDescent="0.25">
      <c r="B534" s="130">
        <f t="shared" si="59"/>
        <v>46528</v>
      </c>
      <c r="C534" s="208">
        <f t="shared" ca="1" si="60"/>
        <v>217857.14285714287</v>
      </c>
      <c r="D534" s="208">
        <f t="shared" si="56"/>
        <v>0</v>
      </c>
      <c r="E534" s="208">
        <f t="shared" si="57"/>
        <v>0</v>
      </c>
      <c r="F534" s="208">
        <f t="shared" ca="1" si="61"/>
        <v>66.567460317460331</v>
      </c>
      <c r="G534" s="502">
        <f t="shared" ca="1" si="62"/>
        <v>166316.86507936742</v>
      </c>
      <c r="H534" s="502">
        <f t="shared" ca="1" si="58"/>
        <v>384174.00793651026</v>
      </c>
    </row>
    <row r="535" spans="2:8" x14ac:dyDescent="0.25">
      <c r="B535" s="130">
        <f t="shared" si="59"/>
        <v>46529</v>
      </c>
      <c r="C535" s="208">
        <f t="shared" ca="1" si="60"/>
        <v>217857.14285714287</v>
      </c>
      <c r="D535" s="208">
        <f t="shared" si="56"/>
        <v>0</v>
      </c>
      <c r="E535" s="208">
        <f t="shared" si="57"/>
        <v>0</v>
      </c>
      <c r="F535" s="208">
        <f t="shared" ca="1" si="61"/>
        <v>66.567460317460331</v>
      </c>
      <c r="G535" s="502">
        <f t="shared" ca="1" si="62"/>
        <v>166250.29761904996</v>
      </c>
      <c r="H535" s="502">
        <f t="shared" ca="1" si="58"/>
        <v>384107.44047619286</v>
      </c>
    </row>
    <row r="536" spans="2:8" x14ac:dyDescent="0.25">
      <c r="B536" s="130">
        <f t="shared" si="59"/>
        <v>46530</v>
      </c>
      <c r="C536" s="208">
        <f t="shared" ca="1" si="60"/>
        <v>217857.14285714287</v>
      </c>
      <c r="D536" s="208">
        <f t="shared" si="56"/>
        <v>0</v>
      </c>
      <c r="E536" s="208">
        <f t="shared" si="57"/>
        <v>0</v>
      </c>
      <c r="F536" s="208">
        <f t="shared" ca="1" si="61"/>
        <v>66.567460317460331</v>
      </c>
      <c r="G536" s="502">
        <f t="shared" ca="1" si="62"/>
        <v>166183.73015873251</v>
      </c>
      <c r="H536" s="502">
        <f t="shared" ca="1" si="58"/>
        <v>384040.87301587535</v>
      </c>
    </row>
    <row r="537" spans="2:8" x14ac:dyDescent="0.25">
      <c r="B537" s="130">
        <f t="shared" si="59"/>
        <v>46531</v>
      </c>
      <c r="C537" s="208">
        <f t="shared" ca="1" si="60"/>
        <v>217857.14285714287</v>
      </c>
      <c r="D537" s="208">
        <f t="shared" si="56"/>
        <v>0</v>
      </c>
      <c r="E537" s="208">
        <f t="shared" si="57"/>
        <v>0</v>
      </c>
      <c r="F537" s="208">
        <f t="shared" ca="1" si="61"/>
        <v>66.567460317460331</v>
      </c>
      <c r="G537" s="502">
        <f t="shared" ca="1" si="62"/>
        <v>166117.16269841505</v>
      </c>
      <c r="H537" s="502">
        <f t="shared" ca="1" si="58"/>
        <v>383974.30555555795</v>
      </c>
    </row>
    <row r="538" spans="2:8" x14ac:dyDescent="0.25">
      <c r="B538" s="130">
        <f t="shared" si="59"/>
        <v>46532</v>
      </c>
      <c r="C538" s="208">
        <f t="shared" ca="1" si="60"/>
        <v>217857.14285714287</v>
      </c>
      <c r="D538" s="208">
        <f t="shared" si="56"/>
        <v>0</v>
      </c>
      <c r="E538" s="208">
        <f t="shared" si="57"/>
        <v>0</v>
      </c>
      <c r="F538" s="208">
        <f t="shared" ca="1" si="61"/>
        <v>66.567460317460331</v>
      </c>
      <c r="G538" s="502">
        <f t="shared" ca="1" si="62"/>
        <v>166050.59523809759</v>
      </c>
      <c r="H538" s="502">
        <f t="shared" ca="1" si="58"/>
        <v>383907.73809524043</v>
      </c>
    </row>
    <row r="539" spans="2:8" x14ac:dyDescent="0.25">
      <c r="B539" s="130">
        <f t="shared" si="59"/>
        <v>46533</v>
      </c>
      <c r="C539" s="208">
        <f t="shared" ca="1" si="60"/>
        <v>217857.14285714287</v>
      </c>
      <c r="D539" s="208">
        <f t="shared" si="56"/>
        <v>0</v>
      </c>
      <c r="E539" s="208">
        <f t="shared" si="57"/>
        <v>0</v>
      </c>
      <c r="F539" s="208">
        <f t="shared" ca="1" si="61"/>
        <v>66.567460317460331</v>
      </c>
      <c r="G539" s="502">
        <f t="shared" ca="1" si="62"/>
        <v>165984.02777778014</v>
      </c>
      <c r="H539" s="502">
        <f t="shared" ca="1" si="58"/>
        <v>383841.17063492304</v>
      </c>
    </row>
    <row r="540" spans="2:8" x14ac:dyDescent="0.25">
      <c r="B540" s="130">
        <f t="shared" si="59"/>
        <v>46534</v>
      </c>
      <c r="C540" s="208">
        <f t="shared" ca="1" si="60"/>
        <v>217857.14285714287</v>
      </c>
      <c r="D540" s="208">
        <f t="shared" si="56"/>
        <v>0</v>
      </c>
      <c r="E540" s="208">
        <f t="shared" si="57"/>
        <v>0</v>
      </c>
      <c r="F540" s="208">
        <f t="shared" ca="1" si="61"/>
        <v>66.567460317460331</v>
      </c>
      <c r="G540" s="502">
        <f t="shared" ca="1" si="62"/>
        <v>165917.46031746268</v>
      </c>
      <c r="H540" s="502">
        <f t="shared" ca="1" si="58"/>
        <v>383774.60317460552</v>
      </c>
    </row>
    <row r="541" spans="2:8" x14ac:dyDescent="0.25">
      <c r="B541" s="130">
        <f t="shared" si="59"/>
        <v>46535</v>
      </c>
      <c r="C541" s="208">
        <f t="shared" ca="1" si="60"/>
        <v>217857.14285714287</v>
      </c>
      <c r="D541" s="208">
        <f t="shared" si="56"/>
        <v>0</v>
      </c>
      <c r="E541" s="208">
        <f t="shared" si="57"/>
        <v>0</v>
      </c>
      <c r="F541" s="208">
        <f t="shared" ca="1" si="61"/>
        <v>66.567460317460331</v>
      </c>
      <c r="G541" s="502">
        <f t="shared" ca="1" si="62"/>
        <v>165850.89285714523</v>
      </c>
      <c r="H541" s="502">
        <f t="shared" ca="1" si="58"/>
        <v>383708.03571428813</v>
      </c>
    </row>
    <row r="542" spans="2:8" x14ac:dyDescent="0.25">
      <c r="B542" s="130">
        <f t="shared" si="59"/>
        <v>46536</v>
      </c>
      <c r="C542" s="208">
        <f t="shared" ca="1" si="60"/>
        <v>217857.14285714287</v>
      </c>
      <c r="D542" s="208">
        <f t="shared" ref="D542:D605" si="63">SUMIF($J$3:$J$26,B542,$K$3:$K$26)</f>
        <v>0</v>
      </c>
      <c r="E542" s="208">
        <f t="shared" ref="E542:E605" si="64">-SUMIF($N$3:$N$26,B542,$O$3:$O$26)</f>
        <v>0</v>
      </c>
      <c r="F542" s="208">
        <f t="shared" ca="1" si="61"/>
        <v>66.567460317460331</v>
      </c>
      <c r="G542" s="502">
        <f t="shared" ca="1" si="62"/>
        <v>165784.32539682777</v>
      </c>
      <c r="H542" s="502">
        <f t="shared" ref="H542:H605" ca="1" si="65">+C542+G542</f>
        <v>383641.46825397061</v>
      </c>
    </row>
    <row r="543" spans="2:8" x14ac:dyDescent="0.25">
      <c r="B543" s="130">
        <f t="shared" ref="B543:B606" si="66">+B542+1</f>
        <v>46537</v>
      </c>
      <c r="C543" s="208">
        <f t="shared" ref="C543:C606" ca="1" si="67">+C542+D542+E542</f>
        <v>217857.14285714287</v>
      </c>
      <c r="D543" s="208">
        <f t="shared" si="63"/>
        <v>0</v>
      </c>
      <c r="E543" s="208">
        <f t="shared" si="64"/>
        <v>0</v>
      </c>
      <c r="F543" s="208">
        <f t="shared" ref="F543:F606" ca="1" si="68">+C543*$C$3/360</f>
        <v>66.567460317460331</v>
      </c>
      <c r="G543" s="502">
        <f t="shared" ref="G543:G606" ca="1" si="69">+G542-F543</f>
        <v>165717.75793651032</v>
      </c>
      <c r="H543" s="502">
        <f t="shared" ca="1" si="65"/>
        <v>383574.90079365321</v>
      </c>
    </row>
    <row r="544" spans="2:8" x14ac:dyDescent="0.25">
      <c r="B544" s="130">
        <f t="shared" si="66"/>
        <v>46538</v>
      </c>
      <c r="C544" s="208">
        <f t="shared" ca="1" si="67"/>
        <v>217857.14285714287</v>
      </c>
      <c r="D544" s="208">
        <f t="shared" si="63"/>
        <v>0</v>
      </c>
      <c r="E544" s="208">
        <f t="shared" si="64"/>
        <v>0</v>
      </c>
      <c r="F544" s="208">
        <f t="shared" ca="1" si="68"/>
        <v>66.567460317460331</v>
      </c>
      <c r="G544" s="502">
        <f t="shared" ca="1" si="69"/>
        <v>165651.19047619286</v>
      </c>
      <c r="H544" s="502">
        <f t="shared" ca="1" si="65"/>
        <v>383508.3333333357</v>
      </c>
    </row>
    <row r="545" spans="2:8" x14ac:dyDescent="0.25">
      <c r="B545" s="130">
        <f t="shared" si="66"/>
        <v>46539</v>
      </c>
      <c r="C545" s="208">
        <f t="shared" ca="1" si="67"/>
        <v>217857.14285714287</v>
      </c>
      <c r="D545" s="208">
        <f t="shared" si="63"/>
        <v>0</v>
      </c>
      <c r="E545" s="208">
        <f t="shared" si="64"/>
        <v>0</v>
      </c>
      <c r="F545" s="208">
        <f t="shared" ca="1" si="68"/>
        <v>66.567460317460331</v>
      </c>
      <c r="G545" s="502">
        <f t="shared" ca="1" si="69"/>
        <v>165584.6230158754</v>
      </c>
      <c r="H545" s="502">
        <f t="shared" ca="1" si="65"/>
        <v>383441.7658730183</v>
      </c>
    </row>
    <row r="546" spans="2:8" x14ac:dyDescent="0.25">
      <c r="B546" s="130">
        <f t="shared" si="66"/>
        <v>46540</v>
      </c>
      <c r="C546" s="208">
        <f t="shared" ca="1" si="67"/>
        <v>217857.14285714287</v>
      </c>
      <c r="D546" s="208">
        <f t="shared" si="63"/>
        <v>0</v>
      </c>
      <c r="E546" s="208">
        <f t="shared" si="64"/>
        <v>0</v>
      </c>
      <c r="F546" s="208">
        <f t="shared" ca="1" si="68"/>
        <v>66.567460317460331</v>
      </c>
      <c r="G546" s="502">
        <f t="shared" ca="1" si="69"/>
        <v>165518.05555555795</v>
      </c>
      <c r="H546" s="502">
        <f t="shared" ca="1" si="65"/>
        <v>383375.19841270079</v>
      </c>
    </row>
    <row r="547" spans="2:8" x14ac:dyDescent="0.25">
      <c r="B547" s="130">
        <f t="shared" si="66"/>
        <v>46541</v>
      </c>
      <c r="C547" s="208">
        <f t="shared" ca="1" si="67"/>
        <v>217857.14285714287</v>
      </c>
      <c r="D547" s="208">
        <f t="shared" si="63"/>
        <v>0</v>
      </c>
      <c r="E547" s="208">
        <f t="shared" si="64"/>
        <v>0</v>
      </c>
      <c r="F547" s="208">
        <f t="shared" ca="1" si="68"/>
        <v>66.567460317460331</v>
      </c>
      <c r="G547" s="502">
        <f t="shared" ca="1" si="69"/>
        <v>165451.48809524049</v>
      </c>
      <c r="H547" s="502">
        <f t="shared" ca="1" si="65"/>
        <v>383308.63095238339</v>
      </c>
    </row>
    <row r="548" spans="2:8" x14ac:dyDescent="0.25">
      <c r="B548" s="130">
        <f t="shared" si="66"/>
        <v>46542</v>
      </c>
      <c r="C548" s="208">
        <f t="shared" ca="1" si="67"/>
        <v>217857.14285714287</v>
      </c>
      <c r="D548" s="208">
        <f t="shared" si="63"/>
        <v>0</v>
      </c>
      <c r="E548" s="208">
        <f t="shared" si="64"/>
        <v>0</v>
      </c>
      <c r="F548" s="208">
        <f t="shared" ca="1" si="68"/>
        <v>66.567460317460331</v>
      </c>
      <c r="G548" s="502">
        <f t="shared" ca="1" si="69"/>
        <v>165384.92063492304</v>
      </c>
      <c r="H548" s="502">
        <f t="shared" ca="1" si="65"/>
        <v>383242.06349206588</v>
      </c>
    </row>
    <row r="549" spans="2:8" x14ac:dyDescent="0.25">
      <c r="B549" s="130">
        <f t="shared" si="66"/>
        <v>46543</v>
      </c>
      <c r="C549" s="208">
        <f t="shared" ca="1" si="67"/>
        <v>217857.14285714287</v>
      </c>
      <c r="D549" s="208">
        <f t="shared" si="63"/>
        <v>0</v>
      </c>
      <c r="E549" s="208">
        <f t="shared" si="64"/>
        <v>0</v>
      </c>
      <c r="F549" s="208">
        <f t="shared" ca="1" si="68"/>
        <v>66.567460317460331</v>
      </c>
      <c r="G549" s="502">
        <f t="shared" ca="1" si="69"/>
        <v>165318.35317460558</v>
      </c>
      <c r="H549" s="502">
        <f t="shared" ca="1" si="65"/>
        <v>383175.49603174848</v>
      </c>
    </row>
    <row r="550" spans="2:8" x14ac:dyDescent="0.25">
      <c r="B550" s="130">
        <f t="shared" si="66"/>
        <v>46544</v>
      </c>
      <c r="C550" s="208">
        <f t="shared" ca="1" si="67"/>
        <v>217857.14285714287</v>
      </c>
      <c r="D550" s="208">
        <f t="shared" si="63"/>
        <v>0</v>
      </c>
      <c r="E550" s="208">
        <f t="shared" si="64"/>
        <v>0</v>
      </c>
      <c r="F550" s="208">
        <f t="shared" ca="1" si="68"/>
        <v>66.567460317460331</v>
      </c>
      <c r="G550" s="502">
        <f t="shared" ca="1" si="69"/>
        <v>165251.78571428813</v>
      </c>
      <c r="H550" s="502">
        <f t="shared" ca="1" si="65"/>
        <v>383108.92857143097</v>
      </c>
    </row>
    <row r="551" spans="2:8" x14ac:dyDescent="0.25">
      <c r="B551" s="130">
        <f t="shared" si="66"/>
        <v>46545</v>
      </c>
      <c r="C551" s="208">
        <f t="shared" ca="1" si="67"/>
        <v>217857.14285714287</v>
      </c>
      <c r="D551" s="208">
        <f t="shared" si="63"/>
        <v>0</v>
      </c>
      <c r="E551" s="208">
        <f t="shared" si="64"/>
        <v>0</v>
      </c>
      <c r="F551" s="208">
        <f t="shared" ca="1" si="68"/>
        <v>66.567460317460331</v>
      </c>
      <c r="G551" s="502">
        <f t="shared" ca="1" si="69"/>
        <v>165185.21825397067</v>
      </c>
      <c r="H551" s="502">
        <f t="shared" ca="1" si="65"/>
        <v>383042.36111111357</v>
      </c>
    </row>
    <row r="552" spans="2:8" x14ac:dyDescent="0.25">
      <c r="B552" s="130">
        <f t="shared" si="66"/>
        <v>46546</v>
      </c>
      <c r="C552" s="208">
        <f t="shared" ca="1" si="67"/>
        <v>217857.14285714287</v>
      </c>
      <c r="D552" s="208">
        <f t="shared" si="63"/>
        <v>0</v>
      </c>
      <c r="E552" s="208">
        <f t="shared" si="64"/>
        <v>0</v>
      </c>
      <c r="F552" s="208">
        <f t="shared" ca="1" si="68"/>
        <v>66.567460317460331</v>
      </c>
      <c r="G552" s="502">
        <f t="shared" ca="1" si="69"/>
        <v>165118.65079365321</v>
      </c>
      <c r="H552" s="502">
        <f t="shared" ca="1" si="65"/>
        <v>382975.79365079605</v>
      </c>
    </row>
    <row r="553" spans="2:8" x14ac:dyDescent="0.25">
      <c r="B553" s="130">
        <f t="shared" si="66"/>
        <v>46547</v>
      </c>
      <c r="C553" s="208">
        <f t="shared" ca="1" si="67"/>
        <v>217857.14285714287</v>
      </c>
      <c r="D553" s="208">
        <f t="shared" si="63"/>
        <v>0</v>
      </c>
      <c r="E553" s="208">
        <f t="shared" si="64"/>
        <v>0</v>
      </c>
      <c r="F553" s="208">
        <f t="shared" ca="1" si="68"/>
        <v>66.567460317460331</v>
      </c>
      <c r="G553" s="502">
        <f t="shared" ca="1" si="69"/>
        <v>165052.08333333576</v>
      </c>
      <c r="H553" s="502">
        <f t="shared" ca="1" si="65"/>
        <v>382909.22619047866</v>
      </c>
    </row>
    <row r="554" spans="2:8" x14ac:dyDescent="0.25">
      <c r="B554" s="130">
        <f t="shared" si="66"/>
        <v>46548</v>
      </c>
      <c r="C554" s="208">
        <f t="shared" ca="1" si="67"/>
        <v>217857.14285714287</v>
      </c>
      <c r="D554" s="208">
        <f t="shared" si="63"/>
        <v>0</v>
      </c>
      <c r="E554" s="208">
        <f t="shared" si="64"/>
        <v>0</v>
      </c>
      <c r="F554" s="208">
        <f t="shared" ca="1" si="68"/>
        <v>66.567460317460331</v>
      </c>
      <c r="G554" s="502">
        <f t="shared" ca="1" si="69"/>
        <v>164985.5158730183</v>
      </c>
      <c r="H554" s="502">
        <f t="shared" ca="1" si="65"/>
        <v>382842.65873016114</v>
      </c>
    </row>
    <row r="555" spans="2:8" x14ac:dyDescent="0.25">
      <c r="B555" s="130">
        <f t="shared" si="66"/>
        <v>46549</v>
      </c>
      <c r="C555" s="208">
        <f t="shared" ca="1" si="67"/>
        <v>217857.14285714287</v>
      </c>
      <c r="D555" s="208">
        <f t="shared" si="63"/>
        <v>0</v>
      </c>
      <c r="E555" s="208">
        <f t="shared" si="64"/>
        <v>0</v>
      </c>
      <c r="F555" s="208">
        <f t="shared" ca="1" si="68"/>
        <v>66.567460317460331</v>
      </c>
      <c r="G555" s="502">
        <f t="shared" ca="1" si="69"/>
        <v>164918.94841270085</v>
      </c>
      <c r="H555" s="502">
        <f t="shared" ca="1" si="65"/>
        <v>382776.09126984375</v>
      </c>
    </row>
    <row r="556" spans="2:8" x14ac:dyDescent="0.25">
      <c r="B556" s="130">
        <f t="shared" si="66"/>
        <v>46550</v>
      </c>
      <c r="C556" s="208">
        <f t="shared" ca="1" si="67"/>
        <v>217857.14285714287</v>
      </c>
      <c r="D556" s="208">
        <f t="shared" si="63"/>
        <v>0</v>
      </c>
      <c r="E556" s="208">
        <f t="shared" si="64"/>
        <v>0</v>
      </c>
      <c r="F556" s="208">
        <f t="shared" ca="1" si="68"/>
        <v>66.567460317460331</v>
      </c>
      <c r="G556" s="502">
        <f t="shared" ca="1" si="69"/>
        <v>164852.38095238339</v>
      </c>
      <c r="H556" s="502">
        <f t="shared" ca="1" si="65"/>
        <v>382709.52380952623</v>
      </c>
    </row>
    <row r="557" spans="2:8" x14ac:dyDescent="0.25">
      <c r="B557" s="130">
        <f t="shared" si="66"/>
        <v>46551</v>
      </c>
      <c r="C557" s="208">
        <f t="shared" ca="1" si="67"/>
        <v>217857.14285714287</v>
      </c>
      <c r="D557" s="208">
        <f t="shared" si="63"/>
        <v>0</v>
      </c>
      <c r="E557" s="208">
        <f t="shared" si="64"/>
        <v>0</v>
      </c>
      <c r="F557" s="208">
        <f t="shared" ca="1" si="68"/>
        <v>66.567460317460331</v>
      </c>
      <c r="G557" s="502">
        <f t="shared" ca="1" si="69"/>
        <v>164785.81349206594</v>
      </c>
      <c r="H557" s="502">
        <f t="shared" ca="1" si="65"/>
        <v>382642.95634920883</v>
      </c>
    </row>
    <row r="558" spans="2:8" x14ac:dyDescent="0.25">
      <c r="B558" s="130">
        <f t="shared" si="66"/>
        <v>46552</v>
      </c>
      <c r="C558" s="208">
        <f t="shared" ca="1" si="67"/>
        <v>217857.14285714287</v>
      </c>
      <c r="D558" s="208">
        <f t="shared" si="63"/>
        <v>0</v>
      </c>
      <c r="E558" s="208">
        <f t="shared" si="64"/>
        <v>0</v>
      </c>
      <c r="F558" s="208">
        <f t="shared" ca="1" si="68"/>
        <v>66.567460317460331</v>
      </c>
      <c r="G558" s="502">
        <f t="shared" ca="1" si="69"/>
        <v>164719.24603174848</v>
      </c>
      <c r="H558" s="502">
        <f t="shared" ca="1" si="65"/>
        <v>382576.38888889132</v>
      </c>
    </row>
    <row r="559" spans="2:8" x14ac:dyDescent="0.25">
      <c r="B559" s="130">
        <f t="shared" si="66"/>
        <v>46553</v>
      </c>
      <c r="C559" s="208">
        <f t="shared" ca="1" si="67"/>
        <v>217857.14285714287</v>
      </c>
      <c r="D559" s="208">
        <f t="shared" si="63"/>
        <v>0</v>
      </c>
      <c r="E559" s="208">
        <f t="shared" si="64"/>
        <v>0</v>
      </c>
      <c r="F559" s="208">
        <f t="shared" ca="1" si="68"/>
        <v>66.567460317460331</v>
      </c>
      <c r="G559" s="502">
        <f t="shared" ca="1" si="69"/>
        <v>164652.67857143102</v>
      </c>
      <c r="H559" s="502">
        <f t="shared" ca="1" si="65"/>
        <v>382509.82142857392</v>
      </c>
    </row>
    <row r="560" spans="2:8" x14ac:dyDescent="0.25">
      <c r="B560" s="130">
        <f t="shared" si="66"/>
        <v>46554</v>
      </c>
      <c r="C560" s="208">
        <f t="shared" ca="1" si="67"/>
        <v>217857.14285714287</v>
      </c>
      <c r="D560" s="208">
        <f t="shared" si="63"/>
        <v>0</v>
      </c>
      <c r="E560" s="208">
        <f t="shared" si="64"/>
        <v>0</v>
      </c>
      <c r="F560" s="208">
        <f t="shared" ca="1" si="68"/>
        <v>66.567460317460331</v>
      </c>
      <c r="G560" s="502">
        <f t="shared" ca="1" si="69"/>
        <v>164586.11111111357</v>
      </c>
      <c r="H560" s="502">
        <f t="shared" ca="1" si="65"/>
        <v>382443.25396825641</v>
      </c>
    </row>
    <row r="561" spans="2:8" x14ac:dyDescent="0.25">
      <c r="B561" s="130">
        <f t="shared" si="66"/>
        <v>46555</v>
      </c>
      <c r="C561" s="208">
        <f t="shared" ca="1" si="67"/>
        <v>217857.14285714287</v>
      </c>
      <c r="D561" s="208">
        <f t="shared" si="63"/>
        <v>0</v>
      </c>
      <c r="E561" s="208">
        <f t="shared" si="64"/>
        <v>0</v>
      </c>
      <c r="F561" s="208">
        <f t="shared" ca="1" si="68"/>
        <v>66.567460317460331</v>
      </c>
      <c r="G561" s="502">
        <f t="shared" ca="1" si="69"/>
        <v>164519.54365079611</v>
      </c>
      <c r="H561" s="502">
        <f t="shared" ca="1" si="65"/>
        <v>382376.68650793901</v>
      </c>
    </row>
    <row r="562" spans="2:8" x14ac:dyDescent="0.25">
      <c r="B562" s="130">
        <f t="shared" si="66"/>
        <v>46556</v>
      </c>
      <c r="C562" s="208">
        <f t="shared" ca="1" si="67"/>
        <v>217857.14285714287</v>
      </c>
      <c r="D562" s="208">
        <f t="shared" si="63"/>
        <v>0</v>
      </c>
      <c r="E562" s="208">
        <f t="shared" si="64"/>
        <v>0</v>
      </c>
      <c r="F562" s="208">
        <f t="shared" ca="1" si="68"/>
        <v>66.567460317460331</v>
      </c>
      <c r="G562" s="502">
        <f t="shared" ca="1" si="69"/>
        <v>164452.97619047866</v>
      </c>
      <c r="H562" s="502">
        <f t="shared" ca="1" si="65"/>
        <v>382310.1190476215</v>
      </c>
    </row>
    <row r="563" spans="2:8" x14ac:dyDescent="0.25">
      <c r="B563" s="130">
        <f t="shared" si="66"/>
        <v>46557</v>
      </c>
      <c r="C563" s="208">
        <f t="shared" ca="1" si="67"/>
        <v>217857.14285714287</v>
      </c>
      <c r="D563" s="208">
        <f t="shared" si="63"/>
        <v>0</v>
      </c>
      <c r="E563" s="208">
        <f t="shared" si="64"/>
        <v>0</v>
      </c>
      <c r="F563" s="208">
        <f t="shared" ca="1" si="68"/>
        <v>66.567460317460331</v>
      </c>
      <c r="G563" s="502">
        <f t="shared" ca="1" si="69"/>
        <v>164386.4087301612</v>
      </c>
      <c r="H563" s="502">
        <f t="shared" ca="1" si="65"/>
        <v>382243.5515873041</v>
      </c>
    </row>
    <row r="564" spans="2:8" x14ac:dyDescent="0.25">
      <c r="B564" s="130">
        <f t="shared" si="66"/>
        <v>46558</v>
      </c>
      <c r="C564" s="208">
        <f t="shared" ca="1" si="67"/>
        <v>217857.14285714287</v>
      </c>
      <c r="D564" s="208">
        <f t="shared" si="63"/>
        <v>0</v>
      </c>
      <c r="E564" s="208">
        <f t="shared" si="64"/>
        <v>0</v>
      </c>
      <c r="F564" s="208">
        <f t="shared" ca="1" si="68"/>
        <v>66.567460317460331</v>
      </c>
      <c r="G564" s="502">
        <f t="shared" ca="1" si="69"/>
        <v>164319.84126984375</v>
      </c>
      <c r="H564" s="502">
        <f t="shared" ca="1" si="65"/>
        <v>382176.98412698659</v>
      </c>
    </row>
    <row r="565" spans="2:8" x14ac:dyDescent="0.25">
      <c r="B565" s="130">
        <f t="shared" si="66"/>
        <v>46559</v>
      </c>
      <c r="C565" s="208">
        <f t="shared" ca="1" si="67"/>
        <v>217857.14285714287</v>
      </c>
      <c r="D565" s="208">
        <f t="shared" si="63"/>
        <v>0</v>
      </c>
      <c r="E565" s="208">
        <f t="shared" si="64"/>
        <v>0</v>
      </c>
      <c r="F565" s="208">
        <f t="shared" ca="1" si="68"/>
        <v>66.567460317460331</v>
      </c>
      <c r="G565" s="502">
        <f t="shared" ca="1" si="69"/>
        <v>164253.27380952629</v>
      </c>
      <c r="H565" s="502">
        <f t="shared" ca="1" si="65"/>
        <v>382110.41666666919</v>
      </c>
    </row>
    <row r="566" spans="2:8" x14ac:dyDescent="0.25">
      <c r="B566" s="130">
        <f t="shared" si="66"/>
        <v>46560</v>
      </c>
      <c r="C566" s="208">
        <f t="shared" ca="1" si="67"/>
        <v>217857.14285714287</v>
      </c>
      <c r="D566" s="208">
        <f t="shared" si="63"/>
        <v>0</v>
      </c>
      <c r="E566" s="208">
        <f t="shared" si="64"/>
        <v>0</v>
      </c>
      <c r="F566" s="208">
        <f t="shared" ca="1" si="68"/>
        <v>66.567460317460331</v>
      </c>
      <c r="G566" s="502">
        <f t="shared" ca="1" si="69"/>
        <v>164186.70634920883</v>
      </c>
      <c r="H566" s="502">
        <f t="shared" ca="1" si="65"/>
        <v>382043.84920635168</v>
      </c>
    </row>
    <row r="567" spans="2:8" x14ac:dyDescent="0.25">
      <c r="B567" s="130">
        <f t="shared" si="66"/>
        <v>46561</v>
      </c>
      <c r="C567" s="208">
        <f t="shared" ca="1" si="67"/>
        <v>217857.14285714287</v>
      </c>
      <c r="D567" s="208">
        <f t="shared" si="63"/>
        <v>0</v>
      </c>
      <c r="E567" s="208">
        <f t="shared" si="64"/>
        <v>0</v>
      </c>
      <c r="F567" s="208">
        <f t="shared" ca="1" si="68"/>
        <v>66.567460317460331</v>
      </c>
      <c r="G567" s="502">
        <f t="shared" ca="1" si="69"/>
        <v>164120.13888889138</v>
      </c>
      <c r="H567" s="502">
        <f t="shared" ca="1" si="65"/>
        <v>381977.28174603428</v>
      </c>
    </row>
    <row r="568" spans="2:8" x14ac:dyDescent="0.25">
      <c r="B568" s="130">
        <f t="shared" si="66"/>
        <v>46562</v>
      </c>
      <c r="C568" s="208">
        <f t="shared" ca="1" si="67"/>
        <v>217857.14285714287</v>
      </c>
      <c r="D568" s="208">
        <f t="shared" si="63"/>
        <v>0</v>
      </c>
      <c r="E568" s="208">
        <f t="shared" si="64"/>
        <v>0</v>
      </c>
      <c r="F568" s="208">
        <f t="shared" ca="1" si="68"/>
        <v>66.567460317460331</v>
      </c>
      <c r="G568" s="502">
        <f t="shared" ca="1" si="69"/>
        <v>164053.57142857392</v>
      </c>
      <c r="H568" s="502">
        <f t="shared" ca="1" si="65"/>
        <v>381910.71428571676</v>
      </c>
    </row>
    <row r="569" spans="2:8" x14ac:dyDescent="0.25">
      <c r="B569" s="130">
        <f t="shared" si="66"/>
        <v>46563</v>
      </c>
      <c r="C569" s="208">
        <f t="shared" ca="1" si="67"/>
        <v>217857.14285714287</v>
      </c>
      <c r="D569" s="208">
        <f t="shared" si="63"/>
        <v>0</v>
      </c>
      <c r="E569" s="208">
        <f t="shared" si="64"/>
        <v>0</v>
      </c>
      <c r="F569" s="208">
        <f t="shared" ca="1" si="68"/>
        <v>66.567460317460331</v>
      </c>
      <c r="G569" s="502">
        <f t="shared" ca="1" si="69"/>
        <v>163987.00396825647</v>
      </c>
      <c r="H569" s="502">
        <f t="shared" ca="1" si="65"/>
        <v>381844.14682539937</v>
      </c>
    </row>
    <row r="570" spans="2:8" x14ac:dyDescent="0.25">
      <c r="B570" s="130">
        <f t="shared" si="66"/>
        <v>46564</v>
      </c>
      <c r="C570" s="208">
        <f t="shared" ca="1" si="67"/>
        <v>217857.14285714287</v>
      </c>
      <c r="D570" s="208">
        <f t="shared" si="63"/>
        <v>0</v>
      </c>
      <c r="E570" s="208">
        <f t="shared" si="64"/>
        <v>0</v>
      </c>
      <c r="F570" s="208">
        <f t="shared" ca="1" si="68"/>
        <v>66.567460317460331</v>
      </c>
      <c r="G570" s="502">
        <f t="shared" ca="1" si="69"/>
        <v>163920.43650793901</v>
      </c>
      <c r="H570" s="502">
        <f t="shared" ca="1" si="65"/>
        <v>381777.57936508185</v>
      </c>
    </row>
    <row r="571" spans="2:8" x14ac:dyDescent="0.25">
      <c r="B571" s="130">
        <f t="shared" si="66"/>
        <v>46565</v>
      </c>
      <c r="C571" s="208">
        <f t="shared" ca="1" si="67"/>
        <v>217857.14285714287</v>
      </c>
      <c r="D571" s="208">
        <f t="shared" si="63"/>
        <v>0</v>
      </c>
      <c r="E571" s="208">
        <f t="shared" si="64"/>
        <v>0</v>
      </c>
      <c r="F571" s="208">
        <f t="shared" ca="1" si="68"/>
        <v>66.567460317460331</v>
      </c>
      <c r="G571" s="502">
        <f t="shared" ca="1" si="69"/>
        <v>163853.86904762156</v>
      </c>
      <c r="H571" s="502">
        <f t="shared" ca="1" si="65"/>
        <v>381711.01190476445</v>
      </c>
    </row>
    <row r="572" spans="2:8" x14ac:dyDescent="0.25">
      <c r="B572" s="130">
        <f t="shared" si="66"/>
        <v>46566</v>
      </c>
      <c r="C572" s="208">
        <f t="shared" ca="1" si="67"/>
        <v>217857.14285714287</v>
      </c>
      <c r="D572" s="208">
        <f t="shared" si="63"/>
        <v>0</v>
      </c>
      <c r="E572" s="208">
        <f t="shared" si="64"/>
        <v>0</v>
      </c>
      <c r="F572" s="208">
        <f t="shared" ca="1" si="68"/>
        <v>66.567460317460331</v>
      </c>
      <c r="G572" s="502">
        <f t="shared" ca="1" si="69"/>
        <v>163787.3015873041</v>
      </c>
      <c r="H572" s="502">
        <f t="shared" ca="1" si="65"/>
        <v>381644.44444444694</v>
      </c>
    </row>
    <row r="573" spans="2:8" x14ac:dyDescent="0.25">
      <c r="B573" s="130">
        <f t="shared" si="66"/>
        <v>46567</v>
      </c>
      <c r="C573" s="208">
        <f t="shared" ca="1" si="67"/>
        <v>217857.14285714287</v>
      </c>
      <c r="D573" s="208">
        <f t="shared" si="63"/>
        <v>0</v>
      </c>
      <c r="E573" s="208">
        <f t="shared" si="64"/>
        <v>0</v>
      </c>
      <c r="F573" s="208">
        <f t="shared" ca="1" si="68"/>
        <v>66.567460317460331</v>
      </c>
      <c r="G573" s="502">
        <f t="shared" ca="1" si="69"/>
        <v>163720.73412698664</v>
      </c>
      <c r="H573" s="502">
        <f t="shared" ca="1" si="65"/>
        <v>381577.87698412954</v>
      </c>
    </row>
    <row r="574" spans="2:8" x14ac:dyDescent="0.25">
      <c r="B574" s="130">
        <f t="shared" si="66"/>
        <v>46568</v>
      </c>
      <c r="C574" s="208">
        <f t="shared" ca="1" si="67"/>
        <v>217857.14285714287</v>
      </c>
      <c r="D574" s="208">
        <f t="shared" si="63"/>
        <v>0</v>
      </c>
      <c r="E574" s="208">
        <f t="shared" si="64"/>
        <v>0</v>
      </c>
      <c r="F574" s="208">
        <f t="shared" ca="1" si="68"/>
        <v>66.567460317460331</v>
      </c>
      <c r="G574" s="502">
        <f t="shared" ca="1" si="69"/>
        <v>163654.16666666919</v>
      </c>
      <c r="H574" s="502">
        <f t="shared" ca="1" si="65"/>
        <v>381511.30952381203</v>
      </c>
    </row>
    <row r="575" spans="2:8" x14ac:dyDescent="0.25">
      <c r="B575" s="130">
        <f t="shared" si="66"/>
        <v>46569</v>
      </c>
      <c r="C575" s="208">
        <f t="shared" ca="1" si="67"/>
        <v>217857.14285714287</v>
      </c>
      <c r="D575" s="208">
        <f t="shared" si="63"/>
        <v>0</v>
      </c>
      <c r="E575" s="208">
        <f t="shared" si="64"/>
        <v>0</v>
      </c>
      <c r="F575" s="208">
        <f t="shared" ca="1" si="68"/>
        <v>66.567460317460331</v>
      </c>
      <c r="G575" s="502">
        <f t="shared" ca="1" si="69"/>
        <v>163587.59920635173</v>
      </c>
      <c r="H575" s="502">
        <f t="shared" ca="1" si="65"/>
        <v>381444.74206349463</v>
      </c>
    </row>
    <row r="576" spans="2:8" x14ac:dyDescent="0.25">
      <c r="B576" s="130">
        <f t="shared" si="66"/>
        <v>46570</v>
      </c>
      <c r="C576" s="208">
        <f t="shared" ca="1" si="67"/>
        <v>217857.14285714287</v>
      </c>
      <c r="D576" s="208">
        <f t="shared" si="63"/>
        <v>0</v>
      </c>
      <c r="E576" s="208">
        <f t="shared" si="64"/>
        <v>0</v>
      </c>
      <c r="F576" s="208">
        <f t="shared" ca="1" si="68"/>
        <v>66.567460317460331</v>
      </c>
      <c r="G576" s="502">
        <f t="shared" ca="1" si="69"/>
        <v>163521.03174603428</v>
      </c>
      <c r="H576" s="502">
        <f t="shared" ca="1" si="65"/>
        <v>381378.17460317712</v>
      </c>
    </row>
    <row r="577" spans="2:8" x14ac:dyDescent="0.25">
      <c r="B577" s="130">
        <f t="shared" si="66"/>
        <v>46571</v>
      </c>
      <c r="C577" s="208">
        <f t="shared" ca="1" si="67"/>
        <v>217857.14285714287</v>
      </c>
      <c r="D577" s="208">
        <f t="shared" si="63"/>
        <v>0</v>
      </c>
      <c r="E577" s="208">
        <f t="shared" si="64"/>
        <v>0</v>
      </c>
      <c r="F577" s="208">
        <f t="shared" ca="1" si="68"/>
        <v>66.567460317460331</v>
      </c>
      <c r="G577" s="502">
        <f t="shared" ca="1" si="69"/>
        <v>163454.46428571682</v>
      </c>
      <c r="H577" s="502">
        <f t="shared" ca="1" si="65"/>
        <v>381311.60714285972</v>
      </c>
    </row>
    <row r="578" spans="2:8" x14ac:dyDescent="0.25">
      <c r="B578" s="130">
        <f t="shared" si="66"/>
        <v>46572</v>
      </c>
      <c r="C578" s="208">
        <f t="shared" ca="1" si="67"/>
        <v>217857.14285714287</v>
      </c>
      <c r="D578" s="208">
        <f t="shared" si="63"/>
        <v>0</v>
      </c>
      <c r="E578" s="208">
        <f t="shared" si="64"/>
        <v>0</v>
      </c>
      <c r="F578" s="208">
        <f t="shared" ca="1" si="68"/>
        <v>66.567460317460331</v>
      </c>
      <c r="G578" s="502">
        <f t="shared" ca="1" si="69"/>
        <v>163387.89682539937</v>
      </c>
      <c r="H578" s="502">
        <f t="shared" ca="1" si="65"/>
        <v>381245.03968254221</v>
      </c>
    </row>
    <row r="579" spans="2:8" x14ac:dyDescent="0.25">
      <c r="B579" s="130">
        <f t="shared" si="66"/>
        <v>46573</v>
      </c>
      <c r="C579" s="208">
        <f t="shared" ca="1" si="67"/>
        <v>217857.14285714287</v>
      </c>
      <c r="D579" s="208">
        <f t="shared" si="63"/>
        <v>0</v>
      </c>
      <c r="E579" s="208">
        <f t="shared" si="64"/>
        <v>0</v>
      </c>
      <c r="F579" s="208">
        <f t="shared" ca="1" si="68"/>
        <v>66.567460317460331</v>
      </c>
      <c r="G579" s="502">
        <f t="shared" ca="1" si="69"/>
        <v>163321.32936508191</v>
      </c>
      <c r="H579" s="502">
        <f t="shared" ca="1" si="65"/>
        <v>381178.47222222481</v>
      </c>
    </row>
    <row r="580" spans="2:8" x14ac:dyDescent="0.25">
      <c r="B580" s="130">
        <f t="shared" si="66"/>
        <v>46574</v>
      </c>
      <c r="C580" s="208">
        <f t="shared" ca="1" si="67"/>
        <v>217857.14285714287</v>
      </c>
      <c r="D580" s="208">
        <f t="shared" si="63"/>
        <v>0</v>
      </c>
      <c r="E580" s="208">
        <f t="shared" si="64"/>
        <v>0</v>
      </c>
      <c r="F580" s="208">
        <f t="shared" ca="1" si="68"/>
        <v>66.567460317460331</v>
      </c>
      <c r="G580" s="502">
        <f t="shared" ca="1" si="69"/>
        <v>163254.76190476445</v>
      </c>
      <c r="H580" s="502">
        <f t="shared" ca="1" si="65"/>
        <v>381111.9047619073</v>
      </c>
    </row>
    <row r="581" spans="2:8" x14ac:dyDescent="0.25">
      <c r="B581" s="130">
        <f t="shared" si="66"/>
        <v>46575</v>
      </c>
      <c r="C581" s="208">
        <f t="shared" ca="1" si="67"/>
        <v>217857.14285714287</v>
      </c>
      <c r="D581" s="208">
        <f t="shared" si="63"/>
        <v>0</v>
      </c>
      <c r="E581" s="208">
        <f t="shared" si="64"/>
        <v>0</v>
      </c>
      <c r="F581" s="208">
        <f t="shared" ca="1" si="68"/>
        <v>66.567460317460331</v>
      </c>
      <c r="G581" s="502">
        <f t="shared" ca="1" si="69"/>
        <v>163188.194444447</v>
      </c>
      <c r="H581" s="502">
        <f t="shared" ca="1" si="65"/>
        <v>381045.3373015899</v>
      </c>
    </row>
    <row r="582" spans="2:8" x14ac:dyDescent="0.25">
      <c r="B582" s="130">
        <f t="shared" si="66"/>
        <v>46576</v>
      </c>
      <c r="C582" s="208">
        <f t="shared" ca="1" si="67"/>
        <v>217857.14285714287</v>
      </c>
      <c r="D582" s="208">
        <f t="shared" si="63"/>
        <v>0</v>
      </c>
      <c r="E582" s="208">
        <f t="shared" si="64"/>
        <v>0</v>
      </c>
      <c r="F582" s="208">
        <f t="shared" ca="1" si="68"/>
        <v>66.567460317460331</v>
      </c>
      <c r="G582" s="502">
        <f t="shared" ca="1" si="69"/>
        <v>163121.62698412954</v>
      </c>
      <c r="H582" s="502">
        <f t="shared" ca="1" si="65"/>
        <v>380978.76984127238</v>
      </c>
    </row>
    <row r="583" spans="2:8" x14ac:dyDescent="0.25">
      <c r="B583" s="130">
        <f t="shared" si="66"/>
        <v>46577</v>
      </c>
      <c r="C583" s="208">
        <f t="shared" ca="1" si="67"/>
        <v>217857.14285714287</v>
      </c>
      <c r="D583" s="208">
        <f t="shared" si="63"/>
        <v>0</v>
      </c>
      <c r="E583" s="208">
        <f t="shared" si="64"/>
        <v>0</v>
      </c>
      <c r="F583" s="208">
        <f t="shared" ca="1" si="68"/>
        <v>66.567460317460331</v>
      </c>
      <c r="G583" s="502">
        <f t="shared" ca="1" si="69"/>
        <v>163055.05952381209</v>
      </c>
      <c r="H583" s="502">
        <f t="shared" ca="1" si="65"/>
        <v>380912.20238095499</v>
      </c>
    </row>
    <row r="584" spans="2:8" x14ac:dyDescent="0.25">
      <c r="B584" s="130">
        <f t="shared" si="66"/>
        <v>46578</v>
      </c>
      <c r="C584" s="208">
        <f t="shared" ca="1" si="67"/>
        <v>217857.14285714287</v>
      </c>
      <c r="D584" s="208">
        <f t="shared" si="63"/>
        <v>0</v>
      </c>
      <c r="E584" s="208">
        <f t="shared" si="64"/>
        <v>0</v>
      </c>
      <c r="F584" s="208">
        <f t="shared" ca="1" si="68"/>
        <v>66.567460317460331</v>
      </c>
      <c r="G584" s="502">
        <f t="shared" ca="1" si="69"/>
        <v>162988.49206349463</v>
      </c>
      <c r="H584" s="502">
        <f t="shared" ca="1" si="65"/>
        <v>380845.63492063747</v>
      </c>
    </row>
    <row r="585" spans="2:8" x14ac:dyDescent="0.25">
      <c r="B585" s="130">
        <f t="shared" si="66"/>
        <v>46579</v>
      </c>
      <c r="C585" s="208">
        <f t="shared" ca="1" si="67"/>
        <v>217857.14285714287</v>
      </c>
      <c r="D585" s="208">
        <f t="shared" si="63"/>
        <v>0</v>
      </c>
      <c r="E585" s="208">
        <f t="shared" si="64"/>
        <v>0</v>
      </c>
      <c r="F585" s="208">
        <f t="shared" ca="1" si="68"/>
        <v>66.567460317460331</v>
      </c>
      <c r="G585" s="502">
        <f t="shared" ca="1" si="69"/>
        <v>162921.92460317718</v>
      </c>
      <c r="H585" s="502">
        <f t="shared" ca="1" si="65"/>
        <v>380779.06746032008</v>
      </c>
    </row>
    <row r="586" spans="2:8" x14ac:dyDescent="0.25">
      <c r="B586" s="130">
        <f t="shared" si="66"/>
        <v>46580</v>
      </c>
      <c r="C586" s="208">
        <f t="shared" ca="1" si="67"/>
        <v>217857.14285714287</v>
      </c>
      <c r="D586" s="208">
        <f t="shared" si="63"/>
        <v>0</v>
      </c>
      <c r="E586" s="208">
        <f t="shared" si="64"/>
        <v>0</v>
      </c>
      <c r="F586" s="208">
        <f t="shared" ca="1" si="68"/>
        <v>66.567460317460331</v>
      </c>
      <c r="G586" s="502">
        <f t="shared" ca="1" si="69"/>
        <v>162855.35714285972</v>
      </c>
      <c r="H586" s="502">
        <f t="shared" ca="1" si="65"/>
        <v>380712.50000000256</v>
      </c>
    </row>
    <row r="587" spans="2:8" x14ac:dyDescent="0.25">
      <c r="B587" s="130">
        <f t="shared" si="66"/>
        <v>46581</v>
      </c>
      <c r="C587" s="208">
        <f t="shared" ca="1" si="67"/>
        <v>217857.14285714287</v>
      </c>
      <c r="D587" s="208">
        <f t="shared" si="63"/>
        <v>0</v>
      </c>
      <c r="E587" s="208">
        <f t="shared" si="64"/>
        <v>0</v>
      </c>
      <c r="F587" s="208">
        <f t="shared" ca="1" si="68"/>
        <v>66.567460317460331</v>
      </c>
      <c r="G587" s="502">
        <f t="shared" ca="1" si="69"/>
        <v>162788.78968254226</v>
      </c>
      <c r="H587" s="502">
        <f t="shared" ca="1" si="65"/>
        <v>380645.93253968516</v>
      </c>
    </row>
    <row r="588" spans="2:8" x14ac:dyDescent="0.25">
      <c r="B588" s="130">
        <f t="shared" si="66"/>
        <v>46582</v>
      </c>
      <c r="C588" s="208">
        <f t="shared" ca="1" si="67"/>
        <v>217857.14285714287</v>
      </c>
      <c r="D588" s="208">
        <f t="shared" si="63"/>
        <v>0</v>
      </c>
      <c r="E588" s="208">
        <f t="shared" si="64"/>
        <v>0</v>
      </c>
      <c r="F588" s="208">
        <f t="shared" ca="1" si="68"/>
        <v>66.567460317460331</v>
      </c>
      <c r="G588" s="502">
        <f t="shared" ca="1" si="69"/>
        <v>162722.22222222481</v>
      </c>
      <c r="H588" s="502">
        <f t="shared" ca="1" si="65"/>
        <v>380579.36507936765</v>
      </c>
    </row>
    <row r="589" spans="2:8" x14ac:dyDescent="0.25">
      <c r="B589" s="130">
        <f t="shared" si="66"/>
        <v>46583</v>
      </c>
      <c r="C589" s="208">
        <f t="shared" ca="1" si="67"/>
        <v>217857.14285714287</v>
      </c>
      <c r="D589" s="208">
        <f t="shared" si="63"/>
        <v>0</v>
      </c>
      <c r="E589" s="208">
        <f t="shared" si="64"/>
        <v>0</v>
      </c>
      <c r="F589" s="208">
        <f t="shared" ca="1" si="68"/>
        <v>66.567460317460331</v>
      </c>
      <c r="G589" s="502">
        <f t="shared" ca="1" si="69"/>
        <v>162655.65476190735</v>
      </c>
      <c r="H589" s="502">
        <f t="shared" ca="1" si="65"/>
        <v>380512.79761905025</v>
      </c>
    </row>
    <row r="590" spans="2:8" x14ac:dyDescent="0.25">
      <c r="B590" s="130">
        <f t="shared" si="66"/>
        <v>46584</v>
      </c>
      <c r="C590" s="208">
        <f t="shared" ca="1" si="67"/>
        <v>217857.14285714287</v>
      </c>
      <c r="D590" s="208">
        <f t="shared" si="63"/>
        <v>0</v>
      </c>
      <c r="E590" s="208">
        <f t="shared" si="64"/>
        <v>0</v>
      </c>
      <c r="F590" s="208">
        <f t="shared" ca="1" si="68"/>
        <v>66.567460317460331</v>
      </c>
      <c r="G590" s="502">
        <f t="shared" ca="1" si="69"/>
        <v>162589.0873015899</v>
      </c>
      <c r="H590" s="502">
        <f t="shared" ca="1" si="65"/>
        <v>380446.23015873274</v>
      </c>
    </row>
    <row r="591" spans="2:8" x14ac:dyDescent="0.25">
      <c r="B591" s="130">
        <f t="shared" si="66"/>
        <v>46585</v>
      </c>
      <c r="C591" s="208">
        <f t="shared" ca="1" si="67"/>
        <v>217857.14285714287</v>
      </c>
      <c r="D591" s="208">
        <f t="shared" si="63"/>
        <v>0</v>
      </c>
      <c r="E591" s="208">
        <f t="shared" si="64"/>
        <v>0</v>
      </c>
      <c r="F591" s="208">
        <f t="shared" ca="1" si="68"/>
        <v>66.567460317460331</v>
      </c>
      <c r="G591" s="502">
        <f t="shared" ca="1" si="69"/>
        <v>162522.51984127244</v>
      </c>
      <c r="H591" s="502">
        <f t="shared" ca="1" si="65"/>
        <v>380379.66269841534</v>
      </c>
    </row>
    <row r="592" spans="2:8" x14ac:dyDescent="0.25">
      <c r="B592" s="130">
        <f t="shared" si="66"/>
        <v>46586</v>
      </c>
      <c r="C592" s="208">
        <f t="shared" ca="1" si="67"/>
        <v>217857.14285714287</v>
      </c>
      <c r="D592" s="208">
        <f t="shared" si="63"/>
        <v>0</v>
      </c>
      <c r="E592" s="208">
        <f t="shared" si="64"/>
        <v>0</v>
      </c>
      <c r="F592" s="208">
        <f t="shared" ca="1" si="68"/>
        <v>66.567460317460331</v>
      </c>
      <c r="G592" s="502">
        <f t="shared" ca="1" si="69"/>
        <v>162455.95238095499</v>
      </c>
      <c r="H592" s="502">
        <f t="shared" ca="1" si="65"/>
        <v>380313.09523809783</v>
      </c>
    </row>
    <row r="593" spans="2:8" x14ac:dyDescent="0.25">
      <c r="B593" s="130">
        <f t="shared" si="66"/>
        <v>46587</v>
      </c>
      <c r="C593" s="208">
        <f t="shared" ca="1" si="67"/>
        <v>217857.14285714287</v>
      </c>
      <c r="D593" s="208">
        <f t="shared" si="63"/>
        <v>0</v>
      </c>
      <c r="E593" s="208">
        <f t="shared" si="64"/>
        <v>0</v>
      </c>
      <c r="F593" s="208">
        <f t="shared" ca="1" si="68"/>
        <v>66.567460317460331</v>
      </c>
      <c r="G593" s="502">
        <f t="shared" ca="1" si="69"/>
        <v>162389.38492063753</v>
      </c>
      <c r="H593" s="502">
        <f t="shared" ca="1" si="65"/>
        <v>380246.52777778043</v>
      </c>
    </row>
    <row r="594" spans="2:8" x14ac:dyDescent="0.25">
      <c r="B594" s="130">
        <f t="shared" si="66"/>
        <v>46588</v>
      </c>
      <c r="C594" s="208">
        <f t="shared" ca="1" si="67"/>
        <v>217857.14285714287</v>
      </c>
      <c r="D594" s="208">
        <f t="shared" si="63"/>
        <v>0</v>
      </c>
      <c r="E594" s="208">
        <f t="shared" si="64"/>
        <v>0</v>
      </c>
      <c r="F594" s="208">
        <f t="shared" ca="1" si="68"/>
        <v>66.567460317460331</v>
      </c>
      <c r="G594" s="502">
        <f t="shared" ca="1" si="69"/>
        <v>162322.81746032008</v>
      </c>
      <c r="H594" s="502">
        <f t="shared" ca="1" si="65"/>
        <v>380179.96031746292</v>
      </c>
    </row>
    <row r="595" spans="2:8" x14ac:dyDescent="0.25">
      <c r="B595" s="130">
        <f t="shared" si="66"/>
        <v>46589</v>
      </c>
      <c r="C595" s="208">
        <f t="shared" ca="1" si="67"/>
        <v>217857.14285714287</v>
      </c>
      <c r="D595" s="208">
        <f t="shared" si="63"/>
        <v>0</v>
      </c>
      <c r="E595" s="208">
        <f t="shared" si="64"/>
        <v>0</v>
      </c>
      <c r="F595" s="208">
        <f t="shared" ca="1" si="68"/>
        <v>66.567460317460331</v>
      </c>
      <c r="G595" s="502">
        <f t="shared" ca="1" si="69"/>
        <v>162256.25000000262</v>
      </c>
      <c r="H595" s="502">
        <f t="shared" ca="1" si="65"/>
        <v>380113.39285714552</v>
      </c>
    </row>
    <row r="596" spans="2:8" x14ac:dyDescent="0.25">
      <c r="B596" s="130">
        <f t="shared" si="66"/>
        <v>46590</v>
      </c>
      <c r="C596" s="208">
        <f t="shared" ca="1" si="67"/>
        <v>217857.14285714287</v>
      </c>
      <c r="D596" s="208">
        <f t="shared" si="63"/>
        <v>0</v>
      </c>
      <c r="E596" s="208">
        <f t="shared" si="64"/>
        <v>0</v>
      </c>
      <c r="F596" s="208">
        <f t="shared" ca="1" si="68"/>
        <v>66.567460317460331</v>
      </c>
      <c r="G596" s="502">
        <f t="shared" ca="1" si="69"/>
        <v>162189.68253968516</v>
      </c>
      <c r="H596" s="502">
        <f t="shared" ca="1" si="65"/>
        <v>380046.825396828</v>
      </c>
    </row>
    <row r="597" spans="2:8" x14ac:dyDescent="0.25">
      <c r="B597" s="130">
        <f t="shared" si="66"/>
        <v>46591</v>
      </c>
      <c r="C597" s="208">
        <f t="shared" ca="1" si="67"/>
        <v>217857.14285714287</v>
      </c>
      <c r="D597" s="208">
        <f t="shared" si="63"/>
        <v>0</v>
      </c>
      <c r="E597" s="208">
        <f t="shared" si="64"/>
        <v>0</v>
      </c>
      <c r="F597" s="208">
        <f t="shared" ca="1" si="68"/>
        <v>66.567460317460331</v>
      </c>
      <c r="G597" s="502">
        <f t="shared" ca="1" si="69"/>
        <v>162123.11507936771</v>
      </c>
      <c r="H597" s="502">
        <f t="shared" ca="1" si="65"/>
        <v>379980.25793651061</v>
      </c>
    </row>
    <row r="598" spans="2:8" x14ac:dyDescent="0.25">
      <c r="B598" s="130">
        <f t="shared" si="66"/>
        <v>46592</v>
      </c>
      <c r="C598" s="208">
        <f t="shared" ca="1" si="67"/>
        <v>217857.14285714287</v>
      </c>
      <c r="D598" s="208">
        <f t="shared" si="63"/>
        <v>0</v>
      </c>
      <c r="E598" s="208">
        <f t="shared" si="64"/>
        <v>0</v>
      </c>
      <c r="F598" s="208">
        <f t="shared" ca="1" si="68"/>
        <v>66.567460317460331</v>
      </c>
      <c r="G598" s="502">
        <f t="shared" ca="1" si="69"/>
        <v>162056.54761905025</v>
      </c>
      <c r="H598" s="502">
        <f t="shared" ca="1" si="65"/>
        <v>379913.69047619309</v>
      </c>
    </row>
    <row r="599" spans="2:8" x14ac:dyDescent="0.25">
      <c r="B599" s="130">
        <f t="shared" si="66"/>
        <v>46593</v>
      </c>
      <c r="C599" s="208">
        <f t="shared" ca="1" si="67"/>
        <v>217857.14285714287</v>
      </c>
      <c r="D599" s="208">
        <f t="shared" si="63"/>
        <v>0</v>
      </c>
      <c r="E599" s="208">
        <f t="shared" si="64"/>
        <v>0</v>
      </c>
      <c r="F599" s="208">
        <f t="shared" ca="1" si="68"/>
        <v>66.567460317460331</v>
      </c>
      <c r="G599" s="502">
        <f t="shared" ca="1" si="69"/>
        <v>161989.9801587328</v>
      </c>
      <c r="H599" s="502">
        <f t="shared" ca="1" si="65"/>
        <v>379847.1230158757</v>
      </c>
    </row>
    <row r="600" spans="2:8" x14ac:dyDescent="0.25">
      <c r="B600" s="130">
        <f t="shared" si="66"/>
        <v>46594</v>
      </c>
      <c r="C600" s="208">
        <f t="shared" ca="1" si="67"/>
        <v>217857.14285714287</v>
      </c>
      <c r="D600" s="208">
        <f t="shared" si="63"/>
        <v>0</v>
      </c>
      <c r="E600" s="208">
        <f t="shared" si="64"/>
        <v>0</v>
      </c>
      <c r="F600" s="208">
        <f t="shared" ca="1" si="68"/>
        <v>66.567460317460331</v>
      </c>
      <c r="G600" s="502">
        <f t="shared" ca="1" si="69"/>
        <v>161923.41269841534</v>
      </c>
      <c r="H600" s="502">
        <f t="shared" ca="1" si="65"/>
        <v>379780.55555555818</v>
      </c>
    </row>
    <row r="601" spans="2:8" x14ac:dyDescent="0.25">
      <c r="B601" s="130">
        <f t="shared" si="66"/>
        <v>46595</v>
      </c>
      <c r="C601" s="208">
        <f t="shared" ca="1" si="67"/>
        <v>217857.14285714287</v>
      </c>
      <c r="D601" s="208">
        <f t="shared" si="63"/>
        <v>0</v>
      </c>
      <c r="E601" s="208">
        <f t="shared" si="64"/>
        <v>0</v>
      </c>
      <c r="F601" s="208">
        <f t="shared" ca="1" si="68"/>
        <v>66.567460317460331</v>
      </c>
      <c r="G601" s="502">
        <f t="shared" ca="1" si="69"/>
        <v>161856.84523809789</v>
      </c>
      <c r="H601" s="502">
        <f t="shared" ca="1" si="65"/>
        <v>379713.98809524078</v>
      </c>
    </row>
    <row r="602" spans="2:8" x14ac:dyDescent="0.25">
      <c r="B602" s="130">
        <f t="shared" si="66"/>
        <v>46596</v>
      </c>
      <c r="C602" s="208">
        <f t="shared" ca="1" si="67"/>
        <v>217857.14285714287</v>
      </c>
      <c r="D602" s="208">
        <f t="shared" si="63"/>
        <v>0</v>
      </c>
      <c r="E602" s="208">
        <f t="shared" si="64"/>
        <v>0</v>
      </c>
      <c r="F602" s="208">
        <f t="shared" ca="1" si="68"/>
        <v>66.567460317460331</v>
      </c>
      <c r="G602" s="502">
        <f t="shared" ca="1" si="69"/>
        <v>161790.27777778043</v>
      </c>
      <c r="H602" s="502">
        <f t="shared" ca="1" si="65"/>
        <v>379647.42063492327</v>
      </c>
    </row>
    <row r="603" spans="2:8" x14ac:dyDescent="0.25">
      <c r="B603" s="130">
        <f t="shared" si="66"/>
        <v>46597</v>
      </c>
      <c r="C603" s="208">
        <f t="shared" ca="1" si="67"/>
        <v>217857.14285714287</v>
      </c>
      <c r="D603" s="208">
        <f t="shared" si="63"/>
        <v>0</v>
      </c>
      <c r="E603" s="208">
        <f t="shared" si="64"/>
        <v>0</v>
      </c>
      <c r="F603" s="208">
        <f t="shared" ca="1" si="68"/>
        <v>66.567460317460331</v>
      </c>
      <c r="G603" s="502">
        <f t="shared" ca="1" si="69"/>
        <v>161723.71031746297</v>
      </c>
      <c r="H603" s="502">
        <f t="shared" ca="1" si="65"/>
        <v>379580.85317460587</v>
      </c>
    </row>
    <row r="604" spans="2:8" x14ac:dyDescent="0.25">
      <c r="B604" s="130">
        <f t="shared" si="66"/>
        <v>46598</v>
      </c>
      <c r="C604" s="208">
        <f t="shared" ca="1" si="67"/>
        <v>217857.14285714287</v>
      </c>
      <c r="D604" s="208">
        <f t="shared" si="63"/>
        <v>0</v>
      </c>
      <c r="E604" s="208">
        <f t="shared" si="64"/>
        <v>0</v>
      </c>
      <c r="F604" s="208">
        <f t="shared" ca="1" si="68"/>
        <v>66.567460317460331</v>
      </c>
      <c r="G604" s="502">
        <f t="shared" ca="1" si="69"/>
        <v>161657.14285714552</v>
      </c>
      <c r="H604" s="502">
        <f t="shared" ca="1" si="65"/>
        <v>379514.28571428836</v>
      </c>
    </row>
    <row r="605" spans="2:8" x14ac:dyDescent="0.25">
      <c r="B605" s="130">
        <f t="shared" si="66"/>
        <v>46599</v>
      </c>
      <c r="C605" s="208">
        <f t="shared" ca="1" si="67"/>
        <v>217857.14285714287</v>
      </c>
      <c r="D605" s="208">
        <f t="shared" si="63"/>
        <v>0</v>
      </c>
      <c r="E605" s="208">
        <f t="shared" si="64"/>
        <v>0</v>
      </c>
      <c r="F605" s="208">
        <f t="shared" ca="1" si="68"/>
        <v>66.567460317460331</v>
      </c>
      <c r="G605" s="502">
        <f t="shared" ca="1" si="69"/>
        <v>161590.57539682806</v>
      </c>
      <c r="H605" s="502">
        <f t="shared" ca="1" si="65"/>
        <v>379447.71825397096</v>
      </c>
    </row>
    <row r="606" spans="2:8" x14ac:dyDescent="0.25">
      <c r="B606" s="130">
        <f t="shared" si="66"/>
        <v>46600</v>
      </c>
      <c r="C606" s="208">
        <f t="shared" ca="1" si="67"/>
        <v>217857.14285714287</v>
      </c>
      <c r="D606" s="208">
        <f t="shared" ref="D606:D669" si="70">SUMIF($J$3:$J$26,B606,$K$3:$K$26)</f>
        <v>0</v>
      </c>
      <c r="E606" s="208">
        <f t="shared" ref="E606:E669" si="71">-SUMIF($N$3:$N$26,B606,$O$3:$O$26)</f>
        <v>0</v>
      </c>
      <c r="F606" s="208">
        <f t="shared" ca="1" si="68"/>
        <v>66.567460317460331</v>
      </c>
      <c r="G606" s="502">
        <f t="shared" ca="1" si="69"/>
        <v>161524.00793651061</v>
      </c>
      <c r="H606" s="502">
        <f t="shared" ref="H606:H669" ca="1" si="72">+C606+G606</f>
        <v>379381.15079365345</v>
      </c>
    </row>
    <row r="607" spans="2:8" x14ac:dyDescent="0.25">
      <c r="B607" s="130">
        <f t="shared" ref="B607:B670" si="73">+B606+1</f>
        <v>46601</v>
      </c>
      <c r="C607" s="208">
        <f t="shared" ref="C607:C670" ca="1" si="74">+C606+D606+E606</f>
        <v>217857.14285714287</v>
      </c>
      <c r="D607" s="208">
        <f t="shared" si="70"/>
        <v>0</v>
      </c>
      <c r="E607" s="208">
        <f t="shared" si="71"/>
        <v>0</v>
      </c>
      <c r="F607" s="208">
        <f t="shared" ref="F607:F670" ca="1" si="75">+C607*$C$3/360</f>
        <v>66.567460317460331</v>
      </c>
      <c r="G607" s="502">
        <f t="shared" ref="G607:G670" ca="1" si="76">+G606-F607</f>
        <v>161457.44047619315</v>
      </c>
      <c r="H607" s="502">
        <f t="shared" ca="1" si="72"/>
        <v>379314.58333333605</v>
      </c>
    </row>
    <row r="608" spans="2:8" x14ac:dyDescent="0.25">
      <c r="B608" s="130">
        <f t="shared" si="73"/>
        <v>46602</v>
      </c>
      <c r="C608" s="208">
        <f t="shared" ca="1" si="74"/>
        <v>217857.14285714287</v>
      </c>
      <c r="D608" s="208">
        <f t="shared" si="70"/>
        <v>0</v>
      </c>
      <c r="E608" s="208">
        <f t="shared" si="71"/>
        <v>0</v>
      </c>
      <c r="F608" s="208">
        <f t="shared" ca="1" si="75"/>
        <v>66.567460317460331</v>
      </c>
      <c r="G608" s="502">
        <f t="shared" ca="1" si="76"/>
        <v>161390.8730158757</v>
      </c>
      <c r="H608" s="502">
        <f t="shared" ca="1" si="72"/>
        <v>379248.01587301854</v>
      </c>
    </row>
    <row r="609" spans="2:8" x14ac:dyDescent="0.25">
      <c r="B609" s="130">
        <f t="shared" si="73"/>
        <v>46603</v>
      </c>
      <c r="C609" s="208">
        <f t="shared" ca="1" si="74"/>
        <v>217857.14285714287</v>
      </c>
      <c r="D609" s="208">
        <f t="shared" si="70"/>
        <v>0</v>
      </c>
      <c r="E609" s="208">
        <f t="shared" si="71"/>
        <v>0</v>
      </c>
      <c r="F609" s="208">
        <f t="shared" ca="1" si="75"/>
        <v>66.567460317460331</v>
      </c>
      <c r="G609" s="502">
        <f t="shared" ca="1" si="76"/>
        <v>161324.30555555824</v>
      </c>
      <c r="H609" s="502">
        <f t="shared" ca="1" si="72"/>
        <v>379181.44841270114</v>
      </c>
    </row>
    <row r="610" spans="2:8" x14ac:dyDescent="0.25">
      <c r="B610" s="130">
        <f t="shared" si="73"/>
        <v>46604</v>
      </c>
      <c r="C610" s="208">
        <f t="shared" ca="1" si="74"/>
        <v>217857.14285714287</v>
      </c>
      <c r="D610" s="208">
        <f t="shared" si="70"/>
        <v>0</v>
      </c>
      <c r="E610" s="208">
        <f t="shared" si="71"/>
        <v>0</v>
      </c>
      <c r="F610" s="208">
        <f t="shared" ca="1" si="75"/>
        <v>66.567460317460331</v>
      </c>
      <c r="G610" s="502">
        <f t="shared" ca="1" si="76"/>
        <v>161257.73809524078</v>
      </c>
      <c r="H610" s="502">
        <f t="shared" ca="1" si="72"/>
        <v>379114.88095238362</v>
      </c>
    </row>
    <row r="611" spans="2:8" x14ac:dyDescent="0.25">
      <c r="B611" s="130">
        <f t="shared" si="73"/>
        <v>46605</v>
      </c>
      <c r="C611" s="208">
        <f t="shared" ca="1" si="74"/>
        <v>217857.14285714287</v>
      </c>
      <c r="D611" s="208">
        <f t="shared" si="70"/>
        <v>0</v>
      </c>
      <c r="E611" s="208">
        <f t="shared" si="71"/>
        <v>0</v>
      </c>
      <c r="F611" s="208">
        <f t="shared" ca="1" si="75"/>
        <v>66.567460317460331</v>
      </c>
      <c r="G611" s="502">
        <f t="shared" ca="1" si="76"/>
        <v>161191.17063492333</v>
      </c>
      <c r="H611" s="502">
        <f t="shared" ca="1" si="72"/>
        <v>379048.31349206623</v>
      </c>
    </row>
    <row r="612" spans="2:8" x14ac:dyDescent="0.25">
      <c r="B612" s="130">
        <f t="shared" si="73"/>
        <v>46606</v>
      </c>
      <c r="C612" s="208">
        <f t="shared" ca="1" si="74"/>
        <v>217857.14285714287</v>
      </c>
      <c r="D612" s="208">
        <f t="shared" si="70"/>
        <v>0</v>
      </c>
      <c r="E612" s="208">
        <f t="shared" si="71"/>
        <v>0</v>
      </c>
      <c r="F612" s="208">
        <f t="shared" ca="1" si="75"/>
        <v>66.567460317460331</v>
      </c>
      <c r="G612" s="502">
        <f t="shared" ca="1" si="76"/>
        <v>161124.60317460587</v>
      </c>
      <c r="H612" s="502">
        <f t="shared" ca="1" si="72"/>
        <v>378981.74603174871</v>
      </c>
    </row>
    <row r="613" spans="2:8" x14ac:dyDescent="0.25">
      <c r="B613" s="130">
        <f t="shared" si="73"/>
        <v>46607</v>
      </c>
      <c r="C613" s="208">
        <f t="shared" ca="1" si="74"/>
        <v>217857.14285714287</v>
      </c>
      <c r="D613" s="208">
        <f t="shared" si="70"/>
        <v>0</v>
      </c>
      <c r="E613" s="208">
        <f t="shared" si="71"/>
        <v>0</v>
      </c>
      <c r="F613" s="208">
        <f t="shared" ca="1" si="75"/>
        <v>66.567460317460331</v>
      </c>
      <c r="G613" s="502">
        <f t="shared" ca="1" si="76"/>
        <v>161058.03571428842</v>
      </c>
      <c r="H613" s="502">
        <f t="shared" ca="1" si="72"/>
        <v>378915.17857143132</v>
      </c>
    </row>
    <row r="614" spans="2:8" x14ac:dyDescent="0.25">
      <c r="B614" s="130">
        <f t="shared" si="73"/>
        <v>46608</v>
      </c>
      <c r="C614" s="208">
        <f t="shared" ca="1" si="74"/>
        <v>217857.14285714287</v>
      </c>
      <c r="D614" s="208">
        <f t="shared" si="70"/>
        <v>0</v>
      </c>
      <c r="E614" s="208">
        <f t="shared" si="71"/>
        <v>0</v>
      </c>
      <c r="F614" s="208">
        <f t="shared" ca="1" si="75"/>
        <v>66.567460317460331</v>
      </c>
      <c r="G614" s="502">
        <f t="shared" ca="1" si="76"/>
        <v>160991.46825397096</v>
      </c>
      <c r="H614" s="502">
        <f t="shared" ca="1" si="72"/>
        <v>378848.6111111138</v>
      </c>
    </row>
    <row r="615" spans="2:8" x14ac:dyDescent="0.25">
      <c r="B615" s="130">
        <f t="shared" si="73"/>
        <v>46609</v>
      </c>
      <c r="C615" s="208">
        <f t="shared" ca="1" si="74"/>
        <v>217857.14285714287</v>
      </c>
      <c r="D615" s="208">
        <f t="shared" si="70"/>
        <v>0</v>
      </c>
      <c r="E615" s="208">
        <f t="shared" si="71"/>
        <v>0</v>
      </c>
      <c r="F615" s="208">
        <f t="shared" ca="1" si="75"/>
        <v>66.567460317460331</v>
      </c>
      <c r="G615" s="502">
        <f t="shared" ca="1" si="76"/>
        <v>160924.90079365351</v>
      </c>
      <c r="H615" s="502">
        <f t="shared" ca="1" si="72"/>
        <v>378782.0436507964</v>
      </c>
    </row>
    <row r="616" spans="2:8" x14ac:dyDescent="0.25">
      <c r="B616" s="130">
        <f t="shared" si="73"/>
        <v>46610</v>
      </c>
      <c r="C616" s="208">
        <f t="shared" ca="1" si="74"/>
        <v>217857.14285714287</v>
      </c>
      <c r="D616" s="208">
        <f t="shared" si="70"/>
        <v>0</v>
      </c>
      <c r="E616" s="208">
        <f t="shared" si="71"/>
        <v>0</v>
      </c>
      <c r="F616" s="208">
        <f t="shared" ca="1" si="75"/>
        <v>66.567460317460331</v>
      </c>
      <c r="G616" s="502">
        <f t="shared" ca="1" si="76"/>
        <v>160858.33333333605</v>
      </c>
      <c r="H616" s="502">
        <f t="shared" ca="1" si="72"/>
        <v>378715.47619047889</v>
      </c>
    </row>
    <row r="617" spans="2:8" x14ac:dyDescent="0.25">
      <c r="B617" s="130">
        <f t="shared" si="73"/>
        <v>46611</v>
      </c>
      <c r="C617" s="208">
        <f t="shared" ca="1" si="74"/>
        <v>217857.14285714287</v>
      </c>
      <c r="D617" s="208">
        <f t="shared" si="70"/>
        <v>0</v>
      </c>
      <c r="E617" s="208">
        <f t="shared" si="71"/>
        <v>0</v>
      </c>
      <c r="F617" s="208">
        <f t="shared" ca="1" si="75"/>
        <v>66.567460317460331</v>
      </c>
      <c r="G617" s="502">
        <f t="shared" ca="1" si="76"/>
        <v>160791.76587301859</v>
      </c>
      <c r="H617" s="502">
        <f t="shared" ca="1" si="72"/>
        <v>378648.90873016149</v>
      </c>
    </row>
    <row r="618" spans="2:8" x14ac:dyDescent="0.25">
      <c r="B618" s="130">
        <f t="shared" si="73"/>
        <v>46612</v>
      </c>
      <c r="C618" s="208">
        <f t="shared" ca="1" si="74"/>
        <v>217857.14285714287</v>
      </c>
      <c r="D618" s="208">
        <f t="shared" si="70"/>
        <v>0</v>
      </c>
      <c r="E618" s="208">
        <f t="shared" si="71"/>
        <v>0</v>
      </c>
      <c r="F618" s="208">
        <f t="shared" ca="1" si="75"/>
        <v>66.567460317460331</v>
      </c>
      <c r="G618" s="502">
        <f t="shared" ca="1" si="76"/>
        <v>160725.19841270114</v>
      </c>
      <c r="H618" s="502">
        <f t="shared" ca="1" si="72"/>
        <v>378582.34126984398</v>
      </c>
    </row>
    <row r="619" spans="2:8" x14ac:dyDescent="0.25">
      <c r="B619" s="130">
        <f t="shared" si="73"/>
        <v>46613</v>
      </c>
      <c r="C619" s="208">
        <f t="shared" ca="1" si="74"/>
        <v>217857.14285714287</v>
      </c>
      <c r="D619" s="208">
        <f t="shared" si="70"/>
        <v>0</v>
      </c>
      <c r="E619" s="208">
        <f t="shared" si="71"/>
        <v>0</v>
      </c>
      <c r="F619" s="208">
        <f t="shared" ca="1" si="75"/>
        <v>66.567460317460331</v>
      </c>
      <c r="G619" s="502">
        <f t="shared" ca="1" si="76"/>
        <v>160658.63095238368</v>
      </c>
      <c r="H619" s="502">
        <f t="shared" ca="1" si="72"/>
        <v>378515.77380952658</v>
      </c>
    </row>
    <row r="620" spans="2:8" x14ac:dyDescent="0.25">
      <c r="B620" s="130">
        <f t="shared" si="73"/>
        <v>46614</v>
      </c>
      <c r="C620" s="208">
        <f t="shared" ca="1" si="74"/>
        <v>217857.14285714287</v>
      </c>
      <c r="D620" s="208">
        <f t="shared" si="70"/>
        <v>0</v>
      </c>
      <c r="E620" s="208">
        <f t="shared" si="71"/>
        <v>0</v>
      </c>
      <c r="F620" s="208">
        <f t="shared" ca="1" si="75"/>
        <v>66.567460317460331</v>
      </c>
      <c r="G620" s="502">
        <f t="shared" ca="1" si="76"/>
        <v>160592.06349206623</v>
      </c>
      <c r="H620" s="502">
        <f t="shared" ca="1" si="72"/>
        <v>378449.20634920907</v>
      </c>
    </row>
    <row r="621" spans="2:8" x14ac:dyDescent="0.25">
      <c r="B621" s="130">
        <f t="shared" si="73"/>
        <v>46615</v>
      </c>
      <c r="C621" s="208">
        <f t="shared" ca="1" si="74"/>
        <v>217857.14285714287</v>
      </c>
      <c r="D621" s="208">
        <f t="shared" si="70"/>
        <v>0</v>
      </c>
      <c r="E621" s="208">
        <f t="shared" si="71"/>
        <v>0</v>
      </c>
      <c r="F621" s="208">
        <f t="shared" ca="1" si="75"/>
        <v>66.567460317460331</v>
      </c>
      <c r="G621" s="502">
        <f t="shared" ca="1" si="76"/>
        <v>160525.49603174877</v>
      </c>
      <c r="H621" s="502">
        <f t="shared" ca="1" si="72"/>
        <v>378382.63888889167</v>
      </c>
    </row>
    <row r="622" spans="2:8" x14ac:dyDescent="0.25">
      <c r="B622" s="130">
        <f t="shared" si="73"/>
        <v>46616</v>
      </c>
      <c r="C622" s="208">
        <f t="shared" ca="1" si="74"/>
        <v>217857.14285714287</v>
      </c>
      <c r="D622" s="208">
        <f t="shared" si="70"/>
        <v>0</v>
      </c>
      <c r="E622" s="208">
        <f t="shared" si="71"/>
        <v>0</v>
      </c>
      <c r="F622" s="208">
        <f t="shared" ca="1" si="75"/>
        <v>66.567460317460331</v>
      </c>
      <c r="G622" s="502">
        <f t="shared" ca="1" si="76"/>
        <v>160458.92857143132</v>
      </c>
      <c r="H622" s="502">
        <f t="shared" ca="1" si="72"/>
        <v>378316.07142857416</v>
      </c>
    </row>
    <row r="623" spans="2:8" x14ac:dyDescent="0.25">
      <c r="B623" s="130">
        <f t="shared" si="73"/>
        <v>46617</v>
      </c>
      <c r="C623" s="208">
        <f t="shared" ca="1" si="74"/>
        <v>217857.14285714287</v>
      </c>
      <c r="D623" s="208">
        <f t="shared" si="70"/>
        <v>0</v>
      </c>
      <c r="E623" s="208">
        <f t="shared" si="71"/>
        <v>0</v>
      </c>
      <c r="F623" s="208">
        <f t="shared" ca="1" si="75"/>
        <v>66.567460317460331</v>
      </c>
      <c r="G623" s="502">
        <f t="shared" ca="1" si="76"/>
        <v>160392.36111111386</v>
      </c>
      <c r="H623" s="502">
        <f t="shared" ca="1" si="72"/>
        <v>378249.50396825676</v>
      </c>
    </row>
    <row r="624" spans="2:8" x14ac:dyDescent="0.25">
      <c r="B624" s="130">
        <f t="shared" si="73"/>
        <v>46618</v>
      </c>
      <c r="C624" s="208">
        <f t="shared" ca="1" si="74"/>
        <v>217857.14285714287</v>
      </c>
      <c r="D624" s="208">
        <f t="shared" si="70"/>
        <v>0</v>
      </c>
      <c r="E624" s="208">
        <f t="shared" si="71"/>
        <v>0</v>
      </c>
      <c r="F624" s="208">
        <f t="shared" ca="1" si="75"/>
        <v>66.567460317460331</v>
      </c>
      <c r="G624" s="502">
        <f t="shared" ca="1" si="76"/>
        <v>160325.7936507964</v>
      </c>
      <c r="H624" s="502">
        <f t="shared" ca="1" si="72"/>
        <v>378182.93650793924</v>
      </c>
    </row>
    <row r="625" spans="2:8" x14ac:dyDescent="0.25">
      <c r="B625" s="130">
        <f t="shared" si="73"/>
        <v>46619</v>
      </c>
      <c r="C625" s="208">
        <f t="shared" ca="1" si="74"/>
        <v>217857.14285714287</v>
      </c>
      <c r="D625" s="208">
        <f t="shared" si="70"/>
        <v>0</v>
      </c>
      <c r="E625" s="208">
        <f t="shared" si="71"/>
        <v>0</v>
      </c>
      <c r="F625" s="208">
        <f t="shared" ca="1" si="75"/>
        <v>66.567460317460331</v>
      </c>
      <c r="G625" s="502">
        <f t="shared" ca="1" si="76"/>
        <v>160259.22619047895</v>
      </c>
      <c r="H625" s="502">
        <f t="shared" ca="1" si="72"/>
        <v>378116.36904762185</v>
      </c>
    </row>
    <row r="626" spans="2:8" x14ac:dyDescent="0.25">
      <c r="B626" s="130">
        <f t="shared" si="73"/>
        <v>46620</v>
      </c>
      <c r="C626" s="208">
        <f t="shared" ca="1" si="74"/>
        <v>217857.14285714287</v>
      </c>
      <c r="D626" s="208">
        <f t="shared" si="70"/>
        <v>0</v>
      </c>
      <c r="E626" s="208">
        <f t="shared" si="71"/>
        <v>0</v>
      </c>
      <c r="F626" s="208">
        <f t="shared" ca="1" si="75"/>
        <v>66.567460317460331</v>
      </c>
      <c r="G626" s="502">
        <f t="shared" ca="1" si="76"/>
        <v>160192.65873016149</v>
      </c>
      <c r="H626" s="502">
        <f t="shared" ca="1" si="72"/>
        <v>378049.80158730433</v>
      </c>
    </row>
    <row r="627" spans="2:8" x14ac:dyDescent="0.25">
      <c r="B627" s="130">
        <f t="shared" si="73"/>
        <v>46621</v>
      </c>
      <c r="C627" s="208">
        <f t="shared" ca="1" si="74"/>
        <v>217857.14285714287</v>
      </c>
      <c r="D627" s="208">
        <f t="shared" si="70"/>
        <v>0</v>
      </c>
      <c r="E627" s="208">
        <f t="shared" si="71"/>
        <v>0</v>
      </c>
      <c r="F627" s="208">
        <f t="shared" ca="1" si="75"/>
        <v>66.567460317460331</v>
      </c>
      <c r="G627" s="502">
        <f t="shared" ca="1" si="76"/>
        <v>160126.09126984404</v>
      </c>
      <c r="H627" s="502">
        <f t="shared" ca="1" si="72"/>
        <v>377983.23412698694</v>
      </c>
    </row>
    <row r="628" spans="2:8" x14ac:dyDescent="0.25">
      <c r="B628" s="130">
        <f t="shared" si="73"/>
        <v>46622</v>
      </c>
      <c r="C628" s="208">
        <f t="shared" ca="1" si="74"/>
        <v>217857.14285714287</v>
      </c>
      <c r="D628" s="208">
        <f t="shared" si="70"/>
        <v>0</v>
      </c>
      <c r="E628" s="208">
        <f t="shared" si="71"/>
        <v>0</v>
      </c>
      <c r="F628" s="208">
        <f t="shared" ca="1" si="75"/>
        <v>66.567460317460331</v>
      </c>
      <c r="G628" s="502">
        <f t="shared" ca="1" si="76"/>
        <v>160059.52380952658</v>
      </c>
      <c r="H628" s="502">
        <f t="shared" ca="1" si="72"/>
        <v>377916.66666666942</v>
      </c>
    </row>
    <row r="629" spans="2:8" x14ac:dyDescent="0.25">
      <c r="B629" s="130">
        <f t="shared" si="73"/>
        <v>46623</v>
      </c>
      <c r="C629" s="208">
        <f t="shared" ca="1" si="74"/>
        <v>217857.14285714287</v>
      </c>
      <c r="D629" s="208">
        <f t="shared" si="70"/>
        <v>0</v>
      </c>
      <c r="E629" s="208">
        <f t="shared" si="71"/>
        <v>0</v>
      </c>
      <c r="F629" s="208">
        <f t="shared" ca="1" si="75"/>
        <v>66.567460317460331</v>
      </c>
      <c r="G629" s="502">
        <f t="shared" ca="1" si="76"/>
        <v>159992.95634920913</v>
      </c>
      <c r="H629" s="502">
        <f t="shared" ca="1" si="72"/>
        <v>377850.09920635202</v>
      </c>
    </row>
    <row r="630" spans="2:8" x14ac:dyDescent="0.25">
      <c r="B630" s="130">
        <f t="shared" si="73"/>
        <v>46624</v>
      </c>
      <c r="C630" s="208">
        <f t="shared" ca="1" si="74"/>
        <v>217857.14285714287</v>
      </c>
      <c r="D630" s="208">
        <f t="shared" si="70"/>
        <v>0</v>
      </c>
      <c r="E630" s="208">
        <f t="shared" si="71"/>
        <v>0</v>
      </c>
      <c r="F630" s="208">
        <f t="shared" ca="1" si="75"/>
        <v>66.567460317460331</v>
      </c>
      <c r="G630" s="502">
        <f t="shared" ca="1" si="76"/>
        <v>159926.38888889167</v>
      </c>
      <c r="H630" s="502">
        <f t="shared" ca="1" si="72"/>
        <v>377783.53174603451</v>
      </c>
    </row>
    <row r="631" spans="2:8" x14ac:dyDescent="0.25">
      <c r="B631" s="130">
        <f t="shared" si="73"/>
        <v>46625</v>
      </c>
      <c r="C631" s="208">
        <f t="shared" ca="1" si="74"/>
        <v>217857.14285714287</v>
      </c>
      <c r="D631" s="208">
        <f t="shared" si="70"/>
        <v>0</v>
      </c>
      <c r="E631" s="208">
        <f t="shared" si="71"/>
        <v>0</v>
      </c>
      <c r="F631" s="208">
        <f t="shared" ca="1" si="75"/>
        <v>66.567460317460331</v>
      </c>
      <c r="G631" s="502">
        <f t="shared" ca="1" si="76"/>
        <v>159859.82142857421</v>
      </c>
      <c r="H631" s="502">
        <f t="shared" ca="1" si="72"/>
        <v>377716.96428571711</v>
      </c>
    </row>
    <row r="632" spans="2:8" x14ac:dyDescent="0.25">
      <c r="B632" s="130">
        <f t="shared" si="73"/>
        <v>46626</v>
      </c>
      <c r="C632" s="208">
        <f t="shared" ca="1" si="74"/>
        <v>217857.14285714287</v>
      </c>
      <c r="D632" s="208">
        <f t="shared" si="70"/>
        <v>0</v>
      </c>
      <c r="E632" s="208">
        <f t="shared" si="71"/>
        <v>0</v>
      </c>
      <c r="F632" s="208">
        <f t="shared" ca="1" si="75"/>
        <v>66.567460317460331</v>
      </c>
      <c r="G632" s="502">
        <f t="shared" ca="1" si="76"/>
        <v>159793.25396825676</v>
      </c>
      <c r="H632" s="502">
        <f t="shared" ca="1" si="72"/>
        <v>377650.3968253996</v>
      </c>
    </row>
    <row r="633" spans="2:8" x14ac:dyDescent="0.25">
      <c r="B633" s="130">
        <f t="shared" si="73"/>
        <v>46627</v>
      </c>
      <c r="C633" s="208">
        <f t="shared" ca="1" si="74"/>
        <v>217857.14285714287</v>
      </c>
      <c r="D633" s="208">
        <f t="shared" si="70"/>
        <v>0</v>
      </c>
      <c r="E633" s="208">
        <f t="shared" si="71"/>
        <v>0</v>
      </c>
      <c r="F633" s="208">
        <f t="shared" ca="1" si="75"/>
        <v>66.567460317460331</v>
      </c>
      <c r="G633" s="502">
        <f t="shared" ca="1" si="76"/>
        <v>159726.6865079393</v>
      </c>
      <c r="H633" s="502">
        <f t="shared" ca="1" si="72"/>
        <v>377583.8293650822</v>
      </c>
    </row>
    <row r="634" spans="2:8" x14ac:dyDescent="0.25">
      <c r="B634" s="130">
        <f t="shared" si="73"/>
        <v>46628</v>
      </c>
      <c r="C634" s="208">
        <f t="shared" ca="1" si="74"/>
        <v>217857.14285714287</v>
      </c>
      <c r="D634" s="208">
        <f t="shared" si="70"/>
        <v>0</v>
      </c>
      <c r="E634" s="208">
        <f t="shared" si="71"/>
        <v>0</v>
      </c>
      <c r="F634" s="208">
        <f t="shared" ca="1" si="75"/>
        <v>66.567460317460331</v>
      </c>
      <c r="G634" s="502">
        <f t="shared" ca="1" si="76"/>
        <v>159660.11904762185</v>
      </c>
      <c r="H634" s="502">
        <f t="shared" ca="1" si="72"/>
        <v>377517.26190476469</v>
      </c>
    </row>
    <row r="635" spans="2:8" x14ac:dyDescent="0.25">
      <c r="B635" s="130">
        <f t="shared" si="73"/>
        <v>46629</v>
      </c>
      <c r="C635" s="208">
        <f t="shared" ca="1" si="74"/>
        <v>217857.14285714287</v>
      </c>
      <c r="D635" s="208">
        <f t="shared" si="70"/>
        <v>0</v>
      </c>
      <c r="E635" s="208">
        <f t="shared" si="71"/>
        <v>0</v>
      </c>
      <c r="F635" s="208">
        <f t="shared" ca="1" si="75"/>
        <v>66.567460317460331</v>
      </c>
      <c r="G635" s="502">
        <f t="shared" ca="1" si="76"/>
        <v>159593.55158730439</v>
      </c>
      <c r="H635" s="502">
        <f t="shared" ca="1" si="72"/>
        <v>377450.69444444729</v>
      </c>
    </row>
    <row r="636" spans="2:8" x14ac:dyDescent="0.25">
      <c r="B636" s="130">
        <f t="shared" si="73"/>
        <v>46630</v>
      </c>
      <c r="C636" s="208">
        <f t="shared" ca="1" si="74"/>
        <v>217857.14285714287</v>
      </c>
      <c r="D636" s="208">
        <f t="shared" si="70"/>
        <v>0</v>
      </c>
      <c r="E636" s="208">
        <f t="shared" si="71"/>
        <v>0</v>
      </c>
      <c r="F636" s="208">
        <f t="shared" ca="1" si="75"/>
        <v>66.567460317460331</v>
      </c>
      <c r="G636" s="502">
        <f t="shared" ca="1" si="76"/>
        <v>159526.98412698694</v>
      </c>
      <c r="H636" s="502">
        <f t="shared" ca="1" si="72"/>
        <v>377384.12698412978</v>
      </c>
    </row>
    <row r="637" spans="2:8" x14ac:dyDescent="0.25">
      <c r="B637" s="130">
        <f t="shared" si="73"/>
        <v>46631</v>
      </c>
      <c r="C637" s="208">
        <f t="shared" ca="1" si="74"/>
        <v>217857.14285714287</v>
      </c>
      <c r="D637" s="208">
        <f t="shared" si="70"/>
        <v>0</v>
      </c>
      <c r="E637" s="208">
        <f t="shared" si="71"/>
        <v>0</v>
      </c>
      <c r="F637" s="208">
        <f t="shared" ca="1" si="75"/>
        <v>66.567460317460331</v>
      </c>
      <c r="G637" s="502">
        <f t="shared" ca="1" si="76"/>
        <v>159460.41666666948</v>
      </c>
      <c r="H637" s="502">
        <f t="shared" ca="1" si="72"/>
        <v>377317.55952381238</v>
      </c>
    </row>
    <row r="638" spans="2:8" x14ac:dyDescent="0.25">
      <c r="B638" s="130">
        <f t="shared" si="73"/>
        <v>46632</v>
      </c>
      <c r="C638" s="208">
        <f t="shared" ca="1" si="74"/>
        <v>217857.14285714287</v>
      </c>
      <c r="D638" s="208">
        <f t="shared" si="70"/>
        <v>0</v>
      </c>
      <c r="E638" s="208">
        <f t="shared" si="71"/>
        <v>0</v>
      </c>
      <c r="F638" s="208">
        <f t="shared" ca="1" si="75"/>
        <v>66.567460317460331</v>
      </c>
      <c r="G638" s="502">
        <f t="shared" ca="1" si="76"/>
        <v>159393.84920635202</v>
      </c>
      <c r="H638" s="502">
        <f t="shared" ca="1" si="72"/>
        <v>377250.99206349486</v>
      </c>
    </row>
    <row r="639" spans="2:8" x14ac:dyDescent="0.25">
      <c r="B639" s="130">
        <f t="shared" si="73"/>
        <v>46633</v>
      </c>
      <c r="C639" s="208">
        <f t="shared" ca="1" si="74"/>
        <v>217857.14285714287</v>
      </c>
      <c r="D639" s="208">
        <f t="shared" si="70"/>
        <v>0</v>
      </c>
      <c r="E639" s="208">
        <f t="shared" si="71"/>
        <v>0</v>
      </c>
      <c r="F639" s="208">
        <f t="shared" ca="1" si="75"/>
        <v>66.567460317460331</v>
      </c>
      <c r="G639" s="502">
        <f t="shared" ca="1" si="76"/>
        <v>159327.28174603457</v>
      </c>
      <c r="H639" s="502">
        <f t="shared" ca="1" si="72"/>
        <v>377184.42460317747</v>
      </c>
    </row>
    <row r="640" spans="2:8" x14ac:dyDescent="0.25">
      <c r="B640" s="130">
        <f t="shared" si="73"/>
        <v>46634</v>
      </c>
      <c r="C640" s="208">
        <f t="shared" ca="1" si="74"/>
        <v>217857.14285714287</v>
      </c>
      <c r="D640" s="208">
        <f t="shared" si="70"/>
        <v>0</v>
      </c>
      <c r="E640" s="208">
        <f t="shared" si="71"/>
        <v>0</v>
      </c>
      <c r="F640" s="208">
        <f t="shared" ca="1" si="75"/>
        <v>66.567460317460331</v>
      </c>
      <c r="G640" s="502">
        <f t="shared" ca="1" si="76"/>
        <v>159260.71428571711</v>
      </c>
      <c r="H640" s="502">
        <f t="shared" ca="1" si="72"/>
        <v>377117.85714285995</v>
      </c>
    </row>
    <row r="641" spans="2:8" x14ac:dyDescent="0.25">
      <c r="B641" s="130">
        <f t="shared" si="73"/>
        <v>46635</v>
      </c>
      <c r="C641" s="208">
        <f t="shared" ca="1" si="74"/>
        <v>217857.14285714287</v>
      </c>
      <c r="D641" s="208">
        <f t="shared" si="70"/>
        <v>0</v>
      </c>
      <c r="E641" s="208">
        <f t="shared" si="71"/>
        <v>0</v>
      </c>
      <c r="F641" s="208">
        <f t="shared" ca="1" si="75"/>
        <v>66.567460317460331</v>
      </c>
      <c r="G641" s="502">
        <f t="shared" ca="1" si="76"/>
        <v>159194.14682539966</v>
      </c>
      <c r="H641" s="502">
        <f t="shared" ca="1" si="72"/>
        <v>377051.28968254256</v>
      </c>
    </row>
    <row r="642" spans="2:8" x14ac:dyDescent="0.25">
      <c r="B642" s="130">
        <f t="shared" si="73"/>
        <v>46636</v>
      </c>
      <c r="C642" s="208">
        <f t="shared" ca="1" si="74"/>
        <v>217857.14285714287</v>
      </c>
      <c r="D642" s="208">
        <f t="shared" si="70"/>
        <v>0</v>
      </c>
      <c r="E642" s="208">
        <f t="shared" si="71"/>
        <v>0</v>
      </c>
      <c r="F642" s="208">
        <f t="shared" ca="1" si="75"/>
        <v>66.567460317460331</v>
      </c>
      <c r="G642" s="502">
        <f t="shared" ca="1" si="76"/>
        <v>159127.5793650822</v>
      </c>
      <c r="H642" s="502">
        <f t="shared" ca="1" si="72"/>
        <v>376984.72222222504</v>
      </c>
    </row>
    <row r="643" spans="2:8" x14ac:dyDescent="0.25">
      <c r="B643" s="130">
        <f t="shared" si="73"/>
        <v>46637</v>
      </c>
      <c r="C643" s="208">
        <f t="shared" ca="1" si="74"/>
        <v>217857.14285714287</v>
      </c>
      <c r="D643" s="208">
        <f t="shared" si="70"/>
        <v>0</v>
      </c>
      <c r="E643" s="208">
        <f t="shared" si="71"/>
        <v>0</v>
      </c>
      <c r="F643" s="208">
        <f t="shared" ca="1" si="75"/>
        <v>66.567460317460331</v>
      </c>
      <c r="G643" s="502">
        <f t="shared" ca="1" si="76"/>
        <v>159061.01190476475</v>
      </c>
      <c r="H643" s="502">
        <f t="shared" ca="1" si="72"/>
        <v>376918.15476190764</v>
      </c>
    </row>
    <row r="644" spans="2:8" x14ac:dyDescent="0.25">
      <c r="B644" s="130">
        <f t="shared" si="73"/>
        <v>46638</v>
      </c>
      <c r="C644" s="208">
        <f t="shared" ca="1" si="74"/>
        <v>217857.14285714287</v>
      </c>
      <c r="D644" s="208">
        <f t="shared" si="70"/>
        <v>0</v>
      </c>
      <c r="E644" s="208">
        <f t="shared" si="71"/>
        <v>0</v>
      </c>
      <c r="F644" s="208">
        <f t="shared" ca="1" si="75"/>
        <v>66.567460317460331</v>
      </c>
      <c r="G644" s="502">
        <f t="shared" ca="1" si="76"/>
        <v>158994.44444444729</v>
      </c>
      <c r="H644" s="502">
        <f t="shared" ca="1" si="72"/>
        <v>376851.58730159013</v>
      </c>
    </row>
    <row r="645" spans="2:8" x14ac:dyDescent="0.25">
      <c r="B645" s="130">
        <f t="shared" si="73"/>
        <v>46639</v>
      </c>
      <c r="C645" s="208">
        <f t="shared" ca="1" si="74"/>
        <v>217857.14285714287</v>
      </c>
      <c r="D645" s="208">
        <f t="shared" si="70"/>
        <v>0</v>
      </c>
      <c r="E645" s="208">
        <f t="shared" si="71"/>
        <v>0</v>
      </c>
      <c r="F645" s="208">
        <f t="shared" ca="1" si="75"/>
        <v>66.567460317460331</v>
      </c>
      <c r="G645" s="502">
        <f t="shared" ca="1" si="76"/>
        <v>158927.87698412983</v>
      </c>
      <c r="H645" s="502">
        <f t="shared" ca="1" si="72"/>
        <v>376785.01984127273</v>
      </c>
    </row>
    <row r="646" spans="2:8" x14ac:dyDescent="0.25">
      <c r="B646" s="130">
        <f t="shared" si="73"/>
        <v>46640</v>
      </c>
      <c r="C646" s="208">
        <f t="shared" ca="1" si="74"/>
        <v>217857.14285714287</v>
      </c>
      <c r="D646" s="208">
        <f t="shared" si="70"/>
        <v>0</v>
      </c>
      <c r="E646" s="208">
        <f t="shared" si="71"/>
        <v>0</v>
      </c>
      <c r="F646" s="208">
        <f t="shared" ca="1" si="75"/>
        <v>66.567460317460331</v>
      </c>
      <c r="G646" s="502">
        <f t="shared" ca="1" si="76"/>
        <v>158861.30952381238</v>
      </c>
      <c r="H646" s="502">
        <f t="shared" ca="1" si="72"/>
        <v>376718.45238095522</v>
      </c>
    </row>
    <row r="647" spans="2:8" x14ac:dyDescent="0.25">
      <c r="B647" s="130">
        <f t="shared" si="73"/>
        <v>46641</v>
      </c>
      <c r="C647" s="208">
        <f t="shared" ca="1" si="74"/>
        <v>217857.14285714287</v>
      </c>
      <c r="D647" s="208">
        <f t="shared" si="70"/>
        <v>0</v>
      </c>
      <c r="E647" s="208">
        <f t="shared" si="71"/>
        <v>0</v>
      </c>
      <c r="F647" s="208">
        <f t="shared" ca="1" si="75"/>
        <v>66.567460317460331</v>
      </c>
      <c r="G647" s="502">
        <f t="shared" ca="1" si="76"/>
        <v>158794.74206349492</v>
      </c>
      <c r="H647" s="502">
        <f t="shared" ca="1" si="72"/>
        <v>376651.88492063782</v>
      </c>
    </row>
    <row r="648" spans="2:8" x14ac:dyDescent="0.25">
      <c r="B648" s="130">
        <f t="shared" si="73"/>
        <v>46642</v>
      </c>
      <c r="C648" s="208">
        <f t="shared" ca="1" si="74"/>
        <v>217857.14285714287</v>
      </c>
      <c r="D648" s="208">
        <f t="shared" si="70"/>
        <v>0</v>
      </c>
      <c r="E648" s="208">
        <f t="shared" si="71"/>
        <v>0</v>
      </c>
      <c r="F648" s="208">
        <f t="shared" ca="1" si="75"/>
        <v>66.567460317460331</v>
      </c>
      <c r="G648" s="502">
        <f t="shared" ca="1" si="76"/>
        <v>158728.17460317747</v>
      </c>
      <c r="H648" s="502">
        <f t="shared" ca="1" si="72"/>
        <v>376585.31746032031</v>
      </c>
    </row>
    <row r="649" spans="2:8" x14ac:dyDescent="0.25">
      <c r="B649" s="130">
        <f t="shared" si="73"/>
        <v>46643</v>
      </c>
      <c r="C649" s="208">
        <f t="shared" ca="1" si="74"/>
        <v>217857.14285714287</v>
      </c>
      <c r="D649" s="208">
        <f t="shared" si="70"/>
        <v>0</v>
      </c>
      <c r="E649" s="208">
        <f t="shared" si="71"/>
        <v>0</v>
      </c>
      <c r="F649" s="208">
        <f t="shared" ca="1" si="75"/>
        <v>66.567460317460331</v>
      </c>
      <c r="G649" s="502">
        <f t="shared" ca="1" si="76"/>
        <v>158661.60714286001</v>
      </c>
      <c r="H649" s="502">
        <f t="shared" ca="1" si="72"/>
        <v>376518.75000000291</v>
      </c>
    </row>
    <row r="650" spans="2:8" x14ac:dyDescent="0.25">
      <c r="B650" s="130">
        <f t="shared" si="73"/>
        <v>46644</v>
      </c>
      <c r="C650" s="208">
        <f t="shared" ca="1" si="74"/>
        <v>217857.14285714287</v>
      </c>
      <c r="D650" s="208">
        <f t="shared" si="70"/>
        <v>0</v>
      </c>
      <c r="E650" s="208">
        <f t="shared" si="71"/>
        <v>0</v>
      </c>
      <c r="F650" s="208">
        <f t="shared" ca="1" si="75"/>
        <v>66.567460317460331</v>
      </c>
      <c r="G650" s="502">
        <f t="shared" ca="1" si="76"/>
        <v>158595.03968254256</v>
      </c>
      <c r="H650" s="502">
        <f t="shared" ca="1" si="72"/>
        <v>376452.1825396854</v>
      </c>
    </row>
    <row r="651" spans="2:8" x14ac:dyDescent="0.25">
      <c r="B651" s="130">
        <f t="shared" si="73"/>
        <v>46645</v>
      </c>
      <c r="C651" s="208">
        <f t="shared" ca="1" si="74"/>
        <v>217857.14285714287</v>
      </c>
      <c r="D651" s="208">
        <f t="shared" si="70"/>
        <v>0</v>
      </c>
      <c r="E651" s="208">
        <f t="shared" si="71"/>
        <v>0</v>
      </c>
      <c r="F651" s="208">
        <f t="shared" ca="1" si="75"/>
        <v>66.567460317460331</v>
      </c>
      <c r="G651" s="502">
        <f t="shared" ca="1" si="76"/>
        <v>158528.4722222251</v>
      </c>
      <c r="H651" s="502">
        <f t="shared" ca="1" si="72"/>
        <v>376385.615079368</v>
      </c>
    </row>
    <row r="652" spans="2:8" x14ac:dyDescent="0.25">
      <c r="B652" s="130">
        <f t="shared" si="73"/>
        <v>46646</v>
      </c>
      <c r="C652" s="208">
        <f t="shared" ca="1" si="74"/>
        <v>217857.14285714287</v>
      </c>
      <c r="D652" s="208">
        <f t="shared" si="70"/>
        <v>0</v>
      </c>
      <c r="E652" s="208">
        <f t="shared" si="71"/>
        <v>0</v>
      </c>
      <c r="F652" s="208">
        <f t="shared" ca="1" si="75"/>
        <v>66.567460317460331</v>
      </c>
      <c r="G652" s="502">
        <f t="shared" ca="1" si="76"/>
        <v>158461.90476190764</v>
      </c>
      <c r="H652" s="502">
        <f t="shared" ca="1" si="72"/>
        <v>376319.04761905049</v>
      </c>
    </row>
    <row r="653" spans="2:8" x14ac:dyDescent="0.25">
      <c r="B653" s="130">
        <f t="shared" si="73"/>
        <v>46647</v>
      </c>
      <c r="C653" s="208">
        <f t="shared" ca="1" si="74"/>
        <v>217857.14285714287</v>
      </c>
      <c r="D653" s="208">
        <f t="shared" si="70"/>
        <v>0</v>
      </c>
      <c r="E653" s="208">
        <f t="shared" si="71"/>
        <v>0</v>
      </c>
      <c r="F653" s="208">
        <f t="shared" ca="1" si="75"/>
        <v>66.567460317460331</v>
      </c>
      <c r="G653" s="502">
        <f t="shared" ca="1" si="76"/>
        <v>158395.33730159019</v>
      </c>
      <c r="H653" s="502">
        <f t="shared" ca="1" si="72"/>
        <v>376252.48015873309</v>
      </c>
    </row>
    <row r="654" spans="2:8" x14ac:dyDescent="0.25">
      <c r="B654" s="130">
        <f t="shared" si="73"/>
        <v>46648</v>
      </c>
      <c r="C654" s="208">
        <f t="shared" ca="1" si="74"/>
        <v>217857.14285714287</v>
      </c>
      <c r="D654" s="208">
        <f t="shared" si="70"/>
        <v>0</v>
      </c>
      <c r="E654" s="208">
        <f t="shared" si="71"/>
        <v>0</v>
      </c>
      <c r="F654" s="208">
        <f t="shared" ca="1" si="75"/>
        <v>66.567460317460331</v>
      </c>
      <c r="G654" s="502">
        <f t="shared" ca="1" si="76"/>
        <v>158328.76984127273</v>
      </c>
      <c r="H654" s="502">
        <f t="shared" ca="1" si="72"/>
        <v>376185.91269841557</v>
      </c>
    </row>
    <row r="655" spans="2:8" x14ac:dyDescent="0.25">
      <c r="B655" s="130">
        <f t="shared" si="73"/>
        <v>46649</v>
      </c>
      <c r="C655" s="208">
        <f t="shared" ca="1" si="74"/>
        <v>217857.14285714287</v>
      </c>
      <c r="D655" s="208">
        <f t="shared" si="70"/>
        <v>0</v>
      </c>
      <c r="E655" s="208">
        <f t="shared" si="71"/>
        <v>0</v>
      </c>
      <c r="F655" s="208">
        <f t="shared" ca="1" si="75"/>
        <v>66.567460317460331</v>
      </c>
      <c r="G655" s="502">
        <f t="shared" ca="1" si="76"/>
        <v>158262.20238095528</v>
      </c>
      <c r="H655" s="502">
        <f t="shared" ca="1" si="72"/>
        <v>376119.34523809818</v>
      </c>
    </row>
    <row r="656" spans="2:8" x14ac:dyDescent="0.25">
      <c r="B656" s="130">
        <f t="shared" si="73"/>
        <v>46650</v>
      </c>
      <c r="C656" s="208">
        <f t="shared" ca="1" si="74"/>
        <v>217857.14285714287</v>
      </c>
      <c r="D656" s="208">
        <f t="shared" si="70"/>
        <v>0</v>
      </c>
      <c r="E656" s="208">
        <f t="shared" si="71"/>
        <v>0</v>
      </c>
      <c r="F656" s="208">
        <f t="shared" ca="1" si="75"/>
        <v>66.567460317460331</v>
      </c>
      <c r="G656" s="502">
        <f t="shared" ca="1" si="76"/>
        <v>158195.63492063782</v>
      </c>
      <c r="H656" s="502">
        <f t="shared" ca="1" si="72"/>
        <v>376052.77777778066</v>
      </c>
    </row>
    <row r="657" spans="2:8" x14ac:dyDescent="0.25">
      <c r="B657" s="130">
        <f t="shared" si="73"/>
        <v>46651</v>
      </c>
      <c r="C657" s="208">
        <f t="shared" ca="1" si="74"/>
        <v>217857.14285714287</v>
      </c>
      <c r="D657" s="208">
        <f t="shared" si="70"/>
        <v>0</v>
      </c>
      <c r="E657" s="208">
        <f t="shared" si="71"/>
        <v>0</v>
      </c>
      <c r="F657" s="208">
        <f t="shared" ca="1" si="75"/>
        <v>66.567460317460331</v>
      </c>
      <c r="G657" s="502">
        <f t="shared" ca="1" si="76"/>
        <v>158129.06746032037</v>
      </c>
      <c r="H657" s="502">
        <f t="shared" ca="1" si="72"/>
        <v>375986.21031746326</v>
      </c>
    </row>
    <row r="658" spans="2:8" x14ac:dyDescent="0.25">
      <c r="B658" s="130">
        <f t="shared" si="73"/>
        <v>46652</v>
      </c>
      <c r="C658" s="208">
        <f t="shared" ca="1" si="74"/>
        <v>217857.14285714287</v>
      </c>
      <c r="D658" s="208">
        <f t="shared" si="70"/>
        <v>0</v>
      </c>
      <c r="E658" s="208">
        <f t="shared" si="71"/>
        <v>0</v>
      </c>
      <c r="F658" s="208">
        <f t="shared" ca="1" si="75"/>
        <v>66.567460317460331</v>
      </c>
      <c r="G658" s="502">
        <f t="shared" ca="1" si="76"/>
        <v>158062.50000000291</v>
      </c>
      <c r="H658" s="502">
        <f t="shared" ca="1" si="72"/>
        <v>375919.64285714575</v>
      </c>
    </row>
    <row r="659" spans="2:8" x14ac:dyDescent="0.25">
      <c r="B659" s="130">
        <f t="shared" si="73"/>
        <v>46653</v>
      </c>
      <c r="C659" s="208">
        <f t="shared" ca="1" si="74"/>
        <v>217857.14285714287</v>
      </c>
      <c r="D659" s="208">
        <f t="shared" si="70"/>
        <v>0</v>
      </c>
      <c r="E659" s="208">
        <f t="shared" si="71"/>
        <v>0</v>
      </c>
      <c r="F659" s="208">
        <f t="shared" ca="1" si="75"/>
        <v>66.567460317460331</v>
      </c>
      <c r="G659" s="502">
        <f t="shared" ca="1" si="76"/>
        <v>157995.93253968545</v>
      </c>
      <c r="H659" s="502">
        <f t="shared" ca="1" si="72"/>
        <v>375853.07539682835</v>
      </c>
    </row>
    <row r="660" spans="2:8" x14ac:dyDescent="0.25">
      <c r="B660" s="130">
        <f t="shared" si="73"/>
        <v>46654</v>
      </c>
      <c r="C660" s="208">
        <f t="shared" ca="1" si="74"/>
        <v>217857.14285714287</v>
      </c>
      <c r="D660" s="208">
        <f t="shared" si="70"/>
        <v>0</v>
      </c>
      <c r="E660" s="208">
        <f t="shared" si="71"/>
        <v>0</v>
      </c>
      <c r="F660" s="208">
        <f t="shared" ca="1" si="75"/>
        <v>66.567460317460331</v>
      </c>
      <c r="G660" s="502">
        <f t="shared" ca="1" si="76"/>
        <v>157929.365079368</v>
      </c>
      <c r="H660" s="502">
        <f t="shared" ca="1" si="72"/>
        <v>375786.50793651084</v>
      </c>
    </row>
    <row r="661" spans="2:8" x14ac:dyDescent="0.25">
      <c r="B661" s="130">
        <f t="shared" si="73"/>
        <v>46655</v>
      </c>
      <c r="C661" s="208">
        <f t="shared" ca="1" si="74"/>
        <v>217857.14285714287</v>
      </c>
      <c r="D661" s="208">
        <f t="shared" si="70"/>
        <v>0</v>
      </c>
      <c r="E661" s="208">
        <f t="shared" si="71"/>
        <v>0</v>
      </c>
      <c r="F661" s="208">
        <f t="shared" ca="1" si="75"/>
        <v>66.567460317460331</v>
      </c>
      <c r="G661" s="502">
        <f t="shared" ca="1" si="76"/>
        <v>157862.79761905054</v>
      </c>
      <c r="H661" s="502">
        <f t="shared" ca="1" si="72"/>
        <v>375719.94047619344</v>
      </c>
    </row>
    <row r="662" spans="2:8" x14ac:dyDescent="0.25">
      <c r="B662" s="130">
        <f t="shared" si="73"/>
        <v>46656</v>
      </c>
      <c r="C662" s="208">
        <f t="shared" ca="1" si="74"/>
        <v>217857.14285714287</v>
      </c>
      <c r="D662" s="208">
        <f t="shared" si="70"/>
        <v>0</v>
      </c>
      <c r="E662" s="208">
        <f t="shared" si="71"/>
        <v>0</v>
      </c>
      <c r="F662" s="208">
        <f t="shared" ca="1" si="75"/>
        <v>66.567460317460331</v>
      </c>
      <c r="G662" s="502">
        <f t="shared" ca="1" si="76"/>
        <v>157796.23015873309</v>
      </c>
      <c r="H662" s="502">
        <f t="shared" ca="1" si="72"/>
        <v>375653.37301587593</v>
      </c>
    </row>
    <row r="663" spans="2:8" x14ac:dyDescent="0.25">
      <c r="B663" s="130">
        <f t="shared" si="73"/>
        <v>46657</v>
      </c>
      <c r="C663" s="208">
        <f t="shared" ca="1" si="74"/>
        <v>217857.14285714287</v>
      </c>
      <c r="D663" s="208">
        <f t="shared" si="70"/>
        <v>0</v>
      </c>
      <c r="E663" s="208">
        <f t="shared" si="71"/>
        <v>0</v>
      </c>
      <c r="F663" s="208">
        <f t="shared" ca="1" si="75"/>
        <v>66.567460317460331</v>
      </c>
      <c r="G663" s="502">
        <f t="shared" ca="1" si="76"/>
        <v>157729.66269841563</v>
      </c>
      <c r="H663" s="502">
        <f t="shared" ca="1" si="72"/>
        <v>375586.80555555853</v>
      </c>
    </row>
    <row r="664" spans="2:8" x14ac:dyDescent="0.25">
      <c r="B664" s="130">
        <f t="shared" si="73"/>
        <v>46658</v>
      </c>
      <c r="C664" s="208">
        <f t="shared" ca="1" si="74"/>
        <v>217857.14285714287</v>
      </c>
      <c r="D664" s="208">
        <f t="shared" si="70"/>
        <v>0</v>
      </c>
      <c r="E664" s="208">
        <f t="shared" si="71"/>
        <v>0</v>
      </c>
      <c r="F664" s="208">
        <f t="shared" ca="1" si="75"/>
        <v>66.567460317460331</v>
      </c>
      <c r="G664" s="502">
        <f t="shared" ca="1" si="76"/>
        <v>157663.09523809818</v>
      </c>
      <c r="H664" s="502">
        <f t="shared" ca="1" si="72"/>
        <v>375520.23809524102</v>
      </c>
    </row>
    <row r="665" spans="2:8" x14ac:dyDescent="0.25">
      <c r="B665" s="130">
        <f t="shared" si="73"/>
        <v>46659</v>
      </c>
      <c r="C665" s="208">
        <f t="shared" ca="1" si="74"/>
        <v>217857.14285714287</v>
      </c>
      <c r="D665" s="208">
        <f t="shared" si="70"/>
        <v>0</v>
      </c>
      <c r="E665" s="208">
        <f t="shared" si="71"/>
        <v>0</v>
      </c>
      <c r="F665" s="208">
        <f t="shared" ca="1" si="75"/>
        <v>66.567460317460331</v>
      </c>
      <c r="G665" s="502">
        <f t="shared" ca="1" si="76"/>
        <v>157596.52777778072</v>
      </c>
      <c r="H665" s="502">
        <f t="shared" ca="1" si="72"/>
        <v>375453.67063492362</v>
      </c>
    </row>
    <row r="666" spans="2:8" x14ac:dyDescent="0.25">
      <c r="B666" s="130">
        <f t="shared" si="73"/>
        <v>46660</v>
      </c>
      <c r="C666" s="208">
        <f t="shared" ca="1" si="74"/>
        <v>217857.14285714287</v>
      </c>
      <c r="D666" s="208">
        <f t="shared" si="70"/>
        <v>0</v>
      </c>
      <c r="E666" s="208">
        <f t="shared" si="71"/>
        <v>0</v>
      </c>
      <c r="F666" s="208">
        <f t="shared" ca="1" si="75"/>
        <v>66.567460317460331</v>
      </c>
      <c r="G666" s="502">
        <f t="shared" ca="1" si="76"/>
        <v>157529.96031746326</v>
      </c>
      <c r="H666" s="502">
        <f t="shared" ca="1" si="72"/>
        <v>375387.10317460611</v>
      </c>
    </row>
    <row r="667" spans="2:8" x14ac:dyDescent="0.25">
      <c r="B667" s="130">
        <f t="shared" si="73"/>
        <v>46661</v>
      </c>
      <c r="C667" s="208">
        <f t="shared" ca="1" si="74"/>
        <v>217857.14285714287</v>
      </c>
      <c r="D667" s="208">
        <f t="shared" si="70"/>
        <v>0</v>
      </c>
      <c r="E667" s="208">
        <f t="shared" si="71"/>
        <v>0</v>
      </c>
      <c r="F667" s="208">
        <f t="shared" ca="1" si="75"/>
        <v>66.567460317460331</v>
      </c>
      <c r="G667" s="502">
        <f t="shared" ca="1" si="76"/>
        <v>157463.39285714581</v>
      </c>
      <c r="H667" s="502">
        <f t="shared" ca="1" si="72"/>
        <v>375320.53571428871</v>
      </c>
    </row>
    <row r="668" spans="2:8" x14ac:dyDescent="0.25">
      <c r="B668" s="130">
        <f t="shared" si="73"/>
        <v>46662</v>
      </c>
      <c r="C668" s="208">
        <f t="shared" ca="1" si="74"/>
        <v>217857.14285714287</v>
      </c>
      <c r="D668" s="208">
        <f t="shared" si="70"/>
        <v>0</v>
      </c>
      <c r="E668" s="208">
        <f t="shared" si="71"/>
        <v>0</v>
      </c>
      <c r="F668" s="208">
        <f t="shared" ca="1" si="75"/>
        <v>66.567460317460331</v>
      </c>
      <c r="G668" s="502">
        <f t="shared" ca="1" si="76"/>
        <v>157396.82539682835</v>
      </c>
      <c r="H668" s="502">
        <f t="shared" ca="1" si="72"/>
        <v>375253.96825397119</v>
      </c>
    </row>
    <row r="669" spans="2:8" x14ac:dyDescent="0.25">
      <c r="B669" s="130">
        <f t="shared" si="73"/>
        <v>46663</v>
      </c>
      <c r="C669" s="208">
        <f t="shared" ca="1" si="74"/>
        <v>217857.14285714287</v>
      </c>
      <c r="D669" s="208">
        <f t="shared" si="70"/>
        <v>0</v>
      </c>
      <c r="E669" s="208">
        <f t="shared" si="71"/>
        <v>0</v>
      </c>
      <c r="F669" s="208">
        <f t="shared" ca="1" si="75"/>
        <v>66.567460317460331</v>
      </c>
      <c r="G669" s="502">
        <f t="shared" ca="1" si="76"/>
        <v>157330.2579365109</v>
      </c>
      <c r="H669" s="502">
        <f t="shared" ca="1" si="72"/>
        <v>375187.4007936538</v>
      </c>
    </row>
    <row r="670" spans="2:8" x14ac:dyDescent="0.25">
      <c r="B670" s="130">
        <f t="shared" si="73"/>
        <v>46664</v>
      </c>
      <c r="C670" s="208">
        <f t="shared" ca="1" si="74"/>
        <v>217857.14285714287</v>
      </c>
      <c r="D670" s="208">
        <f t="shared" ref="D670:D733" si="77">SUMIF($J$3:$J$26,B670,$K$3:$K$26)</f>
        <v>0</v>
      </c>
      <c r="E670" s="208">
        <f t="shared" ref="E670:E733" si="78">-SUMIF($N$3:$N$26,B670,$O$3:$O$26)</f>
        <v>0</v>
      </c>
      <c r="F670" s="208">
        <f t="shared" ca="1" si="75"/>
        <v>66.567460317460331</v>
      </c>
      <c r="G670" s="502">
        <f t="shared" ca="1" si="76"/>
        <v>157263.69047619344</v>
      </c>
      <c r="H670" s="502">
        <f t="shared" ref="H670:H733" ca="1" si="79">+C670+G670</f>
        <v>375120.83333333628</v>
      </c>
    </row>
    <row r="671" spans="2:8" x14ac:dyDescent="0.25">
      <c r="B671" s="130">
        <f t="shared" ref="B671:B734" si="80">+B670+1</f>
        <v>46665</v>
      </c>
      <c r="C671" s="208">
        <f t="shared" ref="C671:C734" ca="1" si="81">+C670+D670+E670</f>
        <v>217857.14285714287</v>
      </c>
      <c r="D671" s="208">
        <f t="shared" si="77"/>
        <v>0</v>
      </c>
      <c r="E671" s="208">
        <f t="shared" si="78"/>
        <v>0</v>
      </c>
      <c r="F671" s="208">
        <f t="shared" ref="F671:F734" ca="1" si="82">+C671*$C$3/360</f>
        <v>66.567460317460331</v>
      </c>
      <c r="G671" s="502">
        <f t="shared" ref="G671:G734" ca="1" si="83">+G670-F671</f>
        <v>157197.12301587599</v>
      </c>
      <c r="H671" s="502">
        <f t="shared" ca="1" si="79"/>
        <v>375054.26587301889</v>
      </c>
    </row>
    <row r="672" spans="2:8" x14ac:dyDescent="0.25">
      <c r="B672" s="130">
        <f t="shared" si="80"/>
        <v>46666</v>
      </c>
      <c r="C672" s="208">
        <f t="shared" ca="1" si="81"/>
        <v>217857.14285714287</v>
      </c>
      <c r="D672" s="208">
        <f t="shared" si="77"/>
        <v>0</v>
      </c>
      <c r="E672" s="208">
        <f t="shared" si="78"/>
        <v>0</v>
      </c>
      <c r="F672" s="208">
        <f t="shared" ca="1" si="82"/>
        <v>66.567460317460331</v>
      </c>
      <c r="G672" s="502">
        <f t="shared" ca="1" si="83"/>
        <v>157130.55555555853</v>
      </c>
      <c r="H672" s="502">
        <f t="shared" ca="1" si="79"/>
        <v>374987.69841270137</v>
      </c>
    </row>
    <row r="673" spans="2:8" x14ac:dyDescent="0.25">
      <c r="B673" s="130">
        <f t="shared" si="80"/>
        <v>46667</v>
      </c>
      <c r="C673" s="208">
        <f t="shared" ca="1" si="81"/>
        <v>217857.14285714287</v>
      </c>
      <c r="D673" s="208">
        <f t="shared" si="77"/>
        <v>0</v>
      </c>
      <c r="E673" s="208">
        <f t="shared" si="78"/>
        <v>0</v>
      </c>
      <c r="F673" s="208">
        <f t="shared" ca="1" si="82"/>
        <v>66.567460317460331</v>
      </c>
      <c r="G673" s="502">
        <f t="shared" ca="1" si="83"/>
        <v>157063.98809524107</v>
      </c>
      <c r="H673" s="502">
        <f t="shared" ca="1" si="79"/>
        <v>374921.13095238397</v>
      </c>
    </row>
    <row r="674" spans="2:8" x14ac:dyDescent="0.25">
      <c r="B674" s="130">
        <f t="shared" si="80"/>
        <v>46668</v>
      </c>
      <c r="C674" s="208">
        <f t="shared" ca="1" si="81"/>
        <v>217857.14285714287</v>
      </c>
      <c r="D674" s="208">
        <f t="shared" si="77"/>
        <v>0</v>
      </c>
      <c r="E674" s="208">
        <f t="shared" si="78"/>
        <v>0</v>
      </c>
      <c r="F674" s="208">
        <f t="shared" ca="1" si="82"/>
        <v>66.567460317460331</v>
      </c>
      <c r="G674" s="502">
        <f t="shared" ca="1" si="83"/>
        <v>156997.42063492362</v>
      </c>
      <c r="H674" s="502">
        <f t="shared" ca="1" si="79"/>
        <v>374854.56349206646</v>
      </c>
    </row>
    <row r="675" spans="2:8" x14ac:dyDescent="0.25">
      <c r="B675" s="130">
        <f t="shared" si="80"/>
        <v>46669</v>
      </c>
      <c r="C675" s="208">
        <f t="shared" ca="1" si="81"/>
        <v>217857.14285714287</v>
      </c>
      <c r="D675" s="208">
        <f t="shared" si="77"/>
        <v>0</v>
      </c>
      <c r="E675" s="208">
        <f t="shared" si="78"/>
        <v>0</v>
      </c>
      <c r="F675" s="208">
        <f t="shared" ca="1" si="82"/>
        <v>66.567460317460331</v>
      </c>
      <c r="G675" s="502">
        <f t="shared" ca="1" si="83"/>
        <v>156930.85317460616</v>
      </c>
      <c r="H675" s="502">
        <f t="shared" ca="1" si="79"/>
        <v>374787.99603174906</v>
      </c>
    </row>
    <row r="676" spans="2:8" x14ac:dyDescent="0.25">
      <c r="B676" s="130">
        <f t="shared" si="80"/>
        <v>46670</v>
      </c>
      <c r="C676" s="208">
        <f t="shared" ca="1" si="81"/>
        <v>217857.14285714287</v>
      </c>
      <c r="D676" s="208">
        <f t="shared" si="77"/>
        <v>0</v>
      </c>
      <c r="E676" s="208">
        <f t="shared" si="78"/>
        <v>0</v>
      </c>
      <c r="F676" s="208">
        <f t="shared" ca="1" si="82"/>
        <v>66.567460317460331</v>
      </c>
      <c r="G676" s="502">
        <f t="shared" ca="1" si="83"/>
        <v>156864.28571428871</v>
      </c>
      <c r="H676" s="502">
        <f t="shared" ca="1" si="79"/>
        <v>374721.42857143155</v>
      </c>
    </row>
    <row r="677" spans="2:8" x14ac:dyDescent="0.25">
      <c r="B677" s="130">
        <f t="shared" si="80"/>
        <v>46671</v>
      </c>
      <c r="C677" s="208">
        <f t="shared" ca="1" si="81"/>
        <v>217857.14285714287</v>
      </c>
      <c r="D677" s="208">
        <f t="shared" si="77"/>
        <v>0</v>
      </c>
      <c r="E677" s="208">
        <f t="shared" si="78"/>
        <v>0</v>
      </c>
      <c r="F677" s="208">
        <f t="shared" ca="1" si="82"/>
        <v>66.567460317460331</v>
      </c>
      <c r="G677" s="502">
        <f t="shared" ca="1" si="83"/>
        <v>156797.71825397125</v>
      </c>
      <c r="H677" s="502">
        <f t="shared" ca="1" si="79"/>
        <v>374654.86111111415</v>
      </c>
    </row>
    <row r="678" spans="2:8" x14ac:dyDescent="0.25">
      <c r="B678" s="130">
        <f t="shared" si="80"/>
        <v>46672</v>
      </c>
      <c r="C678" s="208">
        <f t="shared" ca="1" si="81"/>
        <v>217857.14285714287</v>
      </c>
      <c r="D678" s="208">
        <f t="shared" si="77"/>
        <v>0</v>
      </c>
      <c r="E678" s="208">
        <f t="shared" si="78"/>
        <v>0</v>
      </c>
      <c r="F678" s="208">
        <f t="shared" ca="1" si="82"/>
        <v>66.567460317460331</v>
      </c>
      <c r="G678" s="502">
        <f t="shared" ca="1" si="83"/>
        <v>156731.1507936538</v>
      </c>
      <c r="H678" s="502">
        <f t="shared" ca="1" si="79"/>
        <v>374588.29365079664</v>
      </c>
    </row>
    <row r="679" spans="2:8" x14ac:dyDescent="0.25">
      <c r="B679" s="130">
        <f t="shared" si="80"/>
        <v>46673</v>
      </c>
      <c r="C679" s="208">
        <f t="shared" ca="1" si="81"/>
        <v>217857.14285714287</v>
      </c>
      <c r="D679" s="208">
        <f t="shared" si="77"/>
        <v>0</v>
      </c>
      <c r="E679" s="208">
        <f t="shared" si="78"/>
        <v>0</v>
      </c>
      <c r="F679" s="208">
        <f t="shared" ca="1" si="82"/>
        <v>66.567460317460331</v>
      </c>
      <c r="G679" s="502">
        <f t="shared" ca="1" si="83"/>
        <v>156664.58333333634</v>
      </c>
      <c r="H679" s="502">
        <f t="shared" ca="1" si="79"/>
        <v>374521.72619047924</v>
      </c>
    </row>
    <row r="680" spans="2:8" x14ac:dyDescent="0.25">
      <c r="B680" s="130">
        <f t="shared" si="80"/>
        <v>46674</v>
      </c>
      <c r="C680" s="208">
        <f t="shared" ca="1" si="81"/>
        <v>217857.14285714287</v>
      </c>
      <c r="D680" s="208">
        <f t="shared" si="77"/>
        <v>0</v>
      </c>
      <c r="E680" s="208">
        <f t="shared" si="78"/>
        <v>0</v>
      </c>
      <c r="F680" s="208">
        <f t="shared" ca="1" si="82"/>
        <v>66.567460317460331</v>
      </c>
      <c r="G680" s="502">
        <f t="shared" ca="1" si="83"/>
        <v>156598.01587301889</v>
      </c>
      <c r="H680" s="502">
        <f t="shared" ca="1" si="79"/>
        <v>374455.15873016173</v>
      </c>
    </row>
    <row r="681" spans="2:8" x14ac:dyDescent="0.25">
      <c r="B681" s="130">
        <f t="shared" si="80"/>
        <v>46675</v>
      </c>
      <c r="C681" s="208">
        <f t="shared" ca="1" si="81"/>
        <v>217857.14285714287</v>
      </c>
      <c r="D681" s="208">
        <f t="shared" si="77"/>
        <v>0</v>
      </c>
      <c r="E681" s="208">
        <f t="shared" si="78"/>
        <v>0</v>
      </c>
      <c r="F681" s="208">
        <f t="shared" ca="1" si="82"/>
        <v>66.567460317460331</v>
      </c>
      <c r="G681" s="502">
        <f t="shared" ca="1" si="83"/>
        <v>156531.44841270143</v>
      </c>
      <c r="H681" s="502">
        <f t="shared" ca="1" si="79"/>
        <v>374388.59126984433</v>
      </c>
    </row>
    <row r="682" spans="2:8" x14ac:dyDescent="0.25">
      <c r="B682" s="130">
        <f t="shared" si="80"/>
        <v>46676</v>
      </c>
      <c r="C682" s="208">
        <f t="shared" ca="1" si="81"/>
        <v>217857.14285714287</v>
      </c>
      <c r="D682" s="208">
        <f t="shared" si="77"/>
        <v>0</v>
      </c>
      <c r="E682" s="208">
        <f t="shared" si="78"/>
        <v>0</v>
      </c>
      <c r="F682" s="208">
        <f t="shared" ca="1" si="82"/>
        <v>66.567460317460331</v>
      </c>
      <c r="G682" s="502">
        <f t="shared" ca="1" si="83"/>
        <v>156464.88095238397</v>
      </c>
      <c r="H682" s="502">
        <f t="shared" ca="1" si="79"/>
        <v>374322.02380952681</v>
      </c>
    </row>
    <row r="683" spans="2:8" x14ac:dyDescent="0.25">
      <c r="B683" s="130">
        <f t="shared" si="80"/>
        <v>46677</v>
      </c>
      <c r="C683" s="208">
        <f t="shared" ca="1" si="81"/>
        <v>217857.14285714287</v>
      </c>
      <c r="D683" s="208">
        <f t="shared" si="77"/>
        <v>0</v>
      </c>
      <c r="E683" s="208">
        <f t="shared" si="78"/>
        <v>0</v>
      </c>
      <c r="F683" s="208">
        <f t="shared" ca="1" si="82"/>
        <v>66.567460317460331</v>
      </c>
      <c r="G683" s="502">
        <f t="shared" ca="1" si="83"/>
        <v>156398.31349206652</v>
      </c>
      <c r="H683" s="502">
        <f t="shared" ca="1" si="79"/>
        <v>374255.45634920942</v>
      </c>
    </row>
    <row r="684" spans="2:8" x14ac:dyDescent="0.25">
      <c r="B684" s="130">
        <f t="shared" si="80"/>
        <v>46678</v>
      </c>
      <c r="C684" s="208">
        <f t="shared" ca="1" si="81"/>
        <v>217857.14285714287</v>
      </c>
      <c r="D684" s="208">
        <f t="shared" si="77"/>
        <v>0</v>
      </c>
      <c r="E684" s="208">
        <f t="shared" si="78"/>
        <v>0</v>
      </c>
      <c r="F684" s="208">
        <f t="shared" ca="1" si="82"/>
        <v>66.567460317460331</v>
      </c>
      <c r="G684" s="502">
        <f t="shared" ca="1" si="83"/>
        <v>156331.74603174906</v>
      </c>
      <c r="H684" s="502">
        <f t="shared" ca="1" si="79"/>
        <v>374188.8888888919</v>
      </c>
    </row>
    <row r="685" spans="2:8" x14ac:dyDescent="0.25">
      <c r="B685" s="130">
        <f t="shared" si="80"/>
        <v>46679</v>
      </c>
      <c r="C685" s="208">
        <f t="shared" ca="1" si="81"/>
        <v>217857.14285714287</v>
      </c>
      <c r="D685" s="208">
        <f t="shared" si="77"/>
        <v>0</v>
      </c>
      <c r="E685" s="208">
        <f t="shared" si="78"/>
        <v>0</v>
      </c>
      <c r="F685" s="208">
        <f t="shared" ca="1" si="82"/>
        <v>66.567460317460331</v>
      </c>
      <c r="G685" s="502">
        <f t="shared" ca="1" si="83"/>
        <v>156265.17857143161</v>
      </c>
      <c r="H685" s="502">
        <f t="shared" ca="1" si="79"/>
        <v>374122.32142857451</v>
      </c>
    </row>
    <row r="686" spans="2:8" x14ac:dyDescent="0.25">
      <c r="B686" s="130">
        <f t="shared" si="80"/>
        <v>46680</v>
      </c>
      <c r="C686" s="208">
        <f t="shared" ca="1" si="81"/>
        <v>217857.14285714287</v>
      </c>
      <c r="D686" s="208">
        <f t="shared" si="77"/>
        <v>0</v>
      </c>
      <c r="E686" s="208">
        <f t="shared" si="78"/>
        <v>0</v>
      </c>
      <c r="F686" s="208">
        <f t="shared" ca="1" si="82"/>
        <v>66.567460317460331</v>
      </c>
      <c r="G686" s="502">
        <f t="shared" ca="1" si="83"/>
        <v>156198.61111111415</v>
      </c>
      <c r="H686" s="502">
        <f t="shared" ca="1" si="79"/>
        <v>374055.75396825699</v>
      </c>
    </row>
    <row r="687" spans="2:8" x14ac:dyDescent="0.25">
      <c r="B687" s="130">
        <f t="shared" si="80"/>
        <v>46681</v>
      </c>
      <c r="C687" s="208">
        <f t="shared" ca="1" si="81"/>
        <v>217857.14285714287</v>
      </c>
      <c r="D687" s="208">
        <f t="shared" si="77"/>
        <v>0</v>
      </c>
      <c r="E687" s="208">
        <f t="shared" si="78"/>
        <v>0</v>
      </c>
      <c r="F687" s="208">
        <f t="shared" ca="1" si="82"/>
        <v>66.567460317460331</v>
      </c>
      <c r="G687" s="502">
        <f t="shared" ca="1" si="83"/>
        <v>156132.0436507967</v>
      </c>
      <c r="H687" s="502">
        <f t="shared" ca="1" si="79"/>
        <v>373989.18650793959</v>
      </c>
    </row>
    <row r="688" spans="2:8" x14ac:dyDescent="0.25">
      <c r="B688" s="130">
        <f t="shared" si="80"/>
        <v>46682</v>
      </c>
      <c r="C688" s="208">
        <f t="shared" ca="1" si="81"/>
        <v>217857.14285714287</v>
      </c>
      <c r="D688" s="208">
        <f t="shared" si="77"/>
        <v>0</v>
      </c>
      <c r="E688" s="208">
        <f t="shared" si="78"/>
        <v>0</v>
      </c>
      <c r="F688" s="208">
        <f t="shared" ca="1" si="82"/>
        <v>66.567460317460331</v>
      </c>
      <c r="G688" s="502">
        <f t="shared" ca="1" si="83"/>
        <v>156065.47619047924</v>
      </c>
      <c r="H688" s="502">
        <f t="shared" ca="1" si="79"/>
        <v>373922.61904762208</v>
      </c>
    </row>
    <row r="689" spans="2:8" x14ac:dyDescent="0.25">
      <c r="B689" s="130">
        <f t="shared" si="80"/>
        <v>46683</v>
      </c>
      <c r="C689" s="208">
        <f t="shared" ca="1" si="81"/>
        <v>217857.14285714287</v>
      </c>
      <c r="D689" s="208">
        <f t="shared" si="77"/>
        <v>0</v>
      </c>
      <c r="E689" s="208">
        <f t="shared" si="78"/>
        <v>0</v>
      </c>
      <c r="F689" s="208">
        <f t="shared" ca="1" si="82"/>
        <v>66.567460317460331</v>
      </c>
      <c r="G689" s="502">
        <f t="shared" ca="1" si="83"/>
        <v>155998.90873016178</v>
      </c>
      <c r="H689" s="502">
        <f t="shared" ca="1" si="79"/>
        <v>373856.05158730468</v>
      </c>
    </row>
    <row r="690" spans="2:8" x14ac:dyDescent="0.25">
      <c r="B690" s="130">
        <f t="shared" si="80"/>
        <v>46684</v>
      </c>
      <c r="C690" s="208">
        <f t="shared" ca="1" si="81"/>
        <v>217857.14285714287</v>
      </c>
      <c r="D690" s="208">
        <f t="shared" si="77"/>
        <v>0</v>
      </c>
      <c r="E690" s="208">
        <f t="shared" si="78"/>
        <v>0</v>
      </c>
      <c r="F690" s="208">
        <f t="shared" ca="1" si="82"/>
        <v>66.567460317460331</v>
      </c>
      <c r="G690" s="502">
        <f t="shared" ca="1" si="83"/>
        <v>155932.34126984433</v>
      </c>
      <c r="H690" s="502">
        <f t="shared" ca="1" si="79"/>
        <v>373789.48412698717</v>
      </c>
    </row>
    <row r="691" spans="2:8" x14ac:dyDescent="0.25">
      <c r="B691" s="130">
        <f t="shared" si="80"/>
        <v>46685</v>
      </c>
      <c r="C691" s="208">
        <f t="shared" ca="1" si="81"/>
        <v>217857.14285714287</v>
      </c>
      <c r="D691" s="208">
        <f t="shared" si="77"/>
        <v>0</v>
      </c>
      <c r="E691" s="208">
        <f t="shared" si="78"/>
        <v>0</v>
      </c>
      <c r="F691" s="208">
        <f t="shared" ca="1" si="82"/>
        <v>66.567460317460331</v>
      </c>
      <c r="G691" s="502">
        <f t="shared" ca="1" si="83"/>
        <v>155865.77380952687</v>
      </c>
      <c r="H691" s="502">
        <f t="shared" ca="1" si="79"/>
        <v>373722.91666666977</v>
      </c>
    </row>
    <row r="692" spans="2:8" x14ac:dyDescent="0.25">
      <c r="B692" s="130">
        <f t="shared" si="80"/>
        <v>46686</v>
      </c>
      <c r="C692" s="208">
        <f t="shared" ca="1" si="81"/>
        <v>217857.14285714287</v>
      </c>
      <c r="D692" s="208">
        <f t="shared" si="77"/>
        <v>0</v>
      </c>
      <c r="E692" s="208">
        <f t="shared" si="78"/>
        <v>0</v>
      </c>
      <c r="F692" s="208">
        <f t="shared" ca="1" si="82"/>
        <v>66.567460317460331</v>
      </c>
      <c r="G692" s="502">
        <f t="shared" ca="1" si="83"/>
        <v>155799.20634920942</v>
      </c>
      <c r="H692" s="502">
        <f t="shared" ca="1" si="79"/>
        <v>373656.34920635226</v>
      </c>
    </row>
    <row r="693" spans="2:8" x14ac:dyDescent="0.25">
      <c r="B693" s="130">
        <f t="shared" si="80"/>
        <v>46687</v>
      </c>
      <c r="C693" s="208">
        <f t="shared" ca="1" si="81"/>
        <v>217857.14285714287</v>
      </c>
      <c r="D693" s="208">
        <f t="shared" si="77"/>
        <v>0</v>
      </c>
      <c r="E693" s="208">
        <f t="shared" si="78"/>
        <v>0</v>
      </c>
      <c r="F693" s="208">
        <f t="shared" ca="1" si="82"/>
        <v>66.567460317460331</v>
      </c>
      <c r="G693" s="502">
        <f t="shared" ca="1" si="83"/>
        <v>155732.63888889196</v>
      </c>
      <c r="H693" s="502">
        <f t="shared" ca="1" si="79"/>
        <v>373589.78174603486</v>
      </c>
    </row>
    <row r="694" spans="2:8" x14ac:dyDescent="0.25">
      <c r="B694" s="130">
        <f t="shared" si="80"/>
        <v>46688</v>
      </c>
      <c r="C694" s="208">
        <f t="shared" ca="1" si="81"/>
        <v>217857.14285714287</v>
      </c>
      <c r="D694" s="208">
        <f t="shared" si="77"/>
        <v>0</v>
      </c>
      <c r="E694" s="208">
        <f t="shared" si="78"/>
        <v>0</v>
      </c>
      <c r="F694" s="208">
        <f t="shared" ca="1" si="82"/>
        <v>66.567460317460331</v>
      </c>
      <c r="G694" s="502">
        <f t="shared" ca="1" si="83"/>
        <v>155666.07142857451</v>
      </c>
      <c r="H694" s="502">
        <f t="shared" ca="1" si="79"/>
        <v>373523.21428571735</v>
      </c>
    </row>
    <row r="695" spans="2:8" x14ac:dyDescent="0.25">
      <c r="B695" s="130">
        <f t="shared" si="80"/>
        <v>46689</v>
      </c>
      <c r="C695" s="208">
        <f t="shared" ca="1" si="81"/>
        <v>217857.14285714287</v>
      </c>
      <c r="D695" s="208">
        <f t="shared" si="77"/>
        <v>0</v>
      </c>
      <c r="E695" s="208">
        <f t="shared" si="78"/>
        <v>0</v>
      </c>
      <c r="F695" s="208">
        <f t="shared" ca="1" si="82"/>
        <v>66.567460317460331</v>
      </c>
      <c r="G695" s="502">
        <f t="shared" ca="1" si="83"/>
        <v>155599.50396825705</v>
      </c>
      <c r="H695" s="502">
        <f t="shared" ca="1" si="79"/>
        <v>373456.64682539995</v>
      </c>
    </row>
    <row r="696" spans="2:8" x14ac:dyDescent="0.25">
      <c r="B696" s="130">
        <f t="shared" si="80"/>
        <v>46690</v>
      </c>
      <c r="C696" s="208">
        <f t="shared" ca="1" si="81"/>
        <v>217857.14285714287</v>
      </c>
      <c r="D696" s="208">
        <f t="shared" si="77"/>
        <v>0</v>
      </c>
      <c r="E696" s="208">
        <f t="shared" si="78"/>
        <v>0</v>
      </c>
      <c r="F696" s="208">
        <f t="shared" ca="1" si="82"/>
        <v>66.567460317460331</v>
      </c>
      <c r="G696" s="502">
        <f t="shared" ca="1" si="83"/>
        <v>155532.93650793959</v>
      </c>
      <c r="H696" s="502">
        <f t="shared" ca="1" si="79"/>
        <v>373390.07936508243</v>
      </c>
    </row>
    <row r="697" spans="2:8" x14ac:dyDescent="0.25">
      <c r="B697" s="130">
        <f t="shared" si="80"/>
        <v>46691</v>
      </c>
      <c r="C697" s="208">
        <f t="shared" ca="1" si="81"/>
        <v>217857.14285714287</v>
      </c>
      <c r="D697" s="208">
        <f t="shared" si="77"/>
        <v>0</v>
      </c>
      <c r="E697" s="208">
        <f t="shared" si="78"/>
        <v>0</v>
      </c>
      <c r="F697" s="208">
        <f t="shared" ca="1" si="82"/>
        <v>66.567460317460331</v>
      </c>
      <c r="G697" s="502">
        <f t="shared" ca="1" si="83"/>
        <v>155466.36904762214</v>
      </c>
      <c r="H697" s="502">
        <f t="shared" ca="1" si="79"/>
        <v>373323.51190476504</v>
      </c>
    </row>
    <row r="698" spans="2:8" x14ac:dyDescent="0.25">
      <c r="B698" s="130">
        <f t="shared" si="80"/>
        <v>46692</v>
      </c>
      <c r="C698" s="208">
        <f t="shared" ca="1" si="81"/>
        <v>217857.14285714287</v>
      </c>
      <c r="D698" s="208">
        <f t="shared" si="77"/>
        <v>0</v>
      </c>
      <c r="E698" s="208">
        <f t="shared" si="78"/>
        <v>0</v>
      </c>
      <c r="F698" s="208">
        <f t="shared" ca="1" si="82"/>
        <v>66.567460317460331</v>
      </c>
      <c r="G698" s="502">
        <f t="shared" ca="1" si="83"/>
        <v>155399.80158730468</v>
      </c>
      <c r="H698" s="502">
        <f t="shared" ca="1" si="79"/>
        <v>373256.94444444752</v>
      </c>
    </row>
    <row r="699" spans="2:8" x14ac:dyDescent="0.25">
      <c r="B699" s="130">
        <f t="shared" si="80"/>
        <v>46693</v>
      </c>
      <c r="C699" s="208">
        <f t="shared" ca="1" si="81"/>
        <v>217857.14285714287</v>
      </c>
      <c r="D699" s="208">
        <f t="shared" si="77"/>
        <v>0</v>
      </c>
      <c r="E699" s="208">
        <f t="shared" si="78"/>
        <v>0</v>
      </c>
      <c r="F699" s="208">
        <f t="shared" ca="1" si="82"/>
        <v>66.567460317460331</v>
      </c>
      <c r="G699" s="502">
        <f t="shared" ca="1" si="83"/>
        <v>155333.23412698723</v>
      </c>
      <c r="H699" s="502">
        <f t="shared" ca="1" si="79"/>
        <v>373190.37698413013</v>
      </c>
    </row>
    <row r="700" spans="2:8" x14ac:dyDescent="0.25">
      <c r="B700" s="130">
        <f t="shared" si="80"/>
        <v>46694</v>
      </c>
      <c r="C700" s="208">
        <f t="shared" ca="1" si="81"/>
        <v>217857.14285714287</v>
      </c>
      <c r="D700" s="208">
        <f t="shared" si="77"/>
        <v>0</v>
      </c>
      <c r="E700" s="208">
        <f t="shared" si="78"/>
        <v>0</v>
      </c>
      <c r="F700" s="208">
        <f t="shared" ca="1" si="82"/>
        <v>66.567460317460331</v>
      </c>
      <c r="G700" s="502">
        <f t="shared" ca="1" si="83"/>
        <v>155266.66666666977</v>
      </c>
      <c r="H700" s="502">
        <f t="shared" ca="1" si="79"/>
        <v>373123.80952381261</v>
      </c>
    </row>
    <row r="701" spans="2:8" x14ac:dyDescent="0.25">
      <c r="B701" s="130">
        <f t="shared" si="80"/>
        <v>46695</v>
      </c>
      <c r="C701" s="208">
        <f t="shared" ca="1" si="81"/>
        <v>217857.14285714287</v>
      </c>
      <c r="D701" s="208">
        <f t="shared" si="77"/>
        <v>0</v>
      </c>
      <c r="E701" s="208">
        <f t="shared" si="78"/>
        <v>0</v>
      </c>
      <c r="F701" s="208">
        <f t="shared" ca="1" si="82"/>
        <v>66.567460317460331</v>
      </c>
      <c r="G701" s="502">
        <f t="shared" ca="1" si="83"/>
        <v>155200.09920635232</v>
      </c>
      <c r="H701" s="502">
        <f t="shared" ca="1" si="79"/>
        <v>373057.24206349521</v>
      </c>
    </row>
    <row r="702" spans="2:8" x14ac:dyDescent="0.25">
      <c r="B702" s="130">
        <f t="shared" si="80"/>
        <v>46696</v>
      </c>
      <c r="C702" s="208">
        <f t="shared" ca="1" si="81"/>
        <v>217857.14285714287</v>
      </c>
      <c r="D702" s="208">
        <f t="shared" si="77"/>
        <v>0</v>
      </c>
      <c r="E702" s="208">
        <f t="shared" si="78"/>
        <v>0</v>
      </c>
      <c r="F702" s="208">
        <f t="shared" ca="1" si="82"/>
        <v>66.567460317460331</v>
      </c>
      <c r="G702" s="502">
        <f t="shared" ca="1" si="83"/>
        <v>155133.53174603486</v>
      </c>
      <c r="H702" s="502">
        <f t="shared" ca="1" si="79"/>
        <v>372990.6746031777</v>
      </c>
    </row>
    <row r="703" spans="2:8" x14ac:dyDescent="0.25">
      <c r="B703" s="130">
        <f t="shared" si="80"/>
        <v>46697</v>
      </c>
      <c r="C703" s="208">
        <f t="shared" ca="1" si="81"/>
        <v>217857.14285714287</v>
      </c>
      <c r="D703" s="208">
        <f t="shared" si="77"/>
        <v>0</v>
      </c>
      <c r="E703" s="208">
        <f t="shared" si="78"/>
        <v>0</v>
      </c>
      <c r="F703" s="208">
        <f t="shared" ca="1" si="82"/>
        <v>66.567460317460331</v>
      </c>
      <c r="G703" s="502">
        <f t="shared" ca="1" si="83"/>
        <v>155066.9642857174</v>
      </c>
      <c r="H703" s="502">
        <f t="shared" ca="1" si="79"/>
        <v>372924.1071428603</v>
      </c>
    </row>
    <row r="704" spans="2:8" x14ac:dyDescent="0.25">
      <c r="B704" s="130">
        <f t="shared" si="80"/>
        <v>46698</v>
      </c>
      <c r="C704" s="208">
        <f t="shared" ca="1" si="81"/>
        <v>217857.14285714287</v>
      </c>
      <c r="D704" s="208">
        <f t="shared" si="77"/>
        <v>0</v>
      </c>
      <c r="E704" s="208">
        <f t="shared" si="78"/>
        <v>0</v>
      </c>
      <c r="F704" s="208">
        <f t="shared" ca="1" si="82"/>
        <v>66.567460317460331</v>
      </c>
      <c r="G704" s="502">
        <f t="shared" ca="1" si="83"/>
        <v>155000.39682539995</v>
      </c>
      <c r="H704" s="502">
        <f t="shared" ca="1" si="79"/>
        <v>372857.53968254279</v>
      </c>
    </row>
    <row r="705" spans="2:8" x14ac:dyDescent="0.25">
      <c r="B705" s="130">
        <f t="shared" si="80"/>
        <v>46699</v>
      </c>
      <c r="C705" s="208">
        <f t="shared" ca="1" si="81"/>
        <v>217857.14285714287</v>
      </c>
      <c r="D705" s="208">
        <f t="shared" si="77"/>
        <v>0</v>
      </c>
      <c r="E705" s="208">
        <f t="shared" si="78"/>
        <v>0</v>
      </c>
      <c r="F705" s="208">
        <f t="shared" ca="1" si="82"/>
        <v>66.567460317460331</v>
      </c>
      <c r="G705" s="502">
        <f t="shared" ca="1" si="83"/>
        <v>154933.82936508249</v>
      </c>
      <c r="H705" s="502">
        <f t="shared" ca="1" si="79"/>
        <v>372790.97222222539</v>
      </c>
    </row>
    <row r="706" spans="2:8" x14ac:dyDescent="0.25">
      <c r="B706" s="130">
        <f t="shared" si="80"/>
        <v>46700</v>
      </c>
      <c r="C706" s="208">
        <f t="shared" ca="1" si="81"/>
        <v>217857.14285714287</v>
      </c>
      <c r="D706" s="208">
        <f t="shared" si="77"/>
        <v>0</v>
      </c>
      <c r="E706" s="208">
        <f t="shared" si="78"/>
        <v>0</v>
      </c>
      <c r="F706" s="208">
        <f t="shared" ca="1" si="82"/>
        <v>66.567460317460331</v>
      </c>
      <c r="G706" s="502">
        <f t="shared" ca="1" si="83"/>
        <v>154867.26190476504</v>
      </c>
      <c r="H706" s="502">
        <f t="shared" ca="1" si="79"/>
        <v>372724.40476190788</v>
      </c>
    </row>
    <row r="707" spans="2:8" x14ac:dyDescent="0.25">
      <c r="B707" s="130">
        <f t="shared" si="80"/>
        <v>46701</v>
      </c>
      <c r="C707" s="208">
        <f t="shared" ca="1" si="81"/>
        <v>217857.14285714287</v>
      </c>
      <c r="D707" s="208">
        <f t="shared" si="77"/>
        <v>0</v>
      </c>
      <c r="E707" s="208">
        <f t="shared" si="78"/>
        <v>0</v>
      </c>
      <c r="F707" s="208">
        <f t="shared" ca="1" si="82"/>
        <v>66.567460317460331</v>
      </c>
      <c r="G707" s="502">
        <f t="shared" ca="1" si="83"/>
        <v>154800.69444444758</v>
      </c>
      <c r="H707" s="502">
        <f t="shared" ca="1" si="79"/>
        <v>372657.83730159048</v>
      </c>
    </row>
    <row r="708" spans="2:8" x14ac:dyDescent="0.25">
      <c r="B708" s="130">
        <f t="shared" si="80"/>
        <v>46702</v>
      </c>
      <c r="C708" s="208">
        <f t="shared" ca="1" si="81"/>
        <v>217857.14285714287</v>
      </c>
      <c r="D708" s="208">
        <f t="shared" si="77"/>
        <v>0</v>
      </c>
      <c r="E708" s="208">
        <f t="shared" si="78"/>
        <v>0</v>
      </c>
      <c r="F708" s="208">
        <f t="shared" ca="1" si="82"/>
        <v>66.567460317460331</v>
      </c>
      <c r="G708" s="502">
        <f t="shared" ca="1" si="83"/>
        <v>154734.12698413013</v>
      </c>
      <c r="H708" s="502">
        <f t="shared" ca="1" si="79"/>
        <v>372591.26984127297</v>
      </c>
    </row>
    <row r="709" spans="2:8" x14ac:dyDescent="0.25">
      <c r="B709" s="130">
        <f t="shared" si="80"/>
        <v>46703</v>
      </c>
      <c r="C709" s="208">
        <f t="shared" ca="1" si="81"/>
        <v>217857.14285714287</v>
      </c>
      <c r="D709" s="208">
        <f t="shared" si="77"/>
        <v>0</v>
      </c>
      <c r="E709" s="208">
        <f t="shared" si="78"/>
        <v>0</v>
      </c>
      <c r="F709" s="208">
        <f t="shared" ca="1" si="82"/>
        <v>66.567460317460331</v>
      </c>
      <c r="G709" s="502">
        <f t="shared" ca="1" si="83"/>
        <v>154667.55952381267</v>
      </c>
      <c r="H709" s="502">
        <f t="shared" ca="1" si="79"/>
        <v>372524.70238095557</v>
      </c>
    </row>
    <row r="710" spans="2:8" x14ac:dyDescent="0.25">
      <c r="B710" s="130">
        <f t="shared" si="80"/>
        <v>46704</v>
      </c>
      <c r="C710" s="208">
        <f t="shared" ca="1" si="81"/>
        <v>217857.14285714287</v>
      </c>
      <c r="D710" s="208">
        <f t="shared" si="77"/>
        <v>0</v>
      </c>
      <c r="E710" s="208">
        <f t="shared" si="78"/>
        <v>0</v>
      </c>
      <c r="F710" s="208">
        <f t="shared" ca="1" si="82"/>
        <v>66.567460317460331</v>
      </c>
      <c r="G710" s="502">
        <f t="shared" ca="1" si="83"/>
        <v>154600.99206349521</v>
      </c>
      <c r="H710" s="502">
        <f t="shared" ca="1" si="79"/>
        <v>372458.13492063805</v>
      </c>
    </row>
    <row r="711" spans="2:8" x14ac:dyDescent="0.25">
      <c r="B711" s="130">
        <f t="shared" si="80"/>
        <v>46705</v>
      </c>
      <c r="C711" s="208">
        <f t="shared" ca="1" si="81"/>
        <v>217857.14285714287</v>
      </c>
      <c r="D711" s="208">
        <f t="shared" si="77"/>
        <v>0</v>
      </c>
      <c r="E711" s="208">
        <f t="shared" si="78"/>
        <v>0</v>
      </c>
      <c r="F711" s="208">
        <f t="shared" ca="1" si="82"/>
        <v>66.567460317460331</v>
      </c>
      <c r="G711" s="502">
        <f t="shared" ca="1" si="83"/>
        <v>154534.42460317776</v>
      </c>
      <c r="H711" s="502">
        <f t="shared" ca="1" si="79"/>
        <v>372391.56746032066</v>
      </c>
    </row>
    <row r="712" spans="2:8" x14ac:dyDescent="0.25">
      <c r="B712" s="130">
        <f t="shared" si="80"/>
        <v>46706</v>
      </c>
      <c r="C712" s="208">
        <f t="shared" ca="1" si="81"/>
        <v>217857.14285714287</v>
      </c>
      <c r="D712" s="208">
        <f t="shared" si="77"/>
        <v>0</v>
      </c>
      <c r="E712" s="208">
        <f t="shared" si="78"/>
        <v>0</v>
      </c>
      <c r="F712" s="208">
        <f t="shared" ca="1" si="82"/>
        <v>66.567460317460331</v>
      </c>
      <c r="G712" s="502">
        <f t="shared" ca="1" si="83"/>
        <v>154467.8571428603</v>
      </c>
      <c r="H712" s="502">
        <f t="shared" ca="1" si="79"/>
        <v>372325.00000000314</v>
      </c>
    </row>
    <row r="713" spans="2:8" x14ac:dyDescent="0.25">
      <c r="B713" s="130">
        <f t="shared" si="80"/>
        <v>46707</v>
      </c>
      <c r="C713" s="208">
        <f t="shared" ca="1" si="81"/>
        <v>217857.14285714287</v>
      </c>
      <c r="D713" s="208">
        <f t="shared" si="77"/>
        <v>0</v>
      </c>
      <c r="E713" s="208">
        <f t="shared" si="78"/>
        <v>0</v>
      </c>
      <c r="F713" s="208">
        <f t="shared" ca="1" si="82"/>
        <v>66.567460317460331</v>
      </c>
      <c r="G713" s="502">
        <f t="shared" ca="1" si="83"/>
        <v>154401.28968254285</v>
      </c>
      <c r="H713" s="502">
        <f t="shared" ca="1" si="79"/>
        <v>372258.43253968575</v>
      </c>
    </row>
    <row r="714" spans="2:8" x14ac:dyDescent="0.25">
      <c r="B714" s="130">
        <f t="shared" si="80"/>
        <v>46708</v>
      </c>
      <c r="C714" s="208">
        <f t="shared" ca="1" si="81"/>
        <v>217857.14285714287</v>
      </c>
      <c r="D714" s="208">
        <f t="shared" si="77"/>
        <v>0</v>
      </c>
      <c r="E714" s="208">
        <f t="shared" si="78"/>
        <v>0</v>
      </c>
      <c r="F714" s="208">
        <f t="shared" ca="1" si="82"/>
        <v>66.567460317460331</v>
      </c>
      <c r="G714" s="502">
        <f t="shared" ca="1" si="83"/>
        <v>154334.72222222539</v>
      </c>
      <c r="H714" s="502">
        <f t="shared" ca="1" si="79"/>
        <v>372191.86507936823</v>
      </c>
    </row>
    <row r="715" spans="2:8" x14ac:dyDescent="0.25">
      <c r="B715" s="130">
        <f t="shared" si="80"/>
        <v>46709</v>
      </c>
      <c r="C715" s="208">
        <f t="shared" ca="1" si="81"/>
        <v>217857.14285714287</v>
      </c>
      <c r="D715" s="208">
        <f t="shared" si="77"/>
        <v>0</v>
      </c>
      <c r="E715" s="208">
        <f t="shared" si="78"/>
        <v>0</v>
      </c>
      <c r="F715" s="208">
        <f t="shared" ca="1" si="82"/>
        <v>66.567460317460331</v>
      </c>
      <c r="G715" s="502">
        <f t="shared" ca="1" si="83"/>
        <v>154268.15476190794</v>
      </c>
      <c r="H715" s="502">
        <f t="shared" ca="1" si="79"/>
        <v>372125.29761905083</v>
      </c>
    </row>
    <row r="716" spans="2:8" x14ac:dyDescent="0.25">
      <c r="B716" s="130">
        <f t="shared" si="80"/>
        <v>46710</v>
      </c>
      <c r="C716" s="208">
        <f t="shared" ca="1" si="81"/>
        <v>217857.14285714287</v>
      </c>
      <c r="D716" s="208">
        <f t="shared" si="77"/>
        <v>0</v>
      </c>
      <c r="E716" s="208">
        <f t="shared" si="78"/>
        <v>0</v>
      </c>
      <c r="F716" s="208">
        <f t="shared" ca="1" si="82"/>
        <v>66.567460317460331</v>
      </c>
      <c r="G716" s="502">
        <f t="shared" ca="1" si="83"/>
        <v>154201.58730159048</v>
      </c>
      <c r="H716" s="502">
        <f t="shared" ca="1" si="79"/>
        <v>372058.73015873332</v>
      </c>
    </row>
    <row r="717" spans="2:8" x14ac:dyDescent="0.25">
      <c r="B717" s="130">
        <f t="shared" si="80"/>
        <v>46711</v>
      </c>
      <c r="C717" s="208">
        <f t="shared" ca="1" si="81"/>
        <v>217857.14285714287</v>
      </c>
      <c r="D717" s="208">
        <f t="shared" si="77"/>
        <v>0</v>
      </c>
      <c r="E717" s="208">
        <f t="shared" si="78"/>
        <v>0</v>
      </c>
      <c r="F717" s="208">
        <f t="shared" ca="1" si="82"/>
        <v>66.567460317460331</v>
      </c>
      <c r="G717" s="502">
        <f t="shared" ca="1" si="83"/>
        <v>154135.01984127302</v>
      </c>
      <c r="H717" s="502">
        <f t="shared" ca="1" si="79"/>
        <v>371992.16269841592</v>
      </c>
    </row>
    <row r="718" spans="2:8" x14ac:dyDescent="0.25">
      <c r="B718" s="130">
        <f t="shared" si="80"/>
        <v>46712</v>
      </c>
      <c r="C718" s="208">
        <f t="shared" ca="1" si="81"/>
        <v>217857.14285714287</v>
      </c>
      <c r="D718" s="208">
        <f t="shared" si="77"/>
        <v>0</v>
      </c>
      <c r="E718" s="208">
        <f t="shared" si="78"/>
        <v>0</v>
      </c>
      <c r="F718" s="208">
        <f t="shared" ca="1" si="82"/>
        <v>66.567460317460331</v>
      </c>
      <c r="G718" s="502">
        <f t="shared" ca="1" si="83"/>
        <v>154068.45238095557</v>
      </c>
      <c r="H718" s="502">
        <f t="shared" ca="1" si="79"/>
        <v>371925.59523809841</v>
      </c>
    </row>
    <row r="719" spans="2:8" x14ac:dyDescent="0.25">
      <c r="B719" s="130">
        <f t="shared" si="80"/>
        <v>46713</v>
      </c>
      <c r="C719" s="208">
        <f t="shared" ca="1" si="81"/>
        <v>217857.14285714287</v>
      </c>
      <c r="D719" s="208">
        <f t="shared" si="77"/>
        <v>0</v>
      </c>
      <c r="E719" s="208">
        <f t="shared" si="78"/>
        <v>0</v>
      </c>
      <c r="F719" s="208">
        <f t="shared" ca="1" si="82"/>
        <v>66.567460317460331</v>
      </c>
      <c r="G719" s="502">
        <f t="shared" ca="1" si="83"/>
        <v>154001.88492063811</v>
      </c>
      <c r="H719" s="502">
        <f t="shared" ca="1" si="79"/>
        <v>371859.02777778101</v>
      </c>
    </row>
    <row r="720" spans="2:8" x14ac:dyDescent="0.25">
      <c r="B720" s="130">
        <f t="shared" si="80"/>
        <v>46714</v>
      </c>
      <c r="C720" s="208">
        <f t="shared" ca="1" si="81"/>
        <v>217857.14285714287</v>
      </c>
      <c r="D720" s="208">
        <f t="shared" si="77"/>
        <v>0</v>
      </c>
      <c r="E720" s="208">
        <f t="shared" si="78"/>
        <v>0</v>
      </c>
      <c r="F720" s="208">
        <f t="shared" ca="1" si="82"/>
        <v>66.567460317460331</v>
      </c>
      <c r="G720" s="502">
        <f t="shared" ca="1" si="83"/>
        <v>153935.31746032066</v>
      </c>
      <c r="H720" s="502">
        <f t="shared" ca="1" si="79"/>
        <v>371792.4603174635</v>
      </c>
    </row>
    <row r="721" spans="2:8" x14ac:dyDescent="0.25">
      <c r="B721" s="130">
        <f t="shared" si="80"/>
        <v>46715</v>
      </c>
      <c r="C721" s="208">
        <f t="shared" ca="1" si="81"/>
        <v>217857.14285714287</v>
      </c>
      <c r="D721" s="208">
        <f t="shared" si="77"/>
        <v>0</v>
      </c>
      <c r="E721" s="208">
        <f t="shared" si="78"/>
        <v>0</v>
      </c>
      <c r="F721" s="208">
        <f t="shared" ca="1" si="82"/>
        <v>66.567460317460331</v>
      </c>
      <c r="G721" s="502">
        <f t="shared" ca="1" si="83"/>
        <v>153868.7500000032</v>
      </c>
      <c r="H721" s="502">
        <f t="shared" ca="1" si="79"/>
        <v>371725.8928571461</v>
      </c>
    </row>
    <row r="722" spans="2:8" x14ac:dyDescent="0.25">
      <c r="B722" s="130">
        <f t="shared" si="80"/>
        <v>46716</v>
      </c>
      <c r="C722" s="208">
        <f t="shared" ca="1" si="81"/>
        <v>217857.14285714287</v>
      </c>
      <c r="D722" s="208">
        <f t="shared" si="77"/>
        <v>0</v>
      </c>
      <c r="E722" s="208">
        <f t="shared" si="78"/>
        <v>0</v>
      </c>
      <c r="F722" s="208">
        <f t="shared" ca="1" si="82"/>
        <v>66.567460317460331</v>
      </c>
      <c r="G722" s="502">
        <f t="shared" ca="1" si="83"/>
        <v>153802.18253968575</v>
      </c>
      <c r="H722" s="502">
        <f t="shared" ca="1" si="79"/>
        <v>371659.32539682859</v>
      </c>
    </row>
    <row r="723" spans="2:8" x14ac:dyDescent="0.25">
      <c r="B723" s="130">
        <f t="shared" si="80"/>
        <v>46717</v>
      </c>
      <c r="C723" s="208">
        <f t="shared" ca="1" si="81"/>
        <v>217857.14285714287</v>
      </c>
      <c r="D723" s="208">
        <f t="shared" si="77"/>
        <v>0</v>
      </c>
      <c r="E723" s="208">
        <f t="shared" si="78"/>
        <v>0</v>
      </c>
      <c r="F723" s="208">
        <f t="shared" ca="1" si="82"/>
        <v>66.567460317460331</v>
      </c>
      <c r="G723" s="502">
        <f t="shared" ca="1" si="83"/>
        <v>153735.61507936829</v>
      </c>
      <c r="H723" s="502">
        <f t="shared" ca="1" si="79"/>
        <v>371592.75793651119</v>
      </c>
    </row>
    <row r="724" spans="2:8" x14ac:dyDescent="0.25">
      <c r="B724" s="130">
        <f t="shared" si="80"/>
        <v>46718</v>
      </c>
      <c r="C724" s="208">
        <f t="shared" ca="1" si="81"/>
        <v>217857.14285714287</v>
      </c>
      <c r="D724" s="208">
        <f t="shared" si="77"/>
        <v>0</v>
      </c>
      <c r="E724" s="208">
        <f t="shared" si="78"/>
        <v>0</v>
      </c>
      <c r="F724" s="208">
        <f t="shared" ca="1" si="82"/>
        <v>66.567460317460331</v>
      </c>
      <c r="G724" s="502">
        <f t="shared" ca="1" si="83"/>
        <v>153669.04761905083</v>
      </c>
      <c r="H724" s="502">
        <f t="shared" ca="1" si="79"/>
        <v>371526.19047619367</v>
      </c>
    </row>
    <row r="725" spans="2:8" x14ac:dyDescent="0.25">
      <c r="B725" s="130">
        <f t="shared" si="80"/>
        <v>46719</v>
      </c>
      <c r="C725" s="208">
        <f t="shared" ca="1" si="81"/>
        <v>217857.14285714287</v>
      </c>
      <c r="D725" s="208">
        <f t="shared" si="77"/>
        <v>0</v>
      </c>
      <c r="E725" s="208">
        <f t="shared" si="78"/>
        <v>0</v>
      </c>
      <c r="F725" s="208">
        <f t="shared" ca="1" si="82"/>
        <v>66.567460317460331</v>
      </c>
      <c r="G725" s="502">
        <f t="shared" ca="1" si="83"/>
        <v>153602.48015873338</v>
      </c>
      <c r="H725" s="502">
        <f t="shared" ca="1" si="79"/>
        <v>371459.62301587628</v>
      </c>
    </row>
    <row r="726" spans="2:8" x14ac:dyDescent="0.25">
      <c r="B726" s="130">
        <f t="shared" si="80"/>
        <v>46720</v>
      </c>
      <c r="C726" s="208">
        <f t="shared" ca="1" si="81"/>
        <v>217857.14285714287</v>
      </c>
      <c r="D726" s="208">
        <f t="shared" si="77"/>
        <v>0</v>
      </c>
      <c r="E726" s="208">
        <f t="shared" si="78"/>
        <v>0</v>
      </c>
      <c r="F726" s="208">
        <f t="shared" ca="1" si="82"/>
        <v>66.567460317460331</v>
      </c>
      <c r="G726" s="502">
        <f t="shared" ca="1" si="83"/>
        <v>153535.91269841592</v>
      </c>
      <c r="H726" s="502">
        <f t="shared" ca="1" si="79"/>
        <v>371393.05555555876</v>
      </c>
    </row>
    <row r="727" spans="2:8" x14ac:dyDescent="0.25">
      <c r="B727" s="130">
        <f t="shared" si="80"/>
        <v>46721</v>
      </c>
      <c r="C727" s="208">
        <f t="shared" ca="1" si="81"/>
        <v>217857.14285714287</v>
      </c>
      <c r="D727" s="208">
        <f t="shared" si="77"/>
        <v>0</v>
      </c>
      <c r="E727" s="208">
        <f t="shared" si="78"/>
        <v>0</v>
      </c>
      <c r="F727" s="208">
        <f t="shared" ca="1" si="82"/>
        <v>66.567460317460331</v>
      </c>
      <c r="G727" s="502">
        <f t="shared" ca="1" si="83"/>
        <v>153469.34523809847</v>
      </c>
      <c r="H727" s="502">
        <f t="shared" ca="1" si="79"/>
        <v>371326.48809524137</v>
      </c>
    </row>
    <row r="728" spans="2:8" x14ac:dyDescent="0.25">
      <c r="B728" s="130">
        <f t="shared" si="80"/>
        <v>46722</v>
      </c>
      <c r="C728" s="208">
        <f t="shared" ca="1" si="81"/>
        <v>217857.14285714287</v>
      </c>
      <c r="D728" s="208">
        <f t="shared" si="77"/>
        <v>0</v>
      </c>
      <c r="E728" s="208">
        <f t="shared" si="78"/>
        <v>0</v>
      </c>
      <c r="F728" s="208">
        <f t="shared" ca="1" si="82"/>
        <v>66.567460317460331</v>
      </c>
      <c r="G728" s="502">
        <f t="shared" ca="1" si="83"/>
        <v>153402.77777778101</v>
      </c>
      <c r="H728" s="502">
        <f t="shared" ca="1" si="79"/>
        <v>371259.92063492385</v>
      </c>
    </row>
    <row r="729" spans="2:8" x14ac:dyDescent="0.25">
      <c r="B729" s="130">
        <f t="shared" si="80"/>
        <v>46723</v>
      </c>
      <c r="C729" s="208">
        <f t="shared" ca="1" si="81"/>
        <v>217857.14285714287</v>
      </c>
      <c r="D729" s="208">
        <f t="shared" si="77"/>
        <v>0</v>
      </c>
      <c r="E729" s="208">
        <f t="shared" si="78"/>
        <v>0</v>
      </c>
      <c r="F729" s="208">
        <f t="shared" ca="1" si="82"/>
        <v>66.567460317460331</v>
      </c>
      <c r="G729" s="502">
        <f t="shared" ca="1" si="83"/>
        <v>153336.21031746356</v>
      </c>
      <c r="H729" s="502">
        <f t="shared" ca="1" si="79"/>
        <v>371193.35317460645</v>
      </c>
    </row>
    <row r="730" spans="2:8" x14ac:dyDescent="0.25">
      <c r="B730" s="130">
        <f t="shared" si="80"/>
        <v>46724</v>
      </c>
      <c r="C730" s="208">
        <f t="shared" ca="1" si="81"/>
        <v>217857.14285714287</v>
      </c>
      <c r="D730" s="208">
        <f t="shared" si="77"/>
        <v>0</v>
      </c>
      <c r="E730" s="208">
        <f t="shared" si="78"/>
        <v>0</v>
      </c>
      <c r="F730" s="208">
        <f t="shared" ca="1" si="82"/>
        <v>66.567460317460331</v>
      </c>
      <c r="G730" s="502">
        <f t="shared" ca="1" si="83"/>
        <v>153269.6428571461</v>
      </c>
      <c r="H730" s="502">
        <f t="shared" ca="1" si="79"/>
        <v>371126.78571428894</v>
      </c>
    </row>
    <row r="731" spans="2:8" x14ac:dyDescent="0.25">
      <c r="B731" s="130">
        <f t="shared" si="80"/>
        <v>46725</v>
      </c>
      <c r="C731" s="208">
        <f t="shared" ca="1" si="81"/>
        <v>217857.14285714287</v>
      </c>
      <c r="D731" s="208">
        <f t="shared" si="77"/>
        <v>0</v>
      </c>
      <c r="E731" s="208">
        <f t="shared" si="78"/>
        <v>0</v>
      </c>
      <c r="F731" s="208">
        <f t="shared" ca="1" si="82"/>
        <v>66.567460317460331</v>
      </c>
      <c r="G731" s="502">
        <f t="shared" ca="1" si="83"/>
        <v>153203.07539682864</v>
      </c>
      <c r="H731" s="502">
        <f t="shared" ca="1" si="79"/>
        <v>371060.21825397154</v>
      </c>
    </row>
    <row r="732" spans="2:8" x14ac:dyDescent="0.25">
      <c r="B732" s="130">
        <f t="shared" si="80"/>
        <v>46726</v>
      </c>
      <c r="C732" s="208">
        <f t="shared" ca="1" si="81"/>
        <v>217857.14285714287</v>
      </c>
      <c r="D732" s="208">
        <f t="shared" si="77"/>
        <v>0</v>
      </c>
      <c r="E732" s="208">
        <f t="shared" si="78"/>
        <v>0</v>
      </c>
      <c r="F732" s="208">
        <f t="shared" ca="1" si="82"/>
        <v>66.567460317460331</v>
      </c>
      <c r="G732" s="502">
        <f t="shared" ca="1" si="83"/>
        <v>153136.50793651119</v>
      </c>
      <c r="H732" s="502">
        <f t="shared" ca="1" si="79"/>
        <v>370993.65079365403</v>
      </c>
    </row>
    <row r="733" spans="2:8" x14ac:dyDescent="0.25">
      <c r="B733" s="130">
        <f t="shared" si="80"/>
        <v>46727</v>
      </c>
      <c r="C733" s="208">
        <f t="shared" ca="1" si="81"/>
        <v>217857.14285714287</v>
      </c>
      <c r="D733" s="208">
        <f t="shared" si="77"/>
        <v>0</v>
      </c>
      <c r="E733" s="208">
        <f t="shared" si="78"/>
        <v>0</v>
      </c>
      <c r="F733" s="208">
        <f t="shared" ca="1" si="82"/>
        <v>66.567460317460331</v>
      </c>
      <c r="G733" s="502">
        <f t="shared" ca="1" si="83"/>
        <v>153069.94047619373</v>
      </c>
      <c r="H733" s="502">
        <f t="shared" ca="1" si="79"/>
        <v>370927.08333333663</v>
      </c>
    </row>
    <row r="734" spans="2:8" x14ac:dyDescent="0.25">
      <c r="B734" s="130">
        <f t="shared" si="80"/>
        <v>46728</v>
      </c>
      <c r="C734" s="208">
        <f t="shared" ca="1" si="81"/>
        <v>217857.14285714287</v>
      </c>
      <c r="D734" s="208">
        <f t="shared" ref="D734:D759" si="84">SUMIF($J$3:$J$26,B734,$K$3:$K$26)</f>
        <v>0</v>
      </c>
      <c r="E734" s="208">
        <f t="shared" ref="E734:E759" si="85">-SUMIF($N$3:$N$26,B734,$O$3:$O$26)</f>
        <v>0</v>
      </c>
      <c r="F734" s="208">
        <f t="shared" ca="1" si="82"/>
        <v>66.567460317460331</v>
      </c>
      <c r="G734" s="502">
        <f t="shared" ca="1" si="83"/>
        <v>153003.37301587628</v>
      </c>
      <c r="H734" s="502">
        <f t="shared" ref="H734:H758" ca="1" si="86">+C734+G734</f>
        <v>370860.51587301912</v>
      </c>
    </row>
    <row r="735" spans="2:8" x14ac:dyDescent="0.25">
      <c r="B735" s="130">
        <f t="shared" ref="B735:B759" si="87">+B734+1</f>
        <v>46729</v>
      </c>
      <c r="C735" s="208">
        <f t="shared" ref="C735:C759" ca="1" si="88">+C734+D734+E734</f>
        <v>217857.14285714287</v>
      </c>
      <c r="D735" s="208">
        <f t="shared" si="84"/>
        <v>0</v>
      </c>
      <c r="E735" s="208">
        <f t="shared" si="85"/>
        <v>0</v>
      </c>
      <c r="F735" s="208">
        <f t="shared" ref="F735:F759" ca="1" si="89">+C735*$C$3/360</f>
        <v>66.567460317460331</v>
      </c>
      <c r="G735" s="502">
        <f t="shared" ref="G735:G759" ca="1" si="90">+G734-F735</f>
        <v>152936.80555555882</v>
      </c>
      <c r="H735" s="502">
        <f t="shared" ca="1" si="86"/>
        <v>370793.94841270172</v>
      </c>
    </row>
    <row r="736" spans="2:8" x14ac:dyDescent="0.25">
      <c r="B736" s="130">
        <f t="shared" si="87"/>
        <v>46730</v>
      </c>
      <c r="C736" s="208">
        <f t="shared" ca="1" si="88"/>
        <v>217857.14285714287</v>
      </c>
      <c r="D736" s="208">
        <f t="shared" si="84"/>
        <v>0</v>
      </c>
      <c r="E736" s="208">
        <f t="shared" si="85"/>
        <v>0</v>
      </c>
      <c r="F736" s="208">
        <f t="shared" ca="1" si="89"/>
        <v>66.567460317460331</v>
      </c>
      <c r="G736" s="502">
        <f t="shared" ca="1" si="90"/>
        <v>152870.23809524137</v>
      </c>
      <c r="H736" s="502">
        <f t="shared" ca="1" si="86"/>
        <v>370727.38095238421</v>
      </c>
    </row>
    <row r="737" spans="2:8" x14ac:dyDescent="0.25">
      <c r="B737" s="130">
        <f t="shared" si="87"/>
        <v>46731</v>
      </c>
      <c r="C737" s="208">
        <f t="shared" ca="1" si="88"/>
        <v>217857.14285714287</v>
      </c>
      <c r="D737" s="208">
        <f t="shared" si="84"/>
        <v>0</v>
      </c>
      <c r="E737" s="208">
        <f t="shared" si="85"/>
        <v>0</v>
      </c>
      <c r="F737" s="208">
        <f t="shared" ca="1" si="89"/>
        <v>66.567460317460331</v>
      </c>
      <c r="G737" s="502">
        <f t="shared" ca="1" si="90"/>
        <v>152803.67063492391</v>
      </c>
      <c r="H737" s="502">
        <f t="shared" ca="1" si="86"/>
        <v>370660.81349206681</v>
      </c>
    </row>
    <row r="738" spans="2:8" x14ac:dyDescent="0.25">
      <c r="B738" s="130">
        <f t="shared" si="87"/>
        <v>46732</v>
      </c>
      <c r="C738" s="208">
        <f t="shared" ca="1" si="88"/>
        <v>217857.14285714287</v>
      </c>
      <c r="D738" s="208">
        <f t="shared" si="84"/>
        <v>0</v>
      </c>
      <c r="E738" s="208">
        <f t="shared" si="85"/>
        <v>0</v>
      </c>
      <c r="F738" s="208">
        <f t="shared" ca="1" si="89"/>
        <v>66.567460317460331</v>
      </c>
      <c r="G738" s="502">
        <f t="shared" ca="1" si="90"/>
        <v>152737.10317460645</v>
      </c>
      <c r="H738" s="502">
        <f t="shared" ca="1" si="86"/>
        <v>370594.2460317493</v>
      </c>
    </row>
    <row r="739" spans="2:8" x14ac:dyDescent="0.25">
      <c r="B739" s="130">
        <f t="shared" si="87"/>
        <v>46733</v>
      </c>
      <c r="C739" s="208">
        <f t="shared" ca="1" si="88"/>
        <v>217857.14285714287</v>
      </c>
      <c r="D739" s="208">
        <f t="shared" si="84"/>
        <v>0</v>
      </c>
      <c r="E739" s="208">
        <f t="shared" si="85"/>
        <v>0</v>
      </c>
      <c r="F739" s="208">
        <f t="shared" ca="1" si="89"/>
        <v>66.567460317460331</v>
      </c>
      <c r="G739" s="502">
        <f t="shared" ca="1" si="90"/>
        <v>152670.535714289</v>
      </c>
      <c r="H739" s="502">
        <f t="shared" ca="1" si="86"/>
        <v>370527.6785714319</v>
      </c>
    </row>
    <row r="740" spans="2:8" x14ac:dyDescent="0.25">
      <c r="B740" s="130">
        <f t="shared" si="87"/>
        <v>46734</v>
      </c>
      <c r="C740" s="208">
        <f t="shared" ca="1" si="88"/>
        <v>217857.14285714287</v>
      </c>
      <c r="D740" s="208">
        <f t="shared" si="84"/>
        <v>0</v>
      </c>
      <c r="E740" s="208">
        <f t="shared" si="85"/>
        <v>0</v>
      </c>
      <c r="F740" s="208">
        <f t="shared" ca="1" si="89"/>
        <v>66.567460317460331</v>
      </c>
      <c r="G740" s="502">
        <f t="shared" ca="1" si="90"/>
        <v>152603.96825397154</v>
      </c>
      <c r="H740" s="502">
        <f t="shared" ca="1" si="86"/>
        <v>370461.11111111438</v>
      </c>
    </row>
    <row r="741" spans="2:8" x14ac:dyDescent="0.25">
      <c r="B741" s="130">
        <f t="shared" si="87"/>
        <v>46735</v>
      </c>
      <c r="C741" s="208">
        <f t="shared" ca="1" si="88"/>
        <v>217857.14285714287</v>
      </c>
      <c r="D741" s="208">
        <f t="shared" si="84"/>
        <v>0</v>
      </c>
      <c r="E741" s="208">
        <f t="shared" si="85"/>
        <v>0</v>
      </c>
      <c r="F741" s="208">
        <f t="shared" ca="1" si="89"/>
        <v>66.567460317460331</v>
      </c>
      <c r="G741" s="502">
        <f t="shared" ca="1" si="90"/>
        <v>152537.40079365409</v>
      </c>
      <c r="H741" s="502">
        <f t="shared" ca="1" si="86"/>
        <v>370394.54365079699</v>
      </c>
    </row>
    <row r="742" spans="2:8" x14ac:dyDescent="0.25">
      <c r="B742" s="130">
        <f t="shared" si="87"/>
        <v>46736</v>
      </c>
      <c r="C742" s="208">
        <f t="shared" ca="1" si="88"/>
        <v>217857.14285714287</v>
      </c>
      <c r="D742" s="208">
        <f t="shared" si="84"/>
        <v>0</v>
      </c>
      <c r="E742" s="208">
        <f t="shared" si="85"/>
        <v>0</v>
      </c>
      <c r="F742" s="208">
        <f t="shared" ca="1" si="89"/>
        <v>66.567460317460331</v>
      </c>
      <c r="G742" s="502">
        <f t="shared" ca="1" si="90"/>
        <v>152470.83333333663</v>
      </c>
      <c r="H742" s="502">
        <f t="shared" ca="1" si="86"/>
        <v>370327.97619047947</v>
      </c>
    </row>
    <row r="743" spans="2:8" x14ac:dyDescent="0.25">
      <c r="B743" s="130">
        <f t="shared" si="87"/>
        <v>46737</v>
      </c>
      <c r="C743" s="208">
        <f t="shared" ca="1" si="88"/>
        <v>217857.14285714287</v>
      </c>
      <c r="D743" s="208">
        <f t="shared" si="84"/>
        <v>0</v>
      </c>
      <c r="E743" s="208">
        <f t="shared" si="85"/>
        <v>0</v>
      </c>
      <c r="F743" s="208">
        <f t="shared" ca="1" si="89"/>
        <v>66.567460317460331</v>
      </c>
      <c r="G743" s="502">
        <f t="shared" ca="1" si="90"/>
        <v>152404.26587301918</v>
      </c>
      <c r="H743" s="502">
        <f t="shared" ca="1" si="86"/>
        <v>370261.40873016207</v>
      </c>
    </row>
    <row r="744" spans="2:8" x14ac:dyDescent="0.25">
      <c r="B744" s="130">
        <f t="shared" si="87"/>
        <v>46738</v>
      </c>
      <c r="C744" s="208">
        <f t="shared" ca="1" si="88"/>
        <v>217857.14285714287</v>
      </c>
      <c r="D744" s="208">
        <f t="shared" si="84"/>
        <v>0</v>
      </c>
      <c r="E744" s="208">
        <f t="shared" si="85"/>
        <v>0</v>
      </c>
      <c r="F744" s="208">
        <f t="shared" ca="1" si="89"/>
        <v>66.567460317460331</v>
      </c>
      <c r="G744" s="502">
        <f t="shared" ca="1" si="90"/>
        <v>152337.69841270172</v>
      </c>
      <c r="H744" s="502">
        <f t="shared" ca="1" si="86"/>
        <v>370194.84126984456</v>
      </c>
    </row>
    <row r="745" spans="2:8" x14ac:dyDescent="0.25">
      <c r="B745" s="130">
        <f t="shared" si="87"/>
        <v>46739</v>
      </c>
      <c r="C745" s="208">
        <f t="shared" ca="1" si="88"/>
        <v>217857.14285714287</v>
      </c>
      <c r="D745" s="208">
        <f t="shared" si="84"/>
        <v>0</v>
      </c>
      <c r="E745" s="208">
        <f t="shared" si="85"/>
        <v>0</v>
      </c>
      <c r="F745" s="208">
        <f t="shared" ca="1" si="89"/>
        <v>66.567460317460331</v>
      </c>
      <c r="G745" s="502">
        <f t="shared" ca="1" si="90"/>
        <v>152271.13095238426</v>
      </c>
      <c r="H745" s="502">
        <f t="shared" ca="1" si="86"/>
        <v>370128.27380952716</v>
      </c>
    </row>
    <row r="746" spans="2:8" x14ac:dyDescent="0.25">
      <c r="B746" s="130">
        <f t="shared" si="87"/>
        <v>46740</v>
      </c>
      <c r="C746" s="208">
        <f t="shared" ca="1" si="88"/>
        <v>217857.14285714287</v>
      </c>
      <c r="D746" s="208">
        <f t="shared" si="84"/>
        <v>0</v>
      </c>
      <c r="E746" s="208">
        <f t="shared" si="85"/>
        <v>0</v>
      </c>
      <c r="F746" s="208">
        <f t="shared" ca="1" si="89"/>
        <v>66.567460317460331</v>
      </c>
      <c r="G746" s="502">
        <f t="shared" ca="1" si="90"/>
        <v>152204.56349206681</v>
      </c>
      <c r="H746" s="502">
        <f t="shared" ca="1" si="86"/>
        <v>370061.70634920965</v>
      </c>
    </row>
    <row r="747" spans="2:8" x14ac:dyDescent="0.25">
      <c r="B747" s="130">
        <f t="shared" si="87"/>
        <v>46741</v>
      </c>
      <c r="C747" s="208">
        <f t="shared" ca="1" si="88"/>
        <v>217857.14285714287</v>
      </c>
      <c r="D747" s="208">
        <f t="shared" si="84"/>
        <v>0</v>
      </c>
      <c r="E747" s="208">
        <f t="shared" si="85"/>
        <v>0</v>
      </c>
      <c r="F747" s="208">
        <f t="shared" ca="1" si="89"/>
        <v>66.567460317460331</v>
      </c>
      <c r="G747" s="502">
        <f t="shared" ca="1" si="90"/>
        <v>152137.99603174935</v>
      </c>
      <c r="H747" s="502">
        <f t="shared" ca="1" si="86"/>
        <v>369995.13888889225</v>
      </c>
    </row>
    <row r="748" spans="2:8" x14ac:dyDescent="0.25">
      <c r="B748" s="130">
        <f t="shared" si="87"/>
        <v>46742</v>
      </c>
      <c r="C748" s="208">
        <f t="shared" ca="1" si="88"/>
        <v>217857.14285714287</v>
      </c>
      <c r="D748" s="208">
        <f t="shared" si="84"/>
        <v>0</v>
      </c>
      <c r="E748" s="208">
        <f t="shared" si="85"/>
        <v>0</v>
      </c>
      <c r="F748" s="208">
        <f t="shared" ca="1" si="89"/>
        <v>66.567460317460331</v>
      </c>
      <c r="G748" s="502">
        <f t="shared" ca="1" si="90"/>
        <v>152071.4285714319</v>
      </c>
      <c r="H748" s="502">
        <f t="shared" ca="1" si="86"/>
        <v>369928.57142857474</v>
      </c>
    </row>
    <row r="749" spans="2:8" x14ac:dyDescent="0.25">
      <c r="B749" s="130">
        <f t="shared" si="87"/>
        <v>46743</v>
      </c>
      <c r="C749" s="208">
        <f t="shared" ca="1" si="88"/>
        <v>217857.14285714287</v>
      </c>
      <c r="D749" s="208">
        <f t="shared" si="84"/>
        <v>0</v>
      </c>
      <c r="E749" s="208">
        <f t="shared" si="85"/>
        <v>0</v>
      </c>
      <c r="F749" s="208">
        <f t="shared" ca="1" si="89"/>
        <v>66.567460317460331</v>
      </c>
      <c r="G749" s="502">
        <f t="shared" ca="1" si="90"/>
        <v>152004.86111111444</v>
      </c>
      <c r="H749" s="502">
        <f t="shared" ca="1" si="86"/>
        <v>369862.00396825734</v>
      </c>
    </row>
    <row r="750" spans="2:8" x14ac:dyDescent="0.25">
      <c r="B750" s="130">
        <f t="shared" si="87"/>
        <v>46744</v>
      </c>
      <c r="C750" s="208">
        <f t="shared" ca="1" si="88"/>
        <v>217857.14285714287</v>
      </c>
      <c r="D750" s="208">
        <f t="shared" si="84"/>
        <v>0</v>
      </c>
      <c r="E750" s="208">
        <f t="shared" si="85"/>
        <v>0</v>
      </c>
      <c r="F750" s="208">
        <f t="shared" ca="1" si="89"/>
        <v>66.567460317460331</v>
      </c>
      <c r="G750" s="502">
        <f t="shared" ca="1" si="90"/>
        <v>151938.29365079699</v>
      </c>
      <c r="H750" s="502">
        <f t="shared" ca="1" si="86"/>
        <v>369795.43650793983</v>
      </c>
    </row>
    <row r="751" spans="2:8" x14ac:dyDescent="0.25">
      <c r="B751" s="130">
        <f t="shared" si="87"/>
        <v>46745</v>
      </c>
      <c r="C751" s="208">
        <f t="shared" ca="1" si="88"/>
        <v>217857.14285714287</v>
      </c>
      <c r="D751" s="208">
        <f t="shared" si="84"/>
        <v>0</v>
      </c>
      <c r="E751" s="208">
        <f t="shared" si="85"/>
        <v>0</v>
      </c>
      <c r="F751" s="208">
        <f t="shared" ca="1" si="89"/>
        <v>66.567460317460331</v>
      </c>
      <c r="G751" s="502">
        <f t="shared" ca="1" si="90"/>
        <v>151871.72619047953</v>
      </c>
      <c r="H751" s="502">
        <f t="shared" ca="1" si="86"/>
        <v>369728.86904762243</v>
      </c>
    </row>
    <row r="752" spans="2:8" x14ac:dyDescent="0.25">
      <c r="B752" s="130">
        <f t="shared" si="87"/>
        <v>46746</v>
      </c>
      <c r="C752" s="208">
        <f t="shared" ca="1" si="88"/>
        <v>217857.14285714287</v>
      </c>
      <c r="D752" s="208">
        <f t="shared" si="84"/>
        <v>0</v>
      </c>
      <c r="E752" s="208">
        <f t="shared" si="85"/>
        <v>0</v>
      </c>
      <c r="F752" s="208">
        <f t="shared" ca="1" si="89"/>
        <v>66.567460317460331</v>
      </c>
      <c r="G752" s="502">
        <f t="shared" ca="1" si="90"/>
        <v>151805.15873016207</v>
      </c>
      <c r="H752" s="502">
        <f t="shared" ca="1" si="86"/>
        <v>369662.30158730492</v>
      </c>
    </row>
    <row r="753" spans="2:8" x14ac:dyDescent="0.25">
      <c r="B753" s="130">
        <f t="shared" si="87"/>
        <v>46747</v>
      </c>
      <c r="C753" s="208">
        <f t="shared" ca="1" si="88"/>
        <v>217857.14285714287</v>
      </c>
      <c r="D753" s="208">
        <f t="shared" si="84"/>
        <v>0</v>
      </c>
      <c r="E753" s="208">
        <f t="shared" si="85"/>
        <v>0</v>
      </c>
      <c r="F753" s="208">
        <f t="shared" ca="1" si="89"/>
        <v>66.567460317460331</v>
      </c>
      <c r="G753" s="502">
        <f t="shared" ca="1" si="90"/>
        <v>151738.59126984462</v>
      </c>
      <c r="H753" s="502">
        <f t="shared" ca="1" si="86"/>
        <v>369595.73412698752</v>
      </c>
    </row>
    <row r="754" spans="2:8" x14ac:dyDescent="0.25">
      <c r="B754" s="130">
        <f t="shared" si="87"/>
        <v>46748</v>
      </c>
      <c r="C754" s="208">
        <f t="shared" ca="1" si="88"/>
        <v>217857.14285714287</v>
      </c>
      <c r="D754" s="208">
        <f t="shared" si="84"/>
        <v>0</v>
      </c>
      <c r="E754" s="208">
        <f t="shared" si="85"/>
        <v>0</v>
      </c>
      <c r="F754" s="208">
        <f t="shared" ca="1" si="89"/>
        <v>66.567460317460331</v>
      </c>
      <c r="G754" s="502">
        <f t="shared" ca="1" si="90"/>
        <v>151672.02380952716</v>
      </c>
      <c r="H754" s="502">
        <f t="shared" ca="1" si="86"/>
        <v>369529.16666667</v>
      </c>
    </row>
    <row r="755" spans="2:8" x14ac:dyDescent="0.25">
      <c r="B755" s="130">
        <f t="shared" si="87"/>
        <v>46749</v>
      </c>
      <c r="C755" s="208">
        <f t="shared" ca="1" si="88"/>
        <v>217857.14285714287</v>
      </c>
      <c r="D755" s="208">
        <f t="shared" si="84"/>
        <v>0</v>
      </c>
      <c r="E755" s="208">
        <f t="shared" si="85"/>
        <v>0</v>
      </c>
      <c r="F755" s="208">
        <f t="shared" ca="1" si="89"/>
        <v>66.567460317460331</v>
      </c>
      <c r="G755" s="502">
        <f t="shared" ca="1" si="90"/>
        <v>151605.45634920971</v>
      </c>
      <c r="H755" s="502">
        <f t="shared" ca="1" si="86"/>
        <v>369462.59920635261</v>
      </c>
    </row>
    <row r="756" spans="2:8" x14ac:dyDescent="0.25">
      <c r="B756" s="130">
        <f t="shared" si="87"/>
        <v>46750</v>
      </c>
      <c r="C756" s="208">
        <f t="shared" ca="1" si="88"/>
        <v>217857.14285714287</v>
      </c>
      <c r="D756" s="208">
        <f t="shared" si="84"/>
        <v>0</v>
      </c>
      <c r="E756" s="208">
        <f t="shared" si="85"/>
        <v>0</v>
      </c>
      <c r="F756" s="208">
        <f t="shared" ca="1" si="89"/>
        <v>66.567460317460331</v>
      </c>
      <c r="G756" s="502">
        <f t="shared" ca="1" si="90"/>
        <v>151538.88888889225</v>
      </c>
      <c r="H756" s="502">
        <f t="shared" ca="1" si="86"/>
        <v>369396.03174603509</v>
      </c>
    </row>
    <row r="757" spans="2:8" x14ac:dyDescent="0.25">
      <c r="B757" s="130">
        <f t="shared" si="87"/>
        <v>46751</v>
      </c>
      <c r="C757" s="208">
        <f t="shared" ca="1" si="88"/>
        <v>217857.14285714287</v>
      </c>
      <c r="D757" s="208">
        <f t="shared" si="84"/>
        <v>0</v>
      </c>
      <c r="E757" s="208">
        <f t="shared" si="85"/>
        <v>0</v>
      </c>
      <c r="F757" s="208">
        <f t="shared" ca="1" si="89"/>
        <v>66.567460317460331</v>
      </c>
      <c r="G757" s="502">
        <f t="shared" ca="1" si="90"/>
        <v>151472.3214285748</v>
      </c>
      <c r="H757" s="502">
        <f t="shared" ca="1" si="86"/>
        <v>369329.4642857177</v>
      </c>
    </row>
    <row r="758" spans="2:8" x14ac:dyDescent="0.25">
      <c r="B758" s="130">
        <f t="shared" si="87"/>
        <v>46752</v>
      </c>
      <c r="C758" s="208">
        <f t="shared" ca="1" si="88"/>
        <v>217857.14285714287</v>
      </c>
      <c r="D758" s="208">
        <f t="shared" si="84"/>
        <v>0</v>
      </c>
      <c r="E758" s="208">
        <f t="shared" si="85"/>
        <v>0</v>
      </c>
      <c r="F758" s="208">
        <f t="shared" ca="1" si="89"/>
        <v>66.567460317460331</v>
      </c>
      <c r="G758" s="502">
        <f t="shared" ca="1" si="90"/>
        <v>151405.75396825734</v>
      </c>
      <c r="H758" s="502">
        <f t="shared" ca="1" si="86"/>
        <v>369262.89682540018</v>
      </c>
    </row>
    <row r="759" spans="2:8" x14ac:dyDescent="0.25">
      <c r="B759" s="130">
        <f t="shared" si="87"/>
        <v>46753</v>
      </c>
      <c r="C759" s="208">
        <f t="shared" ca="1" si="88"/>
        <v>217857.14285714287</v>
      </c>
      <c r="D759" s="208">
        <f t="shared" si="84"/>
        <v>0</v>
      </c>
      <c r="E759" s="208">
        <f t="shared" si="85"/>
        <v>0</v>
      </c>
      <c r="F759" s="208">
        <f t="shared" ca="1" si="89"/>
        <v>66.567460317460331</v>
      </c>
      <c r="G759" s="502">
        <f t="shared" ca="1" si="90"/>
        <v>151339.18650793988</v>
      </c>
      <c r="H759" s="502">
        <f ca="1">+C759+G759</f>
        <v>369196.32936508278</v>
      </c>
    </row>
  </sheetData>
  <conditionalFormatting sqref="C5">
    <cfRule type="cellIs" dxfId="30" priority="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A762-0638-4CE1-812C-1FEFAD4FBEF3}">
  <sheetPr codeName="Sheet5"/>
  <dimension ref="A1"/>
  <sheetViews>
    <sheetView workbookViewId="0"/>
  </sheetViews>
  <sheetFormatPr defaultColWidth="8.5703125" defaultRowHeight="15" x14ac:dyDescent="0.25"/>
  <cols>
    <col min="1" max="16384" width="8.5703125" style="283"/>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8EED5-AB22-4513-896C-33538ADC6FEB}">
  <sheetPr codeName="Sheet6"/>
  <dimension ref="B3:AF6"/>
  <sheetViews>
    <sheetView workbookViewId="0">
      <selection activeCell="L5" sqref="L5"/>
    </sheetView>
  </sheetViews>
  <sheetFormatPr defaultColWidth="8.5703125" defaultRowHeight="15" x14ac:dyDescent="0.25"/>
  <cols>
    <col min="1" max="2" width="8.5703125" style="283"/>
    <col min="3" max="3" width="10.42578125" style="283" bestFit="1" customWidth="1"/>
    <col min="4" max="16" width="8.5703125" style="283"/>
    <col min="17" max="17" width="10.140625" style="283" bestFit="1" customWidth="1"/>
    <col min="18" max="18" width="9.7109375" style="283" bestFit="1" customWidth="1"/>
    <col min="19" max="16384" width="8.5703125" style="283"/>
  </cols>
  <sheetData>
    <row r="3" spans="2:32" ht="90" x14ac:dyDescent="0.25">
      <c r="C3" s="298" t="s">
        <v>38</v>
      </c>
      <c r="D3" s="298" t="s">
        <v>4</v>
      </c>
      <c r="E3" s="298" t="s">
        <v>466</v>
      </c>
      <c r="F3" s="298" t="s">
        <v>39</v>
      </c>
      <c r="G3" s="298" t="s">
        <v>40</v>
      </c>
      <c r="H3" s="298" t="s">
        <v>41</v>
      </c>
      <c r="I3" s="298" t="s">
        <v>42</v>
      </c>
      <c r="J3" s="299" t="s">
        <v>43</v>
      </c>
      <c r="K3" s="298" t="s">
        <v>44</v>
      </c>
      <c r="L3" s="300" t="s">
        <v>45</v>
      </c>
      <c r="M3" s="300" t="s">
        <v>46</v>
      </c>
      <c r="N3" s="300" t="s">
        <v>47</v>
      </c>
      <c r="O3" s="298" t="s">
        <v>48</v>
      </c>
      <c r="P3" s="301" t="s">
        <v>49</v>
      </c>
      <c r="Q3" s="298" t="s">
        <v>50</v>
      </c>
      <c r="R3" s="298" t="s">
        <v>51</v>
      </c>
      <c r="S3" s="298" t="s">
        <v>13</v>
      </c>
      <c r="T3" s="298" t="s">
        <v>52</v>
      </c>
      <c r="U3" s="298" t="s">
        <v>53</v>
      </c>
      <c r="V3" s="298" t="s">
        <v>54</v>
      </c>
      <c r="W3" s="298" t="s">
        <v>55</v>
      </c>
      <c r="X3" s="298" t="s">
        <v>56</v>
      </c>
      <c r="Y3" s="302" t="s">
        <v>57</v>
      </c>
      <c r="Z3" s="298" t="s">
        <v>58</v>
      </c>
      <c r="AA3" s="298" t="s">
        <v>59</v>
      </c>
      <c r="AB3" s="298" t="s">
        <v>60</v>
      </c>
      <c r="AC3" s="298" t="s">
        <v>61</v>
      </c>
      <c r="AD3" s="298" t="s">
        <v>62</v>
      </c>
      <c r="AE3" s="298" t="s">
        <v>63</v>
      </c>
      <c r="AF3" s="298" t="s">
        <v>64</v>
      </c>
    </row>
    <row r="4" spans="2:32" ht="61.5" customHeight="1" x14ac:dyDescent="0.25">
      <c r="B4" s="283" t="s">
        <v>576</v>
      </c>
      <c r="C4" s="381">
        <f ca="1">TODAY()</f>
        <v>46105</v>
      </c>
      <c r="D4" s="382">
        <f>'Deal Details'!C3</f>
        <v>0</v>
      </c>
      <c r="E4" s="382"/>
      <c r="F4" s="382">
        <f>'Deal Details'!C15</f>
        <v>0</v>
      </c>
      <c r="G4" s="382">
        <f>IF('Deal Details'!C17 = "",'Deal Details'!C15,'Deal Details'!C17)</f>
        <v>0</v>
      </c>
      <c r="H4" s="383">
        <f>'Deal Details'!C5</f>
        <v>0</v>
      </c>
      <c r="I4" s="382">
        <f>'Deal Details'!C4</f>
        <v>0</v>
      </c>
      <c r="J4" s="384">
        <f>IF('Deal Details'!C7="",'Deal Details'!C6,'Deal Details'!C7)</f>
        <v>0</v>
      </c>
      <c r="K4" s="382" t="s">
        <v>447</v>
      </c>
      <c r="L4" s="385">
        <f>'Deal Details'!C28</f>
        <v>0</v>
      </c>
      <c r="M4" s="385">
        <f>L4*(O4/100)+((L4*P4)*(Q4/12))+L4</f>
        <v>0</v>
      </c>
      <c r="N4" s="385">
        <f>'Deal Details'!F22</f>
        <v>0</v>
      </c>
      <c r="O4" s="386">
        <f>'Deal Details'!C26</f>
        <v>0.03</v>
      </c>
      <c r="P4" s="387">
        <f>'Deal Details'!C25</f>
        <v>0.12</v>
      </c>
      <c r="Q4" s="388">
        <f>'Deal Details'!C27</f>
        <v>12</v>
      </c>
      <c r="R4" s="389">
        <f ca="1">'Deal Details'!C31</f>
        <v>46105</v>
      </c>
      <c r="S4" s="382">
        <f>'Deal Details'!C11</f>
        <v>0</v>
      </c>
      <c r="T4" s="382">
        <f>'Deal Details'!C13</f>
        <v>0</v>
      </c>
      <c r="U4" s="382">
        <f>'Deal Details'!C12</f>
        <v>0</v>
      </c>
      <c r="V4" s="382">
        <f>'Deal Details'!C17</f>
        <v>0</v>
      </c>
      <c r="W4" s="390"/>
      <c r="X4" s="390"/>
      <c r="Y4" s="391"/>
      <c r="Z4" s="390"/>
      <c r="AA4" s="380"/>
      <c r="AB4" s="380"/>
      <c r="AC4" s="380"/>
      <c r="AD4" s="380"/>
      <c r="AE4" s="382"/>
      <c r="AF4" s="382"/>
    </row>
    <row r="5" spans="2:32" ht="58.35" customHeight="1" x14ac:dyDescent="0.25">
      <c r="B5" s="283" t="s">
        <v>577</v>
      </c>
      <c r="C5" s="381">
        <f ca="1">TODAY()</f>
        <v>46105</v>
      </c>
      <c r="D5" s="382">
        <f>'Deal Details'!C3</f>
        <v>0</v>
      </c>
      <c r="E5" s="382"/>
      <c r="F5" s="382">
        <f>'Deal Details'!C15</f>
        <v>0</v>
      </c>
      <c r="G5" s="382">
        <f>IF('Deal Details'!C17 = "",'Deal Details'!C15,'Deal Details'!C17)</f>
        <v>0</v>
      </c>
      <c r="H5" s="383">
        <f>'Deal Details'!C5</f>
        <v>0</v>
      </c>
      <c r="I5" s="382">
        <f>'Deal Details'!C4</f>
        <v>0</v>
      </c>
      <c r="J5" s="384">
        <f>IF('Deal Details'!C7="",'Deal Details'!C6,'Deal Details'!C7)</f>
        <v>0</v>
      </c>
      <c r="K5" s="382" t="s">
        <v>473</v>
      </c>
      <c r="L5" s="385" t="str">
        <f>'Deal Details'!F21</f>
        <v>$0</v>
      </c>
      <c r="M5" s="385">
        <f>L5*(O5/100)+((L5*P5)*(Q5/12))+L5</f>
        <v>0</v>
      </c>
      <c r="N5" s="385">
        <f>'Deal Details'!F22</f>
        <v>0</v>
      </c>
      <c r="O5" s="386">
        <f>'Deal Details'!C26</f>
        <v>0.03</v>
      </c>
      <c r="P5" s="387">
        <f>'Deal Details'!K34</f>
        <v>0.24</v>
      </c>
      <c r="Q5" s="388">
        <f>'Mezz Amort'!C10</f>
        <v>12</v>
      </c>
      <c r="R5" s="389">
        <f ca="1">'Deal Details'!C31</f>
        <v>46105</v>
      </c>
      <c r="S5" s="382">
        <f>'Deal Details'!C11</f>
        <v>0</v>
      </c>
      <c r="T5" s="382">
        <f>'Deal Details'!C13</f>
        <v>0</v>
      </c>
      <c r="U5" s="382">
        <f>'Deal Details'!C12</f>
        <v>0</v>
      </c>
      <c r="V5" s="382">
        <f>'Deal Details'!C17</f>
        <v>0</v>
      </c>
      <c r="W5" s="390"/>
      <c r="X5" s="390"/>
      <c r="Y5" s="391"/>
      <c r="Z5" s="390"/>
      <c r="AA5" s="380"/>
      <c r="AB5" s="380"/>
      <c r="AC5" s="380"/>
      <c r="AD5" s="380"/>
      <c r="AE5" s="382"/>
      <c r="AF5" s="382"/>
    </row>
    <row r="6" spans="2:32" ht="90" x14ac:dyDescent="0.25">
      <c r="C6" s="298" t="s">
        <v>38</v>
      </c>
      <c r="D6" s="298" t="s">
        <v>4</v>
      </c>
      <c r="E6" s="298" t="s">
        <v>466</v>
      </c>
      <c r="F6" s="298" t="s">
        <v>39</v>
      </c>
      <c r="G6" s="298" t="s">
        <v>40</v>
      </c>
      <c r="H6" s="298" t="s">
        <v>41</v>
      </c>
      <c r="I6" s="298" t="s">
        <v>42</v>
      </c>
      <c r="J6" s="299" t="s">
        <v>43</v>
      </c>
      <c r="K6" s="298" t="s">
        <v>44</v>
      </c>
      <c r="L6" s="300" t="s">
        <v>472</v>
      </c>
      <c r="M6" s="300" t="s">
        <v>46</v>
      </c>
      <c r="N6" s="300" t="s">
        <v>47</v>
      </c>
      <c r="O6" s="298" t="s">
        <v>48</v>
      </c>
      <c r="P6" s="301" t="s">
        <v>49</v>
      </c>
      <c r="Q6" s="298" t="s">
        <v>50</v>
      </c>
      <c r="R6" s="298" t="s">
        <v>51</v>
      </c>
      <c r="S6" s="298" t="s">
        <v>13</v>
      </c>
      <c r="T6" s="298" t="s">
        <v>52</v>
      </c>
      <c r="U6" s="298" t="s">
        <v>53</v>
      </c>
      <c r="V6" s="298" t="s">
        <v>54</v>
      </c>
      <c r="W6" s="298" t="s">
        <v>55</v>
      </c>
      <c r="X6" s="298" t="s">
        <v>56</v>
      </c>
      <c r="Y6" s="302" t="s">
        <v>57</v>
      </c>
      <c r="Z6" s="298" t="s">
        <v>58</v>
      </c>
      <c r="AA6" s="298" t="s">
        <v>59</v>
      </c>
      <c r="AB6" s="298" t="s">
        <v>60</v>
      </c>
      <c r="AC6" s="298" t="s">
        <v>61</v>
      </c>
      <c r="AD6" s="298" t="s">
        <v>62</v>
      </c>
      <c r="AE6" s="298" t="s">
        <v>63</v>
      </c>
      <c r="AF6" s="298" t="s">
        <v>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1"/>
  <sheetViews>
    <sheetView workbookViewId="0"/>
  </sheetViews>
  <sheetFormatPr defaultColWidth="8.85546875" defaultRowHeight="15" x14ac:dyDescent="0.25"/>
  <cols>
    <col min="1" max="16384" width="8.85546875" style="283"/>
  </cols>
  <sheetData/>
  <pageMargins left="0.7" right="0.7" top="0.75" bottom="0.75" header="0.3" footer="0.3"/>
  <pageSetup fitToWidth="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theme="7" tint="0.39997558519241921"/>
  </sheetPr>
  <dimension ref="A1:L12"/>
  <sheetViews>
    <sheetView showGridLines="0" workbookViewId="0">
      <selection activeCell="E4" sqref="E4"/>
    </sheetView>
  </sheetViews>
  <sheetFormatPr defaultColWidth="8.85546875" defaultRowHeight="15" x14ac:dyDescent="0.25"/>
  <cols>
    <col min="1" max="1" width="21.85546875" style="283" customWidth="1"/>
    <col min="2" max="2" width="15.28515625" style="283" customWidth="1"/>
    <col min="3" max="3" width="16.140625" style="283" customWidth="1"/>
    <col min="4" max="4" width="10.5703125" style="283" customWidth="1"/>
    <col min="5" max="5" width="12.140625" bestFit="1" customWidth="1"/>
    <col min="6" max="6" width="27.5703125" bestFit="1" customWidth="1"/>
    <col min="7" max="7" width="20.5703125" customWidth="1"/>
    <col min="8" max="8" width="12.140625" bestFit="1" customWidth="1"/>
    <col min="9" max="9" width="22.140625" customWidth="1"/>
    <col min="10" max="10" width="20.140625" customWidth="1"/>
    <col min="11" max="11" width="13.5703125" customWidth="1"/>
    <col min="13" max="13" width="12.140625" bestFit="1" customWidth="1"/>
    <col min="14" max="14" width="16.140625" bestFit="1" customWidth="1"/>
    <col min="15" max="15" width="15" bestFit="1" customWidth="1"/>
    <col min="16" max="16" width="21.140625" customWidth="1"/>
    <col min="17" max="17" width="12.140625" customWidth="1"/>
    <col min="18" max="18" width="17.5703125" customWidth="1"/>
    <col min="19" max="19" width="15.5703125" customWidth="1"/>
    <col min="20" max="20" width="14.140625" customWidth="1"/>
    <col min="21" max="21" width="9.140625" customWidth="1"/>
  </cols>
  <sheetData>
    <row r="1" spans="2:12" x14ac:dyDescent="0.25">
      <c r="B1" s="690" t="s">
        <v>564</v>
      </c>
      <c r="C1" s="690"/>
      <c r="D1"/>
    </row>
    <row r="2" spans="2:12" x14ac:dyDescent="0.25">
      <c r="B2" s="296" t="s">
        <v>67</v>
      </c>
      <c r="C2" s="622"/>
      <c r="D2"/>
    </row>
    <row r="3" spans="2:12" x14ac:dyDescent="0.25">
      <c r="B3" s="367"/>
      <c r="D3"/>
    </row>
    <row r="4" spans="2:12" x14ac:dyDescent="0.25">
      <c r="B4" s="296" t="s">
        <v>66</v>
      </c>
      <c r="C4" s="365"/>
      <c r="D4"/>
    </row>
    <row r="5" spans="2:12" x14ac:dyDescent="0.25">
      <c r="B5" s="367"/>
      <c r="D5"/>
    </row>
    <row r="6" spans="2:12" x14ac:dyDescent="0.25">
      <c r="B6" s="296" t="s">
        <v>68</v>
      </c>
      <c r="C6" s="622"/>
      <c r="D6"/>
    </row>
    <row r="7" spans="2:12" x14ac:dyDescent="0.25">
      <c r="B7" s="369"/>
      <c r="D7"/>
    </row>
    <row r="8" spans="2:12" x14ac:dyDescent="0.25">
      <c r="B8" s="297" t="s">
        <v>567</v>
      </c>
      <c r="C8" s="623" t="e">
        <f>'Deal Details'!C9/'Deal Details'!C10</f>
        <v>#DIV/0!</v>
      </c>
      <c r="D8"/>
    </row>
    <row r="9" spans="2:12" x14ac:dyDescent="0.25">
      <c r="B9" s="366"/>
      <c r="D9"/>
    </row>
    <row r="10" spans="2:12" x14ac:dyDescent="0.25">
      <c r="B10" s="297" t="s">
        <v>566</v>
      </c>
      <c r="C10" s="686" t="e">
        <f>C2/C8</f>
        <v>#DIV/0!</v>
      </c>
      <c r="D10"/>
    </row>
    <row r="11" spans="2:12" customFormat="1" x14ac:dyDescent="0.25">
      <c r="B11" s="621"/>
      <c r="C11" s="620"/>
    </row>
    <row r="12" spans="2:12" ht="15.75" thickBot="1" x14ac:dyDescent="0.3">
      <c r="B12" s="297" t="s">
        <v>565</v>
      </c>
      <c r="C12" s="544"/>
      <c r="E12" s="689" t="s">
        <v>563</v>
      </c>
      <c r="F12" s="689"/>
      <c r="G12" s="689"/>
      <c r="H12" s="689"/>
      <c r="I12" s="689"/>
      <c r="J12" s="689"/>
      <c r="K12" s="689"/>
      <c r="L12" s="689"/>
    </row>
  </sheetData>
  <mergeCells count="2">
    <mergeCell ref="E12:L12"/>
    <mergeCell ref="B1:C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51A5-5A67-416E-AE35-21091D8077EC}">
  <sheetPr codeName="Sheet9">
    <tabColor theme="7" tint="0.39997558519241921"/>
  </sheetPr>
  <dimension ref="A1:V38"/>
  <sheetViews>
    <sheetView zoomScaleNormal="100" workbookViewId="0">
      <selection activeCell="B18" sqref="B18"/>
    </sheetView>
  </sheetViews>
  <sheetFormatPr defaultColWidth="8.85546875" defaultRowHeight="15" x14ac:dyDescent="0.25"/>
  <cols>
    <col min="1" max="1" width="17.5703125" style="283" customWidth="1"/>
    <col min="2" max="2" width="18.140625" style="283" customWidth="1"/>
    <col min="3" max="3" width="8.85546875" style="283"/>
    <col min="4" max="4" width="14.140625" style="283" bestFit="1" customWidth="1"/>
    <col min="5" max="9" width="14.140625" style="283" customWidth="1"/>
    <col min="10" max="10" width="10.85546875" style="283" bestFit="1" customWidth="1"/>
    <col min="11" max="11" width="14.42578125" style="283" bestFit="1" customWidth="1"/>
    <col min="12" max="12" width="15.85546875" style="283" bestFit="1" customWidth="1"/>
    <col min="13" max="14" width="8.85546875" style="283"/>
    <col min="15" max="15" width="12.42578125" style="283" customWidth="1"/>
    <col min="16" max="16" width="8.85546875" style="283"/>
    <col min="17" max="17" width="19.5703125" style="283" bestFit="1" customWidth="1"/>
    <col min="18" max="18" width="11.140625" style="283" bestFit="1" customWidth="1"/>
    <col min="19" max="16384" width="8.85546875" style="283"/>
  </cols>
  <sheetData>
    <row r="1" spans="1:20" customFormat="1" ht="15.75" thickBot="1" x14ac:dyDescent="0.3">
      <c r="A1" s="307" t="s">
        <v>75</v>
      </c>
      <c r="B1" s="306" t="s">
        <v>76</v>
      </c>
      <c r="C1" s="306" t="s">
        <v>77</v>
      </c>
      <c r="D1" s="306" t="s">
        <v>78</v>
      </c>
      <c r="E1" s="370" t="s">
        <v>534</v>
      </c>
      <c r="F1" s="370"/>
      <c r="G1" s="393"/>
      <c r="H1" s="370"/>
      <c r="I1" s="370"/>
      <c r="J1" s="283"/>
      <c r="K1" s="338" t="s">
        <v>79</v>
      </c>
      <c r="L1" s="339"/>
      <c r="M1" s="339"/>
      <c r="N1" s="339"/>
      <c r="O1" s="340"/>
      <c r="P1" s="371"/>
      <c r="Q1" s="338" t="s">
        <v>79</v>
      </c>
      <c r="R1" s="339"/>
      <c r="S1" s="339"/>
      <c r="T1" s="341"/>
    </row>
    <row r="2" spans="1:20" x14ac:dyDescent="0.25">
      <c r="A2" s="307"/>
      <c r="B2" s="582"/>
      <c r="C2" s="392"/>
      <c r="D2" s="536">
        <f>C2*B2</f>
        <v>0</v>
      </c>
      <c r="E2" s="543"/>
      <c r="F2" s="370"/>
      <c r="G2" s="370"/>
      <c r="H2" s="370"/>
      <c r="I2" s="370"/>
      <c r="K2" s="282" t="s">
        <v>80</v>
      </c>
      <c r="L2" s="310"/>
      <c r="N2" s="283" t="s">
        <v>81</v>
      </c>
      <c r="O2" s="284"/>
      <c r="Q2" s="282" t="s">
        <v>82</v>
      </c>
      <c r="R2" s="285">
        <f>R3/0.3</f>
        <v>516666.66666666669</v>
      </c>
      <c r="S2" s="285"/>
      <c r="T2" s="286"/>
    </row>
    <row r="3" spans="1:20" x14ac:dyDescent="0.25">
      <c r="A3" s="307"/>
      <c r="B3" s="534"/>
      <c r="C3" s="392"/>
      <c r="D3" s="536">
        <f t="shared" ref="D3:D5" si="0">C3*B3</f>
        <v>0</v>
      </c>
      <c r="E3" s="363"/>
      <c r="F3" s="363"/>
      <c r="G3" s="363"/>
      <c r="H3" s="363"/>
      <c r="I3" s="363"/>
      <c r="K3" s="282" t="s">
        <v>83</v>
      </c>
      <c r="L3" s="287">
        <f>M3*L2</f>
        <v>0</v>
      </c>
      <c r="M3" s="312">
        <v>0.23</v>
      </c>
      <c r="N3" s="283" t="s">
        <v>450</v>
      </c>
      <c r="O3" s="284"/>
      <c r="Q3" s="282" t="s">
        <v>83</v>
      </c>
      <c r="R3" s="288">
        <f>R7-R4-R6</f>
        <v>155000</v>
      </c>
      <c r="S3" s="288"/>
      <c r="T3" s="289"/>
    </row>
    <row r="4" spans="1:20" x14ac:dyDescent="0.25">
      <c r="A4" s="308"/>
      <c r="B4" s="535"/>
      <c r="C4" s="392"/>
      <c r="D4" s="536">
        <f t="shared" si="0"/>
        <v>0</v>
      </c>
      <c r="E4" s="363"/>
      <c r="F4" s="363"/>
      <c r="G4" s="363"/>
      <c r="H4" s="363"/>
      <c r="I4" s="363"/>
      <c r="K4" s="282" t="s">
        <v>84</v>
      </c>
      <c r="L4" s="311">
        <v>-35000</v>
      </c>
      <c r="O4" s="284"/>
      <c r="Q4" s="282" t="s">
        <v>84</v>
      </c>
      <c r="R4" s="287">
        <f>L4</f>
        <v>-35000</v>
      </c>
      <c r="S4" s="287"/>
      <c r="T4" s="290"/>
    </row>
    <row r="5" spans="1:20" x14ac:dyDescent="0.25">
      <c r="A5" s="307"/>
      <c r="B5" s="584"/>
      <c r="C5" s="585"/>
      <c r="D5" s="536">
        <f t="shared" si="0"/>
        <v>0</v>
      </c>
      <c r="E5" s="363"/>
      <c r="F5" s="363"/>
      <c r="G5" s="363"/>
      <c r="H5" s="363"/>
      <c r="I5" s="363"/>
      <c r="K5" s="282"/>
      <c r="L5" s="311"/>
      <c r="O5" s="284"/>
      <c r="Q5" s="282"/>
      <c r="R5" s="287"/>
      <c r="S5" s="287"/>
      <c r="T5" s="290"/>
    </row>
    <row r="6" spans="1:20" x14ac:dyDescent="0.25">
      <c r="A6" s="371"/>
      <c r="B6" s="373"/>
      <c r="C6" s="309">
        <f>SUM(C2:C5)</f>
        <v>0</v>
      </c>
      <c r="D6" s="305">
        <f>SUM(D2:D5)</f>
        <v>0</v>
      </c>
      <c r="E6" s="348"/>
      <c r="F6" s="348"/>
      <c r="G6" s="348"/>
      <c r="H6" s="348"/>
      <c r="I6" s="348"/>
      <c r="K6" s="282" t="s">
        <v>86</v>
      </c>
      <c r="L6" s="287">
        <f>SUM(L3:L4)*-M6</f>
        <v>7000</v>
      </c>
      <c r="M6" s="312">
        <v>0.2</v>
      </c>
      <c r="N6" s="283" t="s">
        <v>87</v>
      </c>
      <c r="O6" s="284"/>
      <c r="Q6" s="282" t="s">
        <v>86</v>
      </c>
      <c r="R6" s="287">
        <f>-R7*0.2</f>
        <v>-20000</v>
      </c>
      <c r="S6" s="287"/>
      <c r="T6" s="290"/>
    </row>
    <row r="7" spans="1:20" x14ac:dyDescent="0.25">
      <c r="B7" s="374"/>
      <c r="D7" s="370"/>
      <c r="E7" s="370"/>
      <c r="F7" s="370"/>
      <c r="G7" s="370"/>
      <c r="H7" s="370"/>
      <c r="I7" s="370"/>
      <c r="J7" s="285"/>
      <c r="K7" s="282" t="s">
        <v>88</v>
      </c>
      <c r="L7" s="287">
        <f>SUM(L3:L6)</f>
        <v>-28000</v>
      </c>
      <c r="O7" s="284"/>
      <c r="Q7" s="282" t="s">
        <v>88</v>
      </c>
      <c r="R7" s="287">
        <f>R10-R8-R9</f>
        <v>100000</v>
      </c>
      <c r="S7" s="287"/>
      <c r="T7" s="290"/>
    </row>
    <row r="8" spans="1:20" x14ac:dyDescent="0.25">
      <c r="B8" s="375"/>
      <c r="D8" s="590" t="e">
        <f>D6/C6</f>
        <v>#DIV/0!</v>
      </c>
      <c r="E8" s="368"/>
      <c r="F8" s="368"/>
      <c r="G8" s="368"/>
      <c r="H8" s="368"/>
      <c r="I8" s="368"/>
      <c r="J8" s="285"/>
      <c r="K8" s="282" t="s">
        <v>86</v>
      </c>
      <c r="L8" s="287">
        <f>IFERROR(-M8*(L7+L9),"")</f>
        <v>25600</v>
      </c>
      <c r="M8" s="312">
        <v>0.2</v>
      </c>
      <c r="N8" s="283" t="s">
        <v>87</v>
      </c>
      <c r="O8" s="284"/>
      <c r="P8" s="376"/>
      <c r="Q8" s="282" t="s">
        <v>86</v>
      </c>
      <c r="R8" s="287">
        <f>-R10*0.2</f>
        <v>0</v>
      </c>
      <c r="S8" s="287"/>
      <c r="T8" s="290"/>
    </row>
    <row r="9" spans="1:20" x14ac:dyDescent="0.25">
      <c r="B9" s="321"/>
      <c r="K9" s="282" t="s">
        <v>90</v>
      </c>
      <c r="L9" s="311">
        <f>-100000</f>
        <v>-100000</v>
      </c>
      <c r="M9" s="312"/>
      <c r="N9" s="283" t="s">
        <v>91</v>
      </c>
      <c r="O9" s="284"/>
      <c r="P9" s="376"/>
      <c r="Q9" s="282" t="s">
        <v>90</v>
      </c>
      <c r="R9" s="287">
        <f>L9</f>
        <v>-100000</v>
      </c>
      <c r="S9" s="287"/>
      <c r="T9" s="290"/>
    </row>
    <row r="10" spans="1:20" ht="15.75" thickBot="1" x14ac:dyDescent="0.3">
      <c r="A10" s="304" t="s">
        <v>89</v>
      </c>
      <c r="B10" s="537">
        <f>B11*Data!C4</f>
        <v>0</v>
      </c>
      <c r="K10" s="291" t="s">
        <v>92</v>
      </c>
      <c r="L10" s="292">
        <f>SUM(L7:L9)</f>
        <v>-102400</v>
      </c>
      <c r="M10" s="313"/>
      <c r="N10" s="293"/>
      <c r="O10" s="294"/>
      <c r="Q10" s="291" t="s">
        <v>92</v>
      </c>
      <c r="R10" s="314"/>
      <c r="S10" s="314"/>
      <c r="T10" s="377"/>
    </row>
    <row r="11" spans="1:20" x14ac:dyDescent="0.25">
      <c r="A11" s="304" t="s">
        <v>65</v>
      </c>
      <c r="B11" s="111"/>
      <c r="K11" s="378"/>
      <c r="L11" s="363"/>
    </row>
    <row r="12" spans="1:20" ht="15.75" thickBot="1" x14ac:dyDescent="0.3">
      <c r="A12" s="345"/>
      <c r="K12" s="338" t="s">
        <v>93</v>
      </c>
      <c r="L12" s="339"/>
      <c r="M12" s="339"/>
      <c r="N12" s="339"/>
      <c r="O12" s="340"/>
      <c r="P12" s="371"/>
      <c r="Q12" s="338" t="s">
        <v>93</v>
      </c>
      <c r="R12" s="339"/>
      <c r="S12" s="339"/>
      <c r="T12" s="372"/>
    </row>
    <row r="13" spans="1:20" x14ac:dyDescent="0.25">
      <c r="A13" s="345"/>
      <c r="K13" s="282" t="s">
        <v>80</v>
      </c>
      <c r="L13" s="310">
        <f>ROUNDDOWN(B14,-3)</f>
        <v>0</v>
      </c>
      <c r="N13" s="283" t="s">
        <v>81</v>
      </c>
      <c r="O13" s="284"/>
      <c r="Q13" s="282" t="s">
        <v>82</v>
      </c>
      <c r="R13" s="285">
        <f>R14/0.3</f>
        <v>600000</v>
      </c>
      <c r="S13" s="285"/>
      <c r="T13" s="286"/>
    </row>
    <row r="14" spans="1:20" x14ac:dyDescent="0.25">
      <c r="A14" s="304" t="s">
        <v>94</v>
      </c>
      <c r="B14" s="537">
        <f>B15*Data!C4</f>
        <v>0</v>
      </c>
      <c r="K14" s="282" t="s">
        <v>83</v>
      </c>
      <c r="L14" s="287">
        <f>M14*L13</f>
        <v>0</v>
      </c>
      <c r="M14" s="312">
        <v>0.28000000000000003</v>
      </c>
      <c r="N14" s="283" t="s">
        <v>431</v>
      </c>
      <c r="O14" s="284"/>
      <c r="Q14" s="282" t="s">
        <v>83</v>
      </c>
      <c r="R14" s="288">
        <f>R17-R15-R16</f>
        <v>180000</v>
      </c>
      <c r="S14" s="288"/>
      <c r="T14" s="289"/>
    </row>
    <row r="15" spans="1:20" x14ac:dyDescent="0.25">
      <c r="A15" s="304" t="s">
        <v>65</v>
      </c>
      <c r="B15" s="111"/>
      <c r="K15" s="282" t="s">
        <v>84</v>
      </c>
      <c r="L15" s="311">
        <f>-'Deal Details'!I22</f>
        <v>0</v>
      </c>
      <c r="O15" s="284"/>
      <c r="Q15" s="282" t="s">
        <v>84</v>
      </c>
      <c r="R15" s="287">
        <f>L15</f>
        <v>0</v>
      </c>
      <c r="S15" s="287"/>
      <c r="T15" s="290"/>
    </row>
    <row r="16" spans="1:20" x14ac:dyDescent="0.25">
      <c r="A16" s="379"/>
      <c r="K16" s="282" t="s">
        <v>86</v>
      </c>
      <c r="L16" s="287">
        <f>SUM(L14:L15)*-M16</f>
        <v>0</v>
      </c>
      <c r="M16" s="312">
        <v>0.2</v>
      </c>
      <c r="N16" s="283" t="s">
        <v>87</v>
      </c>
      <c r="O16" s="284"/>
      <c r="Q16" s="282" t="s">
        <v>86</v>
      </c>
      <c r="R16" s="287">
        <f>-R17*0.2</f>
        <v>-30000</v>
      </c>
      <c r="S16" s="287"/>
      <c r="T16" s="290"/>
    </row>
    <row r="17" spans="1:22" x14ac:dyDescent="0.25">
      <c r="K17" s="282" t="s">
        <v>88</v>
      </c>
      <c r="L17" s="287">
        <f>SUM(L14:L16)</f>
        <v>0</v>
      </c>
      <c r="O17" s="284"/>
      <c r="Q17" s="282" t="s">
        <v>88</v>
      </c>
      <c r="R17" s="287">
        <f>R20-R18-R19</f>
        <v>150000</v>
      </c>
      <c r="S17" s="287"/>
      <c r="T17" s="290"/>
    </row>
    <row r="18" spans="1:22" x14ac:dyDescent="0.25">
      <c r="A18" s="304" t="s">
        <v>453</v>
      </c>
      <c r="B18" s="537" t="str">
        <f>L36</f>
        <v/>
      </c>
      <c r="K18" s="282" t="s">
        <v>86</v>
      </c>
      <c r="L18" s="287">
        <f>IFERROR(-M18*(L17+L19),"")</f>
        <v>30000</v>
      </c>
      <c r="M18" s="312">
        <v>0.2</v>
      </c>
      <c r="N18" s="283" t="s">
        <v>87</v>
      </c>
      <c r="O18" s="284"/>
      <c r="P18" s="376"/>
      <c r="Q18" s="282" t="s">
        <v>86</v>
      </c>
      <c r="R18" s="287">
        <f>-R20*0.2</f>
        <v>0</v>
      </c>
      <c r="S18" s="287"/>
      <c r="T18" s="290"/>
    </row>
    <row r="19" spans="1:22" x14ac:dyDescent="0.25">
      <c r="A19" s="304" t="s">
        <v>10</v>
      </c>
      <c r="B19" s="111">
        <f>M28</f>
        <v>0</v>
      </c>
      <c r="K19" s="282" t="s">
        <v>90</v>
      </c>
      <c r="L19" s="311">
        <f>-150000</f>
        <v>-150000</v>
      </c>
      <c r="M19" s="312"/>
      <c r="N19" s="283" t="s">
        <v>95</v>
      </c>
      <c r="O19" s="284"/>
      <c r="P19" s="376"/>
      <c r="Q19" s="282" t="s">
        <v>90</v>
      </c>
      <c r="R19" s="287">
        <f>L19</f>
        <v>-150000</v>
      </c>
      <c r="S19" s="287"/>
      <c r="T19" s="290"/>
    </row>
    <row r="20" spans="1:22" ht="15.75" thickBot="1" x14ac:dyDescent="0.3">
      <c r="K20" s="291" t="s">
        <v>92</v>
      </c>
      <c r="L20" s="292">
        <f>SUM(L17:L19)</f>
        <v>-120000</v>
      </c>
      <c r="M20" s="313"/>
      <c r="N20" s="293"/>
      <c r="O20" s="294"/>
      <c r="Q20" s="291" t="s">
        <v>92</v>
      </c>
      <c r="R20" s="314"/>
      <c r="S20" s="314"/>
      <c r="T20" s="377"/>
    </row>
    <row r="21" spans="1:22" ht="15.75" thickBot="1" x14ac:dyDescent="0.3"/>
    <row r="22" spans="1:22" ht="15.75" thickBot="1" x14ac:dyDescent="0.3">
      <c r="K22" s="342" t="s">
        <v>96</v>
      </c>
      <c r="L22" s="343"/>
      <c r="M22" s="343"/>
      <c r="N22" s="343"/>
      <c r="O22" s="343"/>
      <c r="P22" s="344"/>
    </row>
    <row r="23" spans="1:22" x14ac:dyDescent="0.25">
      <c r="K23" s="316" t="s">
        <v>97</v>
      </c>
      <c r="L23" s="319" t="s">
        <v>65</v>
      </c>
      <c r="M23" s="319" t="s">
        <v>10</v>
      </c>
      <c r="N23" s="335" t="s">
        <v>70</v>
      </c>
      <c r="O23" s="319" t="s">
        <v>99</v>
      </c>
      <c r="P23" s="320" t="s">
        <v>69</v>
      </c>
    </row>
    <row r="24" spans="1:22" x14ac:dyDescent="0.25">
      <c r="K24" s="282" t="s">
        <v>71</v>
      </c>
      <c r="N24" s="336" t="str">
        <f>IFERROR(AVERAGEIFS(Data!#REF!,Data!#REF!,Valuation!K24)*L24,"")</f>
        <v/>
      </c>
      <c r="O24" s="351">
        <f>IFERROR(P24*M24*12,"")</f>
        <v>0</v>
      </c>
      <c r="P24" s="624">
        <v>0</v>
      </c>
      <c r="R24" s="283" t="s">
        <v>425</v>
      </c>
      <c r="U24" s="346" t="s">
        <v>439</v>
      </c>
    </row>
    <row r="25" spans="1:22" x14ac:dyDescent="0.25">
      <c r="K25" s="282" t="s">
        <v>72</v>
      </c>
      <c r="N25" s="336" t="str">
        <f>IFERROR(P25/L25,"")</f>
        <v/>
      </c>
      <c r="O25" s="351">
        <f>IFERROR(P25*M25*12,"")</f>
        <v>0</v>
      </c>
      <c r="P25" s="624">
        <v>0</v>
      </c>
      <c r="R25" s="315" t="s">
        <v>426</v>
      </c>
      <c r="S25" s="266">
        <v>0.3</v>
      </c>
      <c r="U25" s="347" t="s">
        <v>440</v>
      </c>
      <c r="V25" s="346"/>
    </row>
    <row r="26" spans="1:22" x14ac:dyDescent="0.25">
      <c r="K26" s="282" t="s">
        <v>73</v>
      </c>
      <c r="N26" s="336" t="str">
        <f t="shared" ref="N26:N27" si="1">IFERROR(P26/L26,"")</f>
        <v/>
      </c>
      <c r="O26" s="351">
        <f t="shared" ref="O26:O27" si="2">IFERROR(P26*M26*12,"")</f>
        <v>0</v>
      </c>
      <c r="P26" s="624">
        <v>0</v>
      </c>
      <c r="R26" s="315" t="s">
        <v>428</v>
      </c>
      <c r="S26" s="266">
        <v>0.2</v>
      </c>
      <c r="U26" s="347" t="s">
        <v>433</v>
      </c>
    </row>
    <row r="27" spans="1:22" ht="15.75" thickBot="1" x14ac:dyDescent="0.3">
      <c r="K27" s="282" t="s">
        <v>74</v>
      </c>
      <c r="L27" s="293"/>
      <c r="M27" s="293"/>
      <c r="N27" s="336" t="str">
        <f t="shared" si="1"/>
        <v/>
      </c>
      <c r="O27" s="351">
        <f t="shared" si="2"/>
        <v>0</v>
      </c>
      <c r="P27" s="624">
        <v>0</v>
      </c>
      <c r="R27" s="315" t="s">
        <v>429</v>
      </c>
      <c r="S27" s="265">
        <v>50000</v>
      </c>
      <c r="U27" s="347" t="s">
        <v>434</v>
      </c>
    </row>
    <row r="28" spans="1:22" ht="15.75" thickBot="1" x14ac:dyDescent="0.3">
      <c r="K28" s="322"/>
      <c r="L28" s="317" t="str">
        <f>IFERROR(AVERAGE(L24:L27),"")</f>
        <v/>
      </c>
      <c r="M28" s="317">
        <f>SUM(M24:M27)</f>
        <v>0</v>
      </c>
      <c r="N28" s="334">
        <f>IFERROR(AVERAGEIF(N24:N27,"&gt;0"),0)</f>
        <v>0</v>
      </c>
      <c r="O28" s="496">
        <f>SUM(O24:O27)</f>
        <v>0</v>
      </c>
      <c r="P28" s="497">
        <f>SUM(P24:P27)</f>
        <v>0</v>
      </c>
      <c r="R28" s="315" t="s">
        <v>430</v>
      </c>
      <c r="S28" s="318" t="s">
        <v>431</v>
      </c>
      <c r="U28" s="347" t="s">
        <v>435</v>
      </c>
    </row>
    <row r="29" spans="1:22" ht="15.75" thickBot="1" x14ac:dyDescent="0.3">
      <c r="K29" s="282" t="s">
        <v>98</v>
      </c>
      <c r="L29" s="337"/>
      <c r="P29" s="284"/>
      <c r="R29" s="315" t="s">
        <v>436</v>
      </c>
      <c r="S29" s="266">
        <v>0.1</v>
      </c>
      <c r="U29" s="347" t="s">
        <v>441</v>
      </c>
    </row>
    <row r="30" spans="1:22" x14ac:dyDescent="0.25">
      <c r="K30" s="282" t="s">
        <v>99</v>
      </c>
      <c r="L30" s="489">
        <f>O28*(1-M30)</f>
        <v>0</v>
      </c>
      <c r="M30" s="490">
        <v>0.05</v>
      </c>
      <c r="N30" s="283" t="s">
        <v>100</v>
      </c>
      <c r="P30" s="284"/>
      <c r="R30" s="315" t="s">
        <v>437</v>
      </c>
      <c r="S30" s="267" t="s">
        <v>438</v>
      </c>
    </row>
    <row r="31" spans="1:22" x14ac:dyDescent="0.25">
      <c r="K31" s="282" t="s">
        <v>528</v>
      </c>
      <c r="L31" s="489">
        <f>M31*L30</f>
        <v>0</v>
      </c>
      <c r="M31" s="490">
        <v>0.1</v>
      </c>
      <c r="N31" s="283" t="s">
        <v>529</v>
      </c>
      <c r="P31" s="284"/>
    </row>
    <row r="32" spans="1:22" ht="15.75" thickBot="1" x14ac:dyDescent="0.3">
      <c r="K32" s="538" t="s">
        <v>530</v>
      </c>
      <c r="L32" s="539">
        <f>SUM(L30:L31)</f>
        <v>0</v>
      </c>
      <c r="M32" s="540"/>
      <c r="N32" s="541"/>
      <c r="O32" s="541"/>
      <c r="P32" s="542"/>
      <c r="R32" s="283" t="s">
        <v>547</v>
      </c>
    </row>
    <row r="33" spans="11:16" ht="15.75" thickTop="1" x14ac:dyDescent="0.25">
      <c r="K33" s="282"/>
      <c r="L33" s="491">
        <f>L32*M34</f>
        <v>0</v>
      </c>
      <c r="M33" s="492"/>
      <c r="P33" s="284"/>
    </row>
    <row r="34" spans="11:16" x14ac:dyDescent="0.25">
      <c r="K34" s="282" t="s">
        <v>101</v>
      </c>
      <c r="L34" s="493">
        <f>L32-L33</f>
        <v>0</v>
      </c>
      <c r="M34" s="490">
        <v>0.35</v>
      </c>
      <c r="N34" s="283" t="s">
        <v>102</v>
      </c>
      <c r="P34" s="284"/>
    </row>
    <row r="35" spans="11:16" x14ac:dyDescent="0.25">
      <c r="K35" s="282"/>
      <c r="L35" s="494"/>
      <c r="P35" s="284"/>
    </row>
    <row r="36" spans="11:16" x14ac:dyDescent="0.25">
      <c r="K36" s="282" t="s">
        <v>103</v>
      </c>
      <c r="L36" s="495" t="str">
        <f>IFERROR(L34/L29,"")</f>
        <v/>
      </c>
      <c r="P36" s="284"/>
    </row>
    <row r="37" spans="11:16" x14ac:dyDescent="0.25">
      <c r="K37" s="282"/>
      <c r="L37" s="491"/>
      <c r="P37" s="284"/>
    </row>
    <row r="38" spans="11:16" ht="15.75" thickBot="1" x14ac:dyDescent="0.3">
      <c r="K38" s="291" t="s">
        <v>104</v>
      </c>
      <c r="L38" s="333" t="str">
        <f>IFERROR(L36/'Deal Details'!C10,"")</f>
        <v/>
      </c>
      <c r="M38" s="293"/>
      <c r="N38" s="293"/>
      <c r="O38" s="293"/>
      <c r="P38" s="29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B1:AM86"/>
  <sheetViews>
    <sheetView showGridLines="0" topLeftCell="A31" workbookViewId="0">
      <selection activeCell="D55" sqref="D55"/>
    </sheetView>
  </sheetViews>
  <sheetFormatPr defaultColWidth="9.140625" defaultRowHeight="15" x14ac:dyDescent="0.25"/>
  <cols>
    <col min="1" max="1" width="2.5703125" customWidth="1"/>
    <col min="2" max="2" width="33.85546875" customWidth="1"/>
    <col min="3" max="3" width="18.42578125" customWidth="1"/>
    <col min="4" max="4" width="31.140625" customWidth="1"/>
    <col min="5" max="5" width="20.140625" customWidth="1"/>
    <col min="6" max="6" width="12.42578125" customWidth="1"/>
    <col min="7" max="7" width="26.42578125" customWidth="1"/>
    <col min="8" max="8" width="17.42578125" customWidth="1"/>
    <col min="9" max="9" width="43.85546875" customWidth="1"/>
    <col min="10" max="10" width="15.140625" customWidth="1"/>
    <col min="11" max="11" width="12.42578125" customWidth="1"/>
    <col min="12" max="12" width="23" customWidth="1"/>
    <col min="13" max="13" width="40.85546875" customWidth="1"/>
    <col min="14" max="15" width="14.42578125" customWidth="1"/>
    <col min="16" max="27" width="12.42578125" customWidth="1"/>
  </cols>
  <sheetData>
    <row r="1" spans="2:17" ht="28.5" x14ac:dyDescent="0.45">
      <c r="B1" s="112">
        <f>'Deal Details'!C3</f>
        <v>0</v>
      </c>
    </row>
    <row r="2" spans="2:17" x14ac:dyDescent="0.25">
      <c r="B2" s="1"/>
      <c r="L2" s="14"/>
      <c r="M2" s="14"/>
    </row>
    <row r="3" spans="2:17" x14ac:dyDescent="0.25">
      <c r="B3" s="2" t="s">
        <v>105</v>
      </c>
      <c r="C3" s="3"/>
      <c r="D3" s="3"/>
      <c r="E3" s="3"/>
      <c r="G3" s="1" t="s">
        <v>106</v>
      </c>
      <c r="L3" s="14"/>
      <c r="M3" s="14"/>
    </row>
    <row r="4" spans="2:17" x14ac:dyDescent="0.25">
      <c r="B4" s="691"/>
      <c r="C4" s="692"/>
      <c r="D4" s="692"/>
      <c r="E4" s="693"/>
      <c r="G4" s="700"/>
      <c r="H4" s="701"/>
      <c r="I4" s="701"/>
      <c r="J4" s="702"/>
      <c r="L4" s="14"/>
      <c r="M4" s="14"/>
    </row>
    <row r="5" spans="2:17" x14ac:dyDescent="0.25">
      <c r="B5" s="694"/>
      <c r="C5" s="695"/>
      <c r="D5" s="695"/>
      <c r="E5" s="696"/>
      <c r="G5" s="703"/>
      <c r="H5" s="704"/>
      <c r="I5" s="704"/>
      <c r="J5" s="705"/>
      <c r="L5" s="14"/>
      <c r="O5" s="5"/>
    </row>
    <row r="6" spans="2:17" x14ac:dyDescent="0.25">
      <c r="B6" s="694"/>
      <c r="C6" s="695"/>
      <c r="D6" s="695"/>
      <c r="E6" s="696"/>
      <c r="F6" s="6"/>
      <c r="G6" s="703"/>
      <c r="H6" s="704"/>
      <c r="I6" s="704"/>
      <c r="J6" s="705"/>
      <c r="L6" s="91"/>
    </row>
    <row r="7" spans="2:17" x14ac:dyDescent="0.25">
      <c r="B7" s="694"/>
      <c r="C7" s="695"/>
      <c r="D7" s="695"/>
      <c r="E7" s="696"/>
      <c r="F7" s="6"/>
      <c r="G7" s="703"/>
      <c r="H7" s="704"/>
      <c r="I7" s="704"/>
      <c r="J7" s="705"/>
      <c r="L7" s="14"/>
      <c r="M7" s="14"/>
      <c r="N7" s="5"/>
      <c r="O7" s="14"/>
      <c r="Q7" s="5"/>
    </row>
    <row r="8" spans="2:17" x14ac:dyDescent="0.25">
      <c r="B8" s="694"/>
      <c r="C8" s="695"/>
      <c r="D8" s="695"/>
      <c r="E8" s="696"/>
      <c r="G8" s="703"/>
      <c r="H8" s="704"/>
      <c r="I8" s="704"/>
      <c r="J8" s="705"/>
      <c r="M8" s="14"/>
      <c r="O8" s="14"/>
    </row>
    <row r="9" spans="2:17" x14ac:dyDescent="0.25">
      <c r="B9" s="694"/>
      <c r="C9" s="695"/>
      <c r="D9" s="695"/>
      <c r="E9" s="696"/>
      <c r="G9" s="703"/>
      <c r="H9" s="704"/>
      <c r="I9" s="704"/>
      <c r="J9" s="705"/>
      <c r="M9" s="14"/>
      <c r="O9" s="14"/>
    </row>
    <row r="10" spans="2:17" x14ac:dyDescent="0.25">
      <c r="B10" s="697"/>
      <c r="C10" s="698"/>
      <c r="D10" s="698"/>
      <c r="E10" s="699"/>
      <c r="G10" s="706"/>
      <c r="H10" s="707"/>
      <c r="I10" s="707"/>
      <c r="J10" s="708"/>
      <c r="L10" s="5"/>
      <c r="M10" s="14"/>
      <c r="O10" s="14"/>
    </row>
    <row r="11" spans="2:17" x14ac:dyDescent="0.25">
      <c r="B11" s="89"/>
      <c r="C11" s="89"/>
      <c r="D11" s="89"/>
      <c r="E11" s="89"/>
      <c r="G11" s="89"/>
      <c r="H11" s="89"/>
      <c r="I11" s="89"/>
      <c r="J11" s="89"/>
      <c r="M11" s="14"/>
      <c r="O11" s="14"/>
    </row>
    <row r="12" spans="2:17" ht="15.75" customHeight="1" x14ac:dyDescent="0.25">
      <c r="D12" s="110"/>
      <c r="M12" s="14"/>
      <c r="O12" s="14"/>
      <c r="P12" s="14"/>
    </row>
    <row r="13" spans="2:17" x14ac:dyDescent="0.25">
      <c r="M13" s="14"/>
      <c r="O13" s="14"/>
    </row>
    <row r="14" spans="2:17" x14ac:dyDescent="0.25">
      <c r="B14" s="11" t="s">
        <v>107</v>
      </c>
      <c r="C14" s="4" t="s">
        <v>108</v>
      </c>
      <c r="D14" s="12"/>
      <c r="E14" s="4"/>
      <c r="G14" s="17" t="s">
        <v>109</v>
      </c>
      <c r="H14" s="18"/>
      <c r="I14" s="19"/>
      <c r="J14" s="18"/>
      <c r="M14" s="14"/>
      <c r="O14" s="14"/>
    </row>
    <row r="15" spans="2:17" x14ac:dyDescent="0.25">
      <c r="B15" t="s">
        <v>11</v>
      </c>
      <c r="C15">
        <f>'Deal Details'!C15</f>
        <v>0</v>
      </c>
      <c r="D15" s="13"/>
      <c r="G15" s="13" t="s">
        <v>110</v>
      </c>
      <c r="H15" s="13"/>
      <c r="I15" s="13"/>
      <c r="J15" s="13"/>
      <c r="M15" s="14"/>
      <c r="O15" s="14"/>
    </row>
    <row r="16" spans="2:17" ht="15.75" x14ac:dyDescent="0.25">
      <c r="B16" t="s">
        <v>111</v>
      </c>
      <c r="C16" s="90"/>
      <c r="D16" s="13"/>
      <c r="G16" s="22" t="s">
        <v>4</v>
      </c>
      <c r="H16" s="22"/>
      <c r="M16" s="14"/>
      <c r="O16" s="14"/>
    </row>
    <row r="17" spans="2:39" ht="15.75" x14ac:dyDescent="0.25">
      <c r="B17" t="s">
        <v>112</v>
      </c>
      <c r="C17" s="396" t="str">
        <f>'Deal Details'!C30</f>
        <v>MBC</v>
      </c>
      <c r="D17" s="13"/>
      <c r="G17" s="22" t="s">
        <v>13</v>
      </c>
      <c r="H17" s="22">
        <f>'Deal Details'!C13</f>
        <v>0</v>
      </c>
      <c r="M17" s="14"/>
      <c r="O17" s="14"/>
    </row>
    <row r="18" spans="2:39" x14ac:dyDescent="0.25">
      <c r="B18" t="s">
        <v>14</v>
      </c>
      <c r="D18" s="13"/>
      <c r="G18" s="23" t="s">
        <v>113</v>
      </c>
      <c r="H18" s="94"/>
      <c r="M18" s="14"/>
    </row>
    <row r="19" spans="2:39" x14ac:dyDescent="0.25">
      <c r="B19" t="s">
        <v>114</v>
      </c>
      <c r="C19">
        <f>'Deal Details'!C16</f>
        <v>0</v>
      </c>
      <c r="D19" s="13"/>
      <c r="G19" s="24" t="s">
        <v>43</v>
      </c>
      <c r="H19" s="84"/>
      <c r="M19" s="14"/>
      <c r="O19" s="14"/>
    </row>
    <row r="20" spans="2:39" x14ac:dyDescent="0.25">
      <c r="B20" t="s">
        <v>115</v>
      </c>
      <c r="G20" s="22" t="s">
        <v>116</v>
      </c>
      <c r="H20" s="23">
        <f>'Deal Details'!C6</f>
        <v>0</v>
      </c>
      <c r="L20" s="95"/>
      <c r="M20" s="5"/>
      <c r="O20" s="14"/>
    </row>
    <row r="21" spans="2:39" x14ac:dyDescent="0.25">
      <c r="G21" s="22" t="s">
        <v>117</v>
      </c>
      <c r="H21" s="23">
        <f>'Deal Details'!C8</f>
        <v>0</v>
      </c>
      <c r="M21" s="5"/>
      <c r="O21" s="14"/>
    </row>
    <row r="22" spans="2:39" x14ac:dyDescent="0.25">
      <c r="D22" s="95"/>
      <c r="G22" s="22" t="s">
        <v>118</v>
      </c>
      <c r="H22" s="23"/>
      <c r="M22" s="5"/>
      <c r="O22" s="14"/>
    </row>
    <row r="23" spans="2:39" s="69" customFormat="1" ht="15.75" thickBot="1" x14ac:dyDescent="0.3">
      <c r="K23"/>
      <c r="L23"/>
      <c r="M23" s="5"/>
      <c r="N23"/>
      <c r="O23" s="14"/>
      <c r="P23"/>
      <c r="Q23"/>
      <c r="R23"/>
      <c r="S23"/>
      <c r="T23"/>
      <c r="U23"/>
      <c r="V23"/>
      <c r="W23"/>
      <c r="X23"/>
      <c r="Y23"/>
      <c r="Z23"/>
      <c r="AA23"/>
      <c r="AB23"/>
      <c r="AC23"/>
      <c r="AD23"/>
      <c r="AE23"/>
      <c r="AF23"/>
      <c r="AG23"/>
      <c r="AH23"/>
      <c r="AI23"/>
      <c r="AJ23"/>
      <c r="AK23"/>
      <c r="AL23"/>
      <c r="AM23"/>
    </row>
    <row r="24" spans="2:39" x14ac:dyDescent="0.25">
      <c r="B24" s="22"/>
      <c r="C24" s="23"/>
    </row>
    <row r="25" spans="2:39" ht="21.75" thickBot="1" x14ac:dyDescent="0.4">
      <c r="B25" s="41" t="s">
        <v>119</v>
      </c>
      <c r="G25" s="41" t="s">
        <v>120</v>
      </c>
    </row>
    <row r="26" spans="2:39" x14ac:dyDescent="0.25">
      <c r="B26" s="43" t="s">
        <v>121</v>
      </c>
      <c r="C26" s="44" t="s">
        <v>122</v>
      </c>
      <c r="D26" s="280" t="s">
        <v>85</v>
      </c>
      <c r="E26" s="45" t="s">
        <v>123</v>
      </c>
      <c r="G26" s="43" t="s">
        <v>121</v>
      </c>
      <c r="H26" s="44" t="s">
        <v>122</v>
      </c>
      <c r="I26" s="44" t="s">
        <v>85</v>
      </c>
      <c r="J26" s="45" t="s">
        <v>123</v>
      </c>
      <c r="M26" s="5"/>
    </row>
    <row r="27" spans="2:39" x14ac:dyDescent="0.25">
      <c r="B27" s="46" t="s">
        <v>124</v>
      </c>
      <c r="C27">
        <f>'Deal Details'!C10</f>
        <v>0</v>
      </c>
      <c r="D27" s="268"/>
      <c r="E27" s="47"/>
      <c r="G27" s="46" t="s">
        <v>124</v>
      </c>
      <c r="H27" s="81">
        <f>C27</f>
        <v>0</v>
      </c>
      <c r="I27" s="42"/>
      <c r="J27" s="47"/>
      <c r="L27" s="91"/>
      <c r="M27" s="5"/>
    </row>
    <row r="28" spans="2:39" x14ac:dyDescent="0.25">
      <c r="B28" s="46" t="s">
        <v>125</v>
      </c>
      <c r="C28" s="269">
        <f>C27*'Deal Details'!C36</f>
        <v>0</v>
      </c>
      <c r="D28" s="9">
        <f>'Deal Details'!C36</f>
        <v>0</v>
      </c>
      <c r="E28" s="74"/>
      <c r="G28" s="46" t="s">
        <v>125</v>
      </c>
      <c r="H28" s="113">
        <f>C28</f>
        <v>0</v>
      </c>
      <c r="I28" t="str">
        <f>IFERROR(H28/$H$27,"")</f>
        <v/>
      </c>
      <c r="J28" s="48"/>
      <c r="M28" s="14"/>
    </row>
    <row r="29" spans="2:39" x14ac:dyDescent="0.25">
      <c r="B29" s="46" t="s">
        <v>126</v>
      </c>
      <c r="C29" s="270">
        <v>0</v>
      </c>
      <c r="D29" s="9">
        <v>0</v>
      </c>
      <c r="E29" s="48" t="s">
        <v>18</v>
      </c>
      <c r="G29" s="46" t="s">
        <v>126</v>
      </c>
      <c r="H29" s="81">
        <f>C29</f>
        <v>0</v>
      </c>
      <c r="I29" t="str">
        <f t="shared" ref="I29:I30" si="0">IFERROR(H29/$H$27,"")</f>
        <v/>
      </c>
      <c r="J29" s="48" t="s">
        <v>18</v>
      </c>
      <c r="M29" s="14"/>
    </row>
    <row r="30" spans="2:39" ht="15.75" thickBot="1" x14ac:dyDescent="0.3">
      <c r="B30" s="49" t="s">
        <v>127</v>
      </c>
      <c r="C30" s="33">
        <f>SUM(C28:C29)</f>
        <v>0</v>
      </c>
      <c r="D30" s="271">
        <v>0</v>
      </c>
      <c r="E30" s="50"/>
      <c r="G30" s="49" t="s">
        <v>127</v>
      </c>
      <c r="H30" s="33">
        <f>SUM(H28:H29)</f>
        <v>0</v>
      </c>
      <c r="I30" s="326" t="str">
        <f t="shared" si="0"/>
        <v/>
      </c>
      <c r="J30" s="50"/>
      <c r="L30" s="5"/>
      <c r="M30" s="14"/>
    </row>
    <row r="31" spans="2:39" ht="15.75" thickTop="1" x14ac:dyDescent="0.25">
      <c r="B31" s="51"/>
      <c r="C31" s="272"/>
      <c r="D31" s="273"/>
      <c r="E31" s="52"/>
      <c r="G31" s="51"/>
      <c r="H31" s="21"/>
      <c r="I31" s="16"/>
      <c r="J31" s="52"/>
      <c r="M31" s="14"/>
    </row>
    <row r="32" spans="2:39" x14ac:dyDescent="0.25">
      <c r="B32" s="53" t="s">
        <v>128</v>
      </c>
      <c r="C32" s="4" t="s">
        <v>122</v>
      </c>
      <c r="D32" s="274" t="s">
        <v>85</v>
      </c>
      <c r="E32" s="54"/>
      <c r="G32" s="53" t="s">
        <v>128</v>
      </c>
      <c r="H32" s="4" t="s">
        <v>122</v>
      </c>
      <c r="I32" s="4" t="s">
        <v>85</v>
      </c>
      <c r="J32" s="54"/>
      <c r="M32" s="14"/>
    </row>
    <row r="33" spans="2:14" x14ac:dyDescent="0.25">
      <c r="B33" s="46" t="s">
        <v>129</v>
      </c>
      <c r="C33" s="275">
        <f>'Deal Details'!H20</f>
        <v>0</v>
      </c>
      <c r="D33" s="104" t="str">
        <f>IFERROR(C33/$C$27,"")</f>
        <v/>
      </c>
      <c r="E33" s="48"/>
      <c r="G33" s="46" t="s">
        <v>129</v>
      </c>
      <c r="H33" s="79">
        <f>C33</f>
        <v>0</v>
      </c>
      <c r="I33" s="5" t="str">
        <f>IFERROR(H33/$H$27,"")</f>
        <v/>
      </c>
      <c r="J33" s="48"/>
      <c r="M33" s="14"/>
    </row>
    <row r="34" spans="2:14" x14ac:dyDescent="0.25">
      <c r="B34" s="46" t="s">
        <v>130</v>
      </c>
      <c r="C34" s="394">
        <f>'Deal Details'!H22</f>
        <v>0</v>
      </c>
      <c r="D34" s="104" t="str">
        <f t="shared" ref="D34:D37" si="1">IFERROR(C34/$C$27,"")</f>
        <v/>
      </c>
      <c r="E34" s="48"/>
      <c r="G34" s="46" t="s">
        <v>130</v>
      </c>
      <c r="H34" s="14">
        <f>C34</f>
        <v>0</v>
      </c>
      <c r="I34" s="5" t="str">
        <f t="shared" ref="I34:I38" si="2">IFERROR(H34/$H$27,"")</f>
        <v/>
      </c>
      <c r="J34" s="48"/>
      <c r="M34" s="14"/>
    </row>
    <row r="35" spans="2:14" x14ac:dyDescent="0.25">
      <c r="B35" s="46" t="s">
        <v>131</v>
      </c>
      <c r="C35" s="276">
        <f>'Deal Details'!H21</f>
        <v>0</v>
      </c>
      <c r="D35" s="104" t="str">
        <f t="shared" si="1"/>
        <v/>
      </c>
      <c r="E35" s="55"/>
      <c r="G35" s="46" t="str">
        <f>B35</f>
        <v>Soft Costs/city fees/Taxes</v>
      </c>
      <c r="H35" s="79">
        <f>C35</f>
        <v>0</v>
      </c>
      <c r="I35" s="5" t="str">
        <f t="shared" si="2"/>
        <v/>
      </c>
      <c r="J35" s="55"/>
    </row>
    <row r="36" spans="2:14" x14ac:dyDescent="0.25">
      <c r="B36" s="46" t="s">
        <v>132</v>
      </c>
      <c r="C36" s="277">
        <f>C64</f>
        <v>0</v>
      </c>
      <c r="D36" s="104" t="str">
        <f t="shared" si="1"/>
        <v/>
      </c>
      <c r="E36" s="56"/>
      <c r="G36" s="46" t="s">
        <v>132</v>
      </c>
      <c r="H36" s="79">
        <f>C36</f>
        <v>0</v>
      </c>
      <c r="I36" s="5" t="str">
        <f t="shared" si="2"/>
        <v/>
      </c>
      <c r="J36" s="56"/>
      <c r="L36" s="14"/>
    </row>
    <row r="37" spans="2:14" x14ac:dyDescent="0.25">
      <c r="B37" s="57" t="s">
        <v>133</v>
      </c>
      <c r="C37" s="276">
        <f>C28*E37</f>
        <v>0</v>
      </c>
      <c r="D37" s="104" t="str">
        <f t="shared" si="1"/>
        <v/>
      </c>
      <c r="E37" s="80">
        <f>'Deal Details'!C38</f>
        <v>0</v>
      </c>
      <c r="G37" s="46" t="s">
        <v>134</v>
      </c>
      <c r="H37" s="79">
        <f>IFERROR(H67,0)</f>
        <v>9490.1624870846626</v>
      </c>
      <c r="I37" s="5" t="str">
        <f t="shared" si="2"/>
        <v/>
      </c>
      <c r="J37" s="56"/>
      <c r="L37" s="91"/>
    </row>
    <row r="38" spans="2:14" x14ac:dyDescent="0.25">
      <c r="B38" s="58" t="s">
        <v>135</v>
      </c>
      <c r="C38" s="38">
        <f>SUM(C33:C35)</f>
        <v>0</v>
      </c>
      <c r="D38" s="278" t="str">
        <f>IFERROR(C38/$C$27,"")</f>
        <v/>
      </c>
      <c r="E38" s="59"/>
      <c r="G38" s="57" t="s">
        <v>133</v>
      </c>
      <c r="H38" s="79">
        <f>C37</f>
        <v>0</v>
      </c>
      <c r="I38" s="5" t="str">
        <f t="shared" si="2"/>
        <v/>
      </c>
      <c r="J38" s="80">
        <f>E37</f>
        <v>0</v>
      </c>
      <c r="M38" s="14"/>
    </row>
    <row r="39" spans="2:14" x14ac:dyDescent="0.25">
      <c r="B39" s="60" t="s">
        <v>136</v>
      </c>
      <c r="C39" s="39">
        <f>SUM(C33:C35)</f>
        <v>0</v>
      </c>
      <c r="D39" s="273" t="str">
        <f t="shared" ref="D39:D41" si="3">IFERROR(C39/$C$27,"")</f>
        <v/>
      </c>
      <c r="E39" s="48"/>
      <c r="G39" s="58" t="s">
        <v>135</v>
      </c>
      <c r="H39" s="38">
        <f>SUM(H33:H34)</f>
        <v>0</v>
      </c>
      <c r="I39" s="327" t="str">
        <f>IFERROR(H39/$H$27,"")</f>
        <v/>
      </c>
      <c r="J39" s="59"/>
      <c r="M39" s="14"/>
    </row>
    <row r="40" spans="2:14" x14ac:dyDescent="0.25">
      <c r="B40" s="60" t="s">
        <v>137</v>
      </c>
      <c r="C40" s="39">
        <f>SUM(C33:C36)</f>
        <v>0</v>
      </c>
      <c r="D40" s="273" t="str">
        <f t="shared" si="3"/>
        <v/>
      </c>
      <c r="E40" s="48"/>
      <c r="G40" s="60" t="s">
        <v>136</v>
      </c>
      <c r="H40" s="39">
        <f>C39</f>
        <v>0</v>
      </c>
      <c r="I40" s="328">
        <f>IFERROR(H40/$H$27,0)</f>
        <v>0</v>
      </c>
      <c r="J40" s="48"/>
      <c r="M40" s="14"/>
    </row>
    <row r="41" spans="2:14" ht="15.75" thickBot="1" x14ac:dyDescent="0.3">
      <c r="B41" s="61" t="s">
        <v>24</v>
      </c>
      <c r="C41" s="40">
        <f>SUM(C33:C37)</f>
        <v>0</v>
      </c>
      <c r="D41" s="325" t="str">
        <f t="shared" si="3"/>
        <v/>
      </c>
      <c r="E41" s="62"/>
      <c r="G41" s="60" t="s">
        <v>137</v>
      </c>
      <c r="H41" s="39">
        <f>SUM(H33:H37)</f>
        <v>9490.1624870846626</v>
      </c>
      <c r="I41" s="328">
        <f t="shared" ref="I41:I42" si="4">IFERROR(H41/$H$27,0)</f>
        <v>0</v>
      </c>
      <c r="J41" s="48"/>
      <c r="M41" s="14"/>
    </row>
    <row r="42" spans="2:14" ht="16.5" thickTop="1" thickBot="1" x14ac:dyDescent="0.3">
      <c r="B42" s="51"/>
      <c r="C42" s="272" t="s">
        <v>18</v>
      </c>
      <c r="D42" s="273"/>
      <c r="E42" s="52"/>
      <c r="G42" s="61" t="s">
        <v>24</v>
      </c>
      <c r="H42" s="40">
        <f>SUM(H33:H38)</f>
        <v>9490.1624870846626</v>
      </c>
      <c r="I42" s="329">
        <f t="shared" si="4"/>
        <v>0</v>
      </c>
      <c r="J42" s="62"/>
      <c r="M42" s="14"/>
    </row>
    <row r="43" spans="2:14" ht="15.75" thickTop="1" x14ac:dyDescent="0.25">
      <c r="B43" s="53" t="s">
        <v>138</v>
      </c>
      <c r="C43" s="36" t="s">
        <v>122</v>
      </c>
      <c r="D43" s="274" t="s">
        <v>85</v>
      </c>
      <c r="E43" s="63"/>
      <c r="G43" s="51"/>
      <c r="H43" s="21"/>
      <c r="I43" s="16"/>
      <c r="J43" s="52"/>
      <c r="M43" s="14"/>
    </row>
    <row r="44" spans="2:14" x14ac:dyDescent="0.25">
      <c r="B44" s="46" t="s">
        <v>127</v>
      </c>
      <c r="C44" s="5">
        <f>C30</f>
        <v>0</v>
      </c>
      <c r="D44" s="104" t="str">
        <f>IFERROR(C44/$C$27,"")</f>
        <v/>
      </c>
      <c r="E44" s="48"/>
      <c r="G44" s="53" t="s">
        <v>138</v>
      </c>
      <c r="H44" s="36" t="s">
        <v>122</v>
      </c>
      <c r="I44" s="4" t="s">
        <v>85</v>
      </c>
      <c r="J44" s="63"/>
      <c r="M44" s="14"/>
    </row>
    <row r="45" spans="2:14" x14ac:dyDescent="0.25">
      <c r="B45" s="46" t="s">
        <v>139</v>
      </c>
      <c r="C45" s="5">
        <f>C41</f>
        <v>0</v>
      </c>
      <c r="D45" s="104" t="str">
        <f>IFERROR(C45/$C$27,"")</f>
        <v/>
      </c>
      <c r="E45" s="48"/>
      <c r="G45" s="46" t="s">
        <v>127</v>
      </c>
      <c r="H45" s="5">
        <f>H30</f>
        <v>0</v>
      </c>
      <c r="I45" t="str">
        <f>IFERROR(H45/$H$27,"")</f>
        <v/>
      </c>
      <c r="J45" s="48"/>
      <c r="L45" s="99"/>
    </row>
    <row r="46" spans="2:14" x14ac:dyDescent="0.25">
      <c r="B46" s="64" t="s">
        <v>140</v>
      </c>
      <c r="C46" s="37">
        <f>C44-C45</f>
        <v>0</v>
      </c>
      <c r="D46" s="279" t="str">
        <f>IFERROR(D44-D45,"")</f>
        <v/>
      </c>
      <c r="E46" s="59"/>
      <c r="G46" s="46" t="s">
        <v>139</v>
      </c>
      <c r="H46" s="5">
        <f>H42</f>
        <v>9490.1624870846626</v>
      </c>
      <c r="I46" t="str">
        <f>IFERROR(H46/$H$27,"")</f>
        <v/>
      </c>
      <c r="J46" s="48"/>
      <c r="L46" s="23"/>
      <c r="M46" s="101"/>
    </row>
    <row r="47" spans="2:14" ht="15.75" thickBot="1" x14ac:dyDescent="0.3">
      <c r="B47" s="65" t="s">
        <v>141</v>
      </c>
      <c r="C47" s="66">
        <f>IFERROR(C46/C44,0)</f>
        <v>0</v>
      </c>
      <c r="D47" s="281"/>
      <c r="E47" s="68"/>
      <c r="G47" s="64" t="s">
        <v>140</v>
      </c>
      <c r="H47" s="37">
        <f>H45-H46</f>
        <v>-9490.1624870846626</v>
      </c>
      <c r="I47" s="37" t="str">
        <f>IFERROR(I45-I46,"")</f>
        <v/>
      </c>
      <c r="J47" s="59"/>
      <c r="L47" s="99"/>
      <c r="M47" s="5"/>
    </row>
    <row r="48" spans="2:14" ht="15.75" thickBot="1" x14ac:dyDescent="0.3">
      <c r="G48" s="65" t="s">
        <v>141</v>
      </c>
      <c r="H48" s="66" t="str">
        <f>IFERROR(H47/H45,"")</f>
        <v/>
      </c>
      <c r="I48" s="67"/>
      <c r="J48" s="68"/>
      <c r="M48" s="5"/>
      <c r="N48" s="5"/>
    </row>
    <row r="49" spans="2:13" ht="15.75" thickBot="1" x14ac:dyDescent="0.3">
      <c r="B49" s="1"/>
      <c r="C49" s="21"/>
      <c r="D49" s="16"/>
      <c r="E49" s="1"/>
      <c r="M49" s="5"/>
    </row>
    <row r="50" spans="2:13" x14ac:dyDescent="0.25">
      <c r="B50" s="43" t="s">
        <v>112</v>
      </c>
      <c r="C50" s="44" t="s">
        <v>142</v>
      </c>
      <c r="D50" s="44" t="s">
        <v>122</v>
      </c>
      <c r="E50" s="70"/>
      <c r="G50" s="43" t="s">
        <v>143</v>
      </c>
      <c r="H50" s="44" t="s">
        <v>142</v>
      </c>
      <c r="I50" s="44" t="s">
        <v>122</v>
      </c>
      <c r="J50" s="45"/>
      <c r="L50" s="14"/>
      <c r="M50" s="5"/>
    </row>
    <row r="51" spans="2:13" x14ac:dyDescent="0.25">
      <c r="B51" s="46" t="s">
        <v>144</v>
      </c>
      <c r="C51" s="14">
        <f>C28</f>
        <v>0</v>
      </c>
      <c r="D51" s="5"/>
      <c r="E51" s="48"/>
      <c r="G51" s="60" t="s">
        <v>145</v>
      </c>
      <c r="H51" s="73" t="str">
        <f>C65</f>
        <v/>
      </c>
      <c r="I51" t="s">
        <v>18</v>
      </c>
      <c r="J51" s="48"/>
      <c r="L51" s="14"/>
      <c r="M51" s="5"/>
    </row>
    <row r="52" spans="2:13" x14ac:dyDescent="0.25">
      <c r="B52" s="46" t="s">
        <v>146</v>
      </c>
      <c r="C52" s="107">
        <f>'Deal Details'!C29</f>
        <v>0</v>
      </c>
      <c r="D52" s="5"/>
      <c r="E52" s="48"/>
      <c r="G52" s="51" t="s">
        <v>147</v>
      </c>
      <c r="H52" s="20">
        <v>0.3</v>
      </c>
      <c r="I52" s="21"/>
      <c r="J52" s="74"/>
      <c r="L52" s="97"/>
      <c r="M52" s="98"/>
    </row>
    <row r="53" spans="2:13" x14ac:dyDescent="0.25">
      <c r="B53" s="46" t="s">
        <v>148</v>
      </c>
      <c r="C53" s="96">
        <f>'Deal Details'!C27</f>
        <v>12</v>
      </c>
      <c r="D53" s="5"/>
      <c r="E53" s="48"/>
      <c r="G53" s="46" t="s">
        <v>37</v>
      </c>
      <c r="H53" s="295">
        <f>'Deal Details'!F22</f>
        <v>0</v>
      </c>
      <c r="I53" s="1"/>
      <c r="J53" s="52"/>
      <c r="L53" s="97"/>
      <c r="M53" s="98"/>
    </row>
    <row r="54" spans="2:13" x14ac:dyDescent="0.25">
      <c r="B54" s="46" t="s">
        <v>149</v>
      </c>
      <c r="C54" s="108" t="str">
        <f>IFERROR(C52/C51,"")</f>
        <v/>
      </c>
      <c r="D54" s="626" t="str">
        <f>IFERROR(C54*C51,"")</f>
        <v/>
      </c>
      <c r="E54" s="48"/>
      <c r="G54" s="46" t="s">
        <v>150</v>
      </c>
      <c r="H54" s="5" t="str">
        <f>IFERROR(C65-H53,"$0")</f>
        <v>$0</v>
      </c>
      <c r="I54" s="1"/>
      <c r="J54" s="52"/>
      <c r="L54" s="97"/>
      <c r="M54" s="98"/>
    </row>
    <row r="55" spans="2:13" x14ac:dyDescent="0.25">
      <c r="B55" s="46" t="s">
        <v>48</v>
      </c>
      <c r="C55" s="8">
        <f>'Deal Details'!C26</f>
        <v>0.03</v>
      </c>
      <c r="D55" s="26" t="str">
        <f>IFERROR(C55*D54,"")</f>
        <v/>
      </c>
      <c r="E55" s="48"/>
      <c r="G55" s="46" t="s">
        <v>148</v>
      </c>
      <c r="H55" s="246">
        <f>'Deal Details'!C27</f>
        <v>12</v>
      </c>
      <c r="I55" t="s">
        <v>151</v>
      </c>
      <c r="J55" s="48">
        <f>H55*30</f>
        <v>360</v>
      </c>
      <c r="L55" s="114"/>
      <c r="M55" s="98"/>
    </row>
    <row r="56" spans="2:13" x14ac:dyDescent="0.25">
      <c r="B56" s="46" t="s">
        <v>152</v>
      </c>
      <c r="C56" s="8">
        <f>'Deal Details'!C20</f>
        <v>0.01</v>
      </c>
      <c r="D56" s="26" t="str">
        <f>IFERROR(D54*C56,"")</f>
        <v/>
      </c>
      <c r="E56" s="48"/>
      <c r="G56" s="46" t="s">
        <v>153</v>
      </c>
      <c r="H56" s="7">
        <v>0.24</v>
      </c>
      <c r="I56" s="82">
        <f>IFERROR('Mezz Amort'!I10*((1+(H56/360))^(360*(J55/360))-1),"")</f>
        <v>9490.1624870846626</v>
      </c>
      <c r="J56" s="75" t="s">
        <v>154</v>
      </c>
      <c r="L56" s="97"/>
      <c r="M56" s="98"/>
    </row>
    <row r="57" spans="2:13" x14ac:dyDescent="0.25">
      <c r="B57" s="46" t="s">
        <v>155</v>
      </c>
      <c r="C57" s="109">
        <f>'Deal Details'!C25</f>
        <v>0.12</v>
      </c>
      <c r="D57" s="627" t="str">
        <f>IFERROR((D54*C57)*(C53/12),"")</f>
        <v/>
      </c>
      <c r="E57" s="74" t="str">
        <f>IFERROR(D57/12,"")</f>
        <v/>
      </c>
      <c r="G57" s="57" t="s">
        <v>156</v>
      </c>
      <c r="H57" s="25">
        <v>0.03</v>
      </c>
      <c r="I57" s="26">
        <f>IFERROR((H54/(1-H57))-H54,"")</f>
        <v>0</v>
      </c>
      <c r="J57" s="75"/>
      <c r="L57" s="97"/>
      <c r="M57" s="98"/>
    </row>
    <row r="58" spans="2:13" x14ac:dyDescent="0.25">
      <c r="B58" s="46" t="s">
        <v>157</v>
      </c>
      <c r="C58" s="10">
        <v>0</v>
      </c>
      <c r="D58" s="102" t="s">
        <v>158</v>
      </c>
      <c r="E58" s="48"/>
      <c r="G58" s="57" t="s">
        <v>152</v>
      </c>
      <c r="H58" s="25">
        <v>0</v>
      </c>
      <c r="I58" s="26">
        <f>IFERROR(H54*H58,"")</f>
        <v>0</v>
      </c>
      <c r="J58" s="75"/>
      <c r="L58" s="97"/>
      <c r="M58" s="98"/>
    </row>
    <row r="59" spans="2:13" x14ac:dyDescent="0.25">
      <c r="B59" s="46"/>
      <c r="D59" s="395">
        <f>SUM('Deal Details'!C22:C24)</f>
        <v>21000</v>
      </c>
      <c r="E59" s="48"/>
      <c r="G59" s="60" t="s">
        <v>159</v>
      </c>
      <c r="H59" s="27">
        <v>0</v>
      </c>
      <c r="I59" s="82">
        <f>IFERROR('Mezz Amort'!I10*((1+(H59/360))^(360*(J55/360))-1),"")</f>
        <v>0</v>
      </c>
      <c r="J59" s="75" t="s">
        <v>154</v>
      </c>
      <c r="L59" s="97"/>
      <c r="M59" s="98"/>
    </row>
    <row r="60" spans="2:13" x14ac:dyDescent="0.25">
      <c r="B60" s="46" t="s">
        <v>160</v>
      </c>
      <c r="C60" s="5" t="str">
        <f>IFERROR(D60+D59+D56,"")</f>
        <v/>
      </c>
      <c r="D60" s="14" t="str">
        <f>D55</f>
        <v/>
      </c>
      <c r="E60" s="48"/>
      <c r="G60" s="76" t="s">
        <v>161</v>
      </c>
      <c r="H60" s="28">
        <v>0</v>
      </c>
      <c r="I60" s="268">
        <f>IFERROR((H64*H52)/12,0)</f>
        <v>0</v>
      </c>
      <c r="J60" s="75"/>
      <c r="L60" s="98"/>
      <c r="M60" s="97"/>
    </row>
    <row r="61" spans="2:13" x14ac:dyDescent="0.25">
      <c r="B61" s="46" t="s">
        <v>155</v>
      </c>
      <c r="C61" s="5" t="str">
        <f>D61</f>
        <v/>
      </c>
      <c r="D61" s="5" t="str">
        <f>D57</f>
        <v/>
      </c>
      <c r="E61" s="48"/>
      <c r="G61" s="76" t="s">
        <v>162</v>
      </c>
      <c r="H61" s="29" t="str">
        <f>IFERROR((I56+I59)/C46,"")</f>
        <v/>
      </c>
      <c r="I61" s="30"/>
      <c r="J61" s="48"/>
      <c r="L61" s="97"/>
      <c r="M61" s="97"/>
    </row>
    <row r="62" spans="2:13" x14ac:dyDescent="0.25">
      <c r="B62" s="51" t="s">
        <v>163</v>
      </c>
      <c r="C62" s="21">
        <f>C52</f>
        <v>0</v>
      </c>
      <c r="E62" s="48"/>
      <c r="G62" s="57" t="s">
        <v>164</v>
      </c>
      <c r="H62" s="10">
        <v>3000</v>
      </c>
      <c r="J62" s="48"/>
    </row>
    <row r="63" spans="2:13" x14ac:dyDescent="0.25">
      <c r="B63" s="64" t="s">
        <v>165</v>
      </c>
      <c r="C63" s="15" t="str">
        <f>IFERROR(C62-C60-C61,"")</f>
        <v/>
      </c>
      <c r="D63" s="15" t="str">
        <f>IFERROR(C63/$C$33,"")</f>
        <v/>
      </c>
      <c r="E63" s="71" t="s">
        <v>166</v>
      </c>
      <c r="G63" s="57" t="s">
        <v>158</v>
      </c>
      <c r="H63" s="10">
        <v>1500</v>
      </c>
      <c r="J63" s="48"/>
    </row>
    <row r="64" spans="2:13" x14ac:dyDescent="0.25">
      <c r="B64" s="51" t="s">
        <v>167</v>
      </c>
      <c r="C64" s="16">
        <f>SUM(D60:D61)</f>
        <v>0</v>
      </c>
      <c r="D64" s="16" t="str">
        <f>IFERROR(C64/$C$33,"")</f>
        <v/>
      </c>
      <c r="E64" s="48" t="s">
        <v>166</v>
      </c>
      <c r="G64" s="58" t="s">
        <v>168</v>
      </c>
      <c r="H64" s="31" t="str">
        <f>H54</f>
        <v>$0</v>
      </c>
      <c r="I64" s="32" t="s">
        <v>18</v>
      </c>
      <c r="J64" s="59"/>
    </row>
    <row r="65" spans="2:12" ht="15.75" thickBot="1" x14ac:dyDescent="0.3">
      <c r="B65" s="65" t="s">
        <v>169</v>
      </c>
      <c r="C65" s="88" t="str">
        <f>IFERROR(C39-C63,"")</f>
        <v/>
      </c>
      <c r="D65" s="72" t="str">
        <f>IFERROR(C65/$C$33,"")</f>
        <v/>
      </c>
      <c r="E65" s="68" t="s">
        <v>166</v>
      </c>
      <c r="G65" s="60" t="s">
        <v>170</v>
      </c>
      <c r="H65" s="330" t="str">
        <f>IFERROR((H54+C62)/(C30-C37),"")</f>
        <v/>
      </c>
      <c r="I65" s="14" t="str">
        <f>IFERROR(IF(H65&gt;0.8, ((H65-0.8)*C30), 0),"")</f>
        <v/>
      </c>
      <c r="J65" s="48" t="s">
        <v>171</v>
      </c>
    </row>
    <row r="66" spans="2:12" x14ac:dyDescent="0.25">
      <c r="G66" s="60" t="s">
        <v>172</v>
      </c>
      <c r="H66" s="83" t="str">
        <f>IFERROR((H68+C62)/(C30-C37),"")</f>
        <v/>
      </c>
      <c r="I66" s="14"/>
      <c r="J66" s="48"/>
      <c r="L66" s="5"/>
    </row>
    <row r="67" spans="2:12" x14ac:dyDescent="0.25">
      <c r="B67" s="1"/>
      <c r="G67" s="60" t="s">
        <v>173</v>
      </c>
      <c r="H67" s="78">
        <f>IFERROR(I56+I59+I57,"")</f>
        <v>9490.1624870846626</v>
      </c>
      <c r="I67" s="35"/>
      <c r="J67" s="52"/>
      <c r="L67" s="5"/>
    </row>
    <row r="68" spans="2:12" ht="15.75" thickBot="1" x14ac:dyDescent="0.3">
      <c r="B68" s="1"/>
      <c r="G68" s="51" t="s">
        <v>174</v>
      </c>
      <c r="H68" s="34">
        <f>SUM(H67,H64)</f>
        <v>9490.1624870846626</v>
      </c>
      <c r="I68" s="35"/>
      <c r="J68" s="52"/>
      <c r="L68" s="5"/>
    </row>
    <row r="69" spans="2:12" ht="15.75" thickTop="1" x14ac:dyDescent="0.25">
      <c r="G69" s="60" t="s">
        <v>175</v>
      </c>
      <c r="H69" s="83" t="str">
        <f>IFERROR(H67/$H$64,"")</f>
        <v/>
      </c>
      <c r="I69" s="35"/>
      <c r="J69" s="52"/>
    </row>
    <row r="70" spans="2:12" ht="15.75" thickBot="1" x14ac:dyDescent="0.3">
      <c r="D70" s="5"/>
      <c r="G70" s="77" t="s">
        <v>147</v>
      </c>
      <c r="H70" s="86" t="str">
        <f>IFERROR(H69/(H55/12),"")</f>
        <v/>
      </c>
      <c r="I70" s="69"/>
      <c r="J70" s="68"/>
      <c r="L70" s="5"/>
    </row>
    <row r="72" spans="2:12" x14ac:dyDescent="0.25">
      <c r="B72" s="5"/>
    </row>
    <row r="73" spans="2:12" x14ac:dyDescent="0.25">
      <c r="B73" s="5"/>
    </row>
    <row r="76" spans="2:12" x14ac:dyDescent="0.25">
      <c r="B76" s="92"/>
    </row>
    <row r="77" spans="2:12" x14ac:dyDescent="0.25">
      <c r="B77" s="92"/>
      <c r="C77" s="87"/>
    </row>
    <row r="79" spans="2:12" x14ac:dyDescent="0.25">
      <c r="B79" s="92"/>
      <c r="C79" s="93"/>
      <c r="D79" s="14"/>
      <c r="E79" s="5"/>
    </row>
    <row r="80" spans="2:12" x14ac:dyDescent="0.25">
      <c r="B80" s="92"/>
      <c r="C80" s="93"/>
      <c r="D80" s="14"/>
      <c r="E80" s="5"/>
    </row>
    <row r="81" spans="2:5" x14ac:dyDescent="0.25">
      <c r="B81" s="92"/>
      <c r="C81" s="93"/>
      <c r="D81" s="14"/>
      <c r="E81" s="5"/>
    </row>
    <row r="82" spans="2:5" x14ac:dyDescent="0.25">
      <c r="B82" s="92"/>
      <c r="C82" s="93"/>
      <c r="D82" s="14"/>
      <c r="E82" s="5"/>
    </row>
    <row r="83" spans="2:5" x14ac:dyDescent="0.25">
      <c r="B83" s="92"/>
      <c r="C83" s="93"/>
      <c r="D83" s="14"/>
      <c r="E83" s="5"/>
    </row>
    <row r="84" spans="2:5" x14ac:dyDescent="0.25">
      <c r="B84" s="92"/>
      <c r="C84" s="93"/>
      <c r="D84" s="14"/>
      <c r="E84" s="5"/>
    </row>
    <row r="85" spans="2:5" x14ac:dyDescent="0.25">
      <c r="B85" s="92"/>
      <c r="C85" s="93"/>
      <c r="D85" s="14"/>
      <c r="E85" s="5"/>
    </row>
    <row r="86" spans="2:5" x14ac:dyDescent="0.25">
      <c r="B86" s="92"/>
      <c r="C86" s="93"/>
      <c r="D86" s="14"/>
      <c r="E86" s="5"/>
    </row>
  </sheetData>
  <mergeCells count="2">
    <mergeCell ref="B4:E10"/>
    <mergeCell ref="G4:J10"/>
  </mergeCells>
  <conditionalFormatting sqref="B4 I22:J22">
    <cfRule type="cellIs" dxfId="29" priority="18" operator="lessThan">
      <formula>0</formula>
    </cfRule>
  </conditionalFormatting>
  <conditionalFormatting sqref="B27:B28">
    <cfRule type="cellIs" dxfId="28" priority="20" operator="lessThan">
      <formula>0</formula>
    </cfRule>
  </conditionalFormatting>
  <conditionalFormatting sqref="B64:C65 E64:E65 B67:B68">
    <cfRule type="cellIs" dxfId="27" priority="21" operator="lessThan">
      <formula>0</formula>
    </cfRule>
  </conditionalFormatting>
  <conditionalFormatting sqref="B3:E11 F4:F24 A4:A47 G14:J22 B24:E24 B26:E26 D27:E28 B29:E42 B43:D47 E43:F48 B48 B49:E50 G51:J51 I53:J54 G55:I58 J55:J60 F56:F71 G61 I61 G62:J63 K66:K67">
    <cfRule type="cellIs" dxfId="26" priority="22" operator="lessThan">
      <formula>0</formula>
    </cfRule>
  </conditionalFormatting>
  <conditionalFormatting sqref="B14:E15 B16:B17 D16:E17 B18:E21 B22 C38:C39 B41">
    <cfRule type="cellIs" dxfId="25" priority="19" operator="lessThan">
      <formula>0</formula>
    </cfRule>
  </conditionalFormatting>
  <conditionalFormatting sqref="C28">
    <cfRule type="cellIs" dxfId="24" priority="10" operator="lessThan">
      <formula>0</formula>
    </cfRule>
  </conditionalFormatting>
  <conditionalFormatting sqref="D22">
    <cfRule type="cellIs" dxfId="23" priority="5" operator="lessThan">
      <formula>0</formula>
    </cfRule>
  </conditionalFormatting>
  <conditionalFormatting sqref="D39">
    <cfRule type="cellIs" dxfId="22" priority="3" operator="lessThan">
      <formula>0</formula>
    </cfRule>
  </conditionalFormatting>
  <conditionalFormatting sqref="G42">
    <cfRule type="cellIs" dxfId="21" priority="7" operator="lessThan">
      <formula>0</formula>
    </cfRule>
  </conditionalFormatting>
  <conditionalFormatting sqref="G19:H22">
    <cfRule type="cellIs" dxfId="20" priority="16" operator="lessThan">
      <formula>0</formula>
    </cfRule>
  </conditionalFormatting>
  <conditionalFormatting sqref="G26:J48">
    <cfRule type="cellIs" dxfId="19" priority="8" operator="lessThan">
      <formula>0</formula>
    </cfRule>
  </conditionalFormatting>
  <conditionalFormatting sqref="H61">
    <cfRule type="cellIs" dxfId="18" priority="11" operator="greaterThan">
      <formula>1</formula>
    </cfRule>
  </conditionalFormatting>
  <conditionalFormatting sqref="H65">
    <cfRule type="cellIs" dxfId="17" priority="12" operator="greaterThan">
      <formula>0.8</formula>
    </cfRule>
    <cfRule type="cellIs" dxfId="16" priority="14" operator="lessThan">
      <formula>0</formula>
    </cfRule>
  </conditionalFormatting>
  <conditionalFormatting sqref="I40:I42">
    <cfRule type="cellIs" dxfId="15" priority="2" operator="lessThan">
      <formula>0</formula>
    </cfRule>
  </conditionalFormatting>
  <conditionalFormatting sqref="I59">
    <cfRule type="cellIs" dxfId="14" priority="1" operator="lessThan">
      <formula>0</formula>
    </cfRule>
  </conditionalFormatting>
  <conditionalFormatting sqref="I65:I66">
    <cfRule type="cellIs" dxfId="13" priority="13" operator="greaterThan">
      <formula>0</formula>
    </cfRule>
  </conditionalFormatting>
  <conditionalFormatting sqref="K20:L20">
    <cfRule type="cellIs" dxfId="12" priority="4" operator="lessThan">
      <formula>0</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rgb="FF00B050"/>
    <pageSetUpPr autoPageBreaks="0"/>
  </sheetPr>
  <dimension ref="A1:AE2180"/>
  <sheetViews>
    <sheetView topLeftCell="A18" workbookViewId="0">
      <selection activeCell="G27" sqref="G27"/>
    </sheetView>
  </sheetViews>
  <sheetFormatPr defaultColWidth="8.85546875" defaultRowHeight="15" x14ac:dyDescent="0.25"/>
  <cols>
    <col min="1" max="1" width="19" customWidth="1"/>
    <col min="2" max="2" width="12.42578125" customWidth="1"/>
    <col min="3" max="3" width="13.42578125" bestFit="1" customWidth="1"/>
    <col min="4" max="4" width="15.85546875" customWidth="1"/>
    <col min="5" max="5" width="28.140625" customWidth="1"/>
    <col min="6" max="6" width="15.85546875" customWidth="1"/>
    <col min="7" max="7" width="22" customWidth="1"/>
    <col min="8" max="8" width="18.42578125" customWidth="1"/>
    <col min="9" max="10" width="14.42578125" customWidth="1"/>
    <col min="11" max="11" width="25.42578125" customWidth="1"/>
    <col min="12" max="12" width="20.42578125" customWidth="1"/>
    <col min="13" max="13" width="20.85546875" customWidth="1"/>
    <col min="14" max="14" width="14.42578125" customWidth="1"/>
    <col min="15" max="15" width="20.42578125" customWidth="1"/>
    <col min="16" max="16" width="16.140625" bestFit="1" customWidth="1"/>
    <col min="17" max="17" width="15.42578125" customWidth="1"/>
    <col min="18" max="18" width="16.5703125" customWidth="1"/>
    <col min="19" max="19" width="23.42578125" customWidth="1"/>
    <col min="20" max="20" width="15.42578125" customWidth="1"/>
    <col min="21" max="21" width="13.140625" customWidth="1"/>
    <col min="22" max="22" width="10.5703125" customWidth="1"/>
    <col min="23" max="23" width="12.85546875" customWidth="1"/>
    <col min="24" max="24" width="10.5703125" customWidth="1"/>
  </cols>
  <sheetData>
    <row r="1" spans="2:15" x14ac:dyDescent="0.25">
      <c r="B1" s="119"/>
      <c r="C1" s="119"/>
      <c r="D1" s="119"/>
      <c r="E1" s="119"/>
      <c r="F1" s="119"/>
      <c r="G1" s="119"/>
      <c r="H1" s="119"/>
      <c r="I1" s="119"/>
      <c r="J1" s="119"/>
      <c r="K1" s="119"/>
      <c r="L1" s="119"/>
      <c r="M1" s="119"/>
      <c r="N1" s="119"/>
      <c r="O1" s="119"/>
    </row>
    <row r="2" spans="2:15" ht="30" x14ac:dyDescent="0.35">
      <c r="B2" s="120">
        <f>'Deal Details'!C3</f>
        <v>0</v>
      </c>
      <c r="C2" s="119"/>
      <c r="D2" s="117" t="s">
        <v>19</v>
      </c>
      <c r="E2" s="117" t="s">
        <v>237</v>
      </c>
      <c r="F2" s="117" t="s">
        <v>238</v>
      </c>
      <c r="G2" s="117" t="s">
        <v>239</v>
      </c>
      <c r="H2" s="117" t="s">
        <v>240</v>
      </c>
      <c r="I2" s="117" t="s">
        <v>237</v>
      </c>
      <c r="J2" s="117" t="s">
        <v>568</v>
      </c>
      <c r="K2" s="117" t="s">
        <v>241</v>
      </c>
      <c r="L2" s="117" t="s">
        <v>242</v>
      </c>
      <c r="M2" s="117" t="s">
        <v>243</v>
      </c>
      <c r="N2" s="119"/>
      <c r="O2" s="119"/>
    </row>
    <row r="3" spans="2:15" x14ac:dyDescent="0.25">
      <c r="B3" s="119"/>
      <c r="C3" s="119"/>
      <c r="D3" s="500" t="str">
        <f>'Deal Details'!C30</f>
        <v>MBC</v>
      </c>
      <c r="E3" s="122">
        <f ca="1">C13</f>
        <v>46470</v>
      </c>
      <c r="F3" s="165" t="e">
        <f ca="1">(L9+F12)/D12</f>
        <v>#DIV/0!</v>
      </c>
      <c r="G3" s="124">
        <f ca="1">C28</f>
        <v>46470</v>
      </c>
      <c r="H3" s="125">
        <v>0.24</v>
      </c>
      <c r="I3" s="126">
        <f ca="1">C13</f>
        <v>46470</v>
      </c>
      <c r="J3" s="123" t="e">
        <f ca="1">G13</f>
        <v>#DIV/0!</v>
      </c>
      <c r="K3" s="123" t="e">
        <f ca="1" xml:space="preserve"> G14</f>
        <v>#DIV/0!</v>
      </c>
      <c r="L3" s="123" t="e">
        <f ca="1">G15</f>
        <v>#DIV/0!</v>
      </c>
      <c r="M3" s="123" t="e">
        <f ca="1">G16</f>
        <v>#DIV/0!</v>
      </c>
      <c r="N3" s="119"/>
      <c r="O3" s="119"/>
    </row>
    <row r="4" spans="2:15" x14ac:dyDescent="0.25">
      <c r="B4" s="119"/>
      <c r="C4" s="119"/>
      <c r="D4" s="119"/>
      <c r="E4" s="119"/>
      <c r="F4" s="119" t="e">
        <f ca="1">(F12+E12+H22)/D12</f>
        <v>#REF!</v>
      </c>
      <c r="G4" s="119"/>
      <c r="H4" s="119"/>
      <c r="I4" s="119"/>
      <c r="J4" s="119"/>
      <c r="K4" s="119"/>
      <c r="L4" s="119"/>
      <c r="M4" s="119"/>
      <c r="N4" s="119"/>
      <c r="O4" s="119"/>
    </row>
    <row r="5" spans="2:15" x14ac:dyDescent="0.25">
      <c r="B5" s="709" t="s">
        <v>244</v>
      </c>
      <c r="C5" s="710"/>
      <c r="D5" s="710"/>
      <c r="E5" s="710"/>
      <c r="F5" s="710"/>
      <c r="G5" s="119"/>
      <c r="H5" t="s">
        <v>245</v>
      </c>
      <c r="I5" t="s">
        <v>246</v>
      </c>
      <c r="J5" t="s">
        <v>247</v>
      </c>
      <c r="K5" s="127"/>
      <c r="L5" s="127"/>
      <c r="M5" s="119"/>
      <c r="N5" s="119"/>
      <c r="O5" s="119"/>
    </row>
    <row r="6" spans="2:15" x14ac:dyDescent="0.25">
      <c r="B6" t="s">
        <v>248</v>
      </c>
      <c r="C6" t="s">
        <v>249</v>
      </c>
      <c r="D6" t="s">
        <v>250</v>
      </c>
      <c r="E6" t="s">
        <v>251</v>
      </c>
      <c r="F6" t="s">
        <v>252</v>
      </c>
      <c r="G6" s="119"/>
      <c r="H6" s="128">
        <f>E12</f>
        <v>0</v>
      </c>
      <c r="I6" s="129">
        <f ca="1">F12</f>
        <v>29400</v>
      </c>
      <c r="J6">
        <f>D12</f>
        <v>0</v>
      </c>
      <c r="K6" s="127"/>
      <c r="L6" s="127"/>
      <c r="M6" s="119"/>
      <c r="N6" s="119"/>
      <c r="O6" s="119"/>
    </row>
    <row r="7" spans="2:15" x14ac:dyDescent="0.25">
      <c r="B7" s="130">
        <f ca="1">'Mezz Amort'!Q36</f>
        <v>46105</v>
      </c>
      <c r="C7" s="130">
        <f ca="1">'Mezz Amort'!Q50</f>
        <v>46470</v>
      </c>
      <c r="D7" s="130">
        <f ca="1">'Mezz Amort'!R50</f>
        <v>46560</v>
      </c>
      <c r="E7" s="130">
        <f ca="1">'Mezz Amort'!S50</f>
        <v>46650</v>
      </c>
      <c r="F7" s="130">
        <f ca="1">'Mezz Amort'!T50</f>
        <v>46740</v>
      </c>
      <c r="G7" s="115">
        <f ca="1">'Mezz Amort'!U50</f>
        <v>23.333333333333332</v>
      </c>
      <c r="H7" s="119"/>
      <c r="I7" s="121"/>
      <c r="J7" s="130"/>
      <c r="K7" s="711" t="str">
        <f>"Senior Loan Information "&amp;'Deal Details'!C3</f>
        <v xml:space="preserve">Senior Loan Information </v>
      </c>
      <c r="L7" s="712"/>
      <c r="M7" s="131" t="s">
        <v>230</v>
      </c>
      <c r="N7" s="119"/>
      <c r="O7" s="119"/>
    </row>
    <row r="8" spans="2:15" ht="15" customHeight="1" x14ac:dyDescent="0.25">
      <c r="B8" s="115">
        <f ca="1">'Mezz Amort'!P51</f>
        <v>29400</v>
      </c>
      <c r="C8" s="115">
        <f ca="1">'Mezz Amort'!Q51</f>
        <v>35140.233540844434</v>
      </c>
      <c r="D8" s="115">
        <f ca="1">'Mezz Amort'!R51</f>
        <v>37312.438303086084</v>
      </c>
      <c r="E8" s="115">
        <f ca="1">'Mezz Amort'!S51</f>
        <v>39618.918596639181</v>
      </c>
      <c r="F8" s="115">
        <f ca="1">'Mezz Amort'!T51</f>
        <v>42067.974706367437</v>
      </c>
      <c r="G8" s="115">
        <f>'Mezz Amort'!U51</f>
        <v>0</v>
      </c>
      <c r="H8" s="119"/>
      <c r="I8" s="121"/>
      <c r="J8" s="115"/>
      <c r="K8" s="132" t="s">
        <v>253</v>
      </c>
      <c r="L8" s="133">
        <f>'Deal Details'!C16</f>
        <v>0</v>
      </c>
      <c r="M8" s="713" t="s">
        <v>254</v>
      </c>
      <c r="N8" s="119"/>
      <c r="O8" s="119"/>
    </row>
    <row r="9" spans="2:15" x14ac:dyDescent="0.25">
      <c r="B9" s="121"/>
      <c r="C9" s="126"/>
      <c r="D9" s="128"/>
      <c r="E9" s="119"/>
      <c r="F9" s="119"/>
      <c r="G9" s="119"/>
      <c r="H9" s="121"/>
      <c r="I9" s="134"/>
      <c r="J9" s="128"/>
      <c r="K9" s="135" t="s">
        <v>255</v>
      </c>
      <c r="L9" s="224">
        <f>ProForma!C52</f>
        <v>0</v>
      </c>
      <c r="M9" s="714"/>
      <c r="N9" s="119"/>
      <c r="O9" s="119"/>
    </row>
    <row r="10" spans="2:15" x14ac:dyDescent="0.25">
      <c r="B10" s="137"/>
      <c r="C10" s="127"/>
      <c r="D10" s="127"/>
      <c r="E10" s="127"/>
      <c r="F10" s="127"/>
      <c r="G10" s="119"/>
      <c r="H10" s="121"/>
      <c r="I10" s="126"/>
      <c r="J10" s="128"/>
      <c r="K10" s="138" t="s">
        <v>256</v>
      </c>
      <c r="L10" s="139">
        <f>ProForma!C57</f>
        <v>0.12</v>
      </c>
      <c r="M10" s="714"/>
      <c r="N10" s="119"/>
      <c r="O10" s="119"/>
    </row>
    <row r="11" spans="2:15" x14ac:dyDescent="0.25">
      <c r="B11" s="119"/>
      <c r="C11" s="119"/>
      <c r="D11" s="121" t="s">
        <v>257</v>
      </c>
      <c r="E11" s="121" t="s">
        <v>23</v>
      </c>
      <c r="F11" s="121" t="s">
        <v>246</v>
      </c>
      <c r="G11" s="121" t="s">
        <v>258</v>
      </c>
      <c r="H11" s="121"/>
      <c r="I11" s="126"/>
      <c r="J11" s="128"/>
      <c r="K11" s="135" t="s">
        <v>48</v>
      </c>
      <c r="L11" s="140">
        <f>'Deal Details'!C26</f>
        <v>0.03</v>
      </c>
      <c r="M11" s="714"/>
      <c r="N11" s="119"/>
      <c r="O11" s="119"/>
    </row>
    <row r="12" spans="2:15" x14ac:dyDescent="0.25">
      <c r="B12" s="121" t="s">
        <v>248</v>
      </c>
      <c r="C12" s="126">
        <f ca="1">B7</f>
        <v>46105</v>
      </c>
      <c r="D12" s="225">
        <f>ProForma!$C$28-ProForma!$C$37</f>
        <v>0</v>
      </c>
      <c r="E12" s="128">
        <f>$L$9</f>
        <v>0</v>
      </c>
      <c r="F12" s="141">
        <f ca="1">B8</f>
        <v>29400</v>
      </c>
      <c r="G12" s="119" t="e">
        <f ca="1">(F12+E12)/D12</f>
        <v>#DIV/0!</v>
      </c>
      <c r="H12" s="119"/>
      <c r="I12" s="119">
        <v>0.05</v>
      </c>
      <c r="J12" s="119"/>
      <c r="K12" s="138" t="s">
        <v>259</v>
      </c>
      <c r="L12" s="136">
        <f>L11*L9</f>
        <v>0</v>
      </c>
      <c r="M12" s="714"/>
      <c r="N12" s="119"/>
      <c r="O12" s="119"/>
    </row>
    <row r="13" spans="2:15" x14ac:dyDescent="0.25">
      <c r="B13" s="121" t="s">
        <v>260</v>
      </c>
      <c r="C13" s="126">
        <f ca="1">C7</f>
        <v>46470</v>
      </c>
      <c r="D13" s="225">
        <f>D12</f>
        <v>0</v>
      </c>
      <c r="E13" s="128">
        <f>$L$9</f>
        <v>0</v>
      </c>
      <c r="F13" s="128">
        <f ca="1">C8</f>
        <v>35140.233540844434</v>
      </c>
      <c r="G13" s="119" t="e">
        <f ca="1">(F13+E13)/D13</f>
        <v>#DIV/0!</v>
      </c>
      <c r="H13" s="119"/>
      <c r="I13" s="119">
        <v>0.11</v>
      </c>
      <c r="J13" s="119"/>
      <c r="K13" s="138" t="s">
        <v>261</v>
      </c>
      <c r="L13" s="142">
        <f>C22+SUM(P32:P42)</f>
        <v>0</v>
      </c>
      <c r="M13" s="714"/>
      <c r="N13" s="119"/>
      <c r="O13" s="119"/>
    </row>
    <row r="14" spans="2:15" x14ac:dyDescent="0.25">
      <c r="B14" s="121" t="s">
        <v>262</v>
      </c>
      <c r="C14" s="134">
        <f ca="1">D7</f>
        <v>46560</v>
      </c>
      <c r="D14" s="225">
        <f>D12</f>
        <v>0</v>
      </c>
      <c r="E14" s="128">
        <f>E13*1.05</f>
        <v>0</v>
      </c>
      <c r="F14" s="128">
        <f ca="1">D8</f>
        <v>37312.438303086084</v>
      </c>
      <c r="G14" s="119" t="e">
        <f ca="1">(F14+E14)/D14</f>
        <v>#DIV/0!</v>
      </c>
      <c r="H14" s="119"/>
      <c r="I14" s="119"/>
      <c r="J14" s="119"/>
      <c r="K14" s="138" t="s">
        <v>263</v>
      </c>
      <c r="L14" s="143">
        <f ca="1">C28</f>
        <v>46470</v>
      </c>
      <c r="M14" s="714"/>
      <c r="O14" s="121"/>
    </row>
    <row r="15" spans="2:15" x14ac:dyDescent="0.25">
      <c r="B15" s="121" t="s">
        <v>264</v>
      </c>
      <c r="C15" s="126">
        <f ca="1">E7</f>
        <v>46650</v>
      </c>
      <c r="D15" s="225">
        <f>D12</f>
        <v>0</v>
      </c>
      <c r="E15" s="128">
        <f>E14*1.05</f>
        <v>0</v>
      </c>
      <c r="F15" s="128">
        <f ca="1">E8</f>
        <v>39618.918596639181</v>
      </c>
      <c r="G15" s="119" t="e">
        <f ca="1">(F15+E15)/D15</f>
        <v>#DIV/0!</v>
      </c>
      <c r="H15" s="119"/>
      <c r="I15" s="223">
        <f>SUM(I12:I14)</f>
        <v>0.16</v>
      </c>
      <c r="J15" s="119"/>
      <c r="K15" s="138" t="s">
        <v>265</v>
      </c>
      <c r="L15" s="143" t="s">
        <v>266</v>
      </c>
      <c r="M15" s="714"/>
      <c r="N15" s="130"/>
      <c r="O15" s="121"/>
    </row>
    <row r="16" spans="2:15" x14ac:dyDescent="0.25">
      <c r="B16" s="121" t="s">
        <v>267</v>
      </c>
      <c r="C16" s="126">
        <f ca="1">F7</f>
        <v>46740</v>
      </c>
      <c r="D16" s="225">
        <f>D12</f>
        <v>0</v>
      </c>
      <c r="E16" s="128">
        <f>E15*1.05</f>
        <v>0</v>
      </c>
      <c r="F16" s="128">
        <f ca="1">F8</f>
        <v>42067.974706367437</v>
      </c>
      <c r="G16" s="119" t="e">
        <f ca="1">(F16+E16)/D16</f>
        <v>#DIV/0!</v>
      </c>
      <c r="H16" s="119"/>
      <c r="I16" s="119"/>
      <c r="J16" s="119"/>
      <c r="K16" s="147" t="s">
        <v>268</v>
      </c>
      <c r="L16" s="229">
        <v>0.24</v>
      </c>
      <c r="M16" s="715"/>
      <c r="N16" s="115"/>
      <c r="O16" s="128"/>
    </row>
    <row r="17" spans="1:31" x14ac:dyDescent="0.25">
      <c r="B17" s="119"/>
      <c r="C17" s="119"/>
      <c r="D17" s="119"/>
      <c r="E17" s="119"/>
      <c r="F17" s="119"/>
      <c r="G17" s="119"/>
      <c r="H17" s="119"/>
      <c r="I17" s="119"/>
      <c r="J17" s="119"/>
      <c r="K17" s="138" t="s">
        <v>269</v>
      </c>
      <c r="L17" s="144"/>
      <c r="M17" s="146" t="s">
        <v>238</v>
      </c>
      <c r="N17" s="128"/>
      <c r="O17" s="119"/>
    </row>
    <row r="18" spans="1:31" x14ac:dyDescent="0.25">
      <c r="C18" s="119"/>
      <c r="D18" s="119"/>
      <c r="E18" s="119"/>
      <c r="F18" s="119"/>
      <c r="G18" s="119"/>
      <c r="H18" s="119"/>
      <c r="I18" s="119"/>
      <c r="J18" s="119"/>
      <c r="K18" s="138" t="s">
        <v>270</v>
      </c>
      <c r="L18" s="145">
        <f>H6</f>
        <v>0</v>
      </c>
      <c r="M18" s="148" t="e">
        <f ca="1">F3</f>
        <v>#DIV/0!</v>
      </c>
      <c r="N18" s="119"/>
      <c r="O18" s="119"/>
    </row>
    <row r="19" spans="1:31" ht="18.75" x14ac:dyDescent="0.3">
      <c r="A19" s="149" t="str">
        <f>CONCATENATE(A20," ","Senior")</f>
        <v>0 Senior</v>
      </c>
      <c r="K19" s="147" t="s">
        <v>271</v>
      </c>
      <c r="L19" s="116" t="e">
        <f>H22</f>
        <v>#REF!</v>
      </c>
      <c r="M19" s="146"/>
      <c r="N19" s="119"/>
      <c r="O19" s="119"/>
    </row>
    <row r="20" spans="1:31" x14ac:dyDescent="0.25">
      <c r="A20">
        <f>'Deal Details'!C3</f>
        <v>0</v>
      </c>
      <c r="C20" s="117"/>
      <c r="E20" t="s">
        <v>77</v>
      </c>
      <c r="F20" s="151">
        <v>19</v>
      </c>
      <c r="G20" t="s">
        <v>272</v>
      </c>
      <c r="H20" s="152">
        <v>0.7</v>
      </c>
      <c r="K20" s="138" t="s">
        <v>273</v>
      </c>
      <c r="L20" s="150">
        <f>J6</f>
        <v>0</v>
      </c>
      <c r="M20" s="148"/>
      <c r="N20" s="119"/>
      <c r="O20" s="119"/>
    </row>
    <row r="21" spans="1:31" x14ac:dyDescent="0.25">
      <c r="A21" s="154" t="s">
        <v>274</v>
      </c>
      <c r="B21" s="154"/>
      <c r="C21" s="226">
        <f>L9</f>
        <v>0</v>
      </c>
      <c r="E21" t="s">
        <v>275</v>
      </c>
      <c r="F21" s="155" t="e">
        <f>C23/F20</f>
        <v>#VALUE!</v>
      </c>
      <c r="G21" t="s">
        <v>276</v>
      </c>
      <c r="H21" s="155">
        <f>C21*H20</f>
        <v>0</v>
      </c>
      <c r="K21" s="138" t="s">
        <v>277</v>
      </c>
      <c r="L21" s="153">
        <v>43125</v>
      </c>
      <c r="M21" s="146" t="s">
        <v>278</v>
      </c>
      <c r="N21" s="119"/>
      <c r="O21" s="119"/>
    </row>
    <row r="22" spans="1:31" x14ac:dyDescent="0.25">
      <c r="A22" t="s">
        <v>279</v>
      </c>
      <c r="C22" s="155">
        <v>0</v>
      </c>
      <c r="E22" t="s">
        <v>280</v>
      </c>
      <c r="F22" s="157">
        <v>1.2</v>
      </c>
      <c r="G22" t="s">
        <v>281</v>
      </c>
      <c r="H22" s="115" t="e">
        <f>C22-SUM(L34:L58)</f>
        <v>#REF!</v>
      </c>
      <c r="K22" s="138" t="s">
        <v>282</v>
      </c>
      <c r="L22" s="156" t="s">
        <v>283</v>
      </c>
      <c r="M22" s="158">
        <f ca="1">L18+B8</f>
        <v>29400</v>
      </c>
      <c r="N22" s="119"/>
      <c r="O22" s="119"/>
    </row>
    <row r="23" spans="1:31" x14ac:dyDescent="0.25">
      <c r="A23" t="s">
        <v>284</v>
      </c>
      <c r="C23" s="159" t="e">
        <f>C21-F24-C22-L12</f>
        <v>#VALUE!</v>
      </c>
      <c r="D23" s="14">
        <v>0</v>
      </c>
      <c r="E23" t="s">
        <v>285</v>
      </c>
      <c r="F23" s="155" t="e">
        <f>F21*F22</f>
        <v>#VALUE!</v>
      </c>
      <c r="G23" t="s">
        <v>286</v>
      </c>
      <c r="H23" s="160" t="e">
        <f>C22-H22</f>
        <v>#REF!</v>
      </c>
      <c r="K23" s="161" t="s">
        <v>287</v>
      </c>
      <c r="L23" s="227">
        <f ca="1">G7</f>
        <v>23.333333333333332</v>
      </c>
      <c r="M23" s="162" t="s">
        <v>271</v>
      </c>
      <c r="N23" s="119"/>
      <c r="O23" s="119"/>
    </row>
    <row r="24" spans="1:31" x14ac:dyDescent="0.25">
      <c r="A24" s="154" t="s">
        <v>48</v>
      </c>
      <c r="B24" s="154"/>
      <c r="C24" s="163">
        <f>'Deal Details'!C26</f>
        <v>0.03</v>
      </c>
      <c r="E24" t="s">
        <v>288</v>
      </c>
      <c r="F24" s="159" t="str">
        <f>ProForma!C61</f>
        <v/>
      </c>
      <c r="K24" s="147" t="s">
        <v>289</v>
      </c>
      <c r="L24" s="227">
        <f ca="1">VLOOKUP(B7,A33:H630,4,FALSE)</f>
        <v>0</v>
      </c>
      <c r="M24" s="164" t="e">
        <f>H22</f>
        <v>#REF!</v>
      </c>
      <c r="N24" s="119"/>
      <c r="O24" s="119"/>
    </row>
    <row r="25" spans="1:31" x14ac:dyDescent="0.25">
      <c r="A25" s="154" t="s">
        <v>155</v>
      </c>
      <c r="B25" s="154"/>
      <c r="C25" s="165">
        <f>'Deal Details'!C25</f>
        <v>0.12</v>
      </c>
      <c r="K25" s="138" t="s">
        <v>290</v>
      </c>
      <c r="L25" s="228">
        <f ca="1">VLOOKUP(B7,A33:H630,4,FALSE)</f>
        <v>0</v>
      </c>
      <c r="M25" s="166" t="s">
        <v>236</v>
      </c>
      <c r="N25" s="119"/>
      <c r="O25" s="119"/>
    </row>
    <row r="26" spans="1:31" x14ac:dyDescent="0.25">
      <c r="A26" s="154" t="s">
        <v>291</v>
      </c>
      <c r="B26" s="154"/>
      <c r="C26" s="167">
        <f ca="1">'Mezz Amort'!C8</f>
        <v>46105</v>
      </c>
      <c r="E26" t="s">
        <v>151</v>
      </c>
      <c r="F26" s="151">
        <f ca="1">C28-C26</f>
        <v>365</v>
      </c>
      <c r="K26" s="119"/>
      <c r="L26" s="119"/>
      <c r="M26" s="119"/>
      <c r="N26" s="119"/>
      <c r="O26" s="119"/>
      <c r="P26" s="119"/>
    </row>
    <row r="27" spans="1:31" ht="15.75" thickBot="1" x14ac:dyDescent="0.3">
      <c r="A27" s="154" t="s">
        <v>292</v>
      </c>
      <c r="C27" s="168">
        <f>'Deal Details'!C27</f>
        <v>12</v>
      </c>
      <c r="F27" s="155"/>
    </row>
    <row r="28" spans="1:31" ht="16.5" thickBot="1" x14ac:dyDescent="0.3">
      <c r="A28" s="154" t="s">
        <v>293</v>
      </c>
      <c r="C28" s="169">
        <f ca="1">C26+365</f>
        <v>46470</v>
      </c>
      <c r="F28" s="155"/>
      <c r="G28" s="155"/>
      <c r="H28" s="155"/>
      <c r="K28" s="716" t="s">
        <v>294</v>
      </c>
      <c r="L28" s="717"/>
      <c r="M28" s="718"/>
      <c r="O28" s="716" t="s">
        <v>295</v>
      </c>
      <c r="P28" s="717"/>
      <c r="Q28" s="718"/>
    </row>
    <row r="29" spans="1:31" ht="16.5" thickBot="1" x14ac:dyDescent="0.3">
      <c r="A29" t="s">
        <v>296</v>
      </c>
      <c r="K29" s="170" t="s">
        <v>297</v>
      </c>
      <c r="L29" s="171" t="s">
        <v>122</v>
      </c>
      <c r="M29" s="172" t="s">
        <v>578</v>
      </c>
      <c r="O29" s="170" t="s">
        <v>297</v>
      </c>
      <c r="P29" s="171" t="s">
        <v>122</v>
      </c>
      <c r="Q29" s="172" t="s">
        <v>298</v>
      </c>
    </row>
    <row r="30" spans="1:31" ht="15.75" x14ac:dyDescent="0.25">
      <c r="C30" s="130"/>
      <c r="J30" s="666"/>
      <c r="K30" s="678">
        <f t="shared" ref="K30:K31" ca="1" si="0">K31</f>
        <v>46105</v>
      </c>
      <c r="L30" s="679">
        <f>-C21</f>
        <v>0</v>
      </c>
      <c r="M30" s="684" t="s">
        <v>344</v>
      </c>
      <c r="O30" s="173">
        <f ca="1">A33</f>
        <v>46105</v>
      </c>
      <c r="P30" s="174">
        <f>L30</f>
        <v>0</v>
      </c>
      <c r="Q30" s="175" t="s">
        <v>299</v>
      </c>
    </row>
    <row r="31" spans="1:31" ht="15.75" x14ac:dyDescent="0.25">
      <c r="J31" s="587"/>
      <c r="K31" s="678">
        <f t="shared" ca="1" si="0"/>
        <v>46105</v>
      </c>
      <c r="L31" s="14" t="str">
        <f>ProForma!D60</f>
        <v/>
      </c>
      <c r="M31" s="684" t="s">
        <v>48</v>
      </c>
      <c r="O31" s="176">
        <f ca="1">A33</f>
        <v>46105</v>
      </c>
      <c r="P31" s="177">
        <f>D23</f>
        <v>0</v>
      </c>
      <c r="Q31" s="175" t="s">
        <v>48</v>
      </c>
    </row>
    <row r="32" spans="1:31" s="179" customFormat="1" ht="15.75" thickBot="1" x14ac:dyDescent="0.3">
      <c r="A32" s="178" t="s">
        <v>300</v>
      </c>
      <c r="B32" s="178"/>
      <c r="C32" s="178" t="s">
        <v>270</v>
      </c>
      <c r="D32" s="178" t="s">
        <v>155</v>
      </c>
      <c r="E32" s="178" t="s">
        <v>301</v>
      </c>
      <c r="F32" s="178" t="s">
        <v>302</v>
      </c>
      <c r="G32" s="178" t="s">
        <v>303</v>
      </c>
      <c r="H32" s="178" t="s">
        <v>270</v>
      </c>
      <c r="I32" s="178" t="s">
        <v>304</v>
      </c>
      <c r="J32" s="680"/>
      <c r="K32" s="678">
        <f ca="1">K33</f>
        <v>46105</v>
      </c>
      <c r="L32" s="663" t="e">
        <f>IF('Deal Details'!#REF!="Yes",F24,0)</f>
        <v>#REF!</v>
      </c>
      <c r="M32" s="685" t="s">
        <v>323</v>
      </c>
      <c r="N32"/>
      <c r="O32" s="176"/>
      <c r="P32" s="115"/>
      <c r="Q32" s="118" t="s">
        <v>305</v>
      </c>
      <c r="R32"/>
      <c r="S32"/>
      <c r="T32"/>
      <c r="U32"/>
      <c r="V32"/>
      <c r="W32"/>
      <c r="X32"/>
      <c r="Y32"/>
      <c r="Z32"/>
      <c r="AA32"/>
      <c r="AB32"/>
      <c r="AC32"/>
      <c r="AD32"/>
      <c r="AE32"/>
    </row>
    <row r="33" spans="1:31" x14ac:dyDescent="0.25">
      <c r="A33" s="180">
        <f ca="1">C26</f>
        <v>46105</v>
      </c>
      <c r="B33" s="181">
        <v>1</v>
      </c>
      <c r="C33" s="182">
        <f>C21</f>
        <v>0</v>
      </c>
      <c r="D33" s="182">
        <f t="shared" ref="D33:D96" si="1">IF(C33&gt;$H$21,C33*($C$25/360),$H$21*($C$25/360))</f>
        <v>0</v>
      </c>
      <c r="E33" s="182" t="e">
        <f>P53-D33</f>
        <v>#VALUE!</v>
      </c>
      <c r="F33" s="182">
        <f>SUM($D$33:D33)</f>
        <v>0</v>
      </c>
      <c r="G33" s="182"/>
      <c r="H33" s="182" t="e">
        <f>IF(E33&gt;0,C33+G33,IF(E33&lt;0,C33+G33+D33,C33+D33+G33))</f>
        <v>#VALUE!</v>
      </c>
      <c r="I33" s="183" t="e">
        <f t="shared" ref="I33:I96" si="2">(C33+D33-E33)</f>
        <v>#VALUE!</v>
      </c>
      <c r="J33" s="681"/>
      <c r="K33" s="130">
        <f ca="1">C26</f>
        <v>46105</v>
      </c>
      <c r="M33" s="118"/>
      <c r="O33" s="176"/>
      <c r="P33" s="115"/>
      <c r="Q33" s="118" t="s">
        <v>306</v>
      </c>
      <c r="AA33" s="179"/>
      <c r="AB33" s="179"/>
      <c r="AC33" s="179"/>
      <c r="AD33" s="179"/>
      <c r="AE33" s="179"/>
    </row>
    <row r="34" spans="1:31" x14ac:dyDescent="0.25">
      <c r="A34" s="180">
        <f t="shared" ref="A34:A97" ca="1" si="3">A33+1</f>
        <v>46106</v>
      </c>
      <c r="B34" s="181">
        <v>2</v>
      </c>
      <c r="C34" s="182" t="e">
        <f t="shared" ref="C34:C97" si="4">H33</f>
        <v>#VALUE!</v>
      </c>
      <c r="D34" s="182" t="e">
        <f t="shared" si="1"/>
        <v>#VALUE!</v>
      </c>
      <c r="E34" s="182" t="e">
        <f t="shared" ref="E34:E97" si="5">IF(E33&gt;0,E33-D34,0)</f>
        <v>#VALUE!</v>
      </c>
      <c r="F34" s="182" t="e">
        <f>SUM($D$33:D34)</f>
        <v>#VALUE!</v>
      </c>
      <c r="G34" s="182">
        <f t="shared" ref="G34:G97" ca="1" si="6">IFERROR(-VLOOKUP(A34,$K$30:$M$36,2,FALSE),0)</f>
        <v>0</v>
      </c>
      <c r="H34" s="182" t="e">
        <f t="shared" ref="H34:H96" si="7">IF(E34&gt;0,C34+G34,IF(E34&lt;0,C34+G34+D34-E33,C34+D34+G34))</f>
        <v>#VALUE!</v>
      </c>
      <c r="I34" s="183" t="e">
        <f t="shared" si="2"/>
        <v>#VALUE!</v>
      </c>
      <c r="J34" s="682">
        <v>1</v>
      </c>
      <c r="K34" s="130">
        <f t="shared" ref="K34:K57" ca="1" si="8">EDATE(K33,1)</f>
        <v>46136</v>
      </c>
      <c r="L34" s="642" t="e" cm="1">
        <f t="array" ref="L34">_xlfn.IFS(J34&gt;C$27,0,'Deal Details'!#REF!="Yes",0/$C$27,'Deal Details'!#REF!="No",$F$24/C$27)</f>
        <v>#REF!</v>
      </c>
      <c r="M34" s="118"/>
      <c r="O34" s="176"/>
      <c r="P34" s="115"/>
      <c r="Q34" s="118" t="s">
        <v>307</v>
      </c>
    </row>
    <row r="35" spans="1:31" x14ac:dyDescent="0.25">
      <c r="A35" s="180">
        <f t="shared" ca="1" si="3"/>
        <v>46107</v>
      </c>
      <c r="B35" s="181">
        <v>3</v>
      </c>
      <c r="C35" s="182" t="e">
        <f t="shared" si="4"/>
        <v>#VALUE!</v>
      </c>
      <c r="D35" s="182" t="e">
        <f t="shared" si="1"/>
        <v>#VALUE!</v>
      </c>
      <c r="E35" s="182" t="e">
        <f t="shared" si="5"/>
        <v>#VALUE!</v>
      </c>
      <c r="F35" s="182" t="e">
        <f>SUM($D$33:D35)</f>
        <v>#VALUE!</v>
      </c>
      <c r="G35" s="182">
        <f t="shared" ca="1" si="6"/>
        <v>0</v>
      </c>
      <c r="H35" s="182" t="e">
        <f t="shared" si="7"/>
        <v>#VALUE!</v>
      </c>
      <c r="I35" s="183" t="e">
        <f t="shared" si="2"/>
        <v>#VALUE!</v>
      </c>
      <c r="J35" s="682">
        <v>2</v>
      </c>
      <c r="K35" s="130">
        <f t="shared" ca="1" si="8"/>
        <v>46166</v>
      </c>
      <c r="L35" s="642" t="e" cm="1">
        <f t="array" ref="L35">_xlfn.IFS(J35&gt;C$27,0,'Deal Details'!#REF!="Yes",0/$C$27,'Deal Details'!#REF!="No",$F$24/C$27)</f>
        <v>#REF!</v>
      </c>
      <c r="M35" s="118"/>
      <c r="O35" s="176"/>
      <c r="P35" s="115"/>
      <c r="Q35" s="118"/>
    </row>
    <row r="36" spans="1:31" ht="15.75" customHeight="1" x14ac:dyDescent="0.25">
      <c r="A36" s="180">
        <f t="shared" ca="1" si="3"/>
        <v>46108</v>
      </c>
      <c r="B36" s="181">
        <v>4</v>
      </c>
      <c r="C36" s="182" t="e">
        <f t="shared" si="4"/>
        <v>#VALUE!</v>
      </c>
      <c r="D36" s="182" t="e">
        <f t="shared" si="1"/>
        <v>#VALUE!</v>
      </c>
      <c r="E36" s="182" t="e">
        <f t="shared" si="5"/>
        <v>#VALUE!</v>
      </c>
      <c r="F36" s="182" t="e">
        <f>SUM($D$33:D36)</f>
        <v>#VALUE!</v>
      </c>
      <c r="G36" s="182">
        <f t="shared" ca="1" si="6"/>
        <v>0</v>
      </c>
      <c r="H36" s="182" t="e">
        <f t="shared" si="7"/>
        <v>#VALUE!</v>
      </c>
      <c r="I36" s="183" t="e">
        <f t="shared" si="2"/>
        <v>#VALUE!</v>
      </c>
      <c r="J36" s="682">
        <v>3</v>
      </c>
      <c r="K36" s="130">
        <f t="shared" ca="1" si="8"/>
        <v>46197</v>
      </c>
      <c r="L36" s="642" t="e" cm="1">
        <f t="array" ref="L36">_xlfn.IFS(J36&gt;C$27,0,'Deal Details'!#REF!="Yes",0/$C$27,'Deal Details'!#REF!="No",$F$24/C$27)</f>
        <v>#REF!</v>
      </c>
      <c r="M36" s="118"/>
      <c r="O36" s="176"/>
      <c r="P36" s="115"/>
      <c r="Q36" s="118"/>
      <c r="AA36" s="117"/>
      <c r="AB36" s="117"/>
      <c r="AC36" s="117"/>
      <c r="AD36" s="117"/>
      <c r="AE36" s="117"/>
    </row>
    <row r="37" spans="1:31" x14ac:dyDescent="0.25">
      <c r="A37" s="180">
        <f t="shared" ca="1" si="3"/>
        <v>46109</v>
      </c>
      <c r="B37" s="181">
        <v>5</v>
      </c>
      <c r="C37" s="182" t="e">
        <f t="shared" si="4"/>
        <v>#VALUE!</v>
      </c>
      <c r="D37" s="182" t="e">
        <f t="shared" si="1"/>
        <v>#VALUE!</v>
      </c>
      <c r="E37" s="182" t="e">
        <f t="shared" si="5"/>
        <v>#VALUE!</v>
      </c>
      <c r="F37" s="182" t="e">
        <f>SUM($D$33:D37)</f>
        <v>#VALUE!</v>
      </c>
      <c r="G37" s="182">
        <f t="shared" ca="1" si="6"/>
        <v>0</v>
      </c>
      <c r="H37" s="182" t="e">
        <f t="shared" si="7"/>
        <v>#VALUE!</v>
      </c>
      <c r="I37" s="183" t="e">
        <f t="shared" si="2"/>
        <v>#VALUE!</v>
      </c>
      <c r="J37" s="682">
        <v>4</v>
      </c>
      <c r="K37" s="130">
        <f t="shared" ca="1" si="8"/>
        <v>46227</v>
      </c>
      <c r="L37" s="642" t="e" cm="1">
        <f t="array" ref="L37">_xlfn.IFS(J37&gt;C$27,0,'Deal Details'!#REF!="Yes",0/$C$27,'Deal Details'!#REF!="No",$F$24/C$27)</f>
        <v>#REF!</v>
      </c>
      <c r="M37" s="104"/>
      <c r="O37" s="176"/>
      <c r="P37" s="115"/>
      <c r="Q37" s="118"/>
      <c r="AA37" s="115"/>
      <c r="AB37" s="115"/>
      <c r="AD37" s="85"/>
      <c r="AE37" s="85"/>
    </row>
    <row r="38" spans="1:31" x14ac:dyDescent="0.25">
      <c r="A38" s="180">
        <f t="shared" ca="1" si="3"/>
        <v>46110</v>
      </c>
      <c r="B38" s="181">
        <v>6</v>
      </c>
      <c r="C38" s="182" t="e">
        <f t="shared" si="4"/>
        <v>#VALUE!</v>
      </c>
      <c r="D38" s="182" t="e">
        <f t="shared" si="1"/>
        <v>#VALUE!</v>
      </c>
      <c r="E38" s="182" t="e">
        <f t="shared" si="5"/>
        <v>#VALUE!</v>
      </c>
      <c r="F38" s="182" t="e">
        <f>SUM($D$33:D38)</f>
        <v>#VALUE!</v>
      </c>
      <c r="G38" s="182">
        <f t="shared" ca="1" si="6"/>
        <v>0</v>
      </c>
      <c r="H38" s="182" t="e">
        <f t="shared" si="7"/>
        <v>#VALUE!</v>
      </c>
      <c r="I38" s="183" t="e">
        <f t="shared" si="2"/>
        <v>#VALUE!</v>
      </c>
      <c r="J38" s="682">
        <v>5</v>
      </c>
      <c r="K38" s="130">
        <f t="shared" ca="1" si="8"/>
        <v>46258</v>
      </c>
      <c r="L38" s="642" t="e" cm="1">
        <f t="array" ref="L38">_xlfn.IFS(J38&gt;C$27,0,'Deal Details'!#REF!="Yes",0/$C$27,'Deal Details'!#REF!="No",$F$24/C$27)</f>
        <v>#REF!</v>
      </c>
      <c r="M38" s="104"/>
      <c r="O38" s="106"/>
      <c r="Q38" s="104"/>
    </row>
    <row r="39" spans="1:31" x14ac:dyDescent="0.25">
      <c r="A39" s="180">
        <f t="shared" ca="1" si="3"/>
        <v>46111</v>
      </c>
      <c r="B39" s="181">
        <v>7</v>
      </c>
      <c r="C39" s="182" t="e">
        <f t="shared" si="4"/>
        <v>#VALUE!</v>
      </c>
      <c r="D39" s="182" t="e">
        <f t="shared" si="1"/>
        <v>#VALUE!</v>
      </c>
      <c r="E39" s="182" t="e">
        <f t="shared" si="5"/>
        <v>#VALUE!</v>
      </c>
      <c r="F39" s="182" t="e">
        <f>SUM($D$33:D39)</f>
        <v>#VALUE!</v>
      </c>
      <c r="G39" s="182">
        <f t="shared" ca="1" si="6"/>
        <v>0</v>
      </c>
      <c r="H39" s="182" t="e">
        <f t="shared" si="7"/>
        <v>#VALUE!</v>
      </c>
      <c r="I39" s="183" t="e">
        <f t="shared" si="2"/>
        <v>#VALUE!</v>
      </c>
      <c r="J39" s="682">
        <v>6</v>
      </c>
      <c r="K39" s="130">
        <f t="shared" ca="1" si="8"/>
        <v>46289</v>
      </c>
      <c r="L39" s="642" t="e" cm="1">
        <f t="array" ref="L39">_xlfn.IFS(J39&gt;C$27,0,'Deal Details'!#REF!="Yes",0/$C$27,'Deal Details'!#REF!="No",$F$24/C$27)</f>
        <v>#REF!</v>
      </c>
      <c r="M39" s="104"/>
      <c r="O39" s="106"/>
      <c r="Q39" s="104"/>
      <c r="R39" s="1"/>
    </row>
    <row r="40" spans="1:31" x14ac:dyDescent="0.25">
      <c r="A40" s="180">
        <f t="shared" ca="1" si="3"/>
        <v>46112</v>
      </c>
      <c r="B40" s="181">
        <v>8</v>
      </c>
      <c r="C40" s="182" t="e">
        <f t="shared" si="4"/>
        <v>#VALUE!</v>
      </c>
      <c r="D40" s="182" t="e">
        <f t="shared" si="1"/>
        <v>#VALUE!</v>
      </c>
      <c r="E40" s="182" t="e">
        <f t="shared" si="5"/>
        <v>#VALUE!</v>
      </c>
      <c r="F40" s="182" t="e">
        <f>SUM($D$33:D40)</f>
        <v>#VALUE!</v>
      </c>
      <c r="G40" s="182">
        <f t="shared" ca="1" si="6"/>
        <v>0</v>
      </c>
      <c r="H40" s="182" t="e">
        <f t="shared" si="7"/>
        <v>#VALUE!</v>
      </c>
      <c r="I40" s="183" t="e">
        <f t="shared" si="2"/>
        <v>#VALUE!</v>
      </c>
      <c r="J40" s="682">
        <v>7</v>
      </c>
      <c r="K40" s="130">
        <f t="shared" ca="1" si="8"/>
        <v>46319</v>
      </c>
      <c r="L40" s="642" t="e" cm="1">
        <f t="array" ref="L40">_xlfn.IFS(J40&gt;C$27,0,'Deal Details'!#REF!="Yes",0/$C$27,'Deal Details'!#REF!="No",$F$24/C$27)</f>
        <v>#REF!</v>
      </c>
      <c r="M40" s="187"/>
      <c r="O40" s="186"/>
      <c r="P40" s="179"/>
      <c r="Q40" s="187"/>
    </row>
    <row r="41" spans="1:31" x14ac:dyDescent="0.25">
      <c r="A41" s="180">
        <f t="shared" ca="1" si="3"/>
        <v>46113</v>
      </c>
      <c r="B41" s="181">
        <v>9</v>
      </c>
      <c r="C41" s="182" t="e">
        <f t="shared" si="4"/>
        <v>#VALUE!</v>
      </c>
      <c r="D41" s="182" t="e">
        <f t="shared" si="1"/>
        <v>#VALUE!</v>
      </c>
      <c r="E41" s="182" t="e">
        <f t="shared" si="5"/>
        <v>#VALUE!</v>
      </c>
      <c r="F41" s="182" t="e">
        <f>SUM($D$33:D41)</f>
        <v>#VALUE!</v>
      </c>
      <c r="G41" s="182">
        <f t="shared" ca="1" si="6"/>
        <v>0</v>
      </c>
      <c r="H41" s="182" t="e">
        <f t="shared" si="7"/>
        <v>#VALUE!</v>
      </c>
      <c r="I41" s="183" t="e">
        <f t="shared" si="2"/>
        <v>#VALUE!</v>
      </c>
      <c r="J41" s="682">
        <v>8</v>
      </c>
      <c r="K41" s="130">
        <f t="shared" ca="1" si="8"/>
        <v>46350</v>
      </c>
      <c r="L41" s="642" t="e" cm="1">
        <f t="array" ref="L41">_xlfn.IFS(J41&gt;C$27,0,'Deal Details'!#REF!="Yes",0/$C$27,'Deal Details'!#REF!="No",$F$24/C$27)</f>
        <v>#REF!</v>
      </c>
      <c r="M41" s="104"/>
      <c r="N41" s="179"/>
      <c r="O41" s="106"/>
      <c r="Q41" s="104"/>
      <c r="R41" s="179"/>
      <c r="S41" s="179"/>
      <c r="T41" s="179"/>
      <c r="U41" s="179"/>
      <c r="V41" s="179"/>
      <c r="W41" s="179"/>
      <c r="X41" s="179"/>
      <c r="Y41" s="179"/>
      <c r="Z41" s="179"/>
    </row>
    <row r="42" spans="1:31" x14ac:dyDescent="0.25">
      <c r="A42" s="180">
        <f t="shared" ca="1" si="3"/>
        <v>46114</v>
      </c>
      <c r="B42" s="181">
        <v>10</v>
      </c>
      <c r="C42" s="182" t="e">
        <f t="shared" si="4"/>
        <v>#VALUE!</v>
      </c>
      <c r="D42" s="182" t="e">
        <f t="shared" si="1"/>
        <v>#VALUE!</v>
      </c>
      <c r="E42" s="182" t="e">
        <f t="shared" si="5"/>
        <v>#VALUE!</v>
      </c>
      <c r="F42" s="182" t="e">
        <f>SUM($D$33:D42)</f>
        <v>#VALUE!</v>
      </c>
      <c r="G42" s="182">
        <f t="shared" ca="1" si="6"/>
        <v>0</v>
      </c>
      <c r="H42" s="182" t="e">
        <f t="shared" si="7"/>
        <v>#VALUE!</v>
      </c>
      <c r="I42" s="183" t="e">
        <f t="shared" si="2"/>
        <v>#VALUE!</v>
      </c>
      <c r="J42" s="682">
        <v>9</v>
      </c>
      <c r="K42" s="130">
        <f t="shared" ca="1" si="8"/>
        <v>46380</v>
      </c>
      <c r="L42" s="642" t="e" cm="1">
        <f t="array" ref="L42">_xlfn.IFS(J42&gt;C$27,0,'Deal Details'!#REF!="Yes",0/$C$27,'Deal Details'!#REF!="No",$F$24/C$27)</f>
        <v>#REF!</v>
      </c>
      <c r="M42" s="104"/>
      <c r="N42" s="185"/>
      <c r="O42" s="106"/>
      <c r="Q42" s="104"/>
    </row>
    <row r="43" spans="1:31" ht="16.5" thickBot="1" x14ac:dyDescent="0.3">
      <c r="A43" s="180">
        <f t="shared" ca="1" si="3"/>
        <v>46115</v>
      </c>
      <c r="B43" s="181">
        <v>11</v>
      </c>
      <c r="C43" s="182" t="e">
        <f t="shared" si="4"/>
        <v>#VALUE!</v>
      </c>
      <c r="D43" s="182" t="e">
        <f t="shared" si="1"/>
        <v>#VALUE!</v>
      </c>
      <c r="E43" s="182" t="e">
        <f t="shared" si="5"/>
        <v>#VALUE!</v>
      </c>
      <c r="F43" s="182" t="e">
        <f>SUM($D$33:D43)</f>
        <v>#VALUE!</v>
      </c>
      <c r="G43" s="182">
        <f t="shared" ca="1" si="6"/>
        <v>0</v>
      </c>
      <c r="H43" s="182" t="e">
        <f t="shared" si="7"/>
        <v>#VALUE!</v>
      </c>
      <c r="I43" s="183" t="e">
        <f t="shared" si="2"/>
        <v>#VALUE!</v>
      </c>
      <c r="J43" s="682">
        <v>10</v>
      </c>
      <c r="K43" s="130">
        <f t="shared" ca="1" si="8"/>
        <v>46411</v>
      </c>
      <c r="L43" s="642" t="e" cm="1">
        <f t="array" ref="L43">_xlfn.IFS(J43&gt;C$27,0,'Deal Details'!#REF!="Yes",0/$C$27,'Deal Details'!#REF!="No",$F$24/C$27)</f>
        <v>#REF!</v>
      </c>
      <c r="M43" s="104"/>
      <c r="N43" s="185"/>
      <c r="O43" s="188">
        <f>P50</f>
        <v>0</v>
      </c>
      <c r="P43" s="189">
        <f>SUM(P30:P42)</f>
        <v>0</v>
      </c>
      <c r="Q43" s="190"/>
    </row>
    <row r="44" spans="1:31" ht="15.75" thickTop="1" x14ac:dyDescent="0.25">
      <c r="A44" s="180">
        <f t="shared" ca="1" si="3"/>
        <v>46116</v>
      </c>
      <c r="B44" s="181">
        <v>12</v>
      </c>
      <c r="C44" s="182" t="e">
        <f t="shared" si="4"/>
        <v>#VALUE!</v>
      </c>
      <c r="D44" s="182" t="e">
        <f t="shared" si="1"/>
        <v>#VALUE!</v>
      </c>
      <c r="E44" s="182" t="e">
        <f t="shared" si="5"/>
        <v>#VALUE!</v>
      </c>
      <c r="F44" s="182" t="e">
        <f>SUM($D$33:D44)</f>
        <v>#VALUE!</v>
      </c>
      <c r="G44" s="182">
        <f t="shared" ca="1" si="6"/>
        <v>0</v>
      </c>
      <c r="H44" s="182" t="e">
        <f t="shared" si="7"/>
        <v>#VALUE!</v>
      </c>
      <c r="I44" s="183" t="e">
        <f t="shared" si="2"/>
        <v>#VALUE!</v>
      </c>
      <c r="J44" s="682">
        <v>11</v>
      </c>
      <c r="K44" s="130">
        <f t="shared" ca="1" si="8"/>
        <v>46442</v>
      </c>
      <c r="L44" s="642" t="e" cm="1">
        <f t="array" ref="L44">_xlfn.IFS(J44&gt;C$27,0,'Deal Details'!#REF!="Yes",0/$C$27,'Deal Details'!#REF!="No",$F$24/C$27)</f>
        <v>#REF!</v>
      </c>
      <c r="M44" s="104"/>
      <c r="N44" s="185"/>
      <c r="O44" s="1" t="s">
        <v>308</v>
      </c>
      <c r="P44" s="1" t="e">
        <f ca="1">XIRR(P30:P43,O30:O43)</f>
        <v>#NUM!</v>
      </c>
      <c r="Q44" s="1"/>
      <c r="R44" s="117"/>
      <c r="S44" s="117"/>
      <c r="T44" s="117"/>
      <c r="U44" s="117"/>
      <c r="V44" s="117"/>
      <c r="W44" s="117"/>
      <c r="X44" s="117"/>
      <c r="Y44" s="117"/>
      <c r="Z44" s="117"/>
    </row>
    <row r="45" spans="1:31" x14ac:dyDescent="0.25">
      <c r="A45" s="180">
        <f t="shared" ca="1" si="3"/>
        <v>46117</v>
      </c>
      <c r="B45" s="181">
        <v>13</v>
      </c>
      <c r="C45" s="182" t="e">
        <f t="shared" si="4"/>
        <v>#VALUE!</v>
      </c>
      <c r="D45" s="182" t="e">
        <f t="shared" si="1"/>
        <v>#VALUE!</v>
      </c>
      <c r="E45" s="182" t="e">
        <f t="shared" si="5"/>
        <v>#VALUE!</v>
      </c>
      <c r="F45" s="182" t="e">
        <f>SUM($D$33:D45)</f>
        <v>#VALUE!</v>
      </c>
      <c r="G45" s="182">
        <f t="shared" ca="1" si="6"/>
        <v>0</v>
      </c>
      <c r="H45" s="182" t="e">
        <f t="shared" si="7"/>
        <v>#VALUE!</v>
      </c>
      <c r="I45" s="183" t="e">
        <f t="shared" si="2"/>
        <v>#VALUE!</v>
      </c>
      <c r="J45" s="682">
        <v>12</v>
      </c>
      <c r="K45" s="130">
        <f t="shared" ca="1" si="8"/>
        <v>46470</v>
      </c>
      <c r="L45" s="642" t="e" cm="1">
        <f t="array" ref="L45">_xlfn.IFS(J45&gt;C$27,0,'Deal Details'!#REF!="Yes",0/$C$27,'Deal Details'!#REF!="No",$F$24/C$27)</f>
        <v>#REF!</v>
      </c>
      <c r="M45" s="104"/>
      <c r="N45" s="185"/>
      <c r="O45" s="130"/>
      <c r="P45" s="130"/>
      <c r="Q45" s="5"/>
      <c r="R45" s="115"/>
      <c r="T45" s="115"/>
      <c r="U45" s="115"/>
      <c r="V45" s="115"/>
      <c r="W45" s="115"/>
      <c r="Y45" s="115"/>
      <c r="Z45" s="115"/>
    </row>
    <row r="46" spans="1:31" ht="15.75" x14ac:dyDescent="0.25">
      <c r="A46" s="180">
        <f t="shared" ca="1" si="3"/>
        <v>46118</v>
      </c>
      <c r="B46" s="181">
        <v>14</v>
      </c>
      <c r="C46" s="182" t="e">
        <f t="shared" si="4"/>
        <v>#VALUE!</v>
      </c>
      <c r="D46" s="182" t="e">
        <f t="shared" si="1"/>
        <v>#VALUE!</v>
      </c>
      <c r="E46" s="182" t="e">
        <f t="shared" si="5"/>
        <v>#VALUE!</v>
      </c>
      <c r="F46" s="182" t="e">
        <f>SUM($D$33:D46)</f>
        <v>#VALUE!</v>
      </c>
      <c r="G46" s="182">
        <f t="shared" ca="1" si="6"/>
        <v>0</v>
      </c>
      <c r="H46" s="182" t="e">
        <f t="shared" si="7"/>
        <v>#VALUE!</v>
      </c>
      <c r="I46" s="183" t="e">
        <f t="shared" si="2"/>
        <v>#VALUE!</v>
      </c>
      <c r="J46" s="682">
        <v>13</v>
      </c>
      <c r="K46" s="130">
        <f t="shared" ca="1" si="8"/>
        <v>46501</v>
      </c>
      <c r="L46" s="642" cm="1">
        <f t="array" ref="L46">_xlfn.IFS(J46&gt;C$27,0,'Deal Details'!#REF!="Yes",0/$C$27,'Deal Details'!#REF!="No",$F$24/C$27)</f>
        <v>0</v>
      </c>
      <c r="M46" s="653"/>
      <c r="N46" s="195"/>
      <c r="O46" s="195"/>
      <c r="P46" s="195"/>
      <c r="Q46" s="195"/>
      <c r="R46" s="195"/>
      <c r="S46" s="195"/>
      <c r="T46" s="195"/>
    </row>
    <row r="47" spans="1:31" x14ac:dyDescent="0.25">
      <c r="A47" s="180">
        <f t="shared" ca="1" si="3"/>
        <v>46119</v>
      </c>
      <c r="B47" s="181">
        <v>15</v>
      </c>
      <c r="C47" s="182" t="e">
        <f t="shared" si="4"/>
        <v>#VALUE!</v>
      </c>
      <c r="D47" s="182" t="e">
        <f t="shared" si="1"/>
        <v>#VALUE!</v>
      </c>
      <c r="E47" s="182" t="e">
        <f t="shared" si="5"/>
        <v>#VALUE!</v>
      </c>
      <c r="F47" s="182" t="e">
        <f>SUM($D$33:D47)</f>
        <v>#VALUE!</v>
      </c>
      <c r="G47" s="182">
        <f t="shared" ca="1" si="6"/>
        <v>0</v>
      </c>
      <c r="H47" s="182" t="e">
        <f t="shared" si="7"/>
        <v>#VALUE!</v>
      </c>
      <c r="I47" s="183" t="e">
        <f t="shared" si="2"/>
        <v>#VALUE!</v>
      </c>
      <c r="J47" s="682">
        <v>14</v>
      </c>
      <c r="K47" s="130">
        <f t="shared" ca="1" si="8"/>
        <v>46531</v>
      </c>
      <c r="L47" s="642" cm="1">
        <f t="array" ref="L47">_xlfn.IFS(J47&gt;C$27,0,'Deal Details'!#REF!="Yes",0/$C$27,'Deal Details'!#REF!="No",$F$24/C$27)</f>
        <v>0</v>
      </c>
      <c r="M47" s="187"/>
      <c r="N47" s="195"/>
      <c r="O47" s="195"/>
      <c r="P47" s="195"/>
      <c r="Q47" s="195"/>
      <c r="R47" s="195"/>
      <c r="S47" s="195"/>
      <c r="T47" s="195"/>
    </row>
    <row r="48" spans="1:31" x14ac:dyDescent="0.25">
      <c r="A48" s="180">
        <f t="shared" ca="1" si="3"/>
        <v>46120</v>
      </c>
      <c r="B48" s="181">
        <v>16</v>
      </c>
      <c r="C48" s="182" t="e">
        <f t="shared" si="4"/>
        <v>#VALUE!</v>
      </c>
      <c r="D48" s="182" t="e">
        <f t="shared" si="1"/>
        <v>#VALUE!</v>
      </c>
      <c r="E48" s="182" t="e">
        <f t="shared" si="5"/>
        <v>#VALUE!</v>
      </c>
      <c r="F48" s="182" t="e">
        <f>SUM($D$33:D48)</f>
        <v>#VALUE!</v>
      </c>
      <c r="G48" s="182">
        <f t="shared" ca="1" si="6"/>
        <v>0</v>
      </c>
      <c r="H48" s="182" t="e">
        <f t="shared" si="7"/>
        <v>#VALUE!</v>
      </c>
      <c r="I48" s="183" t="e">
        <f t="shared" si="2"/>
        <v>#VALUE!</v>
      </c>
      <c r="J48" s="682">
        <v>15</v>
      </c>
      <c r="K48" s="130">
        <f t="shared" ca="1" si="8"/>
        <v>46562</v>
      </c>
      <c r="L48" s="642" cm="1">
        <f t="array" ref="L48">_xlfn.IFS(J48&gt;C$27,0,'Deal Details'!#REF!="Yes",0/$C$27,'Deal Details'!#REF!="No",$F$24/C$27)</f>
        <v>0</v>
      </c>
      <c r="M48" s="104"/>
      <c r="N48" s="195"/>
      <c r="O48" s="1" t="s">
        <v>248</v>
      </c>
      <c r="P48" s="196">
        <f ca="1">C26</f>
        <v>46105</v>
      </c>
      <c r="Q48" s="185"/>
      <c r="R48" s="195"/>
      <c r="S48" s="195"/>
      <c r="T48" s="195"/>
    </row>
    <row r="49" spans="1:20" x14ac:dyDescent="0.25">
      <c r="A49" s="180">
        <f t="shared" ca="1" si="3"/>
        <v>46121</v>
      </c>
      <c r="B49" s="181">
        <v>17</v>
      </c>
      <c r="C49" s="182" t="e">
        <f t="shared" si="4"/>
        <v>#VALUE!</v>
      </c>
      <c r="D49" s="182" t="e">
        <f t="shared" si="1"/>
        <v>#VALUE!</v>
      </c>
      <c r="E49" s="182" t="e">
        <f t="shared" si="5"/>
        <v>#VALUE!</v>
      </c>
      <c r="F49" s="182" t="e">
        <f>SUM($D$33:D49)</f>
        <v>#VALUE!</v>
      </c>
      <c r="G49" s="182">
        <f t="shared" ca="1" si="6"/>
        <v>0</v>
      </c>
      <c r="H49" s="182" t="e">
        <f t="shared" si="7"/>
        <v>#VALUE!</v>
      </c>
      <c r="I49" s="183" t="e">
        <f t="shared" si="2"/>
        <v>#VALUE!</v>
      </c>
      <c r="J49" s="682">
        <v>16</v>
      </c>
      <c r="K49" s="130">
        <f t="shared" ca="1" si="8"/>
        <v>46592</v>
      </c>
      <c r="L49" s="642" cm="1">
        <f t="array" ref="L49">_xlfn.IFS(J49&gt;C$27,0,'Deal Details'!#REF!="Yes",0/$C$27,'Deal Details'!#REF!="No",$F$24/C$27)</f>
        <v>0</v>
      </c>
      <c r="M49" s="104"/>
      <c r="N49" s="195"/>
      <c r="O49" s="1" t="s">
        <v>310</v>
      </c>
      <c r="P49">
        <f ca="1">P48-A33+1</f>
        <v>1</v>
      </c>
      <c r="Q49" s="185"/>
      <c r="R49" s="195"/>
      <c r="S49" s="195"/>
      <c r="T49" s="195"/>
    </row>
    <row r="50" spans="1:20" x14ac:dyDescent="0.25">
      <c r="A50" s="180">
        <f t="shared" ca="1" si="3"/>
        <v>46122</v>
      </c>
      <c r="B50" s="181">
        <v>18</v>
      </c>
      <c r="C50" s="182" t="e">
        <f t="shared" si="4"/>
        <v>#VALUE!</v>
      </c>
      <c r="D50" s="182" t="e">
        <f t="shared" si="1"/>
        <v>#VALUE!</v>
      </c>
      <c r="E50" s="182" t="e">
        <f t="shared" si="5"/>
        <v>#VALUE!</v>
      </c>
      <c r="F50" s="182" t="e">
        <f>SUM($D$33:D50)</f>
        <v>#VALUE!</v>
      </c>
      <c r="G50" s="182">
        <f t="shared" ca="1" si="6"/>
        <v>0</v>
      </c>
      <c r="H50" s="182" t="e">
        <f t="shared" si="7"/>
        <v>#VALUE!</v>
      </c>
      <c r="I50" s="183" t="e">
        <f t="shared" si="2"/>
        <v>#VALUE!</v>
      </c>
      <c r="J50" s="682">
        <v>17</v>
      </c>
      <c r="K50" s="130">
        <f t="shared" ca="1" si="8"/>
        <v>46623</v>
      </c>
      <c r="L50" s="642" cm="1">
        <f t="array" ref="L50">_xlfn.IFS(J50&gt;C$27,0,'Deal Details'!#REF!="Yes",0/$C$27,'Deal Details'!#REF!="No",$F$24/C$27)</f>
        <v>0</v>
      </c>
      <c r="M50" s="104"/>
      <c r="N50" s="195"/>
      <c r="O50" s="184"/>
      <c r="P50" s="180"/>
      <c r="Q50" s="185"/>
      <c r="R50" s="195"/>
      <c r="S50" s="195"/>
      <c r="T50" s="195"/>
    </row>
    <row r="51" spans="1:20" x14ac:dyDescent="0.25">
      <c r="A51" s="180">
        <f t="shared" ca="1" si="3"/>
        <v>46123</v>
      </c>
      <c r="B51" s="181">
        <v>19</v>
      </c>
      <c r="C51" s="182" t="e">
        <f t="shared" si="4"/>
        <v>#VALUE!</v>
      </c>
      <c r="D51" s="182" t="e">
        <f t="shared" si="1"/>
        <v>#VALUE!</v>
      </c>
      <c r="E51" s="182" t="e">
        <f t="shared" si="5"/>
        <v>#VALUE!</v>
      </c>
      <c r="F51" s="182" t="e">
        <f>SUM($D$33:D51)</f>
        <v>#VALUE!</v>
      </c>
      <c r="G51" s="182">
        <f t="shared" ca="1" si="6"/>
        <v>0</v>
      </c>
      <c r="H51" s="182" t="e">
        <f t="shared" si="7"/>
        <v>#VALUE!</v>
      </c>
      <c r="I51" s="183" t="e">
        <f t="shared" si="2"/>
        <v>#VALUE!</v>
      </c>
      <c r="J51" s="682">
        <v>18</v>
      </c>
      <c r="K51" s="130">
        <f t="shared" ca="1" si="8"/>
        <v>46654</v>
      </c>
      <c r="L51" s="642" cm="1">
        <f t="array" ref="L51">_xlfn.IFS(J51&gt;C$27,0,'Deal Details'!#REF!="Yes",0/$C$27,'Deal Details'!#REF!="No",$F$24/C$27)</f>
        <v>0</v>
      </c>
      <c r="M51" s="104"/>
      <c r="N51" s="195"/>
      <c r="O51" t="s">
        <v>270</v>
      </c>
      <c r="P51" s="197" t="e">
        <f ca="1">$L$9-VLOOKUP(P48,$A$33:$H$835,5,FALSE)-H22</f>
        <v>#VALUE!</v>
      </c>
      <c r="Q51" s="185"/>
      <c r="R51" s="195"/>
      <c r="S51" s="195"/>
      <c r="T51" s="195"/>
    </row>
    <row r="52" spans="1:20" x14ac:dyDescent="0.25">
      <c r="A52" s="180">
        <f t="shared" ca="1" si="3"/>
        <v>46124</v>
      </c>
      <c r="B52" s="181">
        <v>20</v>
      </c>
      <c r="C52" s="182" t="e">
        <f t="shared" si="4"/>
        <v>#VALUE!</v>
      </c>
      <c r="D52" s="182" t="e">
        <f t="shared" si="1"/>
        <v>#VALUE!</v>
      </c>
      <c r="E52" s="182" t="e">
        <f t="shared" si="5"/>
        <v>#VALUE!</v>
      </c>
      <c r="F52" s="182" t="e">
        <f>SUM($D$33:D52)</f>
        <v>#VALUE!</v>
      </c>
      <c r="G52" s="182">
        <f t="shared" ca="1" si="6"/>
        <v>0</v>
      </c>
      <c r="H52" s="182" t="e">
        <f t="shared" si="7"/>
        <v>#VALUE!</v>
      </c>
      <c r="I52" s="183" t="e">
        <f t="shared" si="2"/>
        <v>#VALUE!</v>
      </c>
      <c r="J52" s="682">
        <v>19</v>
      </c>
      <c r="K52" s="130">
        <f t="shared" ca="1" si="8"/>
        <v>46684</v>
      </c>
      <c r="L52" s="642" cm="1">
        <f t="array" ref="L52">_xlfn.IFS(J52&gt;C$27,0,'Deal Details'!#REF!="Yes",0/$C$27,'Deal Details'!#REF!="No",$F$24/C$27)</f>
        <v>0</v>
      </c>
      <c r="M52" s="104"/>
      <c r="N52" s="195"/>
      <c r="P52" s="180"/>
      <c r="Q52" s="185"/>
      <c r="R52" s="195"/>
      <c r="S52" s="195"/>
      <c r="T52" s="195"/>
    </row>
    <row r="53" spans="1:20" x14ac:dyDescent="0.25">
      <c r="A53" s="180">
        <f t="shared" ca="1" si="3"/>
        <v>46125</v>
      </c>
      <c r="B53" s="181">
        <v>21</v>
      </c>
      <c r="C53" s="182" t="e">
        <f t="shared" si="4"/>
        <v>#VALUE!</v>
      </c>
      <c r="D53" s="182" t="e">
        <f t="shared" si="1"/>
        <v>#VALUE!</v>
      </c>
      <c r="E53" s="182" t="e">
        <f t="shared" si="5"/>
        <v>#VALUE!</v>
      </c>
      <c r="F53" s="182" t="e">
        <f>SUM($D$33:D53)</f>
        <v>#VALUE!</v>
      </c>
      <c r="G53" s="182">
        <f t="shared" ca="1" si="6"/>
        <v>0</v>
      </c>
      <c r="H53" s="182" t="e">
        <f t="shared" si="7"/>
        <v>#VALUE!</v>
      </c>
      <c r="I53" s="183" t="e">
        <f t="shared" si="2"/>
        <v>#VALUE!</v>
      </c>
      <c r="J53" s="682">
        <v>20</v>
      </c>
      <c r="K53" s="130">
        <f t="shared" ca="1" si="8"/>
        <v>46715</v>
      </c>
      <c r="L53" s="642" cm="1">
        <f t="array" ref="L53">_xlfn.IFS(J53&gt;C$27,0,'Deal Details'!#REF!="Yes",0/$C$27,'Deal Details'!#REF!="No",$F$24/C$27)</f>
        <v>0</v>
      </c>
      <c r="M53" s="104"/>
      <c r="N53" s="195"/>
      <c r="O53" s="184" t="s">
        <v>311</v>
      </c>
      <c r="P53" s="198" t="str">
        <f>F24</f>
        <v/>
      </c>
      <c r="Q53" s="185"/>
      <c r="R53" s="195"/>
      <c r="S53" s="195"/>
      <c r="T53" s="195"/>
    </row>
    <row r="54" spans="1:20" x14ac:dyDescent="0.25">
      <c r="A54" s="180">
        <f t="shared" ca="1" si="3"/>
        <v>46126</v>
      </c>
      <c r="B54" s="181">
        <v>22</v>
      </c>
      <c r="C54" s="182" t="e">
        <f t="shared" si="4"/>
        <v>#VALUE!</v>
      </c>
      <c r="D54" s="182" t="e">
        <f t="shared" si="1"/>
        <v>#VALUE!</v>
      </c>
      <c r="E54" s="182" t="e">
        <f t="shared" si="5"/>
        <v>#VALUE!</v>
      </c>
      <c r="F54" s="182" t="e">
        <f>SUM($D$33:D54)</f>
        <v>#VALUE!</v>
      </c>
      <c r="G54" s="182">
        <f t="shared" ca="1" si="6"/>
        <v>0</v>
      </c>
      <c r="H54" s="182" t="e">
        <f t="shared" si="7"/>
        <v>#VALUE!</v>
      </c>
      <c r="I54" s="183" t="e">
        <f t="shared" si="2"/>
        <v>#VALUE!</v>
      </c>
      <c r="J54" s="682">
        <v>21</v>
      </c>
      <c r="K54" s="130">
        <f t="shared" ca="1" si="8"/>
        <v>46745</v>
      </c>
      <c r="L54" s="642" cm="1">
        <f t="array" ref="L54">_xlfn.IFS(J54&gt;C$27,0,'Deal Details'!#REF!="Yes",0/$C$27,'Deal Details'!#REF!="No",$F$24/C$27)</f>
        <v>0</v>
      </c>
      <c r="M54" s="104"/>
      <c r="N54" s="195"/>
      <c r="O54" s="184" t="s">
        <v>272</v>
      </c>
      <c r="P54" s="115">
        <v>0</v>
      </c>
      <c r="Q54" s="185"/>
      <c r="R54" s="195"/>
      <c r="S54" s="195"/>
      <c r="T54" s="195"/>
    </row>
    <row r="55" spans="1:20" x14ac:dyDescent="0.25">
      <c r="A55" s="180">
        <f t="shared" ca="1" si="3"/>
        <v>46127</v>
      </c>
      <c r="B55" s="181">
        <v>23</v>
      </c>
      <c r="C55" s="182" t="e">
        <f t="shared" si="4"/>
        <v>#VALUE!</v>
      </c>
      <c r="D55" s="182" t="e">
        <f t="shared" si="1"/>
        <v>#VALUE!</v>
      </c>
      <c r="E55" s="182" t="e">
        <f t="shared" si="5"/>
        <v>#VALUE!</v>
      </c>
      <c r="F55" s="182" t="e">
        <f>SUM($D$33:D55)</f>
        <v>#VALUE!</v>
      </c>
      <c r="G55" s="182">
        <f t="shared" ca="1" si="6"/>
        <v>0</v>
      </c>
      <c r="H55" s="182" t="e">
        <f t="shared" si="7"/>
        <v>#VALUE!</v>
      </c>
      <c r="I55" s="183" t="e">
        <f t="shared" si="2"/>
        <v>#VALUE!</v>
      </c>
      <c r="J55" s="682">
        <v>22</v>
      </c>
      <c r="K55" s="130">
        <f t="shared" ca="1" si="8"/>
        <v>46776</v>
      </c>
      <c r="L55" s="642" cm="1">
        <f t="array" ref="L55">_xlfn.IFS(J55&gt;C$27,0,'Deal Details'!#REF!="Yes",0/$C$27,'Deal Details'!#REF!="No",$F$24/C$27)</f>
        <v>0</v>
      </c>
      <c r="M55" s="104"/>
      <c r="N55" s="185"/>
      <c r="O55" s="184" t="s">
        <v>312</v>
      </c>
      <c r="P55" s="115">
        <f ca="1">IF(VLOOKUP($P$48,$A$33:$H$511,6,FALSE)&gt;$P$54,VLOOKUP($P$48,$A$33:$H$511,6,FALSE),P54)</f>
        <v>0</v>
      </c>
      <c r="Q55" s="185"/>
    </row>
    <row r="56" spans="1:20" x14ac:dyDescent="0.25">
      <c r="A56" s="180">
        <f t="shared" ca="1" si="3"/>
        <v>46128</v>
      </c>
      <c r="B56" s="181">
        <v>24</v>
      </c>
      <c r="C56" s="182" t="e">
        <f t="shared" si="4"/>
        <v>#VALUE!</v>
      </c>
      <c r="D56" s="182" t="e">
        <f t="shared" si="1"/>
        <v>#VALUE!</v>
      </c>
      <c r="E56" s="182" t="e">
        <f t="shared" si="5"/>
        <v>#VALUE!</v>
      </c>
      <c r="F56" s="182" t="e">
        <f>SUM($D$33:D56)</f>
        <v>#VALUE!</v>
      </c>
      <c r="G56" s="182">
        <f t="shared" ca="1" si="6"/>
        <v>0</v>
      </c>
      <c r="H56" s="182" t="e">
        <f t="shared" si="7"/>
        <v>#VALUE!</v>
      </c>
      <c r="I56" s="183" t="e">
        <f t="shared" si="2"/>
        <v>#VALUE!</v>
      </c>
      <c r="J56" s="682">
        <v>23</v>
      </c>
      <c r="K56" s="130">
        <f t="shared" ca="1" si="8"/>
        <v>46807</v>
      </c>
      <c r="L56" s="642" cm="1">
        <f t="array" ref="L56">_xlfn.IFS(J56&gt;C$27,0,'Deal Details'!#REF!="Yes",0/$C$27,'Deal Details'!#REF!="No",$F$24/C$27)</f>
        <v>0</v>
      </c>
      <c r="M56" s="104"/>
      <c r="N56" s="185"/>
      <c r="O56" s="184" t="s">
        <v>313</v>
      </c>
      <c r="P56" s="115" t="e">
        <f ca="1">P53-P55</f>
        <v>#VALUE!</v>
      </c>
      <c r="Q56" s="100"/>
    </row>
    <row r="57" spans="1:20" ht="15.75" thickBot="1" x14ac:dyDescent="0.3">
      <c r="A57" s="180">
        <f t="shared" ca="1" si="3"/>
        <v>46129</v>
      </c>
      <c r="B57" s="181">
        <v>25</v>
      </c>
      <c r="C57" s="182" t="e">
        <f t="shared" si="4"/>
        <v>#VALUE!</v>
      </c>
      <c r="D57" s="182" t="e">
        <f t="shared" si="1"/>
        <v>#VALUE!</v>
      </c>
      <c r="E57" s="182" t="e">
        <f t="shared" si="5"/>
        <v>#VALUE!</v>
      </c>
      <c r="F57" s="182" t="e">
        <f>SUM($D$33:D57)</f>
        <v>#VALUE!</v>
      </c>
      <c r="G57" s="182">
        <f t="shared" ca="1" si="6"/>
        <v>0</v>
      </c>
      <c r="H57" s="182" t="e">
        <f t="shared" si="7"/>
        <v>#VALUE!</v>
      </c>
      <c r="I57" s="183" t="e">
        <f t="shared" si="2"/>
        <v>#VALUE!</v>
      </c>
      <c r="J57" s="683">
        <v>24</v>
      </c>
      <c r="K57" s="130">
        <f t="shared" ca="1" si="8"/>
        <v>46836</v>
      </c>
      <c r="L57" s="642" cm="1">
        <f t="array" ref="L57">_xlfn.IFS(J57&gt;C$27,0,'Deal Details'!#REF!="Yes",0/$C$27,'Deal Details'!#REF!="No",$F$24/C$27)</f>
        <v>0</v>
      </c>
      <c r="M57" s="104"/>
      <c r="N57" s="185"/>
      <c r="O57" s="184" t="s">
        <v>314</v>
      </c>
      <c r="P57" s="199" t="e">
        <f ca="1">C23-SUM(L35:L39)-P56</f>
        <v>#VALUE!</v>
      </c>
      <c r="Q57" s="200" t="s">
        <v>315</v>
      </c>
    </row>
    <row r="58" spans="1:20" x14ac:dyDescent="0.25">
      <c r="A58" s="180">
        <f t="shared" ca="1" si="3"/>
        <v>46130</v>
      </c>
      <c r="B58" s="181">
        <v>26</v>
      </c>
      <c r="C58" s="182" t="e">
        <f t="shared" si="4"/>
        <v>#VALUE!</v>
      </c>
      <c r="D58" s="182" t="e">
        <f t="shared" si="1"/>
        <v>#VALUE!</v>
      </c>
      <c r="E58" s="182" t="e">
        <f t="shared" si="5"/>
        <v>#VALUE!</v>
      </c>
      <c r="F58" s="182" t="e">
        <f>SUM($D$33:D58)</f>
        <v>#VALUE!</v>
      </c>
      <c r="G58" s="182">
        <f t="shared" ca="1" si="6"/>
        <v>0</v>
      </c>
      <c r="H58" s="182" t="e">
        <f t="shared" si="7"/>
        <v>#VALUE!</v>
      </c>
      <c r="I58" s="183" t="e">
        <f t="shared" si="2"/>
        <v>#VALUE!</v>
      </c>
      <c r="J58" s="185"/>
      <c r="K58" s="176">
        <f ca="1">C28</f>
        <v>46470</v>
      </c>
      <c r="L58" s="674" t="e">
        <f ca="1">(_xlfn.XLOOKUP(K58,A:A,I:I,0))</f>
        <v>#VALUE!</v>
      </c>
      <c r="M58" s="118" t="s">
        <v>304</v>
      </c>
      <c r="N58" s="185"/>
    </row>
    <row r="59" spans="1:20" ht="16.5" thickBot="1" x14ac:dyDescent="0.3">
      <c r="A59" s="180">
        <f t="shared" ca="1" si="3"/>
        <v>46131</v>
      </c>
      <c r="B59" s="181">
        <v>27</v>
      </c>
      <c r="C59" s="182" t="e">
        <f t="shared" si="4"/>
        <v>#VALUE!</v>
      </c>
      <c r="D59" s="182" t="e">
        <f t="shared" si="1"/>
        <v>#VALUE!</v>
      </c>
      <c r="E59" s="182" t="e">
        <f t="shared" si="5"/>
        <v>#VALUE!</v>
      </c>
      <c r="F59" s="182" t="e">
        <f>SUM($D$33:D59)</f>
        <v>#VALUE!</v>
      </c>
      <c r="G59" s="182">
        <f t="shared" ca="1" si="6"/>
        <v>0</v>
      </c>
      <c r="H59" s="182" t="e">
        <f t="shared" si="7"/>
        <v>#VALUE!</v>
      </c>
      <c r="I59" s="183" t="e">
        <f t="shared" si="2"/>
        <v>#VALUE!</v>
      </c>
      <c r="J59" s="185"/>
      <c r="K59" s="191" t="s">
        <v>78</v>
      </c>
      <c r="L59" s="189" t="e">
        <f>SUM(L31:L58)</f>
        <v>#REF!</v>
      </c>
      <c r="M59" s="190">
        <f>SUM(M33:M36)</f>
        <v>0</v>
      </c>
      <c r="N59" s="185"/>
    </row>
    <row r="60" spans="1:20" ht="16.5" thickTop="1" x14ac:dyDescent="0.25">
      <c r="A60" s="180">
        <f t="shared" ca="1" si="3"/>
        <v>46132</v>
      </c>
      <c r="B60" s="181">
        <v>28</v>
      </c>
      <c r="C60" s="182" t="e">
        <f t="shared" si="4"/>
        <v>#VALUE!</v>
      </c>
      <c r="D60" s="182" t="e">
        <f t="shared" si="1"/>
        <v>#VALUE!</v>
      </c>
      <c r="E60" s="182" t="e">
        <f t="shared" si="5"/>
        <v>#VALUE!</v>
      </c>
      <c r="F60" s="182" t="e">
        <f>SUM($D$33:D60)</f>
        <v>#VALUE!</v>
      </c>
      <c r="G60" s="182">
        <f t="shared" ca="1" si="6"/>
        <v>0</v>
      </c>
      <c r="H60" s="182" t="e">
        <f t="shared" si="7"/>
        <v>#VALUE!</v>
      </c>
      <c r="I60" s="183" t="e">
        <f t="shared" si="2"/>
        <v>#VALUE!</v>
      </c>
      <c r="J60" s="185"/>
      <c r="K60" s="192" t="s">
        <v>309</v>
      </c>
      <c r="L60" s="193" t="e">
        <f ca="1">XIRR(L30:L58,K30:K58)</f>
        <v>#VALUE!</v>
      </c>
      <c r="M60" s="194"/>
      <c r="N60" s="185"/>
    </row>
    <row r="61" spans="1:20" x14ac:dyDescent="0.25">
      <c r="A61" s="180">
        <f t="shared" ca="1" si="3"/>
        <v>46133</v>
      </c>
      <c r="B61" s="181">
        <v>29</v>
      </c>
      <c r="C61" s="182" t="e">
        <f t="shared" si="4"/>
        <v>#VALUE!</v>
      </c>
      <c r="D61" s="182" t="e">
        <f t="shared" si="1"/>
        <v>#VALUE!</v>
      </c>
      <c r="E61" s="182" t="e">
        <f t="shared" si="5"/>
        <v>#VALUE!</v>
      </c>
      <c r="F61" s="182" t="e">
        <f>SUM($D$33:D61)</f>
        <v>#VALUE!</v>
      </c>
      <c r="G61" s="182">
        <f t="shared" ca="1" si="6"/>
        <v>0</v>
      </c>
      <c r="H61" s="182" t="e">
        <f t="shared" si="7"/>
        <v>#VALUE!</v>
      </c>
      <c r="I61" s="183" t="e">
        <f t="shared" si="2"/>
        <v>#VALUE!</v>
      </c>
      <c r="J61" s="184"/>
      <c r="N61" s="185"/>
    </row>
    <row r="62" spans="1:20" x14ac:dyDescent="0.25">
      <c r="A62" s="180">
        <f t="shared" ca="1" si="3"/>
        <v>46134</v>
      </c>
      <c r="B62" s="181">
        <v>30</v>
      </c>
      <c r="C62" s="182" t="e">
        <f t="shared" si="4"/>
        <v>#VALUE!</v>
      </c>
      <c r="D62" s="182" t="e">
        <f t="shared" si="1"/>
        <v>#VALUE!</v>
      </c>
      <c r="E62" s="182" t="e">
        <f t="shared" si="5"/>
        <v>#VALUE!</v>
      </c>
      <c r="F62" s="182" t="e">
        <f>SUM($D$33:D62)</f>
        <v>#VALUE!</v>
      </c>
      <c r="G62" s="182">
        <f t="shared" ca="1" si="6"/>
        <v>0</v>
      </c>
      <c r="H62" s="182" t="e">
        <f t="shared" si="7"/>
        <v>#VALUE!</v>
      </c>
      <c r="I62" s="183" t="e">
        <f t="shared" si="2"/>
        <v>#VALUE!</v>
      </c>
      <c r="J62" s="185"/>
      <c r="N62" s="185"/>
    </row>
    <row r="63" spans="1:20" x14ac:dyDescent="0.25">
      <c r="A63" s="180">
        <f t="shared" ca="1" si="3"/>
        <v>46135</v>
      </c>
      <c r="B63" s="181">
        <v>31</v>
      </c>
      <c r="C63" s="182" t="e">
        <f t="shared" si="4"/>
        <v>#VALUE!</v>
      </c>
      <c r="D63" s="182" t="e">
        <f t="shared" si="1"/>
        <v>#VALUE!</v>
      </c>
      <c r="E63" s="182" t="e">
        <f t="shared" si="5"/>
        <v>#VALUE!</v>
      </c>
      <c r="F63" s="182" t="e">
        <f>SUM($D$33:D63)</f>
        <v>#VALUE!</v>
      </c>
      <c r="G63" s="182">
        <f t="shared" ca="1" si="6"/>
        <v>0</v>
      </c>
      <c r="H63" s="182" t="e">
        <f t="shared" si="7"/>
        <v>#VALUE!</v>
      </c>
      <c r="I63" s="183" t="e">
        <f t="shared" si="2"/>
        <v>#VALUE!</v>
      </c>
      <c r="J63" s="185"/>
      <c r="N63" s="185"/>
    </row>
    <row r="64" spans="1:20" x14ac:dyDescent="0.25">
      <c r="A64" s="180">
        <f t="shared" ca="1" si="3"/>
        <v>46136</v>
      </c>
      <c r="B64" s="181">
        <v>32</v>
      </c>
      <c r="C64" s="182" t="e">
        <f t="shared" si="4"/>
        <v>#VALUE!</v>
      </c>
      <c r="D64" s="182" t="e">
        <f t="shared" si="1"/>
        <v>#VALUE!</v>
      </c>
      <c r="E64" s="182" t="e">
        <f t="shared" si="5"/>
        <v>#VALUE!</v>
      </c>
      <c r="F64" s="182" t="e">
        <f>SUM($D$33:D64)</f>
        <v>#VALUE!</v>
      </c>
      <c r="G64" s="182">
        <f t="shared" ca="1" si="6"/>
        <v>0</v>
      </c>
      <c r="H64" s="182" t="e">
        <f t="shared" si="7"/>
        <v>#VALUE!</v>
      </c>
      <c r="I64" s="183" t="e">
        <f t="shared" si="2"/>
        <v>#VALUE!</v>
      </c>
      <c r="J64" s="185"/>
      <c r="N64" s="185"/>
    </row>
    <row r="65" spans="1:14" x14ac:dyDescent="0.25">
      <c r="A65" s="180">
        <f t="shared" ca="1" si="3"/>
        <v>46137</v>
      </c>
      <c r="B65" s="181">
        <v>33</v>
      </c>
      <c r="C65" s="182" t="e">
        <f t="shared" si="4"/>
        <v>#VALUE!</v>
      </c>
      <c r="D65" s="182" t="e">
        <f t="shared" si="1"/>
        <v>#VALUE!</v>
      </c>
      <c r="E65" s="182" t="e">
        <f t="shared" si="5"/>
        <v>#VALUE!</v>
      </c>
      <c r="F65" s="182" t="e">
        <f>SUM($D$33:D65)</f>
        <v>#VALUE!</v>
      </c>
      <c r="G65" s="182">
        <f t="shared" ca="1" si="6"/>
        <v>0</v>
      </c>
      <c r="H65" s="182" t="e">
        <f t="shared" si="7"/>
        <v>#VALUE!</v>
      </c>
      <c r="I65" s="183" t="e">
        <f t="shared" si="2"/>
        <v>#VALUE!</v>
      </c>
      <c r="J65" s="185"/>
      <c r="N65" s="185"/>
    </row>
    <row r="66" spans="1:14" x14ac:dyDescent="0.25">
      <c r="A66" s="180">
        <f t="shared" ca="1" si="3"/>
        <v>46138</v>
      </c>
      <c r="B66" s="181">
        <v>34</v>
      </c>
      <c r="C66" s="182" t="e">
        <f t="shared" si="4"/>
        <v>#VALUE!</v>
      </c>
      <c r="D66" s="182" t="e">
        <f t="shared" si="1"/>
        <v>#VALUE!</v>
      </c>
      <c r="E66" s="182" t="e">
        <f t="shared" si="5"/>
        <v>#VALUE!</v>
      </c>
      <c r="F66" s="182" t="e">
        <f>SUM($D$33:D66)</f>
        <v>#VALUE!</v>
      </c>
      <c r="G66" s="182">
        <f t="shared" ca="1" si="6"/>
        <v>0</v>
      </c>
      <c r="H66" s="182" t="e">
        <f t="shared" si="7"/>
        <v>#VALUE!</v>
      </c>
      <c r="I66" s="183" t="e">
        <f t="shared" si="2"/>
        <v>#VALUE!</v>
      </c>
      <c r="J66" s="185"/>
      <c r="N66" s="185"/>
    </row>
    <row r="67" spans="1:14" x14ac:dyDescent="0.25">
      <c r="A67" s="180">
        <f t="shared" ca="1" si="3"/>
        <v>46139</v>
      </c>
      <c r="B67" s="181">
        <v>35</v>
      </c>
      <c r="C67" s="182" t="e">
        <f t="shared" si="4"/>
        <v>#VALUE!</v>
      </c>
      <c r="D67" s="182" t="e">
        <f t="shared" si="1"/>
        <v>#VALUE!</v>
      </c>
      <c r="E67" s="182" t="e">
        <f t="shared" si="5"/>
        <v>#VALUE!</v>
      </c>
      <c r="F67" s="182" t="e">
        <f>SUM($D$33:D67)</f>
        <v>#VALUE!</v>
      </c>
      <c r="G67" s="182">
        <f t="shared" ca="1" si="6"/>
        <v>0</v>
      </c>
      <c r="H67" s="182" t="e">
        <f t="shared" si="7"/>
        <v>#VALUE!</v>
      </c>
      <c r="I67" s="183" t="e">
        <f t="shared" si="2"/>
        <v>#VALUE!</v>
      </c>
      <c r="J67" s="185"/>
      <c r="N67" s="185"/>
    </row>
    <row r="68" spans="1:14" x14ac:dyDescent="0.25">
      <c r="A68" s="180">
        <f t="shared" ca="1" si="3"/>
        <v>46140</v>
      </c>
      <c r="B68" s="181">
        <v>36</v>
      </c>
      <c r="C68" s="182" t="e">
        <f t="shared" si="4"/>
        <v>#VALUE!</v>
      </c>
      <c r="D68" s="182" t="e">
        <f t="shared" si="1"/>
        <v>#VALUE!</v>
      </c>
      <c r="E68" s="182" t="e">
        <f t="shared" si="5"/>
        <v>#VALUE!</v>
      </c>
      <c r="F68" s="182" t="e">
        <f>SUM($D$33:D68)</f>
        <v>#VALUE!</v>
      </c>
      <c r="G68" s="182">
        <f t="shared" ca="1" si="6"/>
        <v>0</v>
      </c>
      <c r="H68" s="182" t="e">
        <f t="shared" si="7"/>
        <v>#VALUE!</v>
      </c>
      <c r="I68" s="183" t="e">
        <f t="shared" si="2"/>
        <v>#VALUE!</v>
      </c>
      <c r="J68" s="185"/>
      <c r="N68" s="185"/>
    </row>
    <row r="69" spans="1:14" x14ac:dyDescent="0.25">
      <c r="A69" s="180">
        <f t="shared" ca="1" si="3"/>
        <v>46141</v>
      </c>
      <c r="B69" s="181">
        <v>37</v>
      </c>
      <c r="C69" s="182" t="e">
        <f t="shared" si="4"/>
        <v>#VALUE!</v>
      </c>
      <c r="D69" s="182" t="e">
        <f t="shared" si="1"/>
        <v>#VALUE!</v>
      </c>
      <c r="E69" s="182" t="e">
        <f t="shared" si="5"/>
        <v>#VALUE!</v>
      </c>
      <c r="F69" s="182" t="e">
        <f>SUM($D$33:D69)</f>
        <v>#VALUE!</v>
      </c>
      <c r="G69" s="182">
        <f t="shared" ca="1" si="6"/>
        <v>0</v>
      </c>
      <c r="H69" s="182" t="e">
        <f t="shared" si="7"/>
        <v>#VALUE!</v>
      </c>
      <c r="I69" s="183" t="e">
        <f t="shared" si="2"/>
        <v>#VALUE!</v>
      </c>
      <c r="J69" s="185"/>
      <c r="N69" s="185"/>
    </row>
    <row r="70" spans="1:14" x14ac:dyDescent="0.25">
      <c r="A70" s="180">
        <f t="shared" ca="1" si="3"/>
        <v>46142</v>
      </c>
      <c r="B70" s="181">
        <v>38</v>
      </c>
      <c r="C70" s="182" t="e">
        <f t="shared" si="4"/>
        <v>#VALUE!</v>
      </c>
      <c r="D70" s="182" t="e">
        <f t="shared" si="1"/>
        <v>#VALUE!</v>
      </c>
      <c r="E70" s="182" t="e">
        <f t="shared" si="5"/>
        <v>#VALUE!</v>
      </c>
      <c r="F70" s="182" t="e">
        <f>SUM($D$33:D70)</f>
        <v>#VALUE!</v>
      </c>
      <c r="G70" s="182">
        <f t="shared" ca="1" si="6"/>
        <v>0</v>
      </c>
      <c r="H70" s="182" t="e">
        <f t="shared" si="7"/>
        <v>#VALUE!</v>
      </c>
      <c r="I70" s="183" t="e">
        <f t="shared" si="2"/>
        <v>#VALUE!</v>
      </c>
      <c r="J70" s="185"/>
      <c r="K70" s="185"/>
      <c r="L70" s="183"/>
      <c r="M70" s="185"/>
      <c r="N70" s="185"/>
    </row>
    <row r="71" spans="1:14" x14ac:dyDescent="0.25">
      <c r="A71" s="180">
        <f t="shared" ca="1" si="3"/>
        <v>46143</v>
      </c>
      <c r="B71" s="181">
        <v>39</v>
      </c>
      <c r="C71" s="182" t="e">
        <f t="shared" si="4"/>
        <v>#VALUE!</v>
      </c>
      <c r="D71" s="182" t="e">
        <f t="shared" si="1"/>
        <v>#VALUE!</v>
      </c>
      <c r="E71" s="182" t="e">
        <f t="shared" si="5"/>
        <v>#VALUE!</v>
      </c>
      <c r="F71" s="182" t="e">
        <f>SUM($D$33:D71)</f>
        <v>#VALUE!</v>
      </c>
      <c r="G71" s="182">
        <f t="shared" ca="1" si="6"/>
        <v>0</v>
      </c>
      <c r="H71" s="182" t="e">
        <f t="shared" si="7"/>
        <v>#VALUE!</v>
      </c>
      <c r="I71" s="183" t="e">
        <f t="shared" si="2"/>
        <v>#VALUE!</v>
      </c>
      <c r="J71" s="185"/>
      <c r="K71" s="185"/>
      <c r="L71" s="183"/>
      <c r="M71" s="185"/>
      <c r="N71" s="185"/>
    </row>
    <row r="72" spans="1:14" x14ac:dyDescent="0.25">
      <c r="A72" s="180">
        <f t="shared" ca="1" si="3"/>
        <v>46144</v>
      </c>
      <c r="B72" s="181">
        <v>40</v>
      </c>
      <c r="C72" s="182" t="e">
        <f t="shared" si="4"/>
        <v>#VALUE!</v>
      </c>
      <c r="D72" s="182" t="e">
        <f t="shared" si="1"/>
        <v>#VALUE!</v>
      </c>
      <c r="E72" s="182" t="e">
        <f t="shared" si="5"/>
        <v>#VALUE!</v>
      </c>
      <c r="F72" s="182" t="e">
        <f>SUM($D$33:D72)</f>
        <v>#VALUE!</v>
      </c>
      <c r="G72" s="182">
        <f t="shared" ca="1" si="6"/>
        <v>0</v>
      </c>
      <c r="H72" s="182" t="e">
        <f t="shared" si="7"/>
        <v>#VALUE!</v>
      </c>
      <c r="I72" s="183" t="e">
        <f t="shared" si="2"/>
        <v>#VALUE!</v>
      </c>
      <c r="J72" s="185"/>
      <c r="K72" s="201"/>
      <c r="L72" s="202"/>
      <c r="M72" s="185"/>
      <c r="N72" s="185"/>
    </row>
    <row r="73" spans="1:14" x14ac:dyDescent="0.25">
      <c r="A73" s="180">
        <f t="shared" ca="1" si="3"/>
        <v>46145</v>
      </c>
      <c r="B73" s="181">
        <v>41</v>
      </c>
      <c r="C73" s="182" t="e">
        <f t="shared" si="4"/>
        <v>#VALUE!</v>
      </c>
      <c r="D73" s="182" t="e">
        <f t="shared" si="1"/>
        <v>#VALUE!</v>
      </c>
      <c r="E73" s="182" t="e">
        <f t="shared" si="5"/>
        <v>#VALUE!</v>
      </c>
      <c r="F73" s="182" t="e">
        <f>SUM($D$33:D73)</f>
        <v>#VALUE!</v>
      </c>
      <c r="G73" s="182">
        <f t="shared" ca="1" si="6"/>
        <v>0</v>
      </c>
      <c r="H73" s="182" t="e">
        <f t="shared" si="7"/>
        <v>#VALUE!</v>
      </c>
      <c r="I73" s="183" t="e">
        <f t="shared" si="2"/>
        <v>#VALUE!</v>
      </c>
      <c r="J73" s="185"/>
      <c r="K73" s="185"/>
      <c r="L73" s="185"/>
      <c r="M73" s="185"/>
      <c r="N73" s="185"/>
    </row>
    <row r="74" spans="1:14" x14ac:dyDescent="0.25">
      <c r="A74" s="180">
        <f t="shared" ca="1" si="3"/>
        <v>46146</v>
      </c>
      <c r="B74" s="181">
        <v>42</v>
      </c>
      <c r="C74" s="182" t="e">
        <f t="shared" si="4"/>
        <v>#VALUE!</v>
      </c>
      <c r="D74" s="182" t="e">
        <f t="shared" si="1"/>
        <v>#VALUE!</v>
      </c>
      <c r="E74" s="182" t="e">
        <f t="shared" si="5"/>
        <v>#VALUE!</v>
      </c>
      <c r="F74" s="182" t="e">
        <f>SUM($D$33:D74)</f>
        <v>#VALUE!</v>
      </c>
      <c r="G74" s="182">
        <f t="shared" ca="1" si="6"/>
        <v>0</v>
      </c>
      <c r="H74" s="182" t="e">
        <f t="shared" si="7"/>
        <v>#VALUE!</v>
      </c>
      <c r="I74" s="183" t="e">
        <f t="shared" si="2"/>
        <v>#VALUE!</v>
      </c>
      <c r="J74" s="185"/>
      <c r="K74" s="185"/>
      <c r="L74" s="185"/>
      <c r="M74" s="185"/>
      <c r="N74" s="185"/>
    </row>
    <row r="75" spans="1:14" x14ac:dyDescent="0.25">
      <c r="A75" s="180">
        <f t="shared" ca="1" si="3"/>
        <v>46147</v>
      </c>
      <c r="B75" s="181">
        <v>43</v>
      </c>
      <c r="C75" s="182" t="e">
        <f t="shared" si="4"/>
        <v>#VALUE!</v>
      </c>
      <c r="D75" s="182" t="e">
        <f t="shared" si="1"/>
        <v>#VALUE!</v>
      </c>
      <c r="E75" s="182" t="e">
        <f t="shared" si="5"/>
        <v>#VALUE!</v>
      </c>
      <c r="F75" s="182" t="e">
        <f>SUM($D$33:D75)</f>
        <v>#VALUE!</v>
      </c>
      <c r="G75" s="182">
        <f t="shared" ca="1" si="6"/>
        <v>0</v>
      </c>
      <c r="H75" s="182" t="e">
        <f t="shared" si="7"/>
        <v>#VALUE!</v>
      </c>
      <c r="I75" s="183" t="e">
        <f t="shared" si="2"/>
        <v>#VALUE!</v>
      </c>
      <c r="J75" s="185"/>
      <c r="K75" s="185"/>
      <c r="L75" s="185"/>
      <c r="M75" s="185"/>
      <c r="N75" s="185"/>
    </row>
    <row r="76" spans="1:14" x14ac:dyDescent="0.25">
      <c r="A76" s="180">
        <f t="shared" ca="1" si="3"/>
        <v>46148</v>
      </c>
      <c r="B76" s="181">
        <v>44</v>
      </c>
      <c r="C76" s="182" t="e">
        <f t="shared" si="4"/>
        <v>#VALUE!</v>
      </c>
      <c r="D76" s="182" t="e">
        <f t="shared" si="1"/>
        <v>#VALUE!</v>
      </c>
      <c r="E76" s="182" t="e">
        <f t="shared" si="5"/>
        <v>#VALUE!</v>
      </c>
      <c r="F76" s="182" t="e">
        <f>SUM($D$33:D76)</f>
        <v>#VALUE!</v>
      </c>
      <c r="G76" s="182">
        <f t="shared" ca="1" si="6"/>
        <v>0</v>
      </c>
      <c r="H76" s="182" t="e">
        <f t="shared" si="7"/>
        <v>#VALUE!</v>
      </c>
      <c r="I76" s="183" t="e">
        <f t="shared" si="2"/>
        <v>#VALUE!</v>
      </c>
      <c r="J76" s="185"/>
      <c r="K76" s="185"/>
      <c r="L76" s="185"/>
      <c r="M76" s="185"/>
      <c r="N76" s="185"/>
    </row>
    <row r="77" spans="1:14" x14ac:dyDescent="0.25">
      <c r="A77" s="180">
        <f t="shared" ca="1" si="3"/>
        <v>46149</v>
      </c>
      <c r="B77" s="181">
        <v>45</v>
      </c>
      <c r="C77" s="182" t="e">
        <f t="shared" si="4"/>
        <v>#VALUE!</v>
      </c>
      <c r="D77" s="182" t="e">
        <f t="shared" si="1"/>
        <v>#VALUE!</v>
      </c>
      <c r="E77" s="182" t="e">
        <f t="shared" si="5"/>
        <v>#VALUE!</v>
      </c>
      <c r="F77" s="182" t="e">
        <f>SUM($D$33:D77)</f>
        <v>#VALUE!</v>
      </c>
      <c r="G77" s="182">
        <f t="shared" ca="1" si="6"/>
        <v>0</v>
      </c>
      <c r="H77" s="182" t="e">
        <f t="shared" si="7"/>
        <v>#VALUE!</v>
      </c>
      <c r="I77" s="183" t="e">
        <f t="shared" si="2"/>
        <v>#VALUE!</v>
      </c>
      <c r="J77" s="185"/>
      <c r="K77" s="185"/>
      <c r="L77" s="185"/>
      <c r="M77" s="185"/>
      <c r="N77" s="185"/>
    </row>
    <row r="78" spans="1:14" x14ac:dyDescent="0.25">
      <c r="A78" s="180">
        <f t="shared" ca="1" si="3"/>
        <v>46150</v>
      </c>
      <c r="B78" s="181">
        <v>46</v>
      </c>
      <c r="C78" s="182" t="e">
        <f t="shared" si="4"/>
        <v>#VALUE!</v>
      </c>
      <c r="D78" s="182" t="e">
        <f t="shared" si="1"/>
        <v>#VALUE!</v>
      </c>
      <c r="E78" s="182" t="e">
        <f t="shared" si="5"/>
        <v>#VALUE!</v>
      </c>
      <c r="F78" s="182" t="e">
        <f>SUM($D$33:D78)</f>
        <v>#VALUE!</v>
      </c>
      <c r="G78" s="182">
        <f t="shared" ca="1" si="6"/>
        <v>0</v>
      </c>
      <c r="H78" s="182" t="e">
        <f t="shared" si="7"/>
        <v>#VALUE!</v>
      </c>
      <c r="I78" s="183" t="e">
        <f t="shared" si="2"/>
        <v>#VALUE!</v>
      </c>
      <c r="J78" s="185"/>
      <c r="K78" s="185"/>
      <c r="L78" s="185"/>
      <c r="M78" s="185"/>
      <c r="N78" s="185"/>
    </row>
    <row r="79" spans="1:14" x14ac:dyDescent="0.25">
      <c r="A79" s="180">
        <f t="shared" ca="1" si="3"/>
        <v>46151</v>
      </c>
      <c r="B79" s="181">
        <v>47</v>
      </c>
      <c r="C79" s="182" t="e">
        <f t="shared" si="4"/>
        <v>#VALUE!</v>
      </c>
      <c r="D79" s="182" t="e">
        <f t="shared" si="1"/>
        <v>#VALUE!</v>
      </c>
      <c r="E79" s="182" t="e">
        <f t="shared" si="5"/>
        <v>#VALUE!</v>
      </c>
      <c r="F79" s="182" t="e">
        <f>SUM($D$33:D79)</f>
        <v>#VALUE!</v>
      </c>
      <c r="G79" s="182">
        <f t="shared" ca="1" si="6"/>
        <v>0</v>
      </c>
      <c r="H79" s="182" t="e">
        <f t="shared" si="7"/>
        <v>#VALUE!</v>
      </c>
      <c r="I79" s="183" t="e">
        <f t="shared" si="2"/>
        <v>#VALUE!</v>
      </c>
      <c r="J79" s="185"/>
      <c r="K79" s="185"/>
      <c r="L79" s="185"/>
      <c r="M79" s="185"/>
      <c r="N79" s="185"/>
    </row>
    <row r="80" spans="1:14" x14ac:dyDescent="0.25">
      <c r="A80" s="180">
        <f t="shared" ca="1" si="3"/>
        <v>46152</v>
      </c>
      <c r="B80" s="181">
        <v>48</v>
      </c>
      <c r="C80" s="182" t="e">
        <f t="shared" si="4"/>
        <v>#VALUE!</v>
      </c>
      <c r="D80" s="182" t="e">
        <f t="shared" si="1"/>
        <v>#VALUE!</v>
      </c>
      <c r="E80" s="182" t="e">
        <f t="shared" si="5"/>
        <v>#VALUE!</v>
      </c>
      <c r="F80" s="182" t="e">
        <f>SUM($D$33:D80)</f>
        <v>#VALUE!</v>
      </c>
      <c r="G80" s="182">
        <f t="shared" ca="1" si="6"/>
        <v>0</v>
      </c>
      <c r="H80" s="182" t="e">
        <f t="shared" si="7"/>
        <v>#VALUE!</v>
      </c>
      <c r="I80" s="183" t="e">
        <f t="shared" si="2"/>
        <v>#VALUE!</v>
      </c>
      <c r="J80" s="185"/>
      <c r="K80" s="185"/>
      <c r="L80" s="185"/>
      <c r="M80" s="185"/>
      <c r="N80" s="185"/>
    </row>
    <row r="81" spans="1:14" x14ac:dyDescent="0.25">
      <c r="A81" s="180">
        <f t="shared" ca="1" si="3"/>
        <v>46153</v>
      </c>
      <c r="B81" s="181">
        <v>49</v>
      </c>
      <c r="C81" s="182" t="e">
        <f t="shared" si="4"/>
        <v>#VALUE!</v>
      </c>
      <c r="D81" s="182" t="e">
        <f t="shared" si="1"/>
        <v>#VALUE!</v>
      </c>
      <c r="E81" s="182" t="e">
        <f t="shared" si="5"/>
        <v>#VALUE!</v>
      </c>
      <c r="F81" s="182" t="e">
        <f>SUM($D$33:D81)</f>
        <v>#VALUE!</v>
      </c>
      <c r="G81" s="182">
        <f t="shared" ca="1" si="6"/>
        <v>0</v>
      </c>
      <c r="H81" s="182" t="e">
        <f t="shared" si="7"/>
        <v>#VALUE!</v>
      </c>
      <c r="I81" s="183" t="e">
        <f t="shared" si="2"/>
        <v>#VALUE!</v>
      </c>
      <c r="J81" s="185"/>
      <c r="K81" s="185"/>
      <c r="L81" s="185"/>
      <c r="M81" s="185"/>
      <c r="N81" s="185"/>
    </row>
    <row r="82" spans="1:14" x14ac:dyDescent="0.25">
      <c r="A82" s="180">
        <f t="shared" ca="1" si="3"/>
        <v>46154</v>
      </c>
      <c r="B82" s="181">
        <v>50</v>
      </c>
      <c r="C82" s="182" t="e">
        <f t="shared" si="4"/>
        <v>#VALUE!</v>
      </c>
      <c r="D82" s="182" t="e">
        <f t="shared" si="1"/>
        <v>#VALUE!</v>
      </c>
      <c r="E82" s="182" t="e">
        <f t="shared" si="5"/>
        <v>#VALUE!</v>
      </c>
      <c r="F82" s="182" t="e">
        <f>SUM($D$33:D82)</f>
        <v>#VALUE!</v>
      </c>
      <c r="G82" s="182">
        <f t="shared" ca="1" si="6"/>
        <v>0</v>
      </c>
      <c r="H82" s="182" t="e">
        <f t="shared" si="7"/>
        <v>#VALUE!</v>
      </c>
      <c r="I82" s="183" t="e">
        <f t="shared" si="2"/>
        <v>#VALUE!</v>
      </c>
      <c r="J82" s="185"/>
      <c r="K82" s="185"/>
      <c r="L82" s="185"/>
      <c r="M82" s="185"/>
      <c r="N82" s="185"/>
    </row>
    <row r="83" spans="1:14" x14ac:dyDescent="0.25">
      <c r="A83" s="180">
        <f t="shared" ca="1" si="3"/>
        <v>46155</v>
      </c>
      <c r="B83" s="181">
        <v>51</v>
      </c>
      <c r="C83" s="182" t="e">
        <f t="shared" si="4"/>
        <v>#VALUE!</v>
      </c>
      <c r="D83" s="182" t="e">
        <f t="shared" si="1"/>
        <v>#VALUE!</v>
      </c>
      <c r="E83" s="182" t="e">
        <f t="shared" si="5"/>
        <v>#VALUE!</v>
      </c>
      <c r="F83" s="182" t="e">
        <f>SUM($D$33:D83)</f>
        <v>#VALUE!</v>
      </c>
      <c r="G83" s="182">
        <f t="shared" ca="1" si="6"/>
        <v>0</v>
      </c>
      <c r="H83" s="182" t="e">
        <f t="shared" si="7"/>
        <v>#VALUE!</v>
      </c>
      <c r="I83" s="183" t="e">
        <f t="shared" si="2"/>
        <v>#VALUE!</v>
      </c>
      <c r="J83" s="185"/>
      <c r="K83" s="185"/>
      <c r="L83" s="185"/>
      <c r="M83" s="185"/>
      <c r="N83" s="185"/>
    </row>
    <row r="84" spans="1:14" x14ac:dyDescent="0.25">
      <c r="A84" s="180">
        <f t="shared" ca="1" si="3"/>
        <v>46156</v>
      </c>
      <c r="B84" s="181">
        <v>52</v>
      </c>
      <c r="C84" s="182" t="e">
        <f t="shared" si="4"/>
        <v>#VALUE!</v>
      </c>
      <c r="D84" s="182" t="e">
        <f t="shared" si="1"/>
        <v>#VALUE!</v>
      </c>
      <c r="E84" s="182" t="e">
        <f t="shared" si="5"/>
        <v>#VALUE!</v>
      </c>
      <c r="F84" s="182" t="e">
        <f>SUM($D$33:D84)</f>
        <v>#VALUE!</v>
      </c>
      <c r="G84" s="182">
        <f t="shared" ca="1" si="6"/>
        <v>0</v>
      </c>
      <c r="H84" s="182" t="e">
        <f t="shared" si="7"/>
        <v>#VALUE!</v>
      </c>
      <c r="I84" s="183" t="e">
        <f t="shared" si="2"/>
        <v>#VALUE!</v>
      </c>
      <c r="J84" s="185"/>
      <c r="K84" s="185"/>
      <c r="L84" s="185"/>
      <c r="M84" s="185"/>
      <c r="N84" s="185"/>
    </row>
    <row r="85" spans="1:14" x14ac:dyDescent="0.25">
      <c r="A85" s="180">
        <f t="shared" ca="1" si="3"/>
        <v>46157</v>
      </c>
      <c r="B85" s="181">
        <v>53</v>
      </c>
      <c r="C85" s="182" t="e">
        <f t="shared" si="4"/>
        <v>#VALUE!</v>
      </c>
      <c r="D85" s="182" t="e">
        <f t="shared" si="1"/>
        <v>#VALUE!</v>
      </c>
      <c r="E85" s="182" t="e">
        <f t="shared" si="5"/>
        <v>#VALUE!</v>
      </c>
      <c r="F85" s="182" t="e">
        <f>SUM($D$33:D85)</f>
        <v>#VALUE!</v>
      </c>
      <c r="G85" s="182">
        <f t="shared" ca="1" si="6"/>
        <v>0</v>
      </c>
      <c r="H85" s="182" t="e">
        <f t="shared" si="7"/>
        <v>#VALUE!</v>
      </c>
      <c r="I85" s="183" t="e">
        <f t="shared" si="2"/>
        <v>#VALUE!</v>
      </c>
      <c r="J85" s="185"/>
      <c r="K85" s="185"/>
      <c r="L85" s="185"/>
      <c r="M85" s="185"/>
      <c r="N85" s="185"/>
    </row>
    <row r="86" spans="1:14" x14ac:dyDescent="0.25">
      <c r="A86" s="180">
        <f t="shared" ca="1" si="3"/>
        <v>46158</v>
      </c>
      <c r="B86" s="181">
        <v>54</v>
      </c>
      <c r="C86" s="182" t="e">
        <f t="shared" si="4"/>
        <v>#VALUE!</v>
      </c>
      <c r="D86" s="182" t="e">
        <f t="shared" si="1"/>
        <v>#VALUE!</v>
      </c>
      <c r="E86" s="182" t="e">
        <f t="shared" si="5"/>
        <v>#VALUE!</v>
      </c>
      <c r="F86" s="182" t="e">
        <f>SUM($D$33:D86)</f>
        <v>#VALUE!</v>
      </c>
      <c r="G86" s="182">
        <f t="shared" ca="1" si="6"/>
        <v>0</v>
      </c>
      <c r="H86" s="182" t="e">
        <f t="shared" si="7"/>
        <v>#VALUE!</v>
      </c>
      <c r="I86" s="183" t="e">
        <f t="shared" si="2"/>
        <v>#VALUE!</v>
      </c>
      <c r="J86" s="185"/>
      <c r="K86" s="185"/>
      <c r="L86" s="185"/>
      <c r="M86" s="185"/>
      <c r="N86" s="185"/>
    </row>
    <row r="87" spans="1:14" x14ac:dyDescent="0.25">
      <c r="A87" s="180">
        <f t="shared" ca="1" si="3"/>
        <v>46159</v>
      </c>
      <c r="B87" s="181">
        <v>55</v>
      </c>
      <c r="C87" s="182" t="e">
        <f t="shared" si="4"/>
        <v>#VALUE!</v>
      </c>
      <c r="D87" s="182" t="e">
        <f t="shared" si="1"/>
        <v>#VALUE!</v>
      </c>
      <c r="E87" s="182" t="e">
        <f t="shared" si="5"/>
        <v>#VALUE!</v>
      </c>
      <c r="F87" s="182" t="e">
        <f>SUM($D$33:D87)</f>
        <v>#VALUE!</v>
      </c>
      <c r="G87" s="182">
        <f t="shared" ca="1" si="6"/>
        <v>0</v>
      </c>
      <c r="H87" s="182" t="e">
        <f t="shared" si="7"/>
        <v>#VALUE!</v>
      </c>
      <c r="I87" s="183" t="e">
        <f t="shared" si="2"/>
        <v>#VALUE!</v>
      </c>
      <c r="J87" s="185"/>
      <c r="K87" s="185"/>
      <c r="L87" s="185"/>
      <c r="M87" s="185"/>
      <c r="N87" s="185"/>
    </row>
    <row r="88" spans="1:14" x14ac:dyDescent="0.25">
      <c r="A88" s="180">
        <f t="shared" ca="1" si="3"/>
        <v>46160</v>
      </c>
      <c r="B88" s="181">
        <v>56</v>
      </c>
      <c r="C88" s="182" t="e">
        <f t="shared" si="4"/>
        <v>#VALUE!</v>
      </c>
      <c r="D88" s="182" t="e">
        <f t="shared" si="1"/>
        <v>#VALUE!</v>
      </c>
      <c r="E88" s="182" t="e">
        <f t="shared" si="5"/>
        <v>#VALUE!</v>
      </c>
      <c r="F88" s="182" t="e">
        <f>SUM($D$33:D88)</f>
        <v>#VALUE!</v>
      </c>
      <c r="G88" s="182">
        <f t="shared" ca="1" si="6"/>
        <v>0</v>
      </c>
      <c r="H88" s="182" t="e">
        <f t="shared" si="7"/>
        <v>#VALUE!</v>
      </c>
      <c r="I88" s="183" t="e">
        <f t="shared" si="2"/>
        <v>#VALUE!</v>
      </c>
      <c r="J88" s="185"/>
      <c r="K88" s="185"/>
      <c r="L88" s="185"/>
      <c r="M88" s="185"/>
      <c r="N88" s="185"/>
    </row>
    <row r="89" spans="1:14" x14ac:dyDescent="0.25">
      <c r="A89" s="180">
        <f t="shared" ca="1" si="3"/>
        <v>46161</v>
      </c>
      <c r="B89" s="181">
        <v>57</v>
      </c>
      <c r="C89" s="182" t="e">
        <f t="shared" si="4"/>
        <v>#VALUE!</v>
      </c>
      <c r="D89" s="182" t="e">
        <f t="shared" si="1"/>
        <v>#VALUE!</v>
      </c>
      <c r="E89" s="182" t="e">
        <f t="shared" si="5"/>
        <v>#VALUE!</v>
      </c>
      <c r="F89" s="182" t="e">
        <f>SUM($D$33:D89)</f>
        <v>#VALUE!</v>
      </c>
      <c r="G89" s="182">
        <f t="shared" ca="1" si="6"/>
        <v>0</v>
      </c>
      <c r="H89" s="182" t="e">
        <f t="shared" si="7"/>
        <v>#VALUE!</v>
      </c>
      <c r="I89" s="183" t="e">
        <f t="shared" si="2"/>
        <v>#VALUE!</v>
      </c>
      <c r="J89" s="185"/>
      <c r="K89" s="185"/>
      <c r="L89" s="185"/>
      <c r="M89" s="185"/>
      <c r="N89" s="185"/>
    </row>
    <row r="90" spans="1:14" x14ac:dyDescent="0.25">
      <c r="A90" s="180">
        <f t="shared" ca="1" si="3"/>
        <v>46162</v>
      </c>
      <c r="B90" s="181">
        <v>58</v>
      </c>
      <c r="C90" s="182" t="e">
        <f t="shared" si="4"/>
        <v>#VALUE!</v>
      </c>
      <c r="D90" s="182" t="e">
        <f t="shared" si="1"/>
        <v>#VALUE!</v>
      </c>
      <c r="E90" s="182" t="e">
        <f t="shared" si="5"/>
        <v>#VALUE!</v>
      </c>
      <c r="F90" s="182" t="e">
        <f>SUM($D$33:D90)</f>
        <v>#VALUE!</v>
      </c>
      <c r="G90" s="182">
        <f t="shared" ca="1" si="6"/>
        <v>0</v>
      </c>
      <c r="H90" s="182" t="e">
        <f t="shared" si="7"/>
        <v>#VALUE!</v>
      </c>
      <c r="I90" s="183" t="e">
        <f t="shared" si="2"/>
        <v>#VALUE!</v>
      </c>
      <c r="J90" s="185"/>
      <c r="K90" s="185"/>
      <c r="L90" s="185"/>
      <c r="M90" s="185"/>
      <c r="N90" s="185"/>
    </row>
    <row r="91" spans="1:14" x14ac:dyDescent="0.25">
      <c r="A91" s="180">
        <f t="shared" ca="1" si="3"/>
        <v>46163</v>
      </c>
      <c r="B91" s="181">
        <v>59</v>
      </c>
      <c r="C91" s="182" t="e">
        <f t="shared" si="4"/>
        <v>#VALUE!</v>
      </c>
      <c r="D91" s="182" t="e">
        <f t="shared" si="1"/>
        <v>#VALUE!</v>
      </c>
      <c r="E91" s="182" t="e">
        <f t="shared" si="5"/>
        <v>#VALUE!</v>
      </c>
      <c r="F91" s="182" t="e">
        <f>SUM($D$33:D91)</f>
        <v>#VALUE!</v>
      </c>
      <c r="G91" s="182">
        <f t="shared" ca="1" si="6"/>
        <v>0</v>
      </c>
      <c r="H91" s="182" t="e">
        <f t="shared" si="7"/>
        <v>#VALUE!</v>
      </c>
      <c r="I91" s="183" t="e">
        <f t="shared" si="2"/>
        <v>#VALUE!</v>
      </c>
      <c r="J91" s="185"/>
      <c r="K91" s="185"/>
      <c r="L91" s="185"/>
      <c r="M91" s="185"/>
      <c r="N91" s="185"/>
    </row>
    <row r="92" spans="1:14" x14ac:dyDescent="0.25">
      <c r="A92" s="180">
        <f t="shared" ca="1" si="3"/>
        <v>46164</v>
      </c>
      <c r="B92" s="181">
        <v>60</v>
      </c>
      <c r="C92" s="182" t="e">
        <f t="shared" si="4"/>
        <v>#VALUE!</v>
      </c>
      <c r="D92" s="182" t="e">
        <f t="shared" si="1"/>
        <v>#VALUE!</v>
      </c>
      <c r="E92" s="182" t="e">
        <f t="shared" si="5"/>
        <v>#VALUE!</v>
      </c>
      <c r="F92" s="182" t="e">
        <f>SUM($D$33:D92)</f>
        <v>#VALUE!</v>
      </c>
      <c r="G92" s="182">
        <f t="shared" ca="1" si="6"/>
        <v>0</v>
      </c>
      <c r="H92" s="182" t="e">
        <f t="shared" si="7"/>
        <v>#VALUE!</v>
      </c>
      <c r="I92" s="183" t="e">
        <f t="shared" si="2"/>
        <v>#VALUE!</v>
      </c>
      <c r="J92" s="185"/>
      <c r="K92" s="185"/>
      <c r="L92" s="185"/>
      <c r="M92" s="185"/>
      <c r="N92" s="185"/>
    </row>
    <row r="93" spans="1:14" x14ac:dyDescent="0.25">
      <c r="A93" s="180">
        <f t="shared" ca="1" si="3"/>
        <v>46165</v>
      </c>
      <c r="B93" s="181">
        <v>61</v>
      </c>
      <c r="C93" s="182" t="e">
        <f t="shared" si="4"/>
        <v>#VALUE!</v>
      </c>
      <c r="D93" s="182" t="e">
        <f t="shared" si="1"/>
        <v>#VALUE!</v>
      </c>
      <c r="E93" s="182" t="e">
        <f t="shared" si="5"/>
        <v>#VALUE!</v>
      </c>
      <c r="F93" s="182" t="e">
        <f>SUM($D$33:D93)</f>
        <v>#VALUE!</v>
      </c>
      <c r="G93" s="182">
        <f t="shared" ca="1" si="6"/>
        <v>0</v>
      </c>
      <c r="H93" s="182" t="e">
        <f t="shared" si="7"/>
        <v>#VALUE!</v>
      </c>
      <c r="I93" s="183" t="e">
        <f t="shared" si="2"/>
        <v>#VALUE!</v>
      </c>
      <c r="J93" s="185"/>
      <c r="K93" s="185"/>
      <c r="L93" s="185"/>
      <c r="M93" s="185"/>
      <c r="N93" s="185"/>
    </row>
    <row r="94" spans="1:14" x14ac:dyDescent="0.25">
      <c r="A94" s="180">
        <f t="shared" ca="1" si="3"/>
        <v>46166</v>
      </c>
      <c r="B94" s="181">
        <v>62</v>
      </c>
      <c r="C94" s="182" t="e">
        <f t="shared" si="4"/>
        <v>#VALUE!</v>
      </c>
      <c r="D94" s="182" t="e">
        <f t="shared" si="1"/>
        <v>#VALUE!</v>
      </c>
      <c r="E94" s="182" t="e">
        <f t="shared" si="5"/>
        <v>#VALUE!</v>
      </c>
      <c r="F94" s="182" t="e">
        <f>SUM($D$33:D94)</f>
        <v>#VALUE!</v>
      </c>
      <c r="G94" s="182">
        <f t="shared" ca="1" si="6"/>
        <v>0</v>
      </c>
      <c r="H94" s="182" t="e">
        <f t="shared" si="7"/>
        <v>#VALUE!</v>
      </c>
      <c r="I94" s="183" t="e">
        <f t="shared" si="2"/>
        <v>#VALUE!</v>
      </c>
      <c r="J94" s="185"/>
      <c r="K94" s="185"/>
      <c r="L94" s="185"/>
      <c r="M94" s="185"/>
      <c r="N94" s="185"/>
    </row>
    <row r="95" spans="1:14" x14ac:dyDescent="0.25">
      <c r="A95" s="180">
        <f t="shared" ca="1" si="3"/>
        <v>46167</v>
      </c>
      <c r="B95" s="181">
        <v>63</v>
      </c>
      <c r="C95" s="182" t="e">
        <f t="shared" si="4"/>
        <v>#VALUE!</v>
      </c>
      <c r="D95" s="182" t="e">
        <f t="shared" si="1"/>
        <v>#VALUE!</v>
      </c>
      <c r="E95" s="182" t="e">
        <f t="shared" si="5"/>
        <v>#VALUE!</v>
      </c>
      <c r="F95" s="182" t="e">
        <f>SUM($D$33:D95)</f>
        <v>#VALUE!</v>
      </c>
      <c r="G95" s="182">
        <f t="shared" ca="1" si="6"/>
        <v>0</v>
      </c>
      <c r="H95" s="182" t="e">
        <f t="shared" si="7"/>
        <v>#VALUE!</v>
      </c>
      <c r="I95" s="183" t="e">
        <f t="shared" si="2"/>
        <v>#VALUE!</v>
      </c>
      <c r="J95" s="185"/>
      <c r="K95" s="185"/>
      <c r="L95" s="185"/>
      <c r="M95" s="185"/>
      <c r="N95" s="185"/>
    </row>
    <row r="96" spans="1:14" x14ac:dyDescent="0.25">
      <c r="A96" s="180">
        <f t="shared" ca="1" si="3"/>
        <v>46168</v>
      </c>
      <c r="B96" s="181">
        <v>64</v>
      </c>
      <c r="C96" s="182" t="e">
        <f t="shared" si="4"/>
        <v>#VALUE!</v>
      </c>
      <c r="D96" s="182" t="e">
        <f t="shared" si="1"/>
        <v>#VALUE!</v>
      </c>
      <c r="E96" s="182" t="e">
        <f t="shared" si="5"/>
        <v>#VALUE!</v>
      </c>
      <c r="F96" s="182" t="e">
        <f>SUM($D$33:D96)</f>
        <v>#VALUE!</v>
      </c>
      <c r="G96" s="182">
        <f t="shared" ca="1" si="6"/>
        <v>0</v>
      </c>
      <c r="H96" s="182" t="e">
        <f t="shared" si="7"/>
        <v>#VALUE!</v>
      </c>
      <c r="I96" s="183" t="e">
        <f t="shared" si="2"/>
        <v>#VALUE!</v>
      </c>
      <c r="J96" s="185"/>
      <c r="K96" s="185"/>
      <c r="L96" s="185"/>
      <c r="M96" s="185"/>
      <c r="N96" s="185"/>
    </row>
    <row r="97" spans="1:14" x14ac:dyDescent="0.25">
      <c r="A97" s="180">
        <f t="shared" ca="1" si="3"/>
        <v>46169</v>
      </c>
      <c r="B97" s="181">
        <v>65</v>
      </c>
      <c r="C97" s="182" t="e">
        <f t="shared" si="4"/>
        <v>#VALUE!</v>
      </c>
      <c r="D97" s="182" t="e">
        <f t="shared" ref="D97:D160" si="9">IF(C97&gt;$H$21,C97*($C$25/360),$H$21*($C$25/360))</f>
        <v>#VALUE!</v>
      </c>
      <c r="E97" s="182" t="e">
        <f t="shared" si="5"/>
        <v>#VALUE!</v>
      </c>
      <c r="F97" s="182" t="e">
        <f>SUM($D$33:D97)</f>
        <v>#VALUE!</v>
      </c>
      <c r="G97" s="182">
        <f t="shared" ca="1" si="6"/>
        <v>0</v>
      </c>
      <c r="H97" s="182" t="e">
        <f t="shared" ref="H97:H160" si="10">IF(E97&gt;0,C97+G97,IF(E97&lt;0,C97+G97+D97-E96,C97+D97+G97))</f>
        <v>#VALUE!</v>
      </c>
      <c r="I97" s="183" t="e">
        <f t="shared" ref="I97:I160" si="11">(C97+D97-E97)</f>
        <v>#VALUE!</v>
      </c>
      <c r="J97" s="185"/>
      <c r="K97" s="185"/>
      <c r="L97" s="185"/>
      <c r="M97" s="185"/>
      <c r="N97" s="185"/>
    </row>
    <row r="98" spans="1:14" x14ac:dyDescent="0.25">
      <c r="A98" s="180">
        <f t="shared" ref="A98:A161" ca="1" si="12">A97+1</f>
        <v>46170</v>
      </c>
      <c r="B98" s="181">
        <v>66</v>
      </c>
      <c r="C98" s="182" t="e">
        <f t="shared" ref="C98:C161" si="13">H97</f>
        <v>#VALUE!</v>
      </c>
      <c r="D98" s="182" t="e">
        <f t="shared" si="9"/>
        <v>#VALUE!</v>
      </c>
      <c r="E98" s="182" t="e">
        <f t="shared" ref="E98:E161" si="14">IF(E97&gt;0,E97-D98,0)</f>
        <v>#VALUE!</v>
      </c>
      <c r="F98" s="182" t="e">
        <f>SUM($D$33:D98)</f>
        <v>#VALUE!</v>
      </c>
      <c r="G98" s="182">
        <f t="shared" ref="G98:G161" ca="1" si="15">IFERROR(-VLOOKUP(A98,$K$30:$M$36,2,FALSE),0)</f>
        <v>0</v>
      </c>
      <c r="H98" s="182" t="e">
        <f t="shared" si="10"/>
        <v>#VALUE!</v>
      </c>
      <c r="I98" s="183" t="e">
        <f t="shared" si="11"/>
        <v>#VALUE!</v>
      </c>
      <c r="J98" s="185"/>
      <c r="K98" s="185"/>
      <c r="L98" s="185"/>
      <c r="M98" s="185"/>
      <c r="N98" s="185"/>
    </row>
    <row r="99" spans="1:14" x14ac:dyDescent="0.25">
      <c r="A99" s="180">
        <f t="shared" ca="1" si="12"/>
        <v>46171</v>
      </c>
      <c r="B99" s="181">
        <v>67</v>
      </c>
      <c r="C99" s="182" t="e">
        <f t="shared" si="13"/>
        <v>#VALUE!</v>
      </c>
      <c r="D99" s="182" t="e">
        <f t="shared" si="9"/>
        <v>#VALUE!</v>
      </c>
      <c r="E99" s="182" t="e">
        <f t="shared" si="14"/>
        <v>#VALUE!</v>
      </c>
      <c r="F99" s="182" t="e">
        <f>SUM($D$33:D99)</f>
        <v>#VALUE!</v>
      </c>
      <c r="G99" s="182">
        <f t="shared" ca="1" si="15"/>
        <v>0</v>
      </c>
      <c r="H99" s="182" t="e">
        <f t="shared" si="10"/>
        <v>#VALUE!</v>
      </c>
      <c r="I99" s="183" t="e">
        <f t="shared" si="11"/>
        <v>#VALUE!</v>
      </c>
      <c r="J99" s="185"/>
      <c r="K99" s="185"/>
      <c r="L99" s="185"/>
      <c r="M99" s="185"/>
      <c r="N99" s="185"/>
    </row>
    <row r="100" spans="1:14" x14ac:dyDescent="0.25">
      <c r="A100" s="180">
        <f t="shared" ca="1" si="12"/>
        <v>46172</v>
      </c>
      <c r="B100" s="181">
        <v>68</v>
      </c>
      <c r="C100" s="182" t="e">
        <f t="shared" si="13"/>
        <v>#VALUE!</v>
      </c>
      <c r="D100" s="182" t="e">
        <f>IF(C100&gt;$H$21,C100*($C$25/360),$H$21*($C$25/360))</f>
        <v>#VALUE!</v>
      </c>
      <c r="E100" s="182" t="e">
        <f t="shared" si="14"/>
        <v>#VALUE!</v>
      </c>
      <c r="F100" s="182" t="e">
        <f>SUM($D$33:D100)</f>
        <v>#VALUE!</v>
      </c>
      <c r="G100" s="182">
        <f t="shared" ca="1" si="15"/>
        <v>0</v>
      </c>
      <c r="H100" s="182" t="e">
        <f t="shared" si="10"/>
        <v>#VALUE!</v>
      </c>
      <c r="I100" s="183" t="e">
        <f t="shared" si="11"/>
        <v>#VALUE!</v>
      </c>
      <c r="J100" s="185"/>
      <c r="K100" s="185"/>
      <c r="L100" s="185"/>
      <c r="M100" s="185"/>
      <c r="N100" s="185"/>
    </row>
    <row r="101" spans="1:14" x14ac:dyDescent="0.25">
      <c r="A101" s="180">
        <f t="shared" ca="1" si="12"/>
        <v>46173</v>
      </c>
      <c r="B101" s="181">
        <v>69</v>
      </c>
      <c r="C101" s="182" t="e">
        <f t="shared" si="13"/>
        <v>#VALUE!</v>
      </c>
      <c r="D101" s="182" t="e">
        <f t="shared" si="9"/>
        <v>#VALUE!</v>
      </c>
      <c r="E101" s="182" t="e">
        <f t="shared" si="14"/>
        <v>#VALUE!</v>
      </c>
      <c r="F101" s="182" t="e">
        <f>SUM($D$33:D101)</f>
        <v>#VALUE!</v>
      </c>
      <c r="G101" s="182">
        <f t="shared" ca="1" si="15"/>
        <v>0</v>
      </c>
      <c r="H101" s="182" t="e">
        <f t="shared" si="10"/>
        <v>#VALUE!</v>
      </c>
      <c r="I101" s="183" t="e">
        <f t="shared" si="11"/>
        <v>#VALUE!</v>
      </c>
      <c r="J101" s="185"/>
      <c r="K101" s="185"/>
      <c r="L101" s="185"/>
      <c r="M101" s="185"/>
      <c r="N101" s="185"/>
    </row>
    <row r="102" spans="1:14" x14ac:dyDescent="0.25">
      <c r="A102" s="180">
        <f t="shared" ca="1" si="12"/>
        <v>46174</v>
      </c>
      <c r="B102" s="181">
        <v>70</v>
      </c>
      <c r="C102" s="182" t="e">
        <f t="shared" si="13"/>
        <v>#VALUE!</v>
      </c>
      <c r="D102" s="182" t="e">
        <f t="shared" si="9"/>
        <v>#VALUE!</v>
      </c>
      <c r="E102" s="182" t="e">
        <f t="shared" si="14"/>
        <v>#VALUE!</v>
      </c>
      <c r="F102" s="182" t="e">
        <f>SUM($D$33:D102)</f>
        <v>#VALUE!</v>
      </c>
      <c r="G102" s="182">
        <f t="shared" ca="1" si="15"/>
        <v>0</v>
      </c>
      <c r="H102" s="182" t="e">
        <f t="shared" si="10"/>
        <v>#VALUE!</v>
      </c>
      <c r="I102" s="183" t="e">
        <f t="shared" si="11"/>
        <v>#VALUE!</v>
      </c>
      <c r="J102" s="185"/>
      <c r="K102" s="185"/>
      <c r="L102" s="185"/>
      <c r="M102" s="185"/>
      <c r="N102" s="185"/>
    </row>
    <row r="103" spans="1:14" x14ac:dyDescent="0.25">
      <c r="A103" s="180">
        <f t="shared" ca="1" si="12"/>
        <v>46175</v>
      </c>
      <c r="B103" s="181">
        <v>71</v>
      </c>
      <c r="C103" s="182" t="e">
        <f t="shared" si="13"/>
        <v>#VALUE!</v>
      </c>
      <c r="D103" s="182" t="e">
        <f t="shared" si="9"/>
        <v>#VALUE!</v>
      </c>
      <c r="E103" s="182" t="e">
        <f t="shared" si="14"/>
        <v>#VALUE!</v>
      </c>
      <c r="F103" s="182" t="e">
        <f>SUM($D$33:D103)</f>
        <v>#VALUE!</v>
      </c>
      <c r="G103" s="182">
        <f t="shared" ca="1" si="15"/>
        <v>0</v>
      </c>
      <c r="H103" s="182" t="e">
        <f t="shared" si="10"/>
        <v>#VALUE!</v>
      </c>
      <c r="I103" s="183" t="e">
        <f t="shared" si="11"/>
        <v>#VALUE!</v>
      </c>
      <c r="J103" s="185"/>
      <c r="K103" s="185"/>
      <c r="L103" s="185"/>
      <c r="M103" s="185"/>
      <c r="N103" s="185"/>
    </row>
    <row r="104" spans="1:14" x14ac:dyDescent="0.25">
      <c r="A104" s="180">
        <f t="shared" ca="1" si="12"/>
        <v>46176</v>
      </c>
      <c r="B104" s="181">
        <v>72</v>
      </c>
      <c r="C104" s="182" t="e">
        <f t="shared" si="13"/>
        <v>#VALUE!</v>
      </c>
      <c r="D104" s="182" t="e">
        <f t="shared" si="9"/>
        <v>#VALUE!</v>
      </c>
      <c r="E104" s="182" t="e">
        <f t="shared" si="14"/>
        <v>#VALUE!</v>
      </c>
      <c r="F104" s="182" t="e">
        <f>SUM($D$33:D104)</f>
        <v>#VALUE!</v>
      </c>
      <c r="G104" s="182">
        <f t="shared" ca="1" si="15"/>
        <v>0</v>
      </c>
      <c r="H104" s="182" t="e">
        <f t="shared" si="10"/>
        <v>#VALUE!</v>
      </c>
      <c r="I104" s="183" t="e">
        <f t="shared" si="11"/>
        <v>#VALUE!</v>
      </c>
      <c r="J104" s="185"/>
      <c r="K104" s="185"/>
      <c r="L104" s="185"/>
      <c r="M104" s="185"/>
      <c r="N104" s="185"/>
    </row>
    <row r="105" spans="1:14" x14ac:dyDescent="0.25">
      <c r="A105" s="180">
        <f t="shared" ca="1" si="12"/>
        <v>46177</v>
      </c>
      <c r="B105" s="181">
        <v>73</v>
      </c>
      <c r="C105" s="182" t="e">
        <f t="shared" si="13"/>
        <v>#VALUE!</v>
      </c>
      <c r="D105" s="182" t="e">
        <f t="shared" si="9"/>
        <v>#VALUE!</v>
      </c>
      <c r="E105" s="182" t="e">
        <f t="shared" si="14"/>
        <v>#VALUE!</v>
      </c>
      <c r="F105" s="182" t="e">
        <f>SUM($D$33:D105)</f>
        <v>#VALUE!</v>
      </c>
      <c r="G105" s="182">
        <f t="shared" ca="1" si="15"/>
        <v>0</v>
      </c>
      <c r="H105" s="182" t="e">
        <f t="shared" si="10"/>
        <v>#VALUE!</v>
      </c>
      <c r="I105" s="183" t="e">
        <f t="shared" si="11"/>
        <v>#VALUE!</v>
      </c>
      <c r="J105" s="185"/>
      <c r="K105" s="185"/>
      <c r="L105" s="185"/>
      <c r="M105" s="185"/>
      <c r="N105" s="185"/>
    </row>
    <row r="106" spans="1:14" x14ac:dyDescent="0.25">
      <c r="A106" s="180">
        <f t="shared" ca="1" si="12"/>
        <v>46178</v>
      </c>
      <c r="B106" s="181">
        <v>74</v>
      </c>
      <c r="C106" s="182" t="e">
        <f t="shared" si="13"/>
        <v>#VALUE!</v>
      </c>
      <c r="D106" s="182" t="e">
        <f t="shared" si="9"/>
        <v>#VALUE!</v>
      </c>
      <c r="E106" s="182" t="e">
        <f t="shared" si="14"/>
        <v>#VALUE!</v>
      </c>
      <c r="F106" s="182" t="e">
        <f>SUM($D$33:D106)</f>
        <v>#VALUE!</v>
      </c>
      <c r="G106" s="182">
        <f t="shared" ca="1" si="15"/>
        <v>0</v>
      </c>
      <c r="H106" s="182" t="e">
        <f t="shared" si="10"/>
        <v>#VALUE!</v>
      </c>
      <c r="I106" s="183" t="e">
        <f t="shared" si="11"/>
        <v>#VALUE!</v>
      </c>
      <c r="J106" s="185"/>
      <c r="K106" s="185"/>
      <c r="L106" s="185"/>
      <c r="M106" s="185"/>
      <c r="N106" s="185"/>
    </row>
    <row r="107" spans="1:14" x14ac:dyDescent="0.25">
      <c r="A107" s="180">
        <f t="shared" ca="1" si="12"/>
        <v>46179</v>
      </c>
      <c r="B107" s="181">
        <v>75</v>
      </c>
      <c r="C107" s="182" t="e">
        <f t="shared" si="13"/>
        <v>#VALUE!</v>
      </c>
      <c r="D107" s="182" t="e">
        <f t="shared" si="9"/>
        <v>#VALUE!</v>
      </c>
      <c r="E107" s="182" t="e">
        <f t="shared" si="14"/>
        <v>#VALUE!</v>
      </c>
      <c r="F107" s="182" t="e">
        <f>SUM($D$33:D107)</f>
        <v>#VALUE!</v>
      </c>
      <c r="G107" s="182">
        <f t="shared" ca="1" si="15"/>
        <v>0</v>
      </c>
      <c r="H107" s="182" t="e">
        <f t="shared" si="10"/>
        <v>#VALUE!</v>
      </c>
      <c r="I107" s="183" t="e">
        <f t="shared" si="11"/>
        <v>#VALUE!</v>
      </c>
      <c r="J107" s="185"/>
      <c r="K107" s="185"/>
      <c r="L107" s="185"/>
      <c r="M107" s="185"/>
      <c r="N107" s="185"/>
    </row>
    <row r="108" spans="1:14" x14ac:dyDescent="0.25">
      <c r="A108" s="180">
        <f t="shared" ca="1" si="12"/>
        <v>46180</v>
      </c>
      <c r="B108" s="181">
        <v>76</v>
      </c>
      <c r="C108" s="182" t="e">
        <f t="shared" si="13"/>
        <v>#VALUE!</v>
      </c>
      <c r="D108" s="182" t="e">
        <f t="shared" si="9"/>
        <v>#VALUE!</v>
      </c>
      <c r="E108" s="182" t="e">
        <f t="shared" si="14"/>
        <v>#VALUE!</v>
      </c>
      <c r="F108" s="182" t="e">
        <f>SUM($D$33:D108)</f>
        <v>#VALUE!</v>
      </c>
      <c r="G108" s="182">
        <f t="shared" ca="1" si="15"/>
        <v>0</v>
      </c>
      <c r="H108" s="182" t="e">
        <f t="shared" si="10"/>
        <v>#VALUE!</v>
      </c>
      <c r="I108" s="183" t="e">
        <f t="shared" si="11"/>
        <v>#VALUE!</v>
      </c>
      <c r="J108" s="185"/>
      <c r="K108" s="185"/>
      <c r="L108" s="185"/>
      <c r="M108" s="185"/>
      <c r="N108" s="185"/>
    </row>
    <row r="109" spans="1:14" x14ac:dyDescent="0.25">
      <c r="A109" s="180">
        <f t="shared" ca="1" si="12"/>
        <v>46181</v>
      </c>
      <c r="B109" s="181">
        <v>77</v>
      </c>
      <c r="C109" s="182" t="e">
        <f t="shared" si="13"/>
        <v>#VALUE!</v>
      </c>
      <c r="D109" s="182" t="e">
        <f t="shared" si="9"/>
        <v>#VALUE!</v>
      </c>
      <c r="E109" s="182" t="e">
        <f t="shared" si="14"/>
        <v>#VALUE!</v>
      </c>
      <c r="F109" s="182" t="e">
        <f>SUM($D$33:D109)</f>
        <v>#VALUE!</v>
      </c>
      <c r="G109" s="182">
        <f t="shared" ca="1" si="15"/>
        <v>0</v>
      </c>
      <c r="H109" s="182" t="e">
        <f t="shared" si="10"/>
        <v>#VALUE!</v>
      </c>
      <c r="I109" s="183" t="e">
        <f t="shared" si="11"/>
        <v>#VALUE!</v>
      </c>
      <c r="J109" s="185"/>
      <c r="K109" s="185"/>
      <c r="L109" s="185"/>
      <c r="M109" s="185"/>
      <c r="N109" s="185"/>
    </row>
    <row r="110" spans="1:14" x14ac:dyDescent="0.25">
      <c r="A110" s="180">
        <f t="shared" ca="1" si="12"/>
        <v>46182</v>
      </c>
      <c r="B110" s="181">
        <v>78</v>
      </c>
      <c r="C110" s="182" t="e">
        <f t="shared" si="13"/>
        <v>#VALUE!</v>
      </c>
      <c r="D110" s="182" t="e">
        <f t="shared" si="9"/>
        <v>#VALUE!</v>
      </c>
      <c r="E110" s="182" t="e">
        <f t="shared" si="14"/>
        <v>#VALUE!</v>
      </c>
      <c r="F110" s="182" t="e">
        <f>SUM($D$33:D110)</f>
        <v>#VALUE!</v>
      </c>
      <c r="G110" s="182">
        <f t="shared" ca="1" si="15"/>
        <v>0</v>
      </c>
      <c r="H110" s="182" t="e">
        <f t="shared" si="10"/>
        <v>#VALUE!</v>
      </c>
      <c r="I110" s="183" t="e">
        <f t="shared" si="11"/>
        <v>#VALUE!</v>
      </c>
      <c r="J110" s="185"/>
      <c r="K110" s="185"/>
      <c r="L110" s="185"/>
      <c r="M110" s="185"/>
      <c r="N110" s="185"/>
    </row>
    <row r="111" spans="1:14" x14ac:dyDescent="0.25">
      <c r="A111" s="180">
        <f t="shared" ca="1" si="12"/>
        <v>46183</v>
      </c>
      <c r="B111" s="181">
        <v>79</v>
      </c>
      <c r="C111" s="182" t="e">
        <f t="shared" si="13"/>
        <v>#VALUE!</v>
      </c>
      <c r="D111" s="182" t="e">
        <f t="shared" si="9"/>
        <v>#VALUE!</v>
      </c>
      <c r="E111" s="182" t="e">
        <f t="shared" si="14"/>
        <v>#VALUE!</v>
      </c>
      <c r="F111" s="182" t="e">
        <f>SUM($D$33:D111)</f>
        <v>#VALUE!</v>
      </c>
      <c r="G111" s="182">
        <f t="shared" ca="1" si="15"/>
        <v>0</v>
      </c>
      <c r="H111" s="182" t="e">
        <f t="shared" si="10"/>
        <v>#VALUE!</v>
      </c>
      <c r="I111" s="183" t="e">
        <f t="shared" si="11"/>
        <v>#VALUE!</v>
      </c>
      <c r="J111" s="185"/>
      <c r="K111" s="185"/>
      <c r="L111" s="185"/>
      <c r="M111" s="185"/>
      <c r="N111" s="185"/>
    </row>
    <row r="112" spans="1:14" x14ac:dyDescent="0.25">
      <c r="A112" s="180">
        <f t="shared" ca="1" si="12"/>
        <v>46184</v>
      </c>
      <c r="B112" s="181">
        <v>80</v>
      </c>
      <c r="C112" s="182" t="e">
        <f t="shared" si="13"/>
        <v>#VALUE!</v>
      </c>
      <c r="D112" s="182" t="e">
        <f t="shared" si="9"/>
        <v>#VALUE!</v>
      </c>
      <c r="E112" s="182" t="e">
        <f t="shared" si="14"/>
        <v>#VALUE!</v>
      </c>
      <c r="F112" s="182" t="e">
        <f>SUM($D$33:D112)</f>
        <v>#VALUE!</v>
      </c>
      <c r="G112" s="182">
        <f t="shared" ca="1" si="15"/>
        <v>0</v>
      </c>
      <c r="H112" s="182" t="e">
        <f t="shared" si="10"/>
        <v>#VALUE!</v>
      </c>
      <c r="I112" s="183" t="e">
        <f t="shared" si="11"/>
        <v>#VALUE!</v>
      </c>
      <c r="J112" s="185"/>
      <c r="K112" s="185"/>
      <c r="L112" s="185"/>
      <c r="M112" s="185"/>
      <c r="N112" s="185"/>
    </row>
    <row r="113" spans="1:14" x14ac:dyDescent="0.25">
      <c r="A113" s="180">
        <f t="shared" ca="1" si="12"/>
        <v>46185</v>
      </c>
      <c r="B113" s="181">
        <v>81</v>
      </c>
      <c r="C113" s="182" t="e">
        <f t="shared" si="13"/>
        <v>#VALUE!</v>
      </c>
      <c r="D113" s="182" t="e">
        <f t="shared" si="9"/>
        <v>#VALUE!</v>
      </c>
      <c r="E113" s="182" t="e">
        <f t="shared" si="14"/>
        <v>#VALUE!</v>
      </c>
      <c r="F113" s="182" t="e">
        <f>SUM($D$33:D113)</f>
        <v>#VALUE!</v>
      </c>
      <c r="G113" s="182">
        <f t="shared" ca="1" si="15"/>
        <v>0</v>
      </c>
      <c r="H113" s="182" t="e">
        <f t="shared" si="10"/>
        <v>#VALUE!</v>
      </c>
      <c r="I113" s="183" t="e">
        <f t="shared" si="11"/>
        <v>#VALUE!</v>
      </c>
      <c r="J113" s="185"/>
      <c r="K113" s="185"/>
      <c r="L113" s="185"/>
      <c r="M113" s="185"/>
      <c r="N113" s="185"/>
    </row>
    <row r="114" spans="1:14" x14ac:dyDescent="0.25">
      <c r="A114" s="180">
        <f t="shared" ca="1" si="12"/>
        <v>46186</v>
      </c>
      <c r="B114" s="181">
        <v>82</v>
      </c>
      <c r="C114" s="182" t="e">
        <f t="shared" si="13"/>
        <v>#VALUE!</v>
      </c>
      <c r="D114" s="182" t="e">
        <f t="shared" si="9"/>
        <v>#VALUE!</v>
      </c>
      <c r="E114" s="182" t="e">
        <f t="shared" si="14"/>
        <v>#VALUE!</v>
      </c>
      <c r="F114" s="182" t="e">
        <f>SUM($D$33:D114)</f>
        <v>#VALUE!</v>
      </c>
      <c r="G114" s="182">
        <f t="shared" ca="1" si="15"/>
        <v>0</v>
      </c>
      <c r="H114" s="182" t="e">
        <f t="shared" si="10"/>
        <v>#VALUE!</v>
      </c>
      <c r="I114" s="183" t="e">
        <f t="shared" si="11"/>
        <v>#VALUE!</v>
      </c>
      <c r="J114" s="185"/>
      <c r="K114" s="185"/>
      <c r="L114" s="185"/>
      <c r="M114" s="185"/>
      <c r="N114" s="185"/>
    </row>
    <row r="115" spans="1:14" x14ac:dyDescent="0.25">
      <c r="A115" s="180">
        <f t="shared" ca="1" si="12"/>
        <v>46187</v>
      </c>
      <c r="B115" s="181">
        <v>83</v>
      </c>
      <c r="C115" s="182" t="e">
        <f t="shared" si="13"/>
        <v>#VALUE!</v>
      </c>
      <c r="D115" s="182" t="e">
        <f t="shared" si="9"/>
        <v>#VALUE!</v>
      </c>
      <c r="E115" s="182" t="e">
        <f t="shared" si="14"/>
        <v>#VALUE!</v>
      </c>
      <c r="F115" s="182" t="e">
        <f>SUM($D$33:D115)</f>
        <v>#VALUE!</v>
      </c>
      <c r="G115" s="182">
        <f t="shared" ca="1" si="15"/>
        <v>0</v>
      </c>
      <c r="H115" s="182" t="e">
        <f t="shared" si="10"/>
        <v>#VALUE!</v>
      </c>
      <c r="I115" s="183" t="e">
        <f t="shared" si="11"/>
        <v>#VALUE!</v>
      </c>
      <c r="J115" s="185"/>
      <c r="K115" s="185"/>
      <c r="L115" s="185"/>
      <c r="M115" s="185"/>
      <c r="N115" s="185"/>
    </row>
    <row r="116" spans="1:14" x14ac:dyDescent="0.25">
      <c r="A116" s="180">
        <f t="shared" ca="1" si="12"/>
        <v>46188</v>
      </c>
      <c r="B116" s="181">
        <v>84</v>
      </c>
      <c r="C116" s="182" t="e">
        <f t="shared" si="13"/>
        <v>#VALUE!</v>
      </c>
      <c r="D116" s="182" t="e">
        <f t="shared" si="9"/>
        <v>#VALUE!</v>
      </c>
      <c r="E116" s="182" t="e">
        <f t="shared" si="14"/>
        <v>#VALUE!</v>
      </c>
      <c r="F116" s="182" t="e">
        <f>SUM($D$33:D116)</f>
        <v>#VALUE!</v>
      </c>
      <c r="G116" s="182">
        <f t="shared" ca="1" si="15"/>
        <v>0</v>
      </c>
      <c r="H116" s="182" t="e">
        <f t="shared" si="10"/>
        <v>#VALUE!</v>
      </c>
      <c r="I116" s="183" t="e">
        <f t="shared" si="11"/>
        <v>#VALUE!</v>
      </c>
      <c r="J116" s="185"/>
      <c r="K116" s="185"/>
      <c r="L116" s="185"/>
      <c r="M116" s="185"/>
      <c r="N116" s="185"/>
    </row>
    <row r="117" spans="1:14" x14ac:dyDescent="0.25">
      <c r="A117" s="180">
        <f t="shared" ca="1" si="12"/>
        <v>46189</v>
      </c>
      <c r="B117" s="181">
        <v>85</v>
      </c>
      <c r="C117" s="182" t="e">
        <f t="shared" si="13"/>
        <v>#VALUE!</v>
      </c>
      <c r="D117" s="182" t="e">
        <f t="shared" si="9"/>
        <v>#VALUE!</v>
      </c>
      <c r="E117" s="182" t="e">
        <f t="shared" si="14"/>
        <v>#VALUE!</v>
      </c>
      <c r="F117" s="182" t="e">
        <f>SUM($D$33:D117)</f>
        <v>#VALUE!</v>
      </c>
      <c r="G117" s="182">
        <f t="shared" ca="1" si="15"/>
        <v>0</v>
      </c>
      <c r="H117" s="182" t="e">
        <f t="shared" si="10"/>
        <v>#VALUE!</v>
      </c>
      <c r="I117" s="183" t="e">
        <f t="shared" si="11"/>
        <v>#VALUE!</v>
      </c>
      <c r="J117" s="185"/>
      <c r="K117" s="185"/>
      <c r="L117" s="185"/>
      <c r="M117" s="185"/>
      <c r="N117" s="185"/>
    </row>
    <row r="118" spans="1:14" x14ac:dyDescent="0.25">
      <c r="A118" s="180">
        <f t="shared" ca="1" si="12"/>
        <v>46190</v>
      </c>
      <c r="B118" s="181">
        <v>86</v>
      </c>
      <c r="C118" s="182" t="e">
        <f t="shared" si="13"/>
        <v>#VALUE!</v>
      </c>
      <c r="D118" s="182" t="e">
        <f t="shared" si="9"/>
        <v>#VALUE!</v>
      </c>
      <c r="E118" s="182" t="e">
        <f t="shared" si="14"/>
        <v>#VALUE!</v>
      </c>
      <c r="F118" s="182" t="e">
        <f>SUM($D$33:D118)</f>
        <v>#VALUE!</v>
      </c>
      <c r="G118" s="182">
        <f t="shared" ca="1" si="15"/>
        <v>0</v>
      </c>
      <c r="H118" s="182" t="e">
        <f t="shared" si="10"/>
        <v>#VALUE!</v>
      </c>
      <c r="I118" s="183" t="e">
        <f t="shared" si="11"/>
        <v>#VALUE!</v>
      </c>
      <c r="J118" s="185"/>
      <c r="K118" s="185"/>
      <c r="L118" s="185"/>
      <c r="M118" s="185"/>
      <c r="N118" s="185"/>
    </row>
    <row r="119" spans="1:14" x14ac:dyDescent="0.25">
      <c r="A119" s="180">
        <f t="shared" ca="1" si="12"/>
        <v>46191</v>
      </c>
      <c r="B119" s="181">
        <v>87</v>
      </c>
      <c r="C119" s="182" t="e">
        <f t="shared" si="13"/>
        <v>#VALUE!</v>
      </c>
      <c r="D119" s="182" t="e">
        <f t="shared" si="9"/>
        <v>#VALUE!</v>
      </c>
      <c r="E119" s="182" t="e">
        <f t="shared" si="14"/>
        <v>#VALUE!</v>
      </c>
      <c r="F119" s="182" t="e">
        <f>SUM($D$33:D119)</f>
        <v>#VALUE!</v>
      </c>
      <c r="G119" s="182">
        <f t="shared" ca="1" si="15"/>
        <v>0</v>
      </c>
      <c r="H119" s="182" t="e">
        <f t="shared" si="10"/>
        <v>#VALUE!</v>
      </c>
      <c r="I119" s="183" t="e">
        <f t="shared" si="11"/>
        <v>#VALUE!</v>
      </c>
      <c r="J119" s="185"/>
      <c r="K119" s="185"/>
      <c r="L119" s="185"/>
      <c r="M119" s="185"/>
      <c r="N119" s="185"/>
    </row>
    <row r="120" spans="1:14" x14ac:dyDescent="0.25">
      <c r="A120" s="180">
        <f t="shared" ca="1" si="12"/>
        <v>46192</v>
      </c>
      <c r="B120" s="181">
        <v>88</v>
      </c>
      <c r="C120" s="182" t="e">
        <f t="shared" si="13"/>
        <v>#VALUE!</v>
      </c>
      <c r="D120" s="182" t="e">
        <f t="shared" si="9"/>
        <v>#VALUE!</v>
      </c>
      <c r="E120" s="182" t="e">
        <f t="shared" si="14"/>
        <v>#VALUE!</v>
      </c>
      <c r="F120" s="182" t="e">
        <f>SUM($D$33:D120)</f>
        <v>#VALUE!</v>
      </c>
      <c r="G120" s="182">
        <f t="shared" ca="1" si="15"/>
        <v>0</v>
      </c>
      <c r="H120" s="182" t="e">
        <f t="shared" si="10"/>
        <v>#VALUE!</v>
      </c>
      <c r="I120" s="183" t="e">
        <f t="shared" si="11"/>
        <v>#VALUE!</v>
      </c>
      <c r="J120" s="185"/>
      <c r="K120" s="185"/>
      <c r="L120" s="185"/>
      <c r="M120" s="185"/>
      <c r="N120" s="185"/>
    </row>
    <row r="121" spans="1:14" x14ac:dyDescent="0.25">
      <c r="A121" s="180">
        <f t="shared" ca="1" si="12"/>
        <v>46193</v>
      </c>
      <c r="B121" s="181">
        <v>89</v>
      </c>
      <c r="C121" s="182" t="e">
        <f t="shared" si="13"/>
        <v>#VALUE!</v>
      </c>
      <c r="D121" s="182" t="e">
        <f t="shared" si="9"/>
        <v>#VALUE!</v>
      </c>
      <c r="E121" s="182" t="e">
        <f t="shared" si="14"/>
        <v>#VALUE!</v>
      </c>
      <c r="F121" s="182" t="e">
        <f>SUM($D$33:D121)</f>
        <v>#VALUE!</v>
      </c>
      <c r="G121" s="182">
        <f t="shared" ca="1" si="15"/>
        <v>0</v>
      </c>
      <c r="H121" s="182" t="e">
        <f t="shared" si="10"/>
        <v>#VALUE!</v>
      </c>
      <c r="I121" s="183" t="e">
        <f t="shared" si="11"/>
        <v>#VALUE!</v>
      </c>
      <c r="J121" s="185"/>
      <c r="K121" s="185"/>
      <c r="L121" s="185"/>
      <c r="M121" s="185"/>
      <c r="N121" s="185"/>
    </row>
    <row r="122" spans="1:14" x14ac:dyDescent="0.25">
      <c r="A122" s="180">
        <f t="shared" ca="1" si="12"/>
        <v>46194</v>
      </c>
      <c r="B122" s="181">
        <v>90</v>
      </c>
      <c r="C122" s="182" t="e">
        <f t="shared" si="13"/>
        <v>#VALUE!</v>
      </c>
      <c r="D122" s="182" t="e">
        <f t="shared" si="9"/>
        <v>#VALUE!</v>
      </c>
      <c r="E122" s="182" t="e">
        <f t="shared" si="14"/>
        <v>#VALUE!</v>
      </c>
      <c r="F122" s="182" t="e">
        <f>SUM($D$33:D122)</f>
        <v>#VALUE!</v>
      </c>
      <c r="G122" s="182">
        <f t="shared" ca="1" si="15"/>
        <v>0</v>
      </c>
      <c r="H122" s="182" t="e">
        <f t="shared" si="10"/>
        <v>#VALUE!</v>
      </c>
      <c r="I122" s="183" t="e">
        <f t="shared" si="11"/>
        <v>#VALUE!</v>
      </c>
      <c r="J122" s="185"/>
      <c r="K122" s="185"/>
      <c r="L122" s="185"/>
      <c r="M122" s="185"/>
      <c r="N122" s="185"/>
    </row>
    <row r="123" spans="1:14" x14ac:dyDescent="0.25">
      <c r="A123" s="180">
        <f t="shared" ca="1" si="12"/>
        <v>46195</v>
      </c>
      <c r="B123" s="181">
        <v>91</v>
      </c>
      <c r="C123" s="182" t="e">
        <f t="shared" si="13"/>
        <v>#VALUE!</v>
      </c>
      <c r="D123" s="182" t="e">
        <f t="shared" si="9"/>
        <v>#VALUE!</v>
      </c>
      <c r="E123" s="182" t="e">
        <f t="shared" si="14"/>
        <v>#VALUE!</v>
      </c>
      <c r="F123" s="182" t="e">
        <f>SUM($D$33:D123)</f>
        <v>#VALUE!</v>
      </c>
      <c r="G123" s="182">
        <f t="shared" ca="1" si="15"/>
        <v>0</v>
      </c>
      <c r="H123" s="182" t="e">
        <f t="shared" si="10"/>
        <v>#VALUE!</v>
      </c>
      <c r="I123" s="183" t="e">
        <f t="shared" si="11"/>
        <v>#VALUE!</v>
      </c>
      <c r="J123" s="185"/>
      <c r="K123" s="185"/>
      <c r="L123" s="185"/>
      <c r="M123" s="185"/>
      <c r="N123" s="185"/>
    </row>
    <row r="124" spans="1:14" x14ac:dyDescent="0.25">
      <c r="A124" s="180">
        <f t="shared" ca="1" si="12"/>
        <v>46196</v>
      </c>
      <c r="B124" s="181">
        <v>92</v>
      </c>
      <c r="C124" s="182" t="e">
        <f t="shared" si="13"/>
        <v>#VALUE!</v>
      </c>
      <c r="D124" s="182" t="e">
        <f t="shared" si="9"/>
        <v>#VALUE!</v>
      </c>
      <c r="E124" s="182" t="e">
        <f t="shared" si="14"/>
        <v>#VALUE!</v>
      </c>
      <c r="F124" s="182" t="e">
        <f>SUM($D$33:D124)</f>
        <v>#VALUE!</v>
      </c>
      <c r="G124" s="182">
        <f t="shared" ca="1" si="15"/>
        <v>0</v>
      </c>
      <c r="H124" s="182" t="e">
        <f t="shared" si="10"/>
        <v>#VALUE!</v>
      </c>
      <c r="I124" s="183" t="e">
        <f t="shared" si="11"/>
        <v>#VALUE!</v>
      </c>
      <c r="J124" s="185"/>
      <c r="K124" s="185"/>
      <c r="L124" s="185"/>
      <c r="M124" s="185"/>
      <c r="N124" s="185"/>
    </row>
    <row r="125" spans="1:14" x14ac:dyDescent="0.25">
      <c r="A125" s="180">
        <f t="shared" ca="1" si="12"/>
        <v>46197</v>
      </c>
      <c r="B125" s="181">
        <v>93</v>
      </c>
      <c r="C125" s="182" t="e">
        <f t="shared" si="13"/>
        <v>#VALUE!</v>
      </c>
      <c r="D125" s="182" t="e">
        <f t="shared" si="9"/>
        <v>#VALUE!</v>
      </c>
      <c r="E125" s="182" t="e">
        <f t="shared" si="14"/>
        <v>#VALUE!</v>
      </c>
      <c r="F125" s="182" t="e">
        <f>SUM($D$33:D125)</f>
        <v>#VALUE!</v>
      </c>
      <c r="G125" s="182">
        <f t="shared" ca="1" si="15"/>
        <v>0</v>
      </c>
      <c r="H125" s="182" t="e">
        <f t="shared" si="10"/>
        <v>#VALUE!</v>
      </c>
      <c r="I125" s="183" t="e">
        <f t="shared" si="11"/>
        <v>#VALUE!</v>
      </c>
      <c r="J125" s="185"/>
      <c r="K125" s="185"/>
      <c r="L125" s="185"/>
      <c r="M125" s="185"/>
      <c r="N125" s="185"/>
    </row>
    <row r="126" spans="1:14" x14ac:dyDescent="0.25">
      <c r="A126" s="180">
        <f t="shared" ca="1" si="12"/>
        <v>46198</v>
      </c>
      <c r="B126" s="181">
        <v>94</v>
      </c>
      <c r="C126" s="182" t="e">
        <f t="shared" si="13"/>
        <v>#VALUE!</v>
      </c>
      <c r="D126" s="182" t="e">
        <f t="shared" si="9"/>
        <v>#VALUE!</v>
      </c>
      <c r="E126" s="182" t="e">
        <f t="shared" si="14"/>
        <v>#VALUE!</v>
      </c>
      <c r="F126" s="182" t="e">
        <f>SUM($D$33:D126)</f>
        <v>#VALUE!</v>
      </c>
      <c r="G126" s="182">
        <f t="shared" ca="1" si="15"/>
        <v>0</v>
      </c>
      <c r="H126" s="182" t="e">
        <f t="shared" si="10"/>
        <v>#VALUE!</v>
      </c>
      <c r="I126" s="183" t="e">
        <f t="shared" si="11"/>
        <v>#VALUE!</v>
      </c>
      <c r="J126" s="185"/>
      <c r="K126" s="185"/>
      <c r="L126" s="185"/>
      <c r="M126" s="185"/>
      <c r="N126" s="185"/>
    </row>
    <row r="127" spans="1:14" x14ac:dyDescent="0.25">
      <c r="A127" s="180">
        <f t="shared" ca="1" si="12"/>
        <v>46199</v>
      </c>
      <c r="B127" s="181">
        <v>95</v>
      </c>
      <c r="C127" s="182" t="e">
        <f t="shared" si="13"/>
        <v>#VALUE!</v>
      </c>
      <c r="D127" s="182" t="e">
        <f t="shared" si="9"/>
        <v>#VALUE!</v>
      </c>
      <c r="E127" s="182" t="e">
        <f t="shared" si="14"/>
        <v>#VALUE!</v>
      </c>
      <c r="F127" s="182" t="e">
        <f>SUM($D$33:D127)</f>
        <v>#VALUE!</v>
      </c>
      <c r="G127" s="182">
        <f t="shared" ca="1" si="15"/>
        <v>0</v>
      </c>
      <c r="H127" s="182" t="e">
        <f t="shared" si="10"/>
        <v>#VALUE!</v>
      </c>
      <c r="I127" s="183" t="e">
        <f t="shared" si="11"/>
        <v>#VALUE!</v>
      </c>
      <c r="J127" s="185"/>
      <c r="K127" s="185"/>
      <c r="L127" s="185"/>
      <c r="M127" s="185"/>
      <c r="N127" s="185"/>
    </row>
    <row r="128" spans="1:14" x14ac:dyDescent="0.25">
      <c r="A128" s="180">
        <f t="shared" ca="1" si="12"/>
        <v>46200</v>
      </c>
      <c r="B128" s="181">
        <v>96</v>
      </c>
      <c r="C128" s="182" t="e">
        <f t="shared" si="13"/>
        <v>#VALUE!</v>
      </c>
      <c r="D128" s="182" t="e">
        <f t="shared" si="9"/>
        <v>#VALUE!</v>
      </c>
      <c r="E128" s="182" t="e">
        <f t="shared" si="14"/>
        <v>#VALUE!</v>
      </c>
      <c r="F128" s="182" t="e">
        <f>SUM($D$33:D128)</f>
        <v>#VALUE!</v>
      </c>
      <c r="G128" s="182">
        <f t="shared" ca="1" si="15"/>
        <v>0</v>
      </c>
      <c r="H128" s="182" t="e">
        <f t="shared" si="10"/>
        <v>#VALUE!</v>
      </c>
      <c r="I128" s="183" t="e">
        <f t="shared" si="11"/>
        <v>#VALUE!</v>
      </c>
      <c r="J128" s="185"/>
      <c r="K128" s="185"/>
      <c r="L128" s="185"/>
      <c r="M128" s="185"/>
      <c r="N128" s="185"/>
    </row>
    <row r="129" spans="1:14" x14ac:dyDescent="0.25">
      <c r="A129" s="180">
        <f t="shared" ca="1" si="12"/>
        <v>46201</v>
      </c>
      <c r="B129" s="181">
        <v>97</v>
      </c>
      <c r="C129" s="182" t="e">
        <f t="shared" si="13"/>
        <v>#VALUE!</v>
      </c>
      <c r="D129" s="182" t="e">
        <f t="shared" si="9"/>
        <v>#VALUE!</v>
      </c>
      <c r="E129" s="182" t="e">
        <f t="shared" si="14"/>
        <v>#VALUE!</v>
      </c>
      <c r="F129" s="182" t="e">
        <f>SUM($D$33:D129)</f>
        <v>#VALUE!</v>
      </c>
      <c r="G129" s="182">
        <f t="shared" ca="1" si="15"/>
        <v>0</v>
      </c>
      <c r="H129" s="182" t="e">
        <f t="shared" si="10"/>
        <v>#VALUE!</v>
      </c>
      <c r="I129" s="183" t="e">
        <f t="shared" si="11"/>
        <v>#VALUE!</v>
      </c>
      <c r="J129" s="185"/>
      <c r="K129" s="185"/>
      <c r="L129" s="185"/>
      <c r="M129" s="185"/>
      <c r="N129" s="185"/>
    </row>
    <row r="130" spans="1:14" x14ac:dyDescent="0.25">
      <c r="A130" s="180">
        <f t="shared" ca="1" si="12"/>
        <v>46202</v>
      </c>
      <c r="B130" s="181">
        <v>98</v>
      </c>
      <c r="C130" s="182" t="e">
        <f t="shared" si="13"/>
        <v>#VALUE!</v>
      </c>
      <c r="D130" s="182" t="e">
        <f t="shared" si="9"/>
        <v>#VALUE!</v>
      </c>
      <c r="E130" s="182" t="e">
        <f t="shared" si="14"/>
        <v>#VALUE!</v>
      </c>
      <c r="F130" s="182" t="e">
        <f>SUM($D$33:D130)</f>
        <v>#VALUE!</v>
      </c>
      <c r="G130" s="182">
        <f t="shared" ca="1" si="15"/>
        <v>0</v>
      </c>
      <c r="H130" s="182" t="e">
        <f t="shared" si="10"/>
        <v>#VALUE!</v>
      </c>
      <c r="I130" s="183" t="e">
        <f t="shared" si="11"/>
        <v>#VALUE!</v>
      </c>
      <c r="J130" s="185"/>
      <c r="K130" s="185"/>
      <c r="L130" s="185"/>
      <c r="M130" s="185"/>
      <c r="N130" s="185"/>
    </row>
    <row r="131" spans="1:14" x14ac:dyDescent="0.25">
      <c r="A131" s="180">
        <f t="shared" ca="1" si="12"/>
        <v>46203</v>
      </c>
      <c r="B131" s="181">
        <v>99</v>
      </c>
      <c r="C131" s="182" t="e">
        <f t="shared" si="13"/>
        <v>#VALUE!</v>
      </c>
      <c r="D131" s="182" t="e">
        <f t="shared" si="9"/>
        <v>#VALUE!</v>
      </c>
      <c r="E131" s="182" t="e">
        <f t="shared" si="14"/>
        <v>#VALUE!</v>
      </c>
      <c r="F131" s="182" t="e">
        <f>SUM($D$33:D131)</f>
        <v>#VALUE!</v>
      </c>
      <c r="G131" s="182">
        <f t="shared" ca="1" si="15"/>
        <v>0</v>
      </c>
      <c r="H131" s="182" t="e">
        <f t="shared" si="10"/>
        <v>#VALUE!</v>
      </c>
      <c r="I131" s="183" t="e">
        <f t="shared" si="11"/>
        <v>#VALUE!</v>
      </c>
      <c r="J131" s="185"/>
      <c r="K131" s="185"/>
      <c r="L131" s="185"/>
      <c r="M131" s="185"/>
      <c r="N131" s="185"/>
    </row>
    <row r="132" spans="1:14" x14ac:dyDescent="0.25">
      <c r="A132" s="180">
        <f t="shared" ca="1" si="12"/>
        <v>46204</v>
      </c>
      <c r="B132" s="181">
        <v>100</v>
      </c>
      <c r="C132" s="182" t="e">
        <f t="shared" si="13"/>
        <v>#VALUE!</v>
      </c>
      <c r="D132" s="182" t="e">
        <f t="shared" si="9"/>
        <v>#VALUE!</v>
      </c>
      <c r="E132" s="182" t="e">
        <f t="shared" si="14"/>
        <v>#VALUE!</v>
      </c>
      <c r="F132" s="182" t="e">
        <f>SUM($D$33:D132)</f>
        <v>#VALUE!</v>
      </c>
      <c r="G132" s="182">
        <f t="shared" ca="1" si="15"/>
        <v>0</v>
      </c>
      <c r="H132" s="182" t="e">
        <f t="shared" si="10"/>
        <v>#VALUE!</v>
      </c>
      <c r="I132" s="183" t="e">
        <f t="shared" si="11"/>
        <v>#VALUE!</v>
      </c>
      <c r="J132" s="185"/>
      <c r="K132" s="185"/>
      <c r="L132" s="185"/>
      <c r="M132" s="185"/>
      <c r="N132" s="185"/>
    </row>
    <row r="133" spans="1:14" x14ac:dyDescent="0.25">
      <c r="A133" s="180">
        <f t="shared" ca="1" si="12"/>
        <v>46205</v>
      </c>
      <c r="B133" s="181">
        <v>101</v>
      </c>
      <c r="C133" s="182" t="e">
        <f t="shared" si="13"/>
        <v>#VALUE!</v>
      </c>
      <c r="D133" s="182" t="e">
        <f t="shared" si="9"/>
        <v>#VALUE!</v>
      </c>
      <c r="E133" s="182" t="e">
        <f t="shared" si="14"/>
        <v>#VALUE!</v>
      </c>
      <c r="F133" s="182" t="e">
        <f>SUM($D$33:D133)</f>
        <v>#VALUE!</v>
      </c>
      <c r="G133" s="182">
        <f t="shared" ca="1" si="15"/>
        <v>0</v>
      </c>
      <c r="H133" s="182" t="e">
        <f t="shared" si="10"/>
        <v>#VALUE!</v>
      </c>
      <c r="I133" s="183" t="e">
        <f t="shared" si="11"/>
        <v>#VALUE!</v>
      </c>
      <c r="J133" s="185"/>
      <c r="K133" s="185"/>
      <c r="L133" s="185"/>
      <c r="M133" s="185"/>
      <c r="N133" s="185"/>
    </row>
    <row r="134" spans="1:14" x14ac:dyDescent="0.25">
      <c r="A134" s="180">
        <f t="shared" ca="1" si="12"/>
        <v>46206</v>
      </c>
      <c r="B134" s="181">
        <v>102</v>
      </c>
      <c r="C134" s="182" t="e">
        <f t="shared" si="13"/>
        <v>#VALUE!</v>
      </c>
      <c r="D134" s="182" t="e">
        <f t="shared" si="9"/>
        <v>#VALUE!</v>
      </c>
      <c r="E134" s="182" t="e">
        <f t="shared" si="14"/>
        <v>#VALUE!</v>
      </c>
      <c r="F134" s="182" t="e">
        <f>SUM($D$33:D134)</f>
        <v>#VALUE!</v>
      </c>
      <c r="G134" s="182">
        <f t="shared" ca="1" si="15"/>
        <v>0</v>
      </c>
      <c r="H134" s="182" t="e">
        <f t="shared" si="10"/>
        <v>#VALUE!</v>
      </c>
      <c r="I134" s="183" t="e">
        <f t="shared" si="11"/>
        <v>#VALUE!</v>
      </c>
      <c r="J134" s="185"/>
      <c r="K134" s="185"/>
      <c r="L134" s="185"/>
      <c r="M134" s="185"/>
      <c r="N134" s="185"/>
    </row>
    <row r="135" spans="1:14" x14ac:dyDescent="0.25">
      <c r="A135" s="180">
        <f t="shared" ca="1" si="12"/>
        <v>46207</v>
      </c>
      <c r="B135" s="181">
        <v>103</v>
      </c>
      <c r="C135" s="182" t="e">
        <f t="shared" si="13"/>
        <v>#VALUE!</v>
      </c>
      <c r="D135" s="182" t="e">
        <f t="shared" si="9"/>
        <v>#VALUE!</v>
      </c>
      <c r="E135" s="182" t="e">
        <f t="shared" si="14"/>
        <v>#VALUE!</v>
      </c>
      <c r="F135" s="182" t="e">
        <f>SUM($D$33:D135)</f>
        <v>#VALUE!</v>
      </c>
      <c r="G135" s="182">
        <f t="shared" ca="1" si="15"/>
        <v>0</v>
      </c>
      <c r="H135" s="182" t="e">
        <f t="shared" si="10"/>
        <v>#VALUE!</v>
      </c>
      <c r="I135" s="183" t="e">
        <f t="shared" si="11"/>
        <v>#VALUE!</v>
      </c>
      <c r="J135" s="185"/>
      <c r="K135" s="185"/>
      <c r="L135" s="185"/>
      <c r="M135" s="185"/>
      <c r="N135" s="185"/>
    </row>
    <row r="136" spans="1:14" x14ac:dyDescent="0.25">
      <c r="A136" s="180">
        <f t="shared" ca="1" si="12"/>
        <v>46208</v>
      </c>
      <c r="B136" s="181">
        <v>104</v>
      </c>
      <c r="C136" s="182" t="e">
        <f t="shared" si="13"/>
        <v>#VALUE!</v>
      </c>
      <c r="D136" s="182" t="e">
        <f t="shared" si="9"/>
        <v>#VALUE!</v>
      </c>
      <c r="E136" s="182" t="e">
        <f t="shared" si="14"/>
        <v>#VALUE!</v>
      </c>
      <c r="F136" s="182" t="e">
        <f>SUM($D$33:D136)</f>
        <v>#VALUE!</v>
      </c>
      <c r="G136" s="182">
        <f t="shared" ca="1" si="15"/>
        <v>0</v>
      </c>
      <c r="H136" s="182" t="e">
        <f t="shared" si="10"/>
        <v>#VALUE!</v>
      </c>
      <c r="I136" s="183" t="e">
        <f t="shared" si="11"/>
        <v>#VALUE!</v>
      </c>
      <c r="J136" s="185"/>
      <c r="K136" s="185"/>
      <c r="L136" s="185"/>
      <c r="M136" s="185"/>
      <c r="N136" s="185"/>
    </row>
    <row r="137" spans="1:14" x14ac:dyDescent="0.25">
      <c r="A137" s="180">
        <f t="shared" ca="1" si="12"/>
        <v>46209</v>
      </c>
      <c r="B137" s="181">
        <v>105</v>
      </c>
      <c r="C137" s="182" t="e">
        <f t="shared" si="13"/>
        <v>#VALUE!</v>
      </c>
      <c r="D137" s="182" t="e">
        <f t="shared" si="9"/>
        <v>#VALUE!</v>
      </c>
      <c r="E137" s="182" t="e">
        <f t="shared" si="14"/>
        <v>#VALUE!</v>
      </c>
      <c r="F137" s="182" t="e">
        <f>SUM($D$33:D137)</f>
        <v>#VALUE!</v>
      </c>
      <c r="G137" s="182">
        <f t="shared" ca="1" si="15"/>
        <v>0</v>
      </c>
      <c r="H137" s="182" t="e">
        <f t="shared" si="10"/>
        <v>#VALUE!</v>
      </c>
      <c r="I137" s="183" t="e">
        <f t="shared" si="11"/>
        <v>#VALUE!</v>
      </c>
      <c r="J137" s="185"/>
      <c r="K137" s="185"/>
      <c r="L137" s="185"/>
      <c r="M137" s="185"/>
      <c r="N137" s="185"/>
    </row>
    <row r="138" spans="1:14" x14ac:dyDescent="0.25">
      <c r="A138" s="180">
        <f t="shared" ca="1" si="12"/>
        <v>46210</v>
      </c>
      <c r="B138" s="181">
        <v>106</v>
      </c>
      <c r="C138" s="182" t="e">
        <f t="shared" si="13"/>
        <v>#VALUE!</v>
      </c>
      <c r="D138" s="182" t="e">
        <f t="shared" si="9"/>
        <v>#VALUE!</v>
      </c>
      <c r="E138" s="182" t="e">
        <f t="shared" si="14"/>
        <v>#VALUE!</v>
      </c>
      <c r="F138" s="182" t="e">
        <f>SUM($D$33:D138)</f>
        <v>#VALUE!</v>
      </c>
      <c r="G138" s="182">
        <f t="shared" ca="1" si="15"/>
        <v>0</v>
      </c>
      <c r="H138" s="182" t="e">
        <f t="shared" si="10"/>
        <v>#VALUE!</v>
      </c>
      <c r="I138" s="183" t="e">
        <f t="shared" si="11"/>
        <v>#VALUE!</v>
      </c>
      <c r="J138" s="185"/>
      <c r="K138" s="185"/>
      <c r="L138" s="185"/>
      <c r="M138" s="185"/>
      <c r="N138" s="185"/>
    </row>
    <row r="139" spans="1:14" x14ac:dyDescent="0.25">
      <c r="A139" s="180">
        <f t="shared" ca="1" si="12"/>
        <v>46211</v>
      </c>
      <c r="B139" s="181">
        <v>107</v>
      </c>
      <c r="C139" s="182" t="e">
        <f t="shared" si="13"/>
        <v>#VALUE!</v>
      </c>
      <c r="D139" s="182" t="e">
        <f t="shared" si="9"/>
        <v>#VALUE!</v>
      </c>
      <c r="E139" s="182" t="e">
        <f t="shared" si="14"/>
        <v>#VALUE!</v>
      </c>
      <c r="F139" s="182" t="e">
        <f>SUM($D$33:D139)</f>
        <v>#VALUE!</v>
      </c>
      <c r="G139" s="182">
        <f t="shared" ca="1" si="15"/>
        <v>0</v>
      </c>
      <c r="H139" s="182" t="e">
        <f t="shared" si="10"/>
        <v>#VALUE!</v>
      </c>
      <c r="I139" s="183" t="e">
        <f t="shared" si="11"/>
        <v>#VALUE!</v>
      </c>
      <c r="J139" s="185"/>
      <c r="K139" s="185"/>
      <c r="L139" s="185"/>
      <c r="M139" s="185"/>
      <c r="N139" s="185"/>
    </row>
    <row r="140" spans="1:14" x14ac:dyDescent="0.25">
      <c r="A140" s="180">
        <f t="shared" ca="1" si="12"/>
        <v>46212</v>
      </c>
      <c r="B140" s="181">
        <v>108</v>
      </c>
      <c r="C140" s="182" t="e">
        <f t="shared" si="13"/>
        <v>#VALUE!</v>
      </c>
      <c r="D140" s="182" t="e">
        <f t="shared" si="9"/>
        <v>#VALUE!</v>
      </c>
      <c r="E140" s="182" t="e">
        <f t="shared" si="14"/>
        <v>#VALUE!</v>
      </c>
      <c r="F140" s="182" t="e">
        <f>SUM($D$33:D140)</f>
        <v>#VALUE!</v>
      </c>
      <c r="G140" s="182">
        <f t="shared" ca="1" si="15"/>
        <v>0</v>
      </c>
      <c r="H140" s="182" t="e">
        <f t="shared" si="10"/>
        <v>#VALUE!</v>
      </c>
      <c r="I140" s="183" t="e">
        <f t="shared" si="11"/>
        <v>#VALUE!</v>
      </c>
      <c r="J140" s="185"/>
      <c r="K140" s="185"/>
      <c r="L140" s="185"/>
      <c r="M140" s="185"/>
      <c r="N140" s="185"/>
    </row>
    <row r="141" spans="1:14" x14ac:dyDescent="0.25">
      <c r="A141" s="180">
        <f t="shared" ca="1" si="12"/>
        <v>46213</v>
      </c>
      <c r="B141" s="181">
        <v>109</v>
      </c>
      <c r="C141" s="182" t="e">
        <f t="shared" si="13"/>
        <v>#VALUE!</v>
      </c>
      <c r="D141" s="182" t="e">
        <f t="shared" si="9"/>
        <v>#VALUE!</v>
      </c>
      <c r="E141" s="182" t="e">
        <f t="shared" si="14"/>
        <v>#VALUE!</v>
      </c>
      <c r="F141" s="182" t="e">
        <f>SUM($D$33:D141)</f>
        <v>#VALUE!</v>
      </c>
      <c r="G141" s="182">
        <f t="shared" ca="1" si="15"/>
        <v>0</v>
      </c>
      <c r="H141" s="182" t="e">
        <f t="shared" si="10"/>
        <v>#VALUE!</v>
      </c>
      <c r="I141" s="183" t="e">
        <f t="shared" si="11"/>
        <v>#VALUE!</v>
      </c>
      <c r="J141" s="185"/>
      <c r="K141" s="185"/>
      <c r="L141" s="185"/>
      <c r="M141" s="185"/>
      <c r="N141" s="185"/>
    </row>
    <row r="142" spans="1:14" x14ac:dyDescent="0.25">
      <c r="A142" s="180">
        <f t="shared" ca="1" si="12"/>
        <v>46214</v>
      </c>
      <c r="B142" s="181">
        <v>110</v>
      </c>
      <c r="C142" s="182" t="e">
        <f t="shared" si="13"/>
        <v>#VALUE!</v>
      </c>
      <c r="D142" s="182" t="e">
        <f t="shared" si="9"/>
        <v>#VALUE!</v>
      </c>
      <c r="E142" s="182" t="e">
        <f t="shared" si="14"/>
        <v>#VALUE!</v>
      </c>
      <c r="F142" s="182" t="e">
        <f>SUM($D$33:D142)</f>
        <v>#VALUE!</v>
      </c>
      <c r="G142" s="182">
        <f t="shared" ca="1" si="15"/>
        <v>0</v>
      </c>
      <c r="H142" s="182" t="e">
        <f t="shared" si="10"/>
        <v>#VALUE!</v>
      </c>
      <c r="I142" s="183" t="e">
        <f t="shared" si="11"/>
        <v>#VALUE!</v>
      </c>
      <c r="J142" s="185"/>
      <c r="K142" s="185"/>
      <c r="L142" s="185"/>
      <c r="M142" s="185"/>
      <c r="N142" s="185"/>
    </row>
    <row r="143" spans="1:14" x14ac:dyDescent="0.25">
      <c r="A143" s="180">
        <f t="shared" ca="1" si="12"/>
        <v>46215</v>
      </c>
      <c r="B143" s="181">
        <v>111</v>
      </c>
      <c r="C143" s="182" t="e">
        <f t="shared" si="13"/>
        <v>#VALUE!</v>
      </c>
      <c r="D143" s="182" t="e">
        <f t="shared" si="9"/>
        <v>#VALUE!</v>
      </c>
      <c r="E143" s="182" t="e">
        <f t="shared" si="14"/>
        <v>#VALUE!</v>
      </c>
      <c r="F143" s="182" t="e">
        <f>SUM($D$33:D143)</f>
        <v>#VALUE!</v>
      </c>
      <c r="G143" s="182">
        <f t="shared" ca="1" si="15"/>
        <v>0</v>
      </c>
      <c r="H143" s="182" t="e">
        <f t="shared" si="10"/>
        <v>#VALUE!</v>
      </c>
      <c r="I143" s="183" t="e">
        <f t="shared" si="11"/>
        <v>#VALUE!</v>
      </c>
      <c r="J143" s="185"/>
      <c r="K143" s="185"/>
      <c r="L143" s="185"/>
      <c r="M143" s="185"/>
      <c r="N143" s="185"/>
    </row>
    <row r="144" spans="1:14" x14ac:dyDescent="0.25">
      <c r="A144" s="180">
        <f t="shared" ca="1" si="12"/>
        <v>46216</v>
      </c>
      <c r="B144" s="181">
        <v>112</v>
      </c>
      <c r="C144" s="182" t="e">
        <f t="shared" si="13"/>
        <v>#VALUE!</v>
      </c>
      <c r="D144" s="182" t="e">
        <f t="shared" si="9"/>
        <v>#VALUE!</v>
      </c>
      <c r="E144" s="182" t="e">
        <f t="shared" si="14"/>
        <v>#VALUE!</v>
      </c>
      <c r="F144" s="182" t="e">
        <f>SUM($D$33:D144)</f>
        <v>#VALUE!</v>
      </c>
      <c r="G144" s="182">
        <f t="shared" ca="1" si="15"/>
        <v>0</v>
      </c>
      <c r="H144" s="182" t="e">
        <f t="shared" si="10"/>
        <v>#VALUE!</v>
      </c>
      <c r="I144" s="183" t="e">
        <f t="shared" si="11"/>
        <v>#VALUE!</v>
      </c>
      <c r="J144" s="185"/>
      <c r="K144" s="185"/>
      <c r="L144" s="185"/>
      <c r="M144" s="185"/>
      <c r="N144" s="185"/>
    </row>
    <row r="145" spans="1:14" x14ac:dyDescent="0.25">
      <c r="A145" s="180">
        <f t="shared" ca="1" si="12"/>
        <v>46217</v>
      </c>
      <c r="B145" s="181">
        <v>113</v>
      </c>
      <c r="C145" s="182" t="e">
        <f t="shared" si="13"/>
        <v>#VALUE!</v>
      </c>
      <c r="D145" s="182" t="e">
        <f t="shared" si="9"/>
        <v>#VALUE!</v>
      </c>
      <c r="E145" s="182" t="e">
        <f t="shared" si="14"/>
        <v>#VALUE!</v>
      </c>
      <c r="F145" s="182" t="e">
        <f>SUM($D$33:D145)</f>
        <v>#VALUE!</v>
      </c>
      <c r="G145" s="182">
        <f t="shared" ca="1" si="15"/>
        <v>0</v>
      </c>
      <c r="H145" s="182" t="e">
        <f t="shared" si="10"/>
        <v>#VALUE!</v>
      </c>
      <c r="I145" s="183" t="e">
        <f t="shared" si="11"/>
        <v>#VALUE!</v>
      </c>
      <c r="J145" s="185"/>
      <c r="K145" s="185"/>
      <c r="L145" s="185"/>
      <c r="M145" s="185"/>
      <c r="N145" s="185"/>
    </row>
    <row r="146" spans="1:14" x14ac:dyDescent="0.25">
      <c r="A146" s="180">
        <f t="shared" ca="1" si="12"/>
        <v>46218</v>
      </c>
      <c r="B146" s="181">
        <v>114</v>
      </c>
      <c r="C146" s="182" t="e">
        <f t="shared" si="13"/>
        <v>#VALUE!</v>
      </c>
      <c r="D146" s="182" t="e">
        <f t="shared" si="9"/>
        <v>#VALUE!</v>
      </c>
      <c r="E146" s="182" t="e">
        <f t="shared" si="14"/>
        <v>#VALUE!</v>
      </c>
      <c r="F146" s="182" t="e">
        <f>SUM($D$33:D146)</f>
        <v>#VALUE!</v>
      </c>
      <c r="G146" s="182">
        <f t="shared" ca="1" si="15"/>
        <v>0</v>
      </c>
      <c r="H146" s="182" t="e">
        <f t="shared" si="10"/>
        <v>#VALUE!</v>
      </c>
      <c r="I146" s="183" t="e">
        <f t="shared" si="11"/>
        <v>#VALUE!</v>
      </c>
      <c r="J146" s="185"/>
      <c r="K146" s="185"/>
      <c r="L146" s="185"/>
      <c r="M146" s="185"/>
      <c r="N146" s="185"/>
    </row>
    <row r="147" spans="1:14" x14ac:dyDescent="0.25">
      <c r="A147" s="180">
        <f t="shared" ca="1" si="12"/>
        <v>46219</v>
      </c>
      <c r="B147" s="181">
        <v>115</v>
      </c>
      <c r="C147" s="182" t="e">
        <f t="shared" si="13"/>
        <v>#VALUE!</v>
      </c>
      <c r="D147" s="182" t="e">
        <f t="shared" si="9"/>
        <v>#VALUE!</v>
      </c>
      <c r="E147" s="182" t="e">
        <f t="shared" si="14"/>
        <v>#VALUE!</v>
      </c>
      <c r="F147" s="182" t="e">
        <f>SUM($D$33:D147)</f>
        <v>#VALUE!</v>
      </c>
      <c r="G147" s="182">
        <f t="shared" ca="1" si="15"/>
        <v>0</v>
      </c>
      <c r="H147" s="182" t="e">
        <f t="shared" si="10"/>
        <v>#VALUE!</v>
      </c>
      <c r="I147" s="183" t="e">
        <f t="shared" si="11"/>
        <v>#VALUE!</v>
      </c>
      <c r="J147" s="185"/>
      <c r="K147" s="185"/>
      <c r="L147" s="185"/>
      <c r="M147" s="185"/>
      <c r="N147" s="185"/>
    </row>
    <row r="148" spans="1:14" x14ac:dyDescent="0.25">
      <c r="A148" s="180">
        <f t="shared" ca="1" si="12"/>
        <v>46220</v>
      </c>
      <c r="B148" s="181">
        <v>116</v>
      </c>
      <c r="C148" s="182" t="e">
        <f t="shared" si="13"/>
        <v>#VALUE!</v>
      </c>
      <c r="D148" s="182" t="e">
        <f t="shared" si="9"/>
        <v>#VALUE!</v>
      </c>
      <c r="E148" s="182" t="e">
        <f t="shared" si="14"/>
        <v>#VALUE!</v>
      </c>
      <c r="F148" s="182" t="e">
        <f>SUM($D$33:D148)</f>
        <v>#VALUE!</v>
      </c>
      <c r="G148" s="182">
        <f t="shared" ca="1" si="15"/>
        <v>0</v>
      </c>
      <c r="H148" s="182" t="e">
        <f t="shared" si="10"/>
        <v>#VALUE!</v>
      </c>
      <c r="I148" s="183" t="e">
        <f t="shared" si="11"/>
        <v>#VALUE!</v>
      </c>
      <c r="J148" s="185"/>
      <c r="K148" s="185"/>
      <c r="L148" s="185"/>
      <c r="M148" s="185"/>
      <c r="N148" s="185"/>
    </row>
    <row r="149" spans="1:14" x14ac:dyDescent="0.25">
      <c r="A149" s="180">
        <f t="shared" ca="1" si="12"/>
        <v>46221</v>
      </c>
      <c r="B149" s="181">
        <v>117</v>
      </c>
      <c r="C149" s="182" t="e">
        <f t="shared" si="13"/>
        <v>#VALUE!</v>
      </c>
      <c r="D149" s="182" t="e">
        <f t="shared" si="9"/>
        <v>#VALUE!</v>
      </c>
      <c r="E149" s="182" t="e">
        <f t="shared" si="14"/>
        <v>#VALUE!</v>
      </c>
      <c r="F149" s="182" t="e">
        <f>SUM($D$33:D149)</f>
        <v>#VALUE!</v>
      </c>
      <c r="G149" s="182">
        <f t="shared" ca="1" si="15"/>
        <v>0</v>
      </c>
      <c r="H149" s="182" t="e">
        <f t="shared" si="10"/>
        <v>#VALUE!</v>
      </c>
      <c r="I149" s="183" t="e">
        <f t="shared" si="11"/>
        <v>#VALUE!</v>
      </c>
      <c r="J149" s="185"/>
      <c r="K149" s="185"/>
      <c r="L149" s="185"/>
      <c r="M149" s="185"/>
      <c r="N149" s="185"/>
    </row>
    <row r="150" spans="1:14" x14ac:dyDescent="0.25">
      <c r="A150" s="180">
        <f t="shared" ca="1" si="12"/>
        <v>46222</v>
      </c>
      <c r="B150" s="181">
        <v>118</v>
      </c>
      <c r="C150" s="182" t="e">
        <f t="shared" si="13"/>
        <v>#VALUE!</v>
      </c>
      <c r="D150" s="182" t="e">
        <f t="shared" si="9"/>
        <v>#VALUE!</v>
      </c>
      <c r="E150" s="182" t="e">
        <f t="shared" si="14"/>
        <v>#VALUE!</v>
      </c>
      <c r="F150" s="182" t="e">
        <f>SUM($D$33:D150)</f>
        <v>#VALUE!</v>
      </c>
      <c r="G150" s="182">
        <f t="shared" ca="1" si="15"/>
        <v>0</v>
      </c>
      <c r="H150" s="182" t="e">
        <f t="shared" si="10"/>
        <v>#VALUE!</v>
      </c>
      <c r="I150" s="183" t="e">
        <f t="shared" si="11"/>
        <v>#VALUE!</v>
      </c>
      <c r="J150" s="185"/>
      <c r="K150" s="185"/>
      <c r="L150" s="185"/>
      <c r="M150" s="185"/>
      <c r="N150" s="185"/>
    </row>
    <row r="151" spans="1:14" x14ac:dyDescent="0.25">
      <c r="A151" s="180">
        <f t="shared" ca="1" si="12"/>
        <v>46223</v>
      </c>
      <c r="B151" s="181">
        <v>119</v>
      </c>
      <c r="C151" s="182" t="e">
        <f t="shared" si="13"/>
        <v>#VALUE!</v>
      </c>
      <c r="D151" s="182" t="e">
        <f t="shared" si="9"/>
        <v>#VALUE!</v>
      </c>
      <c r="E151" s="182" t="e">
        <f t="shared" si="14"/>
        <v>#VALUE!</v>
      </c>
      <c r="F151" s="182" t="e">
        <f>SUM($D$33:D151)</f>
        <v>#VALUE!</v>
      </c>
      <c r="G151" s="182">
        <f t="shared" ca="1" si="15"/>
        <v>0</v>
      </c>
      <c r="H151" s="182" t="e">
        <f t="shared" si="10"/>
        <v>#VALUE!</v>
      </c>
      <c r="I151" s="183" t="e">
        <f t="shared" si="11"/>
        <v>#VALUE!</v>
      </c>
      <c r="J151" s="185"/>
      <c r="K151" s="185"/>
      <c r="L151" s="185"/>
      <c r="M151" s="185"/>
      <c r="N151" s="185"/>
    </row>
    <row r="152" spans="1:14" x14ac:dyDescent="0.25">
      <c r="A152" s="180">
        <f t="shared" ca="1" si="12"/>
        <v>46224</v>
      </c>
      <c r="B152" s="181">
        <v>120</v>
      </c>
      <c r="C152" s="182" t="e">
        <f t="shared" si="13"/>
        <v>#VALUE!</v>
      </c>
      <c r="D152" s="182" t="e">
        <f t="shared" si="9"/>
        <v>#VALUE!</v>
      </c>
      <c r="E152" s="182" t="e">
        <f t="shared" si="14"/>
        <v>#VALUE!</v>
      </c>
      <c r="F152" s="182" t="e">
        <f>SUM($D$33:D152)</f>
        <v>#VALUE!</v>
      </c>
      <c r="G152" s="182">
        <f t="shared" ca="1" si="15"/>
        <v>0</v>
      </c>
      <c r="H152" s="182" t="e">
        <f t="shared" si="10"/>
        <v>#VALUE!</v>
      </c>
      <c r="I152" s="183" t="e">
        <f t="shared" si="11"/>
        <v>#VALUE!</v>
      </c>
      <c r="J152" s="185"/>
      <c r="K152" s="185"/>
      <c r="L152" s="185"/>
      <c r="M152" s="185"/>
      <c r="N152" s="185"/>
    </row>
    <row r="153" spans="1:14" x14ac:dyDescent="0.25">
      <c r="A153" s="180">
        <f t="shared" ca="1" si="12"/>
        <v>46225</v>
      </c>
      <c r="B153" s="181">
        <v>121</v>
      </c>
      <c r="C153" s="182" t="e">
        <f t="shared" si="13"/>
        <v>#VALUE!</v>
      </c>
      <c r="D153" s="182" t="e">
        <f t="shared" si="9"/>
        <v>#VALUE!</v>
      </c>
      <c r="E153" s="182" t="e">
        <f t="shared" si="14"/>
        <v>#VALUE!</v>
      </c>
      <c r="F153" s="182" t="e">
        <f>SUM($D$33:D153)</f>
        <v>#VALUE!</v>
      </c>
      <c r="G153" s="182">
        <f t="shared" ca="1" si="15"/>
        <v>0</v>
      </c>
      <c r="H153" s="182" t="e">
        <f t="shared" si="10"/>
        <v>#VALUE!</v>
      </c>
      <c r="I153" s="183" t="e">
        <f t="shared" si="11"/>
        <v>#VALUE!</v>
      </c>
      <c r="J153" s="185"/>
      <c r="K153" s="185"/>
      <c r="L153" s="185"/>
      <c r="M153" s="185"/>
      <c r="N153" s="185"/>
    </row>
    <row r="154" spans="1:14" x14ac:dyDescent="0.25">
      <c r="A154" s="180">
        <f t="shared" ca="1" si="12"/>
        <v>46226</v>
      </c>
      <c r="B154" s="181">
        <v>122</v>
      </c>
      <c r="C154" s="182" t="e">
        <f t="shared" si="13"/>
        <v>#VALUE!</v>
      </c>
      <c r="D154" s="182" t="e">
        <f t="shared" si="9"/>
        <v>#VALUE!</v>
      </c>
      <c r="E154" s="182" t="e">
        <f t="shared" si="14"/>
        <v>#VALUE!</v>
      </c>
      <c r="F154" s="182" t="e">
        <f>SUM($D$33:D154)</f>
        <v>#VALUE!</v>
      </c>
      <c r="G154" s="182">
        <f t="shared" ca="1" si="15"/>
        <v>0</v>
      </c>
      <c r="H154" s="182" t="e">
        <f t="shared" si="10"/>
        <v>#VALUE!</v>
      </c>
      <c r="I154" s="183" t="e">
        <f t="shared" si="11"/>
        <v>#VALUE!</v>
      </c>
      <c r="J154" s="185"/>
      <c r="K154" s="185"/>
      <c r="L154" s="185"/>
      <c r="M154" s="185"/>
      <c r="N154" s="185"/>
    </row>
    <row r="155" spans="1:14" x14ac:dyDescent="0.25">
      <c r="A155" s="180">
        <f t="shared" ca="1" si="12"/>
        <v>46227</v>
      </c>
      <c r="B155" s="181">
        <v>123</v>
      </c>
      <c r="C155" s="182" t="e">
        <f t="shared" si="13"/>
        <v>#VALUE!</v>
      </c>
      <c r="D155" s="182" t="e">
        <f t="shared" si="9"/>
        <v>#VALUE!</v>
      </c>
      <c r="E155" s="182" t="e">
        <f t="shared" si="14"/>
        <v>#VALUE!</v>
      </c>
      <c r="F155" s="182" t="e">
        <f>SUM($D$33:D155)</f>
        <v>#VALUE!</v>
      </c>
      <c r="G155" s="182">
        <f t="shared" ca="1" si="15"/>
        <v>0</v>
      </c>
      <c r="H155" s="182" t="e">
        <f t="shared" si="10"/>
        <v>#VALUE!</v>
      </c>
      <c r="I155" s="183" t="e">
        <f t="shared" si="11"/>
        <v>#VALUE!</v>
      </c>
      <c r="J155" s="185"/>
      <c r="K155" s="185"/>
      <c r="L155" s="185"/>
      <c r="M155" s="185"/>
      <c r="N155" s="185"/>
    </row>
    <row r="156" spans="1:14" x14ac:dyDescent="0.25">
      <c r="A156" s="180">
        <f t="shared" ca="1" si="12"/>
        <v>46228</v>
      </c>
      <c r="B156" s="181">
        <v>124</v>
      </c>
      <c r="C156" s="182" t="e">
        <f t="shared" si="13"/>
        <v>#VALUE!</v>
      </c>
      <c r="D156" s="182" t="e">
        <f t="shared" si="9"/>
        <v>#VALUE!</v>
      </c>
      <c r="E156" s="182" t="e">
        <f t="shared" si="14"/>
        <v>#VALUE!</v>
      </c>
      <c r="F156" s="182" t="e">
        <f>SUM($D$33:D156)</f>
        <v>#VALUE!</v>
      </c>
      <c r="G156" s="182">
        <f t="shared" ca="1" si="15"/>
        <v>0</v>
      </c>
      <c r="H156" s="182" t="e">
        <f t="shared" si="10"/>
        <v>#VALUE!</v>
      </c>
      <c r="I156" s="183" t="e">
        <f t="shared" si="11"/>
        <v>#VALUE!</v>
      </c>
      <c r="J156" s="185"/>
      <c r="K156" s="185"/>
      <c r="L156" s="185"/>
      <c r="M156" s="185"/>
      <c r="N156" s="185"/>
    </row>
    <row r="157" spans="1:14" x14ac:dyDescent="0.25">
      <c r="A157" s="180">
        <f t="shared" ca="1" si="12"/>
        <v>46229</v>
      </c>
      <c r="B157" s="181">
        <v>125</v>
      </c>
      <c r="C157" s="182" t="e">
        <f t="shared" si="13"/>
        <v>#VALUE!</v>
      </c>
      <c r="D157" s="182" t="e">
        <f t="shared" si="9"/>
        <v>#VALUE!</v>
      </c>
      <c r="E157" s="182" t="e">
        <f t="shared" si="14"/>
        <v>#VALUE!</v>
      </c>
      <c r="F157" s="182" t="e">
        <f>SUM($D$33:D157)</f>
        <v>#VALUE!</v>
      </c>
      <c r="G157" s="182">
        <f t="shared" ca="1" si="15"/>
        <v>0</v>
      </c>
      <c r="H157" s="182" t="e">
        <f t="shared" si="10"/>
        <v>#VALUE!</v>
      </c>
      <c r="I157" s="183" t="e">
        <f t="shared" si="11"/>
        <v>#VALUE!</v>
      </c>
      <c r="J157" s="185"/>
      <c r="K157" s="185"/>
      <c r="L157" s="185"/>
      <c r="M157" s="185"/>
      <c r="N157" s="185"/>
    </row>
    <row r="158" spans="1:14" x14ac:dyDescent="0.25">
      <c r="A158" s="180">
        <f t="shared" ca="1" si="12"/>
        <v>46230</v>
      </c>
      <c r="B158" s="181">
        <v>126</v>
      </c>
      <c r="C158" s="182" t="e">
        <f t="shared" si="13"/>
        <v>#VALUE!</v>
      </c>
      <c r="D158" s="182" t="e">
        <f t="shared" si="9"/>
        <v>#VALUE!</v>
      </c>
      <c r="E158" s="182" t="e">
        <f t="shared" si="14"/>
        <v>#VALUE!</v>
      </c>
      <c r="F158" s="182" t="e">
        <f>SUM($D$33:D158)</f>
        <v>#VALUE!</v>
      </c>
      <c r="G158" s="182">
        <f t="shared" ca="1" si="15"/>
        <v>0</v>
      </c>
      <c r="H158" s="182" t="e">
        <f t="shared" si="10"/>
        <v>#VALUE!</v>
      </c>
      <c r="I158" s="183" t="e">
        <f t="shared" si="11"/>
        <v>#VALUE!</v>
      </c>
      <c r="J158" s="185"/>
      <c r="K158" s="185"/>
      <c r="L158" s="185"/>
      <c r="M158" s="185"/>
      <c r="N158" s="185"/>
    </row>
    <row r="159" spans="1:14" x14ac:dyDescent="0.25">
      <c r="A159" s="180">
        <f t="shared" ca="1" si="12"/>
        <v>46231</v>
      </c>
      <c r="B159" s="181">
        <v>127</v>
      </c>
      <c r="C159" s="182" t="e">
        <f t="shared" si="13"/>
        <v>#VALUE!</v>
      </c>
      <c r="D159" s="182" t="e">
        <f t="shared" si="9"/>
        <v>#VALUE!</v>
      </c>
      <c r="E159" s="182" t="e">
        <f t="shared" si="14"/>
        <v>#VALUE!</v>
      </c>
      <c r="F159" s="182" t="e">
        <f>SUM($D$33:D159)</f>
        <v>#VALUE!</v>
      </c>
      <c r="G159" s="182">
        <f t="shared" ca="1" si="15"/>
        <v>0</v>
      </c>
      <c r="H159" s="182" t="e">
        <f t="shared" si="10"/>
        <v>#VALUE!</v>
      </c>
      <c r="I159" s="183" t="e">
        <f t="shared" si="11"/>
        <v>#VALUE!</v>
      </c>
      <c r="J159" s="185"/>
      <c r="K159" s="185"/>
      <c r="L159" s="185"/>
      <c r="M159" s="185"/>
      <c r="N159" s="185"/>
    </row>
    <row r="160" spans="1:14" x14ac:dyDescent="0.25">
      <c r="A160" s="180">
        <f t="shared" ca="1" si="12"/>
        <v>46232</v>
      </c>
      <c r="B160" s="181">
        <v>128</v>
      </c>
      <c r="C160" s="182" t="e">
        <f t="shared" si="13"/>
        <v>#VALUE!</v>
      </c>
      <c r="D160" s="182" t="e">
        <f t="shared" si="9"/>
        <v>#VALUE!</v>
      </c>
      <c r="E160" s="182" t="e">
        <f t="shared" si="14"/>
        <v>#VALUE!</v>
      </c>
      <c r="F160" s="182" t="e">
        <f>SUM($D$33:D160)</f>
        <v>#VALUE!</v>
      </c>
      <c r="G160" s="182">
        <f t="shared" ca="1" si="15"/>
        <v>0</v>
      </c>
      <c r="H160" s="182" t="e">
        <f t="shared" si="10"/>
        <v>#VALUE!</v>
      </c>
      <c r="I160" s="183" t="e">
        <f t="shared" si="11"/>
        <v>#VALUE!</v>
      </c>
      <c r="J160" s="185"/>
      <c r="K160" s="185"/>
      <c r="L160" s="185"/>
      <c r="M160" s="185"/>
      <c r="N160" s="185"/>
    </row>
    <row r="161" spans="1:14" x14ac:dyDescent="0.25">
      <c r="A161" s="180">
        <f t="shared" ca="1" si="12"/>
        <v>46233</v>
      </c>
      <c r="B161" s="181">
        <v>129</v>
      </c>
      <c r="C161" s="182" t="e">
        <f t="shared" si="13"/>
        <v>#VALUE!</v>
      </c>
      <c r="D161" s="182" t="e">
        <f t="shared" ref="D161:D224" si="16">IF(C161&gt;$H$21,C161*($C$25/360),$H$21*($C$25/360))</f>
        <v>#VALUE!</v>
      </c>
      <c r="E161" s="182" t="e">
        <f t="shared" si="14"/>
        <v>#VALUE!</v>
      </c>
      <c r="F161" s="182" t="e">
        <f>SUM($D$33:D161)</f>
        <v>#VALUE!</v>
      </c>
      <c r="G161" s="182">
        <f t="shared" ca="1" si="15"/>
        <v>0</v>
      </c>
      <c r="H161" s="182" t="e">
        <f t="shared" ref="H161:H224" si="17">IF(E161&gt;0,C161+G161,IF(E161&lt;0,C161+G161+D161-E160,C161+D161+G161))</f>
        <v>#VALUE!</v>
      </c>
      <c r="I161" s="183" t="e">
        <f t="shared" ref="I161:I224" si="18">(C161+D161-E161)</f>
        <v>#VALUE!</v>
      </c>
      <c r="J161" s="185"/>
      <c r="K161" s="185"/>
      <c r="L161" s="185"/>
      <c r="M161" s="185"/>
      <c r="N161" s="185"/>
    </row>
    <row r="162" spans="1:14" x14ac:dyDescent="0.25">
      <c r="A162" s="180">
        <f t="shared" ref="A162:A225" ca="1" si="19">A161+1</f>
        <v>46234</v>
      </c>
      <c r="B162" s="181">
        <v>130</v>
      </c>
      <c r="C162" s="182" t="e">
        <f t="shared" ref="C162:C225" si="20">H161</f>
        <v>#VALUE!</v>
      </c>
      <c r="D162" s="182" t="e">
        <f t="shared" si="16"/>
        <v>#VALUE!</v>
      </c>
      <c r="E162" s="182" t="e">
        <f t="shared" ref="E162:E225" si="21">IF(E161&gt;0,E161-D162,0)</f>
        <v>#VALUE!</v>
      </c>
      <c r="F162" s="182" t="e">
        <f>SUM($D$33:D162)</f>
        <v>#VALUE!</v>
      </c>
      <c r="G162" s="182">
        <f t="shared" ref="G162:G225" ca="1" si="22">IFERROR(-VLOOKUP(A162,$K$30:$M$36,2,FALSE),0)</f>
        <v>0</v>
      </c>
      <c r="H162" s="182" t="e">
        <f t="shared" si="17"/>
        <v>#VALUE!</v>
      </c>
      <c r="I162" s="183" t="e">
        <f t="shared" si="18"/>
        <v>#VALUE!</v>
      </c>
      <c r="J162" s="185"/>
      <c r="K162" s="185"/>
      <c r="L162" s="185"/>
      <c r="M162" s="185"/>
      <c r="N162" s="185"/>
    </row>
    <row r="163" spans="1:14" x14ac:dyDescent="0.25">
      <c r="A163" s="180">
        <f t="shared" ca="1" si="19"/>
        <v>46235</v>
      </c>
      <c r="B163" s="181">
        <v>131</v>
      </c>
      <c r="C163" s="182" t="e">
        <f t="shared" si="20"/>
        <v>#VALUE!</v>
      </c>
      <c r="D163" s="182" t="e">
        <f t="shared" si="16"/>
        <v>#VALUE!</v>
      </c>
      <c r="E163" s="182" t="e">
        <f t="shared" si="21"/>
        <v>#VALUE!</v>
      </c>
      <c r="F163" s="182" t="e">
        <f>SUM($D$33:D163)</f>
        <v>#VALUE!</v>
      </c>
      <c r="G163" s="182">
        <f t="shared" ca="1" si="22"/>
        <v>0</v>
      </c>
      <c r="H163" s="182" t="e">
        <f t="shared" si="17"/>
        <v>#VALUE!</v>
      </c>
      <c r="I163" s="183" t="e">
        <f t="shared" si="18"/>
        <v>#VALUE!</v>
      </c>
      <c r="J163" s="185"/>
      <c r="K163" s="185"/>
      <c r="L163" s="185"/>
      <c r="M163" s="185"/>
      <c r="N163" s="185"/>
    </row>
    <row r="164" spans="1:14" x14ac:dyDescent="0.25">
      <c r="A164" s="180">
        <f t="shared" ca="1" si="19"/>
        <v>46236</v>
      </c>
      <c r="B164" s="181">
        <v>132</v>
      </c>
      <c r="C164" s="182" t="e">
        <f t="shared" si="20"/>
        <v>#VALUE!</v>
      </c>
      <c r="D164" s="182" t="e">
        <f t="shared" si="16"/>
        <v>#VALUE!</v>
      </c>
      <c r="E164" s="182" t="e">
        <f t="shared" si="21"/>
        <v>#VALUE!</v>
      </c>
      <c r="F164" s="182" t="e">
        <f>SUM($D$33:D164)</f>
        <v>#VALUE!</v>
      </c>
      <c r="G164" s="182">
        <f t="shared" ca="1" si="22"/>
        <v>0</v>
      </c>
      <c r="H164" s="182" t="e">
        <f t="shared" si="17"/>
        <v>#VALUE!</v>
      </c>
      <c r="I164" s="183" t="e">
        <f t="shared" si="18"/>
        <v>#VALUE!</v>
      </c>
      <c r="J164" s="185"/>
      <c r="K164" s="185"/>
      <c r="L164" s="185"/>
      <c r="M164" s="185"/>
      <c r="N164" s="185"/>
    </row>
    <row r="165" spans="1:14" x14ac:dyDescent="0.25">
      <c r="A165" s="180">
        <f t="shared" ca="1" si="19"/>
        <v>46237</v>
      </c>
      <c r="B165" s="181">
        <v>133</v>
      </c>
      <c r="C165" s="182" t="e">
        <f t="shared" si="20"/>
        <v>#VALUE!</v>
      </c>
      <c r="D165" s="182" t="e">
        <f t="shared" si="16"/>
        <v>#VALUE!</v>
      </c>
      <c r="E165" s="182" t="e">
        <f t="shared" si="21"/>
        <v>#VALUE!</v>
      </c>
      <c r="F165" s="182" t="e">
        <f>SUM($D$33:D165)</f>
        <v>#VALUE!</v>
      </c>
      <c r="G165" s="182">
        <f t="shared" ca="1" si="22"/>
        <v>0</v>
      </c>
      <c r="H165" s="182" t="e">
        <f t="shared" si="17"/>
        <v>#VALUE!</v>
      </c>
      <c r="I165" s="183" t="e">
        <f t="shared" si="18"/>
        <v>#VALUE!</v>
      </c>
      <c r="J165" s="185"/>
      <c r="K165" s="185"/>
      <c r="L165" s="185"/>
      <c r="M165" s="185"/>
      <c r="N165" s="185"/>
    </row>
    <row r="166" spans="1:14" x14ac:dyDescent="0.25">
      <c r="A166" s="180">
        <f t="shared" ca="1" si="19"/>
        <v>46238</v>
      </c>
      <c r="B166" s="181">
        <v>134</v>
      </c>
      <c r="C166" s="182" t="e">
        <f t="shared" si="20"/>
        <v>#VALUE!</v>
      </c>
      <c r="D166" s="182" t="e">
        <f t="shared" si="16"/>
        <v>#VALUE!</v>
      </c>
      <c r="E166" s="182" t="e">
        <f t="shared" si="21"/>
        <v>#VALUE!</v>
      </c>
      <c r="F166" s="182" t="e">
        <f>SUM($D$33:D166)</f>
        <v>#VALUE!</v>
      </c>
      <c r="G166" s="182">
        <f t="shared" ca="1" si="22"/>
        <v>0</v>
      </c>
      <c r="H166" s="182" t="e">
        <f t="shared" si="17"/>
        <v>#VALUE!</v>
      </c>
      <c r="I166" s="183" t="e">
        <f t="shared" si="18"/>
        <v>#VALUE!</v>
      </c>
      <c r="J166" s="185"/>
      <c r="K166" s="185"/>
      <c r="L166" s="185"/>
      <c r="M166" s="185"/>
      <c r="N166" s="185"/>
    </row>
    <row r="167" spans="1:14" x14ac:dyDescent="0.25">
      <c r="A167" s="180">
        <f t="shared" ca="1" si="19"/>
        <v>46239</v>
      </c>
      <c r="B167" s="181">
        <v>135</v>
      </c>
      <c r="C167" s="182" t="e">
        <f t="shared" si="20"/>
        <v>#VALUE!</v>
      </c>
      <c r="D167" s="182" t="e">
        <f t="shared" si="16"/>
        <v>#VALUE!</v>
      </c>
      <c r="E167" s="182" t="e">
        <f t="shared" si="21"/>
        <v>#VALUE!</v>
      </c>
      <c r="F167" s="182" t="e">
        <f>SUM($D$33:D167)</f>
        <v>#VALUE!</v>
      </c>
      <c r="G167" s="182">
        <f t="shared" ca="1" si="22"/>
        <v>0</v>
      </c>
      <c r="H167" s="182" t="e">
        <f t="shared" si="17"/>
        <v>#VALUE!</v>
      </c>
      <c r="I167" s="183" t="e">
        <f t="shared" si="18"/>
        <v>#VALUE!</v>
      </c>
      <c r="J167" s="185"/>
      <c r="K167" s="185"/>
      <c r="L167" s="185"/>
      <c r="M167" s="185"/>
      <c r="N167" s="185"/>
    </row>
    <row r="168" spans="1:14" x14ac:dyDescent="0.25">
      <c r="A168" s="180">
        <f t="shared" ca="1" si="19"/>
        <v>46240</v>
      </c>
      <c r="B168" s="181">
        <v>136</v>
      </c>
      <c r="C168" s="182" t="e">
        <f t="shared" si="20"/>
        <v>#VALUE!</v>
      </c>
      <c r="D168" s="182" t="e">
        <f t="shared" si="16"/>
        <v>#VALUE!</v>
      </c>
      <c r="E168" s="182" t="e">
        <f t="shared" si="21"/>
        <v>#VALUE!</v>
      </c>
      <c r="F168" s="182" t="e">
        <f>SUM($D$33:D168)</f>
        <v>#VALUE!</v>
      </c>
      <c r="G168" s="182">
        <f t="shared" ca="1" si="22"/>
        <v>0</v>
      </c>
      <c r="H168" s="182" t="e">
        <f t="shared" si="17"/>
        <v>#VALUE!</v>
      </c>
      <c r="I168" s="183" t="e">
        <f t="shared" si="18"/>
        <v>#VALUE!</v>
      </c>
      <c r="J168" s="185"/>
      <c r="K168" s="185"/>
      <c r="L168" s="185"/>
      <c r="M168" s="185"/>
      <c r="N168" s="185"/>
    </row>
    <row r="169" spans="1:14" x14ac:dyDescent="0.25">
      <c r="A169" s="180">
        <f t="shared" ca="1" si="19"/>
        <v>46241</v>
      </c>
      <c r="B169" s="181">
        <v>137</v>
      </c>
      <c r="C169" s="182" t="e">
        <f t="shared" si="20"/>
        <v>#VALUE!</v>
      </c>
      <c r="D169" s="182" t="e">
        <f t="shared" si="16"/>
        <v>#VALUE!</v>
      </c>
      <c r="E169" s="182" t="e">
        <f t="shared" si="21"/>
        <v>#VALUE!</v>
      </c>
      <c r="F169" s="182" t="e">
        <f>SUM($D$33:D169)</f>
        <v>#VALUE!</v>
      </c>
      <c r="G169" s="182">
        <f t="shared" ca="1" si="22"/>
        <v>0</v>
      </c>
      <c r="H169" s="182" t="e">
        <f t="shared" si="17"/>
        <v>#VALUE!</v>
      </c>
      <c r="I169" s="183" t="e">
        <f t="shared" si="18"/>
        <v>#VALUE!</v>
      </c>
      <c r="J169" s="185"/>
      <c r="K169" s="185"/>
      <c r="L169" s="185"/>
      <c r="M169" s="185"/>
      <c r="N169" s="185"/>
    </row>
    <row r="170" spans="1:14" x14ac:dyDescent="0.25">
      <c r="A170" s="180">
        <f t="shared" ca="1" si="19"/>
        <v>46242</v>
      </c>
      <c r="B170" s="181">
        <v>138</v>
      </c>
      <c r="C170" s="182" t="e">
        <f t="shared" si="20"/>
        <v>#VALUE!</v>
      </c>
      <c r="D170" s="182" t="e">
        <f t="shared" si="16"/>
        <v>#VALUE!</v>
      </c>
      <c r="E170" s="182" t="e">
        <f t="shared" si="21"/>
        <v>#VALUE!</v>
      </c>
      <c r="F170" s="182" t="e">
        <f>SUM($D$33:D170)</f>
        <v>#VALUE!</v>
      </c>
      <c r="G170" s="182">
        <f t="shared" ca="1" si="22"/>
        <v>0</v>
      </c>
      <c r="H170" s="182" t="e">
        <f t="shared" si="17"/>
        <v>#VALUE!</v>
      </c>
      <c r="I170" s="183" t="e">
        <f t="shared" si="18"/>
        <v>#VALUE!</v>
      </c>
      <c r="J170" s="185"/>
      <c r="K170" s="185"/>
      <c r="L170" s="185"/>
      <c r="M170" s="185"/>
      <c r="N170" s="185"/>
    </row>
    <row r="171" spans="1:14" x14ac:dyDescent="0.25">
      <c r="A171" s="180">
        <f t="shared" ca="1" si="19"/>
        <v>46243</v>
      </c>
      <c r="B171" s="181">
        <v>139</v>
      </c>
      <c r="C171" s="182" t="e">
        <f t="shared" si="20"/>
        <v>#VALUE!</v>
      </c>
      <c r="D171" s="182" t="e">
        <f t="shared" si="16"/>
        <v>#VALUE!</v>
      </c>
      <c r="E171" s="182" t="e">
        <f t="shared" si="21"/>
        <v>#VALUE!</v>
      </c>
      <c r="F171" s="182" t="e">
        <f>SUM($D$33:D171)</f>
        <v>#VALUE!</v>
      </c>
      <c r="G171" s="182">
        <f t="shared" ca="1" si="22"/>
        <v>0</v>
      </c>
      <c r="H171" s="182" t="e">
        <f t="shared" si="17"/>
        <v>#VALUE!</v>
      </c>
      <c r="I171" s="183" t="e">
        <f t="shared" si="18"/>
        <v>#VALUE!</v>
      </c>
      <c r="J171" s="185"/>
      <c r="K171" s="185"/>
      <c r="L171" s="185"/>
      <c r="M171" s="185"/>
      <c r="N171" s="185"/>
    </row>
    <row r="172" spans="1:14" x14ac:dyDescent="0.25">
      <c r="A172" s="180">
        <f t="shared" ca="1" si="19"/>
        <v>46244</v>
      </c>
      <c r="B172" s="181">
        <v>140</v>
      </c>
      <c r="C172" s="182" t="e">
        <f t="shared" si="20"/>
        <v>#VALUE!</v>
      </c>
      <c r="D172" s="182" t="e">
        <f t="shared" si="16"/>
        <v>#VALUE!</v>
      </c>
      <c r="E172" s="182" t="e">
        <f t="shared" si="21"/>
        <v>#VALUE!</v>
      </c>
      <c r="F172" s="182" t="e">
        <f>SUM($D$33:D172)</f>
        <v>#VALUE!</v>
      </c>
      <c r="G172" s="182">
        <f t="shared" ca="1" si="22"/>
        <v>0</v>
      </c>
      <c r="H172" s="182" t="e">
        <f t="shared" si="17"/>
        <v>#VALUE!</v>
      </c>
      <c r="I172" s="183" t="e">
        <f t="shared" si="18"/>
        <v>#VALUE!</v>
      </c>
      <c r="J172" s="185"/>
      <c r="K172" s="185"/>
      <c r="L172" s="185"/>
      <c r="M172" s="185"/>
      <c r="N172" s="185"/>
    </row>
    <row r="173" spans="1:14" x14ac:dyDescent="0.25">
      <c r="A173" s="180">
        <f t="shared" ca="1" si="19"/>
        <v>46245</v>
      </c>
      <c r="B173" s="181">
        <v>141</v>
      </c>
      <c r="C173" s="182" t="e">
        <f t="shared" si="20"/>
        <v>#VALUE!</v>
      </c>
      <c r="D173" s="182" t="e">
        <f t="shared" si="16"/>
        <v>#VALUE!</v>
      </c>
      <c r="E173" s="182" t="e">
        <f t="shared" si="21"/>
        <v>#VALUE!</v>
      </c>
      <c r="F173" s="182" t="e">
        <f>SUM($D$33:D173)</f>
        <v>#VALUE!</v>
      </c>
      <c r="G173" s="182">
        <f t="shared" ca="1" si="22"/>
        <v>0</v>
      </c>
      <c r="H173" s="182" t="e">
        <f t="shared" si="17"/>
        <v>#VALUE!</v>
      </c>
      <c r="I173" s="183" t="e">
        <f t="shared" si="18"/>
        <v>#VALUE!</v>
      </c>
      <c r="J173" s="185"/>
      <c r="K173" s="185"/>
      <c r="L173" s="185"/>
      <c r="M173" s="185"/>
      <c r="N173" s="185"/>
    </row>
    <row r="174" spans="1:14" x14ac:dyDescent="0.25">
      <c r="A174" s="180">
        <f t="shared" ca="1" si="19"/>
        <v>46246</v>
      </c>
      <c r="B174" s="181">
        <v>142</v>
      </c>
      <c r="C174" s="182" t="e">
        <f t="shared" si="20"/>
        <v>#VALUE!</v>
      </c>
      <c r="D174" s="182" t="e">
        <f t="shared" si="16"/>
        <v>#VALUE!</v>
      </c>
      <c r="E174" s="182" t="e">
        <f t="shared" si="21"/>
        <v>#VALUE!</v>
      </c>
      <c r="F174" s="182" t="e">
        <f>SUM($D$33:D174)</f>
        <v>#VALUE!</v>
      </c>
      <c r="G174" s="182">
        <f t="shared" ca="1" si="22"/>
        <v>0</v>
      </c>
      <c r="H174" s="182" t="e">
        <f t="shared" si="17"/>
        <v>#VALUE!</v>
      </c>
      <c r="I174" s="183" t="e">
        <f t="shared" si="18"/>
        <v>#VALUE!</v>
      </c>
      <c r="J174" s="185"/>
      <c r="K174" s="185"/>
      <c r="L174" s="185"/>
      <c r="M174" s="185"/>
      <c r="N174" s="185"/>
    </row>
    <row r="175" spans="1:14" x14ac:dyDescent="0.25">
      <c r="A175" s="180">
        <f t="shared" ca="1" si="19"/>
        <v>46247</v>
      </c>
      <c r="B175" s="181">
        <v>143</v>
      </c>
      <c r="C175" s="182" t="e">
        <f t="shared" si="20"/>
        <v>#VALUE!</v>
      </c>
      <c r="D175" s="182" t="e">
        <f t="shared" si="16"/>
        <v>#VALUE!</v>
      </c>
      <c r="E175" s="182" t="e">
        <f t="shared" si="21"/>
        <v>#VALUE!</v>
      </c>
      <c r="F175" s="182" t="e">
        <f>SUM($D$33:D175)</f>
        <v>#VALUE!</v>
      </c>
      <c r="G175" s="182">
        <f t="shared" ca="1" si="22"/>
        <v>0</v>
      </c>
      <c r="H175" s="182" t="e">
        <f t="shared" si="17"/>
        <v>#VALUE!</v>
      </c>
      <c r="I175" s="183" t="e">
        <f t="shared" si="18"/>
        <v>#VALUE!</v>
      </c>
      <c r="J175" s="185"/>
      <c r="K175" s="185"/>
      <c r="L175" s="185"/>
      <c r="M175" s="185"/>
      <c r="N175" s="185"/>
    </row>
    <row r="176" spans="1:14" x14ac:dyDescent="0.25">
      <c r="A176" s="180">
        <f t="shared" ca="1" si="19"/>
        <v>46248</v>
      </c>
      <c r="B176" s="181">
        <v>144</v>
      </c>
      <c r="C176" s="182" t="e">
        <f t="shared" si="20"/>
        <v>#VALUE!</v>
      </c>
      <c r="D176" s="182" t="e">
        <f t="shared" si="16"/>
        <v>#VALUE!</v>
      </c>
      <c r="E176" s="182" t="e">
        <f t="shared" si="21"/>
        <v>#VALUE!</v>
      </c>
      <c r="F176" s="182" t="e">
        <f>SUM($D$33:D176)</f>
        <v>#VALUE!</v>
      </c>
      <c r="G176" s="182">
        <f t="shared" ca="1" si="22"/>
        <v>0</v>
      </c>
      <c r="H176" s="182" t="e">
        <f t="shared" si="17"/>
        <v>#VALUE!</v>
      </c>
      <c r="I176" s="183" t="e">
        <f t="shared" si="18"/>
        <v>#VALUE!</v>
      </c>
      <c r="J176" s="185"/>
      <c r="K176" s="185"/>
      <c r="L176" s="185"/>
      <c r="M176" s="185"/>
      <c r="N176" s="185"/>
    </row>
    <row r="177" spans="1:14" x14ac:dyDescent="0.25">
      <c r="A177" s="180">
        <f t="shared" ca="1" si="19"/>
        <v>46249</v>
      </c>
      <c r="B177" s="181">
        <v>145</v>
      </c>
      <c r="C177" s="182" t="e">
        <f t="shared" si="20"/>
        <v>#VALUE!</v>
      </c>
      <c r="D177" s="182" t="e">
        <f t="shared" si="16"/>
        <v>#VALUE!</v>
      </c>
      <c r="E177" s="182" t="e">
        <f t="shared" si="21"/>
        <v>#VALUE!</v>
      </c>
      <c r="F177" s="182" t="e">
        <f>SUM($D$33:D177)</f>
        <v>#VALUE!</v>
      </c>
      <c r="G177" s="182">
        <f t="shared" ca="1" si="22"/>
        <v>0</v>
      </c>
      <c r="H177" s="182" t="e">
        <f t="shared" si="17"/>
        <v>#VALUE!</v>
      </c>
      <c r="I177" s="183" t="e">
        <f t="shared" si="18"/>
        <v>#VALUE!</v>
      </c>
      <c r="J177" s="185"/>
      <c r="K177" s="185"/>
      <c r="L177" s="185"/>
      <c r="M177" s="185"/>
      <c r="N177" s="185"/>
    </row>
    <row r="178" spans="1:14" x14ac:dyDescent="0.25">
      <c r="A178" s="180">
        <f t="shared" ca="1" si="19"/>
        <v>46250</v>
      </c>
      <c r="B178" s="181">
        <v>146</v>
      </c>
      <c r="C178" s="182" t="e">
        <f t="shared" si="20"/>
        <v>#VALUE!</v>
      </c>
      <c r="D178" s="182" t="e">
        <f t="shared" si="16"/>
        <v>#VALUE!</v>
      </c>
      <c r="E178" s="182" t="e">
        <f t="shared" si="21"/>
        <v>#VALUE!</v>
      </c>
      <c r="F178" s="182" t="e">
        <f>SUM($D$33:D178)</f>
        <v>#VALUE!</v>
      </c>
      <c r="G178" s="182">
        <f t="shared" ca="1" si="22"/>
        <v>0</v>
      </c>
      <c r="H178" s="182" t="e">
        <f t="shared" si="17"/>
        <v>#VALUE!</v>
      </c>
      <c r="I178" s="183" t="e">
        <f t="shared" si="18"/>
        <v>#VALUE!</v>
      </c>
      <c r="J178" s="185"/>
      <c r="K178" s="185"/>
      <c r="L178" s="185"/>
      <c r="M178" s="185"/>
      <c r="N178" s="185"/>
    </row>
    <row r="179" spans="1:14" x14ac:dyDescent="0.25">
      <c r="A179" s="180">
        <f t="shared" ca="1" si="19"/>
        <v>46251</v>
      </c>
      <c r="B179" s="181">
        <v>147</v>
      </c>
      <c r="C179" s="182" t="e">
        <f t="shared" si="20"/>
        <v>#VALUE!</v>
      </c>
      <c r="D179" s="182" t="e">
        <f t="shared" si="16"/>
        <v>#VALUE!</v>
      </c>
      <c r="E179" s="182" t="e">
        <f t="shared" si="21"/>
        <v>#VALUE!</v>
      </c>
      <c r="F179" s="182" t="e">
        <f>SUM($D$33:D179)</f>
        <v>#VALUE!</v>
      </c>
      <c r="G179" s="182">
        <f t="shared" ca="1" si="22"/>
        <v>0</v>
      </c>
      <c r="H179" s="182" t="e">
        <f t="shared" si="17"/>
        <v>#VALUE!</v>
      </c>
      <c r="I179" s="183" t="e">
        <f t="shared" si="18"/>
        <v>#VALUE!</v>
      </c>
      <c r="J179" s="185"/>
      <c r="K179" s="185"/>
      <c r="L179" s="185"/>
      <c r="M179" s="185"/>
      <c r="N179" s="185"/>
    </row>
    <row r="180" spans="1:14" x14ac:dyDescent="0.25">
      <c r="A180" s="180">
        <f t="shared" ca="1" si="19"/>
        <v>46252</v>
      </c>
      <c r="B180" s="181">
        <v>148</v>
      </c>
      <c r="C180" s="182" t="e">
        <f t="shared" si="20"/>
        <v>#VALUE!</v>
      </c>
      <c r="D180" s="182" t="e">
        <f t="shared" si="16"/>
        <v>#VALUE!</v>
      </c>
      <c r="E180" s="182" t="e">
        <f t="shared" si="21"/>
        <v>#VALUE!</v>
      </c>
      <c r="F180" s="182" t="e">
        <f>SUM($D$33:D180)</f>
        <v>#VALUE!</v>
      </c>
      <c r="G180" s="182">
        <f t="shared" ca="1" si="22"/>
        <v>0</v>
      </c>
      <c r="H180" s="182" t="e">
        <f t="shared" si="17"/>
        <v>#VALUE!</v>
      </c>
      <c r="I180" s="183" t="e">
        <f t="shared" si="18"/>
        <v>#VALUE!</v>
      </c>
      <c r="J180" s="185"/>
      <c r="K180" s="185"/>
      <c r="L180" s="185"/>
      <c r="M180" s="185"/>
      <c r="N180" s="185"/>
    </row>
    <row r="181" spans="1:14" x14ac:dyDescent="0.25">
      <c r="A181" s="180">
        <f t="shared" ca="1" si="19"/>
        <v>46253</v>
      </c>
      <c r="B181" s="181">
        <v>149</v>
      </c>
      <c r="C181" s="182" t="e">
        <f t="shared" si="20"/>
        <v>#VALUE!</v>
      </c>
      <c r="D181" s="182" t="e">
        <f t="shared" si="16"/>
        <v>#VALUE!</v>
      </c>
      <c r="E181" s="182" t="e">
        <f t="shared" si="21"/>
        <v>#VALUE!</v>
      </c>
      <c r="F181" s="182" t="e">
        <f>SUM($D$33:D181)</f>
        <v>#VALUE!</v>
      </c>
      <c r="G181" s="182">
        <f t="shared" ca="1" si="22"/>
        <v>0</v>
      </c>
      <c r="H181" s="182" t="e">
        <f t="shared" si="17"/>
        <v>#VALUE!</v>
      </c>
      <c r="I181" s="183" t="e">
        <f t="shared" si="18"/>
        <v>#VALUE!</v>
      </c>
      <c r="J181" s="185"/>
      <c r="K181" s="185"/>
      <c r="L181" s="185"/>
      <c r="M181" s="185"/>
      <c r="N181" s="185"/>
    </row>
    <row r="182" spans="1:14" x14ac:dyDescent="0.25">
      <c r="A182" s="180">
        <f t="shared" ca="1" si="19"/>
        <v>46254</v>
      </c>
      <c r="B182" s="181">
        <v>150</v>
      </c>
      <c r="C182" s="182" t="e">
        <f t="shared" si="20"/>
        <v>#VALUE!</v>
      </c>
      <c r="D182" s="182" t="e">
        <f t="shared" si="16"/>
        <v>#VALUE!</v>
      </c>
      <c r="E182" s="182" t="e">
        <f t="shared" si="21"/>
        <v>#VALUE!</v>
      </c>
      <c r="F182" s="182" t="e">
        <f>SUM($D$33:D182)</f>
        <v>#VALUE!</v>
      </c>
      <c r="G182" s="182">
        <f t="shared" ca="1" si="22"/>
        <v>0</v>
      </c>
      <c r="H182" s="182" t="e">
        <f t="shared" si="17"/>
        <v>#VALUE!</v>
      </c>
      <c r="I182" s="183" t="e">
        <f t="shared" si="18"/>
        <v>#VALUE!</v>
      </c>
      <c r="J182" s="185"/>
      <c r="K182" s="185"/>
      <c r="L182" s="185"/>
      <c r="M182" s="185"/>
      <c r="N182" s="185"/>
    </row>
    <row r="183" spans="1:14" x14ac:dyDescent="0.25">
      <c r="A183" s="180">
        <f t="shared" ca="1" si="19"/>
        <v>46255</v>
      </c>
      <c r="B183" s="181">
        <v>151</v>
      </c>
      <c r="C183" s="182" t="e">
        <f t="shared" si="20"/>
        <v>#VALUE!</v>
      </c>
      <c r="D183" s="182" t="e">
        <f t="shared" si="16"/>
        <v>#VALUE!</v>
      </c>
      <c r="E183" s="182" t="e">
        <f t="shared" si="21"/>
        <v>#VALUE!</v>
      </c>
      <c r="F183" s="182" t="e">
        <f>SUM($D$33:D183)</f>
        <v>#VALUE!</v>
      </c>
      <c r="G183" s="182">
        <f t="shared" ca="1" si="22"/>
        <v>0</v>
      </c>
      <c r="H183" s="182" t="e">
        <f t="shared" si="17"/>
        <v>#VALUE!</v>
      </c>
      <c r="I183" s="183" t="e">
        <f t="shared" si="18"/>
        <v>#VALUE!</v>
      </c>
      <c r="J183" s="185"/>
      <c r="K183" s="185"/>
      <c r="L183" s="185"/>
      <c r="M183" s="185"/>
      <c r="N183" s="185"/>
    </row>
    <row r="184" spans="1:14" x14ac:dyDescent="0.25">
      <c r="A184" s="180">
        <f t="shared" ca="1" si="19"/>
        <v>46256</v>
      </c>
      <c r="B184" s="181">
        <v>152</v>
      </c>
      <c r="C184" s="182" t="e">
        <f t="shared" si="20"/>
        <v>#VALUE!</v>
      </c>
      <c r="D184" s="182" t="e">
        <f t="shared" si="16"/>
        <v>#VALUE!</v>
      </c>
      <c r="E184" s="182" t="e">
        <f t="shared" si="21"/>
        <v>#VALUE!</v>
      </c>
      <c r="F184" s="182" t="e">
        <f>SUM($D$33:D184)</f>
        <v>#VALUE!</v>
      </c>
      <c r="G184" s="182">
        <f t="shared" ca="1" si="22"/>
        <v>0</v>
      </c>
      <c r="H184" s="182" t="e">
        <f t="shared" si="17"/>
        <v>#VALUE!</v>
      </c>
      <c r="I184" s="183" t="e">
        <f t="shared" si="18"/>
        <v>#VALUE!</v>
      </c>
      <c r="J184" s="185"/>
      <c r="K184" s="185"/>
      <c r="L184" s="185"/>
      <c r="M184" s="185"/>
      <c r="N184" s="185"/>
    </row>
    <row r="185" spans="1:14" x14ac:dyDescent="0.25">
      <c r="A185" s="180">
        <f t="shared" ca="1" si="19"/>
        <v>46257</v>
      </c>
      <c r="B185" s="181">
        <v>153</v>
      </c>
      <c r="C185" s="182" t="e">
        <f t="shared" si="20"/>
        <v>#VALUE!</v>
      </c>
      <c r="D185" s="182" t="e">
        <f t="shared" si="16"/>
        <v>#VALUE!</v>
      </c>
      <c r="E185" s="182" t="e">
        <f t="shared" si="21"/>
        <v>#VALUE!</v>
      </c>
      <c r="F185" s="182" t="e">
        <f>SUM($D$33:D185)</f>
        <v>#VALUE!</v>
      </c>
      <c r="G185" s="182">
        <f t="shared" ca="1" si="22"/>
        <v>0</v>
      </c>
      <c r="H185" s="182" t="e">
        <f t="shared" si="17"/>
        <v>#VALUE!</v>
      </c>
      <c r="I185" s="183" t="e">
        <f t="shared" si="18"/>
        <v>#VALUE!</v>
      </c>
      <c r="J185" s="185"/>
      <c r="K185" s="185"/>
      <c r="L185" s="185"/>
      <c r="M185" s="185"/>
      <c r="N185" s="185"/>
    </row>
    <row r="186" spans="1:14" x14ac:dyDescent="0.25">
      <c r="A186" s="180">
        <f t="shared" ca="1" si="19"/>
        <v>46258</v>
      </c>
      <c r="B186" s="181">
        <v>154</v>
      </c>
      <c r="C186" s="182" t="e">
        <f t="shared" si="20"/>
        <v>#VALUE!</v>
      </c>
      <c r="D186" s="182" t="e">
        <f t="shared" si="16"/>
        <v>#VALUE!</v>
      </c>
      <c r="E186" s="182" t="e">
        <f t="shared" si="21"/>
        <v>#VALUE!</v>
      </c>
      <c r="F186" s="182" t="e">
        <f>SUM($D$33:D186)</f>
        <v>#VALUE!</v>
      </c>
      <c r="G186" s="182">
        <f t="shared" ca="1" si="22"/>
        <v>0</v>
      </c>
      <c r="H186" s="182" t="e">
        <f t="shared" si="17"/>
        <v>#VALUE!</v>
      </c>
      <c r="I186" s="183" t="e">
        <f t="shared" si="18"/>
        <v>#VALUE!</v>
      </c>
      <c r="J186" s="185"/>
      <c r="K186" s="185"/>
      <c r="L186" s="185"/>
      <c r="M186" s="185"/>
      <c r="N186" s="185"/>
    </row>
    <row r="187" spans="1:14" x14ac:dyDescent="0.25">
      <c r="A187" s="180">
        <f t="shared" ca="1" si="19"/>
        <v>46259</v>
      </c>
      <c r="B187" s="181">
        <v>155</v>
      </c>
      <c r="C187" s="182" t="e">
        <f t="shared" si="20"/>
        <v>#VALUE!</v>
      </c>
      <c r="D187" s="182" t="e">
        <f t="shared" si="16"/>
        <v>#VALUE!</v>
      </c>
      <c r="E187" s="182" t="e">
        <f t="shared" si="21"/>
        <v>#VALUE!</v>
      </c>
      <c r="F187" s="182" t="e">
        <f>SUM($D$33:D187)</f>
        <v>#VALUE!</v>
      </c>
      <c r="G187" s="182">
        <f t="shared" ca="1" si="22"/>
        <v>0</v>
      </c>
      <c r="H187" s="182" t="e">
        <f t="shared" si="17"/>
        <v>#VALUE!</v>
      </c>
      <c r="I187" s="183" t="e">
        <f t="shared" si="18"/>
        <v>#VALUE!</v>
      </c>
      <c r="J187" s="185"/>
      <c r="K187" s="185"/>
      <c r="L187" s="185"/>
      <c r="M187" s="185"/>
      <c r="N187" s="185"/>
    </row>
    <row r="188" spans="1:14" x14ac:dyDescent="0.25">
      <c r="A188" s="180">
        <f t="shared" ca="1" si="19"/>
        <v>46260</v>
      </c>
      <c r="B188" s="181">
        <v>156</v>
      </c>
      <c r="C188" s="182" t="e">
        <f t="shared" si="20"/>
        <v>#VALUE!</v>
      </c>
      <c r="D188" s="182" t="e">
        <f t="shared" si="16"/>
        <v>#VALUE!</v>
      </c>
      <c r="E188" s="182" t="e">
        <f t="shared" si="21"/>
        <v>#VALUE!</v>
      </c>
      <c r="F188" s="182" t="e">
        <f>SUM($D$33:D188)</f>
        <v>#VALUE!</v>
      </c>
      <c r="G188" s="182">
        <f t="shared" ca="1" si="22"/>
        <v>0</v>
      </c>
      <c r="H188" s="182" t="e">
        <f t="shared" si="17"/>
        <v>#VALUE!</v>
      </c>
      <c r="I188" s="183" t="e">
        <f t="shared" si="18"/>
        <v>#VALUE!</v>
      </c>
      <c r="J188" s="185"/>
      <c r="K188" s="185"/>
      <c r="L188" s="185"/>
      <c r="M188" s="185"/>
      <c r="N188" s="185"/>
    </row>
    <row r="189" spans="1:14" x14ac:dyDescent="0.25">
      <c r="A189" s="180">
        <f t="shared" ca="1" si="19"/>
        <v>46261</v>
      </c>
      <c r="B189" s="181">
        <v>157</v>
      </c>
      <c r="C189" s="182" t="e">
        <f t="shared" si="20"/>
        <v>#VALUE!</v>
      </c>
      <c r="D189" s="182" t="e">
        <f t="shared" si="16"/>
        <v>#VALUE!</v>
      </c>
      <c r="E189" s="182" t="e">
        <f t="shared" si="21"/>
        <v>#VALUE!</v>
      </c>
      <c r="F189" s="182" t="e">
        <f>SUM($D$33:D189)</f>
        <v>#VALUE!</v>
      </c>
      <c r="G189" s="182">
        <f t="shared" ca="1" si="22"/>
        <v>0</v>
      </c>
      <c r="H189" s="182" t="e">
        <f t="shared" si="17"/>
        <v>#VALUE!</v>
      </c>
      <c r="I189" s="183" t="e">
        <f t="shared" si="18"/>
        <v>#VALUE!</v>
      </c>
      <c r="J189" s="185"/>
      <c r="K189" s="185"/>
      <c r="L189" s="185"/>
      <c r="M189" s="185"/>
      <c r="N189" s="185"/>
    </row>
    <row r="190" spans="1:14" x14ac:dyDescent="0.25">
      <c r="A190" s="180">
        <f t="shared" ca="1" si="19"/>
        <v>46262</v>
      </c>
      <c r="B190" s="181">
        <v>158</v>
      </c>
      <c r="C190" s="182" t="e">
        <f t="shared" si="20"/>
        <v>#VALUE!</v>
      </c>
      <c r="D190" s="182" t="e">
        <f t="shared" si="16"/>
        <v>#VALUE!</v>
      </c>
      <c r="E190" s="182" t="e">
        <f t="shared" si="21"/>
        <v>#VALUE!</v>
      </c>
      <c r="F190" s="182" t="e">
        <f>SUM($D$33:D190)</f>
        <v>#VALUE!</v>
      </c>
      <c r="G190" s="182">
        <f t="shared" ca="1" si="22"/>
        <v>0</v>
      </c>
      <c r="H190" s="182" t="e">
        <f t="shared" si="17"/>
        <v>#VALUE!</v>
      </c>
      <c r="I190" s="183" t="e">
        <f t="shared" si="18"/>
        <v>#VALUE!</v>
      </c>
      <c r="J190" s="185"/>
      <c r="K190" s="185"/>
      <c r="L190" s="185"/>
      <c r="M190" s="185"/>
      <c r="N190" s="185"/>
    </row>
    <row r="191" spans="1:14" x14ac:dyDescent="0.25">
      <c r="A191" s="180">
        <f t="shared" ca="1" si="19"/>
        <v>46263</v>
      </c>
      <c r="B191" s="181">
        <v>159</v>
      </c>
      <c r="C191" s="182" t="e">
        <f t="shared" si="20"/>
        <v>#VALUE!</v>
      </c>
      <c r="D191" s="182" t="e">
        <f t="shared" si="16"/>
        <v>#VALUE!</v>
      </c>
      <c r="E191" s="182" t="e">
        <f t="shared" si="21"/>
        <v>#VALUE!</v>
      </c>
      <c r="F191" s="182" t="e">
        <f>SUM($D$33:D191)</f>
        <v>#VALUE!</v>
      </c>
      <c r="G191" s="182">
        <f t="shared" ca="1" si="22"/>
        <v>0</v>
      </c>
      <c r="H191" s="182" t="e">
        <f t="shared" si="17"/>
        <v>#VALUE!</v>
      </c>
      <c r="I191" s="183" t="e">
        <f t="shared" si="18"/>
        <v>#VALUE!</v>
      </c>
      <c r="J191" s="185"/>
      <c r="K191" s="185"/>
      <c r="L191" s="185"/>
      <c r="M191" s="185"/>
      <c r="N191" s="185"/>
    </row>
    <row r="192" spans="1:14" x14ac:dyDescent="0.25">
      <c r="A192" s="180">
        <f t="shared" ca="1" si="19"/>
        <v>46264</v>
      </c>
      <c r="B192" s="181">
        <v>160</v>
      </c>
      <c r="C192" s="182" t="e">
        <f t="shared" si="20"/>
        <v>#VALUE!</v>
      </c>
      <c r="D192" s="182" t="e">
        <f t="shared" si="16"/>
        <v>#VALUE!</v>
      </c>
      <c r="E192" s="182" t="e">
        <f t="shared" si="21"/>
        <v>#VALUE!</v>
      </c>
      <c r="F192" s="182" t="e">
        <f>SUM($D$33:D192)</f>
        <v>#VALUE!</v>
      </c>
      <c r="G192" s="182">
        <f t="shared" ca="1" si="22"/>
        <v>0</v>
      </c>
      <c r="H192" s="182" t="e">
        <f t="shared" si="17"/>
        <v>#VALUE!</v>
      </c>
      <c r="I192" s="183" t="e">
        <f t="shared" si="18"/>
        <v>#VALUE!</v>
      </c>
      <c r="J192" s="185"/>
      <c r="K192" s="185"/>
      <c r="L192" s="185"/>
      <c r="M192" s="185"/>
      <c r="N192" s="185"/>
    </row>
    <row r="193" spans="1:14" x14ac:dyDescent="0.25">
      <c r="A193" s="180">
        <f t="shared" ca="1" si="19"/>
        <v>46265</v>
      </c>
      <c r="B193" s="181">
        <v>161</v>
      </c>
      <c r="C193" s="182" t="e">
        <f t="shared" si="20"/>
        <v>#VALUE!</v>
      </c>
      <c r="D193" s="182" t="e">
        <f t="shared" si="16"/>
        <v>#VALUE!</v>
      </c>
      <c r="E193" s="182" t="e">
        <f t="shared" si="21"/>
        <v>#VALUE!</v>
      </c>
      <c r="F193" s="182" t="e">
        <f>SUM($D$33:D193)</f>
        <v>#VALUE!</v>
      </c>
      <c r="G193" s="182">
        <f t="shared" ca="1" si="22"/>
        <v>0</v>
      </c>
      <c r="H193" s="182" t="e">
        <f t="shared" si="17"/>
        <v>#VALUE!</v>
      </c>
      <c r="I193" s="183" t="e">
        <f t="shared" si="18"/>
        <v>#VALUE!</v>
      </c>
      <c r="J193" s="185"/>
      <c r="K193" s="185"/>
      <c r="L193" s="185"/>
      <c r="M193" s="185"/>
      <c r="N193" s="185"/>
    </row>
    <row r="194" spans="1:14" x14ac:dyDescent="0.25">
      <c r="A194" s="180">
        <f t="shared" ca="1" si="19"/>
        <v>46266</v>
      </c>
      <c r="B194" s="181">
        <v>162</v>
      </c>
      <c r="C194" s="182" t="e">
        <f t="shared" si="20"/>
        <v>#VALUE!</v>
      </c>
      <c r="D194" s="182" t="e">
        <f t="shared" si="16"/>
        <v>#VALUE!</v>
      </c>
      <c r="E194" s="182" t="e">
        <f t="shared" si="21"/>
        <v>#VALUE!</v>
      </c>
      <c r="F194" s="182" t="e">
        <f>SUM($D$33:D194)</f>
        <v>#VALUE!</v>
      </c>
      <c r="G194" s="182">
        <f t="shared" ca="1" si="22"/>
        <v>0</v>
      </c>
      <c r="H194" s="182" t="e">
        <f t="shared" si="17"/>
        <v>#VALUE!</v>
      </c>
      <c r="I194" s="183" t="e">
        <f t="shared" si="18"/>
        <v>#VALUE!</v>
      </c>
      <c r="J194" s="185"/>
      <c r="K194" s="185"/>
      <c r="L194" s="185"/>
      <c r="M194" s="185"/>
      <c r="N194" s="185"/>
    </row>
    <row r="195" spans="1:14" x14ac:dyDescent="0.25">
      <c r="A195" s="180">
        <f t="shared" ca="1" si="19"/>
        <v>46267</v>
      </c>
      <c r="B195" s="181">
        <v>163</v>
      </c>
      <c r="C195" s="182" t="e">
        <f t="shared" si="20"/>
        <v>#VALUE!</v>
      </c>
      <c r="D195" s="182" t="e">
        <f t="shared" si="16"/>
        <v>#VALUE!</v>
      </c>
      <c r="E195" s="182" t="e">
        <f t="shared" si="21"/>
        <v>#VALUE!</v>
      </c>
      <c r="F195" s="182" t="e">
        <f>SUM($D$33:D195)</f>
        <v>#VALUE!</v>
      </c>
      <c r="G195" s="182">
        <f t="shared" ca="1" si="22"/>
        <v>0</v>
      </c>
      <c r="H195" s="182" t="e">
        <f t="shared" si="17"/>
        <v>#VALUE!</v>
      </c>
      <c r="I195" s="183" t="e">
        <f t="shared" si="18"/>
        <v>#VALUE!</v>
      </c>
      <c r="J195" s="185"/>
      <c r="K195" s="185"/>
      <c r="L195" s="185"/>
      <c r="M195" s="185"/>
      <c r="N195" s="185"/>
    </row>
    <row r="196" spans="1:14" x14ac:dyDescent="0.25">
      <c r="A196" s="180">
        <f t="shared" ca="1" si="19"/>
        <v>46268</v>
      </c>
      <c r="B196" s="181">
        <v>164</v>
      </c>
      <c r="C196" s="182" t="e">
        <f t="shared" si="20"/>
        <v>#VALUE!</v>
      </c>
      <c r="D196" s="182" t="e">
        <f t="shared" si="16"/>
        <v>#VALUE!</v>
      </c>
      <c r="E196" s="182" t="e">
        <f t="shared" si="21"/>
        <v>#VALUE!</v>
      </c>
      <c r="F196" s="182" t="e">
        <f>SUM($D$33:D196)</f>
        <v>#VALUE!</v>
      </c>
      <c r="G196" s="182">
        <f t="shared" ca="1" si="22"/>
        <v>0</v>
      </c>
      <c r="H196" s="182" t="e">
        <f t="shared" si="17"/>
        <v>#VALUE!</v>
      </c>
      <c r="I196" s="183" t="e">
        <f t="shared" si="18"/>
        <v>#VALUE!</v>
      </c>
      <c r="J196" s="185"/>
      <c r="K196" s="185"/>
      <c r="L196" s="185"/>
      <c r="M196" s="185"/>
      <c r="N196" s="185"/>
    </row>
    <row r="197" spans="1:14" x14ac:dyDescent="0.25">
      <c r="A197" s="180">
        <f t="shared" ca="1" si="19"/>
        <v>46269</v>
      </c>
      <c r="B197" s="181">
        <v>165</v>
      </c>
      <c r="C197" s="182" t="e">
        <f t="shared" si="20"/>
        <v>#VALUE!</v>
      </c>
      <c r="D197" s="182" t="e">
        <f t="shared" si="16"/>
        <v>#VALUE!</v>
      </c>
      <c r="E197" s="182" t="e">
        <f t="shared" si="21"/>
        <v>#VALUE!</v>
      </c>
      <c r="F197" s="182" t="e">
        <f>SUM($D$33:D197)</f>
        <v>#VALUE!</v>
      </c>
      <c r="G197" s="182">
        <f t="shared" ca="1" si="22"/>
        <v>0</v>
      </c>
      <c r="H197" s="182" t="e">
        <f t="shared" si="17"/>
        <v>#VALUE!</v>
      </c>
      <c r="I197" s="183" t="e">
        <f t="shared" si="18"/>
        <v>#VALUE!</v>
      </c>
      <c r="J197" s="185"/>
      <c r="K197" s="185"/>
      <c r="L197" s="185"/>
      <c r="M197" s="185"/>
      <c r="N197" s="185"/>
    </row>
    <row r="198" spans="1:14" x14ac:dyDescent="0.25">
      <c r="A198" s="180">
        <f t="shared" ca="1" si="19"/>
        <v>46270</v>
      </c>
      <c r="B198" s="181">
        <v>166</v>
      </c>
      <c r="C198" s="182" t="e">
        <f t="shared" si="20"/>
        <v>#VALUE!</v>
      </c>
      <c r="D198" s="182" t="e">
        <f t="shared" si="16"/>
        <v>#VALUE!</v>
      </c>
      <c r="E198" s="182" t="e">
        <f t="shared" si="21"/>
        <v>#VALUE!</v>
      </c>
      <c r="F198" s="182" t="e">
        <f>SUM($D$33:D198)</f>
        <v>#VALUE!</v>
      </c>
      <c r="G198" s="182">
        <f t="shared" ca="1" si="22"/>
        <v>0</v>
      </c>
      <c r="H198" s="182" t="e">
        <f t="shared" si="17"/>
        <v>#VALUE!</v>
      </c>
      <c r="I198" s="183" t="e">
        <f t="shared" si="18"/>
        <v>#VALUE!</v>
      </c>
      <c r="J198" s="185"/>
      <c r="K198" s="185"/>
      <c r="L198" s="185"/>
      <c r="M198" s="185"/>
      <c r="N198" s="185"/>
    </row>
    <row r="199" spans="1:14" x14ac:dyDescent="0.25">
      <c r="A199" s="180">
        <f t="shared" ca="1" si="19"/>
        <v>46271</v>
      </c>
      <c r="B199" s="181">
        <v>167</v>
      </c>
      <c r="C199" s="182" t="e">
        <f t="shared" si="20"/>
        <v>#VALUE!</v>
      </c>
      <c r="D199" s="182" t="e">
        <f t="shared" si="16"/>
        <v>#VALUE!</v>
      </c>
      <c r="E199" s="182" t="e">
        <f t="shared" si="21"/>
        <v>#VALUE!</v>
      </c>
      <c r="F199" s="182" t="e">
        <f>SUM($D$33:D199)</f>
        <v>#VALUE!</v>
      </c>
      <c r="G199" s="182">
        <f t="shared" ca="1" si="22"/>
        <v>0</v>
      </c>
      <c r="H199" s="182" t="e">
        <f t="shared" si="17"/>
        <v>#VALUE!</v>
      </c>
      <c r="I199" s="183" t="e">
        <f t="shared" si="18"/>
        <v>#VALUE!</v>
      </c>
      <c r="J199" s="185"/>
      <c r="K199" s="185"/>
      <c r="L199" s="185"/>
      <c r="M199" s="185"/>
      <c r="N199" s="185"/>
    </row>
    <row r="200" spans="1:14" x14ac:dyDescent="0.25">
      <c r="A200" s="180">
        <f t="shared" ca="1" si="19"/>
        <v>46272</v>
      </c>
      <c r="B200" s="181">
        <v>168</v>
      </c>
      <c r="C200" s="182" t="e">
        <f t="shared" si="20"/>
        <v>#VALUE!</v>
      </c>
      <c r="D200" s="182" t="e">
        <f t="shared" si="16"/>
        <v>#VALUE!</v>
      </c>
      <c r="E200" s="182" t="e">
        <f t="shared" si="21"/>
        <v>#VALUE!</v>
      </c>
      <c r="F200" s="182" t="e">
        <f>SUM($D$33:D200)</f>
        <v>#VALUE!</v>
      </c>
      <c r="G200" s="182">
        <f t="shared" ca="1" si="22"/>
        <v>0</v>
      </c>
      <c r="H200" s="182" t="e">
        <f t="shared" si="17"/>
        <v>#VALUE!</v>
      </c>
      <c r="I200" s="183" t="e">
        <f t="shared" si="18"/>
        <v>#VALUE!</v>
      </c>
      <c r="J200" s="185"/>
      <c r="K200" s="185"/>
      <c r="L200" s="185"/>
      <c r="M200" s="185"/>
      <c r="N200" s="185"/>
    </row>
    <row r="201" spans="1:14" x14ac:dyDescent="0.25">
      <c r="A201" s="180">
        <f t="shared" ca="1" si="19"/>
        <v>46273</v>
      </c>
      <c r="B201" s="181">
        <v>169</v>
      </c>
      <c r="C201" s="182" t="e">
        <f t="shared" si="20"/>
        <v>#VALUE!</v>
      </c>
      <c r="D201" s="182" t="e">
        <f t="shared" si="16"/>
        <v>#VALUE!</v>
      </c>
      <c r="E201" s="182" t="e">
        <f t="shared" si="21"/>
        <v>#VALUE!</v>
      </c>
      <c r="F201" s="182" t="e">
        <f>SUM($D$33:D201)</f>
        <v>#VALUE!</v>
      </c>
      <c r="G201" s="182">
        <f t="shared" ca="1" si="22"/>
        <v>0</v>
      </c>
      <c r="H201" s="182" t="e">
        <f t="shared" si="17"/>
        <v>#VALUE!</v>
      </c>
      <c r="I201" s="183" t="e">
        <f t="shared" si="18"/>
        <v>#VALUE!</v>
      </c>
      <c r="K201" s="185"/>
      <c r="L201" s="185"/>
      <c r="M201" s="185"/>
      <c r="N201" s="185"/>
    </row>
    <row r="202" spans="1:14" x14ac:dyDescent="0.25">
      <c r="A202" s="180">
        <f t="shared" ca="1" si="19"/>
        <v>46274</v>
      </c>
      <c r="B202" s="181">
        <v>170</v>
      </c>
      <c r="C202" s="182" t="e">
        <f t="shared" si="20"/>
        <v>#VALUE!</v>
      </c>
      <c r="D202" s="182" t="e">
        <f t="shared" si="16"/>
        <v>#VALUE!</v>
      </c>
      <c r="E202" s="182" t="e">
        <f t="shared" si="21"/>
        <v>#VALUE!</v>
      </c>
      <c r="F202" s="182" t="e">
        <f>SUM($D$33:D202)</f>
        <v>#VALUE!</v>
      </c>
      <c r="G202" s="182">
        <f t="shared" ca="1" si="22"/>
        <v>0</v>
      </c>
      <c r="H202" s="182" t="e">
        <f t="shared" si="17"/>
        <v>#VALUE!</v>
      </c>
      <c r="I202" s="183" t="e">
        <f t="shared" si="18"/>
        <v>#VALUE!</v>
      </c>
      <c r="K202" s="185"/>
      <c r="L202" s="185"/>
      <c r="M202" s="185"/>
      <c r="N202" s="185"/>
    </row>
    <row r="203" spans="1:14" x14ac:dyDescent="0.25">
      <c r="A203" s="180">
        <f t="shared" ca="1" si="19"/>
        <v>46275</v>
      </c>
      <c r="B203" s="181">
        <v>171</v>
      </c>
      <c r="C203" s="182" t="e">
        <f t="shared" si="20"/>
        <v>#VALUE!</v>
      </c>
      <c r="D203" s="182" t="e">
        <f t="shared" si="16"/>
        <v>#VALUE!</v>
      </c>
      <c r="E203" s="182" t="e">
        <f t="shared" si="21"/>
        <v>#VALUE!</v>
      </c>
      <c r="F203" s="182" t="e">
        <f>SUM($D$33:D203)</f>
        <v>#VALUE!</v>
      </c>
      <c r="G203" s="182">
        <f t="shared" ca="1" si="22"/>
        <v>0</v>
      </c>
      <c r="H203" s="182" t="e">
        <f t="shared" si="17"/>
        <v>#VALUE!</v>
      </c>
      <c r="I203" s="183" t="e">
        <f t="shared" si="18"/>
        <v>#VALUE!</v>
      </c>
      <c r="K203" s="185"/>
      <c r="L203" s="185"/>
      <c r="M203" s="185"/>
      <c r="N203" s="185"/>
    </row>
    <row r="204" spans="1:14" x14ac:dyDescent="0.25">
      <c r="A204" s="180">
        <f t="shared" ca="1" si="19"/>
        <v>46276</v>
      </c>
      <c r="B204" s="181">
        <v>172</v>
      </c>
      <c r="C204" s="182" t="e">
        <f t="shared" si="20"/>
        <v>#VALUE!</v>
      </c>
      <c r="D204" s="182" t="e">
        <f t="shared" si="16"/>
        <v>#VALUE!</v>
      </c>
      <c r="E204" s="182" t="e">
        <f t="shared" si="21"/>
        <v>#VALUE!</v>
      </c>
      <c r="F204" s="182" t="e">
        <f>SUM($D$33:D204)</f>
        <v>#VALUE!</v>
      </c>
      <c r="G204" s="182">
        <f t="shared" ca="1" si="22"/>
        <v>0</v>
      </c>
      <c r="H204" s="182" t="e">
        <f t="shared" si="17"/>
        <v>#VALUE!</v>
      </c>
      <c r="I204" s="183" t="e">
        <f t="shared" si="18"/>
        <v>#VALUE!</v>
      </c>
      <c r="K204" s="185"/>
      <c r="L204" s="185"/>
      <c r="M204" s="185"/>
      <c r="N204" s="185"/>
    </row>
    <row r="205" spans="1:14" x14ac:dyDescent="0.25">
      <c r="A205" s="180">
        <f t="shared" ca="1" si="19"/>
        <v>46277</v>
      </c>
      <c r="B205" s="181">
        <v>173</v>
      </c>
      <c r="C205" s="182" t="e">
        <f t="shared" si="20"/>
        <v>#VALUE!</v>
      </c>
      <c r="D205" s="182" t="e">
        <f t="shared" si="16"/>
        <v>#VALUE!</v>
      </c>
      <c r="E205" s="182" t="e">
        <f t="shared" si="21"/>
        <v>#VALUE!</v>
      </c>
      <c r="F205" s="182" t="e">
        <f>SUM($D$33:D205)</f>
        <v>#VALUE!</v>
      </c>
      <c r="G205" s="182">
        <f t="shared" ca="1" si="22"/>
        <v>0</v>
      </c>
      <c r="H205" s="182" t="e">
        <f t="shared" si="17"/>
        <v>#VALUE!</v>
      </c>
      <c r="I205" s="183" t="e">
        <f t="shared" si="18"/>
        <v>#VALUE!</v>
      </c>
      <c r="K205" s="185"/>
      <c r="L205" s="185"/>
      <c r="M205" s="185"/>
      <c r="N205" s="185"/>
    </row>
    <row r="206" spans="1:14" x14ac:dyDescent="0.25">
      <c r="A206" s="180">
        <f t="shared" ca="1" si="19"/>
        <v>46278</v>
      </c>
      <c r="B206" s="181">
        <v>174</v>
      </c>
      <c r="C206" s="182" t="e">
        <f t="shared" si="20"/>
        <v>#VALUE!</v>
      </c>
      <c r="D206" s="182" t="e">
        <f t="shared" si="16"/>
        <v>#VALUE!</v>
      </c>
      <c r="E206" s="182" t="e">
        <f t="shared" si="21"/>
        <v>#VALUE!</v>
      </c>
      <c r="F206" s="182" t="e">
        <f>SUM($D$33:D206)</f>
        <v>#VALUE!</v>
      </c>
      <c r="G206" s="182">
        <f t="shared" ca="1" si="22"/>
        <v>0</v>
      </c>
      <c r="H206" s="182" t="e">
        <f t="shared" si="17"/>
        <v>#VALUE!</v>
      </c>
      <c r="I206" s="183" t="e">
        <f t="shared" si="18"/>
        <v>#VALUE!</v>
      </c>
      <c r="K206" s="185"/>
      <c r="L206" s="185"/>
      <c r="M206" s="185"/>
      <c r="N206" s="185"/>
    </row>
    <row r="207" spans="1:14" x14ac:dyDescent="0.25">
      <c r="A207" s="180">
        <f t="shared" ca="1" si="19"/>
        <v>46279</v>
      </c>
      <c r="B207" s="181">
        <v>175</v>
      </c>
      <c r="C207" s="182" t="e">
        <f t="shared" si="20"/>
        <v>#VALUE!</v>
      </c>
      <c r="D207" s="182" t="e">
        <f t="shared" si="16"/>
        <v>#VALUE!</v>
      </c>
      <c r="E207" s="182" t="e">
        <f t="shared" si="21"/>
        <v>#VALUE!</v>
      </c>
      <c r="F207" s="182" t="e">
        <f>SUM($D$33:D207)</f>
        <v>#VALUE!</v>
      </c>
      <c r="G207" s="182">
        <f t="shared" ca="1" si="22"/>
        <v>0</v>
      </c>
      <c r="H207" s="182" t="e">
        <f t="shared" si="17"/>
        <v>#VALUE!</v>
      </c>
      <c r="I207" s="183" t="e">
        <f t="shared" si="18"/>
        <v>#VALUE!</v>
      </c>
      <c r="K207" s="185"/>
      <c r="L207" s="185"/>
      <c r="M207" s="185"/>
      <c r="N207" s="185"/>
    </row>
    <row r="208" spans="1:14" x14ac:dyDescent="0.25">
      <c r="A208" s="180">
        <f t="shared" ca="1" si="19"/>
        <v>46280</v>
      </c>
      <c r="B208" s="181">
        <v>176</v>
      </c>
      <c r="C208" s="182" t="e">
        <f t="shared" si="20"/>
        <v>#VALUE!</v>
      </c>
      <c r="D208" s="182" t="e">
        <f t="shared" si="16"/>
        <v>#VALUE!</v>
      </c>
      <c r="E208" s="182" t="e">
        <f t="shared" si="21"/>
        <v>#VALUE!</v>
      </c>
      <c r="F208" s="182" t="e">
        <f>SUM($D$33:D208)</f>
        <v>#VALUE!</v>
      </c>
      <c r="G208" s="182">
        <f t="shared" ca="1" si="22"/>
        <v>0</v>
      </c>
      <c r="H208" s="182" t="e">
        <f t="shared" si="17"/>
        <v>#VALUE!</v>
      </c>
      <c r="I208" s="183" t="e">
        <f t="shared" si="18"/>
        <v>#VALUE!</v>
      </c>
      <c r="K208" s="185"/>
      <c r="L208" s="185"/>
      <c r="M208" s="185"/>
      <c r="N208" s="185"/>
    </row>
    <row r="209" spans="1:14" x14ac:dyDescent="0.25">
      <c r="A209" s="180">
        <f t="shared" ca="1" si="19"/>
        <v>46281</v>
      </c>
      <c r="B209" s="181">
        <v>177</v>
      </c>
      <c r="C209" s="182" t="e">
        <f t="shared" si="20"/>
        <v>#VALUE!</v>
      </c>
      <c r="D209" s="182" t="e">
        <f t="shared" si="16"/>
        <v>#VALUE!</v>
      </c>
      <c r="E209" s="182" t="e">
        <f t="shared" si="21"/>
        <v>#VALUE!</v>
      </c>
      <c r="F209" s="182" t="e">
        <f>SUM($D$33:D209)</f>
        <v>#VALUE!</v>
      </c>
      <c r="G209" s="182">
        <f t="shared" ca="1" si="22"/>
        <v>0</v>
      </c>
      <c r="H209" s="182" t="e">
        <f t="shared" si="17"/>
        <v>#VALUE!</v>
      </c>
      <c r="I209" s="183" t="e">
        <f t="shared" si="18"/>
        <v>#VALUE!</v>
      </c>
      <c r="K209" s="185"/>
      <c r="L209" s="185"/>
      <c r="M209" s="185"/>
      <c r="N209" s="185"/>
    </row>
    <row r="210" spans="1:14" x14ac:dyDescent="0.25">
      <c r="A210" s="180">
        <f t="shared" ca="1" si="19"/>
        <v>46282</v>
      </c>
      <c r="B210" s="181">
        <v>178</v>
      </c>
      <c r="C210" s="182" t="e">
        <f t="shared" si="20"/>
        <v>#VALUE!</v>
      </c>
      <c r="D210" s="182" t="e">
        <f t="shared" si="16"/>
        <v>#VALUE!</v>
      </c>
      <c r="E210" s="182" t="e">
        <f t="shared" si="21"/>
        <v>#VALUE!</v>
      </c>
      <c r="F210" s="182" t="e">
        <f>SUM($D$33:D210)</f>
        <v>#VALUE!</v>
      </c>
      <c r="G210" s="182">
        <f t="shared" ca="1" si="22"/>
        <v>0</v>
      </c>
      <c r="H210" s="182" t="e">
        <f t="shared" si="17"/>
        <v>#VALUE!</v>
      </c>
      <c r="I210" s="183" t="e">
        <f t="shared" si="18"/>
        <v>#VALUE!</v>
      </c>
    </row>
    <row r="211" spans="1:14" x14ac:dyDescent="0.25">
      <c r="A211" s="180">
        <f t="shared" ca="1" si="19"/>
        <v>46283</v>
      </c>
      <c r="B211" s="181">
        <v>179</v>
      </c>
      <c r="C211" s="182" t="e">
        <f t="shared" si="20"/>
        <v>#VALUE!</v>
      </c>
      <c r="D211" s="182" t="e">
        <f t="shared" si="16"/>
        <v>#VALUE!</v>
      </c>
      <c r="E211" s="182" t="e">
        <f t="shared" si="21"/>
        <v>#VALUE!</v>
      </c>
      <c r="F211" s="182" t="e">
        <f>SUM($D$33:D211)</f>
        <v>#VALUE!</v>
      </c>
      <c r="G211" s="182">
        <f t="shared" ca="1" si="22"/>
        <v>0</v>
      </c>
      <c r="H211" s="182" t="e">
        <f t="shared" si="17"/>
        <v>#VALUE!</v>
      </c>
      <c r="I211" s="183" t="e">
        <f t="shared" si="18"/>
        <v>#VALUE!</v>
      </c>
    </row>
    <row r="212" spans="1:14" x14ac:dyDescent="0.25">
      <c r="A212" s="180">
        <f t="shared" ca="1" si="19"/>
        <v>46284</v>
      </c>
      <c r="B212" s="181">
        <v>180</v>
      </c>
      <c r="C212" s="182" t="e">
        <f t="shared" si="20"/>
        <v>#VALUE!</v>
      </c>
      <c r="D212" s="182" t="e">
        <f t="shared" si="16"/>
        <v>#VALUE!</v>
      </c>
      <c r="E212" s="182" t="e">
        <f t="shared" si="21"/>
        <v>#VALUE!</v>
      </c>
      <c r="F212" s="182" t="e">
        <f>SUM($D$33:D212)</f>
        <v>#VALUE!</v>
      </c>
      <c r="G212" s="182">
        <f t="shared" ca="1" si="22"/>
        <v>0</v>
      </c>
      <c r="H212" s="182" t="e">
        <f t="shared" si="17"/>
        <v>#VALUE!</v>
      </c>
      <c r="I212" s="183" t="e">
        <f t="shared" si="18"/>
        <v>#VALUE!</v>
      </c>
    </row>
    <row r="213" spans="1:14" x14ac:dyDescent="0.25">
      <c r="A213" s="180">
        <f t="shared" ca="1" si="19"/>
        <v>46285</v>
      </c>
      <c r="B213" s="181">
        <v>181</v>
      </c>
      <c r="C213" s="182" t="e">
        <f t="shared" si="20"/>
        <v>#VALUE!</v>
      </c>
      <c r="D213" s="182" t="e">
        <f t="shared" si="16"/>
        <v>#VALUE!</v>
      </c>
      <c r="E213" s="182" t="e">
        <f t="shared" si="21"/>
        <v>#VALUE!</v>
      </c>
      <c r="F213" s="182" t="e">
        <f>SUM($D$33:D213)</f>
        <v>#VALUE!</v>
      </c>
      <c r="G213" s="182">
        <f t="shared" ca="1" si="22"/>
        <v>0</v>
      </c>
      <c r="H213" s="182" t="e">
        <f t="shared" si="17"/>
        <v>#VALUE!</v>
      </c>
      <c r="I213" s="183" t="e">
        <f t="shared" si="18"/>
        <v>#VALUE!</v>
      </c>
    </row>
    <row r="214" spans="1:14" x14ac:dyDescent="0.25">
      <c r="A214" s="180">
        <f t="shared" ca="1" si="19"/>
        <v>46286</v>
      </c>
      <c r="B214" s="181">
        <v>182</v>
      </c>
      <c r="C214" s="182" t="e">
        <f t="shared" si="20"/>
        <v>#VALUE!</v>
      </c>
      <c r="D214" s="182" t="e">
        <f t="shared" si="16"/>
        <v>#VALUE!</v>
      </c>
      <c r="E214" s="182" t="e">
        <f t="shared" si="21"/>
        <v>#VALUE!</v>
      </c>
      <c r="F214" s="182" t="e">
        <f>SUM($D$33:D214)</f>
        <v>#VALUE!</v>
      </c>
      <c r="G214" s="182">
        <f t="shared" ca="1" si="22"/>
        <v>0</v>
      </c>
      <c r="H214" s="182" t="e">
        <f t="shared" si="17"/>
        <v>#VALUE!</v>
      </c>
      <c r="I214" s="183" t="e">
        <f t="shared" si="18"/>
        <v>#VALUE!</v>
      </c>
    </row>
    <row r="215" spans="1:14" x14ac:dyDescent="0.25">
      <c r="A215" s="180">
        <f t="shared" ca="1" si="19"/>
        <v>46287</v>
      </c>
      <c r="B215" s="181">
        <v>183</v>
      </c>
      <c r="C215" s="182" t="e">
        <f t="shared" si="20"/>
        <v>#VALUE!</v>
      </c>
      <c r="D215" s="182" t="e">
        <f t="shared" si="16"/>
        <v>#VALUE!</v>
      </c>
      <c r="E215" s="182" t="e">
        <f t="shared" si="21"/>
        <v>#VALUE!</v>
      </c>
      <c r="F215" s="182" t="e">
        <f>SUM($D$33:D215)</f>
        <v>#VALUE!</v>
      </c>
      <c r="G215" s="182">
        <f t="shared" ca="1" si="22"/>
        <v>0</v>
      </c>
      <c r="H215" s="182" t="e">
        <f t="shared" si="17"/>
        <v>#VALUE!</v>
      </c>
      <c r="I215" s="183" t="e">
        <f t="shared" si="18"/>
        <v>#VALUE!</v>
      </c>
    </row>
    <row r="216" spans="1:14" x14ac:dyDescent="0.25">
      <c r="A216" s="180">
        <f t="shared" ca="1" si="19"/>
        <v>46288</v>
      </c>
      <c r="B216" s="181">
        <v>184</v>
      </c>
      <c r="C216" s="182" t="e">
        <f t="shared" si="20"/>
        <v>#VALUE!</v>
      </c>
      <c r="D216" s="182" t="e">
        <f t="shared" si="16"/>
        <v>#VALUE!</v>
      </c>
      <c r="E216" s="182" t="e">
        <f t="shared" si="21"/>
        <v>#VALUE!</v>
      </c>
      <c r="F216" s="182" t="e">
        <f>SUM($D$33:D216)</f>
        <v>#VALUE!</v>
      </c>
      <c r="G216" s="182">
        <f t="shared" ca="1" si="22"/>
        <v>0</v>
      </c>
      <c r="H216" s="182" t="e">
        <f t="shared" si="17"/>
        <v>#VALUE!</v>
      </c>
      <c r="I216" s="183" t="e">
        <f t="shared" si="18"/>
        <v>#VALUE!</v>
      </c>
    </row>
    <row r="217" spans="1:14" x14ac:dyDescent="0.25">
      <c r="A217" s="180">
        <f t="shared" ca="1" si="19"/>
        <v>46289</v>
      </c>
      <c r="B217" s="181">
        <v>185</v>
      </c>
      <c r="C217" s="182" t="e">
        <f t="shared" si="20"/>
        <v>#VALUE!</v>
      </c>
      <c r="D217" s="182" t="e">
        <f t="shared" si="16"/>
        <v>#VALUE!</v>
      </c>
      <c r="E217" s="182" t="e">
        <f t="shared" si="21"/>
        <v>#VALUE!</v>
      </c>
      <c r="F217" s="182" t="e">
        <f>SUM($D$33:D217)</f>
        <v>#VALUE!</v>
      </c>
      <c r="G217" s="182">
        <f t="shared" ca="1" si="22"/>
        <v>0</v>
      </c>
      <c r="H217" s="182" t="e">
        <f t="shared" si="17"/>
        <v>#VALUE!</v>
      </c>
      <c r="I217" s="183" t="e">
        <f t="shared" si="18"/>
        <v>#VALUE!</v>
      </c>
    </row>
    <row r="218" spans="1:14" x14ac:dyDescent="0.25">
      <c r="A218" s="180">
        <f t="shared" ca="1" si="19"/>
        <v>46290</v>
      </c>
      <c r="B218" s="181">
        <v>186</v>
      </c>
      <c r="C218" s="182" t="e">
        <f t="shared" si="20"/>
        <v>#VALUE!</v>
      </c>
      <c r="D218" s="182" t="e">
        <f t="shared" si="16"/>
        <v>#VALUE!</v>
      </c>
      <c r="E218" s="182" t="e">
        <f t="shared" si="21"/>
        <v>#VALUE!</v>
      </c>
      <c r="F218" s="182" t="e">
        <f>SUM($D$33:D218)</f>
        <v>#VALUE!</v>
      </c>
      <c r="G218" s="182">
        <f t="shared" ca="1" si="22"/>
        <v>0</v>
      </c>
      <c r="H218" s="182" t="e">
        <f t="shared" si="17"/>
        <v>#VALUE!</v>
      </c>
      <c r="I218" s="183" t="e">
        <f t="shared" si="18"/>
        <v>#VALUE!</v>
      </c>
    </row>
    <row r="219" spans="1:14" x14ac:dyDescent="0.25">
      <c r="A219" s="180">
        <f t="shared" ca="1" si="19"/>
        <v>46291</v>
      </c>
      <c r="B219" s="181">
        <v>187</v>
      </c>
      <c r="C219" s="182" t="e">
        <f t="shared" si="20"/>
        <v>#VALUE!</v>
      </c>
      <c r="D219" s="182" t="e">
        <f t="shared" si="16"/>
        <v>#VALUE!</v>
      </c>
      <c r="E219" s="182" t="e">
        <f t="shared" si="21"/>
        <v>#VALUE!</v>
      </c>
      <c r="F219" s="182" t="e">
        <f>SUM($D$33:D219)</f>
        <v>#VALUE!</v>
      </c>
      <c r="G219" s="182">
        <f t="shared" ca="1" si="22"/>
        <v>0</v>
      </c>
      <c r="H219" s="182" t="e">
        <f t="shared" si="17"/>
        <v>#VALUE!</v>
      </c>
      <c r="I219" s="183" t="e">
        <f t="shared" si="18"/>
        <v>#VALUE!</v>
      </c>
    </row>
    <row r="220" spans="1:14" x14ac:dyDescent="0.25">
      <c r="A220" s="180">
        <f t="shared" ca="1" si="19"/>
        <v>46292</v>
      </c>
      <c r="B220" s="181">
        <v>188</v>
      </c>
      <c r="C220" s="182" t="e">
        <f t="shared" si="20"/>
        <v>#VALUE!</v>
      </c>
      <c r="D220" s="182" t="e">
        <f t="shared" si="16"/>
        <v>#VALUE!</v>
      </c>
      <c r="E220" s="182" t="e">
        <f t="shared" si="21"/>
        <v>#VALUE!</v>
      </c>
      <c r="F220" s="182" t="e">
        <f>SUM($D$33:D220)</f>
        <v>#VALUE!</v>
      </c>
      <c r="G220" s="182">
        <f t="shared" ca="1" si="22"/>
        <v>0</v>
      </c>
      <c r="H220" s="182" t="e">
        <f t="shared" si="17"/>
        <v>#VALUE!</v>
      </c>
      <c r="I220" s="183" t="e">
        <f t="shared" si="18"/>
        <v>#VALUE!</v>
      </c>
    </row>
    <row r="221" spans="1:14" x14ac:dyDescent="0.25">
      <c r="A221" s="180">
        <f t="shared" ca="1" si="19"/>
        <v>46293</v>
      </c>
      <c r="B221" s="181">
        <v>189</v>
      </c>
      <c r="C221" s="182" t="e">
        <f t="shared" si="20"/>
        <v>#VALUE!</v>
      </c>
      <c r="D221" s="182" t="e">
        <f t="shared" si="16"/>
        <v>#VALUE!</v>
      </c>
      <c r="E221" s="182" t="e">
        <f t="shared" si="21"/>
        <v>#VALUE!</v>
      </c>
      <c r="F221" s="182" t="e">
        <f>SUM($D$33:D221)</f>
        <v>#VALUE!</v>
      </c>
      <c r="G221" s="182">
        <f t="shared" ca="1" si="22"/>
        <v>0</v>
      </c>
      <c r="H221" s="182" t="e">
        <f t="shared" si="17"/>
        <v>#VALUE!</v>
      </c>
      <c r="I221" s="183" t="e">
        <f t="shared" si="18"/>
        <v>#VALUE!</v>
      </c>
    </row>
    <row r="222" spans="1:14" x14ac:dyDescent="0.25">
      <c r="A222" s="180">
        <f t="shared" ca="1" si="19"/>
        <v>46294</v>
      </c>
      <c r="B222" s="181">
        <v>190</v>
      </c>
      <c r="C222" s="182" t="e">
        <f t="shared" si="20"/>
        <v>#VALUE!</v>
      </c>
      <c r="D222" s="182" t="e">
        <f t="shared" si="16"/>
        <v>#VALUE!</v>
      </c>
      <c r="E222" s="182" t="e">
        <f t="shared" si="21"/>
        <v>#VALUE!</v>
      </c>
      <c r="F222" s="182" t="e">
        <f>SUM($D$33:D222)</f>
        <v>#VALUE!</v>
      </c>
      <c r="G222" s="182">
        <f t="shared" ca="1" si="22"/>
        <v>0</v>
      </c>
      <c r="H222" s="182" t="e">
        <f t="shared" si="17"/>
        <v>#VALUE!</v>
      </c>
      <c r="I222" s="183" t="e">
        <f t="shared" si="18"/>
        <v>#VALUE!</v>
      </c>
    </row>
    <row r="223" spans="1:14" x14ac:dyDescent="0.25">
      <c r="A223" s="180">
        <f t="shared" ca="1" si="19"/>
        <v>46295</v>
      </c>
      <c r="B223" s="181">
        <v>191</v>
      </c>
      <c r="C223" s="182" t="e">
        <f t="shared" si="20"/>
        <v>#VALUE!</v>
      </c>
      <c r="D223" s="182" t="e">
        <f t="shared" si="16"/>
        <v>#VALUE!</v>
      </c>
      <c r="E223" s="182" t="e">
        <f t="shared" si="21"/>
        <v>#VALUE!</v>
      </c>
      <c r="F223" s="182" t="e">
        <f>SUM($D$33:D223)</f>
        <v>#VALUE!</v>
      </c>
      <c r="G223" s="182">
        <f t="shared" ca="1" si="22"/>
        <v>0</v>
      </c>
      <c r="H223" s="182" t="e">
        <f t="shared" si="17"/>
        <v>#VALUE!</v>
      </c>
      <c r="I223" s="183" t="e">
        <f t="shared" si="18"/>
        <v>#VALUE!</v>
      </c>
    </row>
    <row r="224" spans="1:14" x14ac:dyDescent="0.25">
      <c r="A224" s="180">
        <f t="shared" ca="1" si="19"/>
        <v>46296</v>
      </c>
      <c r="B224" s="181">
        <v>192</v>
      </c>
      <c r="C224" s="182" t="e">
        <f t="shared" si="20"/>
        <v>#VALUE!</v>
      </c>
      <c r="D224" s="182" t="e">
        <f t="shared" si="16"/>
        <v>#VALUE!</v>
      </c>
      <c r="E224" s="182" t="e">
        <f t="shared" si="21"/>
        <v>#VALUE!</v>
      </c>
      <c r="F224" s="182" t="e">
        <f>SUM($D$33:D224)</f>
        <v>#VALUE!</v>
      </c>
      <c r="G224" s="182">
        <f t="shared" ca="1" si="22"/>
        <v>0</v>
      </c>
      <c r="H224" s="182" t="e">
        <f t="shared" si="17"/>
        <v>#VALUE!</v>
      </c>
      <c r="I224" s="183" t="e">
        <f t="shared" si="18"/>
        <v>#VALUE!</v>
      </c>
    </row>
    <row r="225" spans="1:9" x14ac:dyDescent="0.25">
      <c r="A225" s="180">
        <f t="shared" ca="1" si="19"/>
        <v>46297</v>
      </c>
      <c r="B225" s="181">
        <v>193</v>
      </c>
      <c r="C225" s="182" t="e">
        <f t="shared" si="20"/>
        <v>#VALUE!</v>
      </c>
      <c r="D225" s="182" t="e">
        <f t="shared" ref="D225:D288" si="23">IF(C225&gt;$H$21,C225*($C$25/360),$H$21*($C$25/360))</f>
        <v>#VALUE!</v>
      </c>
      <c r="E225" s="182" t="e">
        <f t="shared" si="21"/>
        <v>#VALUE!</v>
      </c>
      <c r="F225" s="182" t="e">
        <f>SUM($D$33:D225)</f>
        <v>#VALUE!</v>
      </c>
      <c r="G225" s="182">
        <f t="shared" ca="1" si="22"/>
        <v>0</v>
      </c>
      <c r="H225" s="182" t="e">
        <f t="shared" ref="H225:H288" si="24">IF(E225&gt;0,C225+G225,IF(E225&lt;0,C225+G225+D225-E224,C225+D225+G225))</f>
        <v>#VALUE!</v>
      </c>
      <c r="I225" s="183" t="e">
        <f t="shared" ref="I225:I288" si="25">(C225+D225-E225)</f>
        <v>#VALUE!</v>
      </c>
    </row>
    <row r="226" spans="1:9" x14ac:dyDescent="0.25">
      <c r="A226" s="180">
        <f t="shared" ref="A226:A289" ca="1" si="26">A225+1</f>
        <v>46298</v>
      </c>
      <c r="B226" s="181">
        <v>194</v>
      </c>
      <c r="C226" s="182" t="e">
        <f t="shared" ref="C226:C289" si="27">H225</f>
        <v>#VALUE!</v>
      </c>
      <c r="D226" s="182" t="e">
        <f t="shared" si="23"/>
        <v>#VALUE!</v>
      </c>
      <c r="E226" s="182" t="e">
        <f t="shared" ref="E226:E289" si="28">IF(E225&gt;0,E225-D226,0)</f>
        <v>#VALUE!</v>
      </c>
      <c r="F226" s="182" t="e">
        <f>SUM($D$33:D226)</f>
        <v>#VALUE!</v>
      </c>
      <c r="G226" s="182">
        <f t="shared" ref="G226:G289" ca="1" si="29">IFERROR(-VLOOKUP(A226,$K$30:$M$36,2,FALSE),0)</f>
        <v>0</v>
      </c>
      <c r="H226" s="182" t="e">
        <f t="shared" si="24"/>
        <v>#VALUE!</v>
      </c>
      <c r="I226" s="183" t="e">
        <f t="shared" si="25"/>
        <v>#VALUE!</v>
      </c>
    </row>
    <row r="227" spans="1:9" x14ac:dyDescent="0.25">
      <c r="A227" s="180">
        <f t="shared" ca="1" si="26"/>
        <v>46299</v>
      </c>
      <c r="B227" s="181">
        <v>195</v>
      </c>
      <c r="C227" s="182" t="e">
        <f t="shared" si="27"/>
        <v>#VALUE!</v>
      </c>
      <c r="D227" s="182" t="e">
        <f t="shared" si="23"/>
        <v>#VALUE!</v>
      </c>
      <c r="E227" s="182" t="e">
        <f t="shared" si="28"/>
        <v>#VALUE!</v>
      </c>
      <c r="F227" s="182" t="e">
        <f>SUM($D$33:D227)</f>
        <v>#VALUE!</v>
      </c>
      <c r="G227" s="182">
        <f t="shared" ca="1" si="29"/>
        <v>0</v>
      </c>
      <c r="H227" s="182" t="e">
        <f t="shared" si="24"/>
        <v>#VALUE!</v>
      </c>
      <c r="I227" s="183" t="e">
        <f t="shared" si="25"/>
        <v>#VALUE!</v>
      </c>
    </row>
    <row r="228" spans="1:9" x14ac:dyDescent="0.25">
      <c r="A228" s="180">
        <f t="shared" ca="1" si="26"/>
        <v>46300</v>
      </c>
      <c r="B228" s="181">
        <v>196</v>
      </c>
      <c r="C228" s="182" t="e">
        <f t="shared" si="27"/>
        <v>#VALUE!</v>
      </c>
      <c r="D228" s="182" t="e">
        <f t="shared" si="23"/>
        <v>#VALUE!</v>
      </c>
      <c r="E228" s="182" t="e">
        <f t="shared" si="28"/>
        <v>#VALUE!</v>
      </c>
      <c r="F228" s="182" t="e">
        <f>SUM($D$33:D228)</f>
        <v>#VALUE!</v>
      </c>
      <c r="G228" s="182">
        <f t="shared" ca="1" si="29"/>
        <v>0</v>
      </c>
      <c r="H228" s="182" t="e">
        <f t="shared" si="24"/>
        <v>#VALUE!</v>
      </c>
      <c r="I228" s="183" t="e">
        <f t="shared" si="25"/>
        <v>#VALUE!</v>
      </c>
    </row>
    <row r="229" spans="1:9" x14ac:dyDescent="0.25">
      <c r="A229" s="180">
        <f t="shared" ca="1" si="26"/>
        <v>46301</v>
      </c>
      <c r="B229" s="181">
        <v>197</v>
      </c>
      <c r="C229" s="182" t="e">
        <f t="shared" si="27"/>
        <v>#VALUE!</v>
      </c>
      <c r="D229" s="182" t="e">
        <f t="shared" si="23"/>
        <v>#VALUE!</v>
      </c>
      <c r="E229" s="182" t="e">
        <f t="shared" si="28"/>
        <v>#VALUE!</v>
      </c>
      <c r="F229" s="182" t="e">
        <f>SUM($D$33:D229)</f>
        <v>#VALUE!</v>
      </c>
      <c r="G229" s="182">
        <f t="shared" ca="1" si="29"/>
        <v>0</v>
      </c>
      <c r="H229" s="182" t="e">
        <f t="shared" si="24"/>
        <v>#VALUE!</v>
      </c>
      <c r="I229" s="183" t="e">
        <f t="shared" si="25"/>
        <v>#VALUE!</v>
      </c>
    </row>
    <row r="230" spans="1:9" x14ac:dyDescent="0.25">
      <c r="A230" s="180">
        <f t="shared" ca="1" si="26"/>
        <v>46302</v>
      </c>
      <c r="B230" s="181">
        <v>198</v>
      </c>
      <c r="C230" s="182" t="e">
        <f t="shared" si="27"/>
        <v>#VALUE!</v>
      </c>
      <c r="D230" s="182" t="e">
        <f t="shared" si="23"/>
        <v>#VALUE!</v>
      </c>
      <c r="E230" s="182" t="e">
        <f t="shared" si="28"/>
        <v>#VALUE!</v>
      </c>
      <c r="F230" s="182" t="e">
        <f>SUM($D$33:D230)</f>
        <v>#VALUE!</v>
      </c>
      <c r="G230" s="182">
        <f t="shared" ca="1" si="29"/>
        <v>0</v>
      </c>
      <c r="H230" s="182" t="e">
        <f t="shared" si="24"/>
        <v>#VALUE!</v>
      </c>
      <c r="I230" s="183" t="e">
        <f t="shared" si="25"/>
        <v>#VALUE!</v>
      </c>
    </row>
    <row r="231" spans="1:9" x14ac:dyDescent="0.25">
      <c r="A231" s="180">
        <f t="shared" ca="1" si="26"/>
        <v>46303</v>
      </c>
      <c r="B231" s="181">
        <v>199</v>
      </c>
      <c r="C231" s="182" t="e">
        <f t="shared" si="27"/>
        <v>#VALUE!</v>
      </c>
      <c r="D231" s="182" t="e">
        <f t="shared" si="23"/>
        <v>#VALUE!</v>
      </c>
      <c r="E231" s="182" t="e">
        <f t="shared" si="28"/>
        <v>#VALUE!</v>
      </c>
      <c r="F231" s="182" t="e">
        <f>SUM($D$33:D231)</f>
        <v>#VALUE!</v>
      </c>
      <c r="G231" s="182">
        <f t="shared" ca="1" si="29"/>
        <v>0</v>
      </c>
      <c r="H231" s="182" t="e">
        <f t="shared" si="24"/>
        <v>#VALUE!</v>
      </c>
      <c r="I231" s="183" t="e">
        <f t="shared" si="25"/>
        <v>#VALUE!</v>
      </c>
    </row>
    <row r="232" spans="1:9" x14ac:dyDescent="0.25">
      <c r="A232" s="180">
        <f t="shared" ca="1" si="26"/>
        <v>46304</v>
      </c>
      <c r="B232" s="181">
        <v>200</v>
      </c>
      <c r="C232" s="182" t="e">
        <f t="shared" si="27"/>
        <v>#VALUE!</v>
      </c>
      <c r="D232" s="182" t="e">
        <f t="shared" si="23"/>
        <v>#VALUE!</v>
      </c>
      <c r="E232" s="182" t="e">
        <f t="shared" si="28"/>
        <v>#VALUE!</v>
      </c>
      <c r="F232" s="182" t="e">
        <f>SUM($D$33:D232)</f>
        <v>#VALUE!</v>
      </c>
      <c r="G232" s="182">
        <f t="shared" ca="1" si="29"/>
        <v>0</v>
      </c>
      <c r="H232" s="182" t="e">
        <f t="shared" si="24"/>
        <v>#VALUE!</v>
      </c>
      <c r="I232" s="183" t="e">
        <f t="shared" si="25"/>
        <v>#VALUE!</v>
      </c>
    </row>
    <row r="233" spans="1:9" x14ac:dyDescent="0.25">
      <c r="A233" s="180">
        <f t="shared" ca="1" si="26"/>
        <v>46305</v>
      </c>
      <c r="B233" s="181">
        <v>201</v>
      </c>
      <c r="C233" s="182" t="e">
        <f t="shared" si="27"/>
        <v>#VALUE!</v>
      </c>
      <c r="D233" s="182" t="e">
        <f t="shared" si="23"/>
        <v>#VALUE!</v>
      </c>
      <c r="E233" s="182" t="e">
        <f t="shared" si="28"/>
        <v>#VALUE!</v>
      </c>
      <c r="F233" s="182" t="e">
        <f>SUM($D$33:D233)</f>
        <v>#VALUE!</v>
      </c>
      <c r="G233" s="182">
        <f t="shared" ca="1" si="29"/>
        <v>0</v>
      </c>
      <c r="H233" s="182" t="e">
        <f t="shared" si="24"/>
        <v>#VALUE!</v>
      </c>
      <c r="I233" s="183" t="e">
        <f t="shared" si="25"/>
        <v>#VALUE!</v>
      </c>
    </row>
    <row r="234" spans="1:9" x14ac:dyDescent="0.25">
      <c r="A234" s="180">
        <f t="shared" ca="1" si="26"/>
        <v>46306</v>
      </c>
      <c r="B234" s="181">
        <v>202</v>
      </c>
      <c r="C234" s="182" t="e">
        <f t="shared" si="27"/>
        <v>#VALUE!</v>
      </c>
      <c r="D234" s="182" t="e">
        <f t="shared" si="23"/>
        <v>#VALUE!</v>
      </c>
      <c r="E234" s="182" t="e">
        <f t="shared" si="28"/>
        <v>#VALUE!</v>
      </c>
      <c r="F234" s="182" t="e">
        <f>SUM($D$33:D234)</f>
        <v>#VALUE!</v>
      </c>
      <c r="G234" s="182">
        <f t="shared" ca="1" si="29"/>
        <v>0</v>
      </c>
      <c r="H234" s="182" t="e">
        <f t="shared" si="24"/>
        <v>#VALUE!</v>
      </c>
      <c r="I234" s="183" t="e">
        <f t="shared" si="25"/>
        <v>#VALUE!</v>
      </c>
    </row>
    <row r="235" spans="1:9" x14ac:dyDescent="0.25">
      <c r="A235" s="180">
        <f t="shared" ca="1" si="26"/>
        <v>46307</v>
      </c>
      <c r="B235" s="181">
        <v>203</v>
      </c>
      <c r="C235" s="182" t="e">
        <f t="shared" si="27"/>
        <v>#VALUE!</v>
      </c>
      <c r="D235" s="182" t="e">
        <f t="shared" si="23"/>
        <v>#VALUE!</v>
      </c>
      <c r="E235" s="182" t="e">
        <f t="shared" si="28"/>
        <v>#VALUE!</v>
      </c>
      <c r="F235" s="182" t="e">
        <f>SUM($D$33:D235)</f>
        <v>#VALUE!</v>
      </c>
      <c r="G235" s="182">
        <f t="shared" ca="1" si="29"/>
        <v>0</v>
      </c>
      <c r="H235" s="182" t="e">
        <f t="shared" si="24"/>
        <v>#VALUE!</v>
      </c>
      <c r="I235" s="183" t="e">
        <f t="shared" si="25"/>
        <v>#VALUE!</v>
      </c>
    </row>
    <row r="236" spans="1:9" x14ac:dyDescent="0.25">
      <c r="A236" s="180">
        <f t="shared" ca="1" si="26"/>
        <v>46308</v>
      </c>
      <c r="B236" s="181">
        <v>204</v>
      </c>
      <c r="C236" s="182" t="e">
        <f t="shared" si="27"/>
        <v>#VALUE!</v>
      </c>
      <c r="D236" s="182" t="e">
        <f t="shared" si="23"/>
        <v>#VALUE!</v>
      </c>
      <c r="E236" s="182" t="e">
        <f t="shared" si="28"/>
        <v>#VALUE!</v>
      </c>
      <c r="F236" s="182" t="e">
        <f>SUM($D$33:D236)</f>
        <v>#VALUE!</v>
      </c>
      <c r="G236" s="182">
        <f t="shared" ca="1" si="29"/>
        <v>0</v>
      </c>
      <c r="H236" s="182" t="e">
        <f t="shared" si="24"/>
        <v>#VALUE!</v>
      </c>
      <c r="I236" s="183" t="e">
        <f t="shared" si="25"/>
        <v>#VALUE!</v>
      </c>
    </row>
    <row r="237" spans="1:9" x14ac:dyDescent="0.25">
      <c r="A237" s="180">
        <f t="shared" ca="1" si="26"/>
        <v>46309</v>
      </c>
      <c r="B237" s="181">
        <v>205</v>
      </c>
      <c r="C237" s="182" t="e">
        <f t="shared" si="27"/>
        <v>#VALUE!</v>
      </c>
      <c r="D237" s="182" t="e">
        <f t="shared" si="23"/>
        <v>#VALUE!</v>
      </c>
      <c r="E237" s="182" t="e">
        <f t="shared" si="28"/>
        <v>#VALUE!</v>
      </c>
      <c r="F237" s="182" t="e">
        <f>SUM($D$33:D237)</f>
        <v>#VALUE!</v>
      </c>
      <c r="G237" s="182">
        <f t="shared" ca="1" si="29"/>
        <v>0</v>
      </c>
      <c r="H237" s="182" t="e">
        <f t="shared" si="24"/>
        <v>#VALUE!</v>
      </c>
      <c r="I237" s="183" t="e">
        <f t="shared" si="25"/>
        <v>#VALUE!</v>
      </c>
    </row>
    <row r="238" spans="1:9" x14ac:dyDescent="0.25">
      <c r="A238" s="180">
        <f t="shared" ca="1" si="26"/>
        <v>46310</v>
      </c>
      <c r="B238" s="181">
        <v>206</v>
      </c>
      <c r="C238" s="182" t="e">
        <f t="shared" si="27"/>
        <v>#VALUE!</v>
      </c>
      <c r="D238" s="182" t="e">
        <f t="shared" si="23"/>
        <v>#VALUE!</v>
      </c>
      <c r="E238" s="182" t="e">
        <f t="shared" si="28"/>
        <v>#VALUE!</v>
      </c>
      <c r="F238" s="182" t="e">
        <f>SUM($D$33:D238)</f>
        <v>#VALUE!</v>
      </c>
      <c r="G238" s="182">
        <f t="shared" ca="1" si="29"/>
        <v>0</v>
      </c>
      <c r="H238" s="182" t="e">
        <f t="shared" si="24"/>
        <v>#VALUE!</v>
      </c>
      <c r="I238" s="183" t="e">
        <f t="shared" si="25"/>
        <v>#VALUE!</v>
      </c>
    </row>
    <row r="239" spans="1:9" x14ac:dyDescent="0.25">
      <c r="A239" s="180">
        <f t="shared" ca="1" si="26"/>
        <v>46311</v>
      </c>
      <c r="B239" s="181">
        <v>207</v>
      </c>
      <c r="C239" s="182" t="e">
        <f t="shared" si="27"/>
        <v>#VALUE!</v>
      </c>
      <c r="D239" s="182" t="e">
        <f t="shared" si="23"/>
        <v>#VALUE!</v>
      </c>
      <c r="E239" s="182" t="e">
        <f t="shared" si="28"/>
        <v>#VALUE!</v>
      </c>
      <c r="F239" s="182" t="e">
        <f>SUM($D$33:D239)</f>
        <v>#VALUE!</v>
      </c>
      <c r="G239" s="182">
        <f t="shared" ca="1" si="29"/>
        <v>0</v>
      </c>
      <c r="H239" s="182" t="e">
        <f t="shared" si="24"/>
        <v>#VALUE!</v>
      </c>
      <c r="I239" s="183" t="e">
        <f t="shared" si="25"/>
        <v>#VALUE!</v>
      </c>
    </row>
    <row r="240" spans="1:9" x14ac:dyDescent="0.25">
      <c r="A240" s="180">
        <f t="shared" ca="1" si="26"/>
        <v>46312</v>
      </c>
      <c r="B240" s="181">
        <v>208</v>
      </c>
      <c r="C240" s="182" t="e">
        <f t="shared" si="27"/>
        <v>#VALUE!</v>
      </c>
      <c r="D240" s="182" t="e">
        <f t="shared" si="23"/>
        <v>#VALUE!</v>
      </c>
      <c r="E240" s="182" t="e">
        <f t="shared" si="28"/>
        <v>#VALUE!</v>
      </c>
      <c r="F240" s="182" t="e">
        <f>SUM($D$33:D240)</f>
        <v>#VALUE!</v>
      </c>
      <c r="G240" s="182">
        <f t="shared" ca="1" si="29"/>
        <v>0</v>
      </c>
      <c r="H240" s="182" t="e">
        <f t="shared" si="24"/>
        <v>#VALUE!</v>
      </c>
      <c r="I240" s="183" t="e">
        <f t="shared" si="25"/>
        <v>#VALUE!</v>
      </c>
    </row>
    <row r="241" spans="1:9" x14ac:dyDescent="0.25">
      <c r="A241" s="180">
        <f t="shared" ca="1" si="26"/>
        <v>46313</v>
      </c>
      <c r="B241" s="181">
        <v>209</v>
      </c>
      <c r="C241" s="182" t="e">
        <f t="shared" si="27"/>
        <v>#VALUE!</v>
      </c>
      <c r="D241" s="182" t="e">
        <f t="shared" si="23"/>
        <v>#VALUE!</v>
      </c>
      <c r="E241" s="182" t="e">
        <f t="shared" si="28"/>
        <v>#VALUE!</v>
      </c>
      <c r="F241" s="182" t="e">
        <f>SUM($D$33:D241)</f>
        <v>#VALUE!</v>
      </c>
      <c r="G241" s="182">
        <f t="shared" ca="1" si="29"/>
        <v>0</v>
      </c>
      <c r="H241" s="182" t="e">
        <f t="shared" si="24"/>
        <v>#VALUE!</v>
      </c>
      <c r="I241" s="183" t="e">
        <f t="shared" si="25"/>
        <v>#VALUE!</v>
      </c>
    </row>
    <row r="242" spans="1:9" x14ac:dyDescent="0.25">
      <c r="A242" s="180">
        <f t="shared" ca="1" si="26"/>
        <v>46314</v>
      </c>
      <c r="B242" s="181">
        <v>210</v>
      </c>
      <c r="C242" s="182" t="e">
        <f t="shared" si="27"/>
        <v>#VALUE!</v>
      </c>
      <c r="D242" s="182" t="e">
        <f t="shared" si="23"/>
        <v>#VALUE!</v>
      </c>
      <c r="E242" s="182" t="e">
        <f t="shared" si="28"/>
        <v>#VALUE!</v>
      </c>
      <c r="F242" s="182" t="e">
        <f>SUM($D$33:D242)</f>
        <v>#VALUE!</v>
      </c>
      <c r="G242" s="182">
        <f t="shared" ca="1" si="29"/>
        <v>0</v>
      </c>
      <c r="H242" s="182" t="e">
        <f t="shared" si="24"/>
        <v>#VALUE!</v>
      </c>
      <c r="I242" s="183" t="e">
        <f t="shared" si="25"/>
        <v>#VALUE!</v>
      </c>
    </row>
    <row r="243" spans="1:9" x14ac:dyDescent="0.25">
      <c r="A243" s="180">
        <f t="shared" ca="1" si="26"/>
        <v>46315</v>
      </c>
      <c r="B243" s="181">
        <v>211</v>
      </c>
      <c r="C243" s="182" t="e">
        <f t="shared" si="27"/>
        <v>#VALUE!</v>
      </c>
      <c r="D243" s="182" t="e">
        <f t="shared" si="23"/>
        <v>#VALUE!</v>
      </c>
      <c r="E243" s="182" t="e">
        <f t="shared" si="28"/>
        <v>#VALUE!</v>
      </c>
      <c r="F243" s="182" t="e">
        <f>SUM($D$33:D243)</f>
        <v>#VALUE!</v>
      </c>
      <c r="G243" s="182">
        <f t="shared" ca="1" si="29"/>
        <v>0</v>
      </c>
      <c r="H243" s="182" t="e">
        <f t="shared" si="24"/>
        <v>#VALUE!</v>
      </c>
      <c r="I243" s="183" t="e">
        <f t="shared" si="25"/>
        <v>#VALUE!</v>
      </c>
    </row>
    <row r="244" spans="1:9" x14ac:dyDescent="0.25">
      <c r="A244" s="180">
        <f t="shared" ca="1" si="26"/>
        <v>46316</v>
      </c>
      <c r="B244" s="181">
        <v>212</v>
      </c>
      <c r="C244" s="182" t="e">
        <f t="shared" si="27"/>
        <v>#VALUE!</v>
      </c>
      <c r="D244" s="182" t="e">
        <f t="shared" si="23"/>
        <v>#VALUE!</v>
      </c>
      <c r="E244" s="182" t="e">
        <f t="shared" si="28"/>
        <v>#VALUE!</v>
      </c>
      <c r="F244" s="182" t="e">
        <f>SUM($D$33:D244)</f>
        <v>#VALUE!</v>
      </c>
      <c r="G244" s="182">
        <f t="shared" ca="1" si="29"/>
        <v>0</v>
      </c>
      <c r="H244" s="182" t="e">
        <f t="shared" si="24"/>
        <v>#VALUE!</v>
      </c>
      <c r="I244" s="183" t="e">
        <f t="shared" si="25"/>
        <v>#VALUE!</v>
      </c>
    </row>
    <row r="245" spans="1:9" x14ac:dyDescent="0.25">
      <c r="A245" s="180">
        <f t="shared" ca="1" si="26"/>
        <v>46317</v>
      </c>
      <c r="B245" s="181">
        <v>213</v>
      </c>
      <c r="C245" s="182" t="e">
        <f t="shared" si="27"/>
        <v>#VALUE!</v>
      </c>
      <c r="D245" s="182" t="e">
        <f t="shared" si="23"/>
        <v>#VALUE!</v>
      </c>
      <c r="E245" s="182" t="e">
        <f t="shared" si="28"/>
        <v>#VALUE!</v>
      </c>
      <c r="F245" s="182" t="e">
        <f>SUM($D$33:D245)</f>
        <v>#VALUE!</v>
      </c>
      <c r="G245" s="182">
        <f t="shared" ca="1" si="29"/>
        <v>0</v>
      </c>
      <c r="H245" s="182" t="e">
        <f t="shared" si="24"/>
        <v>#VALUE!</v>
      </c>
      <c r="I245" s="183" t="e">
        <f t="shared" si="25"/>
        <v>#VALUE!</v>
      </c>
    </row>
    <row r="246" spans="1:9" x14ac:dyDescent="0.25">
      <c r="A246" s="180">
        <f t="shared" ca="1" si="26"/>
        <v>46318</v>
      </c>
      <c r="B246" s="181">
        <v>214</v>
      </c>
      <c r="C246" s="182" t="e">
        <f t="shared" si="27"/>
        <v>#VALUE!</v>
      </c>
      <c r="D246" s="182" t="e">
        <f t="shared" si="23"/>
        <v>#VALUE!</v>
      </c>
      <c r="E246" s="182" t="e">
        <f t="shared" si="28"/>
        <v>#VALUE!</v>
      </c>
      <c r="F246" s="182" t="e">
        <f>SUM($D$33:D246)</f>
        <v>#VALUE!</v>
      </c>
      <c r="G246" s="182">
        <f t="shared" ca="1" si="29"/>
        <v>0</v>
      </c>
      <c r="H246" s="182" t="e">
        <f t="shared" si="24"/>
        <v>#VALUE!</v>
      </c>
      <c r="I246" s="183" t="e">
        <f t="shared" si="25"/>
        <v>#VALUE!</v>
      </c>
    </row>
    <row r="247" spans="1:9" x14ac:dyDescent="0.25">
      <c r="A247" s="180">
        <f t="shared" ca="1" si="26"/>
        <v>46319</v>
      </c>
      <c r="B247" s="181">
        <v>215</v>
      </c>
      <c r="C247" s="182" t="e">
        <f t="shared" si="27"/>
        <v>#VALUE!</v>
      </c>
      <c r="D247" s="182" t="e">
        <f t="shared" si="23"/>
        <v>#VALUE!</v>
      </c>
      <c r="E247" s="182" t="e">
        <f t="shared" si="28"/>
        <v>#VALUE!</v>
      </c>
      <c r="F247" s="182" t="e">
        <f>SUM($D$33:D247)</f>
        <v>#VALUE!</v>
      </c>
      <c r="G247" s="182">
        <f t="shared" ca="1" si="29"/>
        <v>0</v>
      </c>
      <c r="H247" s="182" t="e">
        <f t="shared" si="24"/>
        <v>#VALUE!</v>
      </c>
      <c r="I247" s="183" t="e">
        <f t="shared" si="25"/>
        <v>#VALUE!</v>
      </c>
    </row>
    <row r="248" spans="1:9" x14ac:dyDescent="0.25">
      <c r="A248" s="180">
        <f t="shared" ca="1" si="26"/>
        <v>46320</v>
      </c>
      <c r="B248" s="181">
        <v>216</v>
      </c>
      <c r="C248" s="182" t="e">
        <f t="shared" si="27"/>
        <v>#VALUE!</v>
      </c>
      <c r="D248" s="182" t="e">
        <f t="shared" si="23"/>
        <v>#VALUE!</v>
      </c>
      <c r="E248" s="182" t="e">
        <f t="shared" si="28"/>
        <v>#VALUE!</v>
      </c>
      <c r="F248" s="182" t="e">
        <f>SUM($D$33:D248)</f>
        <v>#VALUE!</v>
      </c>
      <c r="G248" s="182">
        <f t="shared" ca="1" si="29"/>
        <v>0</v>
      </c>
      <c r="H248" s="182" t="e">
        <f t="shared" si="24"/>
        <v>#VALUE!</v>
      </c>
      <c r="I248" s="183" t="e">
        <f t="shared" si="25"/>
        <v>#VALUE!</v>
      </c>
    </row>
    <row r="249" spans="1:9" x14ac:dyDescent="0.25">
      <c r="A249" s="180">
        <f t="shared" ca="1" si="26"/>
        <v>46321</v>
      </c>
      <c r="B249" s="181">
        <v>217</v>
      </c>
      <c r="C249" s="182" t="e">
        <f t="shared" si="27"/>
        <v>#VALUE!</v>
      </c>
      <c r="D249" s="182" t="e">
        <f t="shared" si="23"/>
        <v>#VALUE!</v>
      </c>
      <c r="E249" s="182" t="e">
        <f t="shared" si="28"/>
        <v>#VALUE!</v>
      </c>
      <c r="F249" s="182" t="e">
        <f>SUM($D$33:D249)</f>
        <v>#VALUE!</v>
      </c>
      <c r="G249" s="182">
        <f t="shared" ca="1" si="29"/>
        <v>0</v>
      </c>
      <c r="H249" s="182" t="e">
        <f t="shared" si="24"/>
        <v>#VALUE!</v>
      </c>
      <c r="I249" s="183" t="e">
        <f t="shared" si="25"/>
        <v>#VALUE!</v>
      </c>
    </row>
    <row r="250" spans="1:9" x14ac:dyDescent="0.25">
      <c r="A250" s="180">
        <f t="shared" ca="1" si="26"/>
        <v>46322</v>
      </c>
      <c r="B250" s="181">
        <v>218</v>
      </c>
      <c r="C250" s="182" t="e">
        <f t="shared" si="27"/>
        <v>#VALUE!</v>
      </c>
      <c r="D250" s="182" t="e">
        <f t="shared" si="23"/>
        <v>#VALUE!</v>
      </c>
      <c r="E250" s="182" t="e">
        <f t="shared" si="28"/>
        <v>#VALUE!</v>
      </c>
      <c r="F250" s="182" t="e">
        <f>SUM($D$33:D250)</f>
        <v>#VALUE!</v>
      </c>
      <c r="G250" s="182">
        <f t="shared" ca="1" si="29"/>
        <v>0</v>
      </c>
      <c r="H250" s="182" t="e">
        <f t="shared" si="24"/>
        <v>#VALUE!</v>
      </c>
      <c r="I250" s="183" t="e">
        <f t="shared" si="25"/>
        <v>#VALUE!</v>
      </c>
    </row>
    <row r="251" spans="1:9" x14ac:dyDescent="0.25">
      <c r="A251" s="180">
        <f t="shared" ca="1" si="26"/>
        <v>46323</v>
      </c>
      <c r="B251" s="181">
        <v>219</v>
      </c>
      <c r="C251" s="182" t="e">
        <f t="shared" si="27"/>
        <v>#VALUE!</v>
      </c>
      <c r="D251" s="182" t="e">
        <f t="shared" si="23"/>
        <v>#VALUE!</v>
      </c>
      <c r="E251" s="182" t="e">
        <f t="shared" si="28"/>
        <v>#VALUE!</v>
      </c>
      <c r="F251" s="182" t="e">
        <f>SUM($D$33:D251)</f>
        <v>#VALUE!</v>
      </c>
      <c r="G251" s="182">
        <f t="shared" ca="1" si="29"/>
        <v>0</v>
      </c>
      <c r="H251" s="182" t="e">
        <f t="shared" si="24"/>
        <v>#VALUE!</v>
      </c>
      <c r="I251" s="183" t="e">
        <f t="shared" si="25"/>
        <v>#VALUE!</v>
      </c>
    </row>
    <row r="252" spans="1:9" x14ac:dyDescent="0.25">
      <c r="A252" s="180">
        <f t="shared" ca="1" si="26"/>
        <v>46324</v>
      </c>
      <c r="B252" s="181">
        <v>220</v>
      </c>
      <c r="C252" s="182" t="e">
        <f t="shared" si="27"/>
        <v>#VALUE!</v>
      </c>
      <c r="D252" s="182" t="e">
        <f t="shared" si="23"/>
        <v>#VALUE!</v>
      </c>
      <c r="E252" s="182" t="e">
        <f t="shared" si="28"/>
        <v>#VALUE!</v>
      </c>
      <c r="F252" s="182" t="e">
        <f>SUM($D$33:D252)</f>
        <v>#VALUE!</v>
      </c>
      <c r="G252" s="182">
        <f t="shared" ca="1" si="29"/>
        <v>0</v>
      </c>
      <c r="H252" s="182" t="e">
        <f t="shared" si="24"/>
        <v>#VALUE!</v>
      </c>
      <c r="I252" s="183" t="e">
        <f t="shared" si="25"/>
        <v>#VALUE!</v>
      </c>
    </row>
    <row r="253" spans="1:9" x14ac:dyDescent="0.25">
      <c r="A253" s="180">
        <f t="shared" ca="1" si="26"/>
        <v>46325</v>
      </c>
      <c r="B253" s="181">
        <v>221</v>
      </c>
      <c r="C253" s="182" t="e">
        <f t="shared" si="27"/>
        <v>#VALUE!</v>
      </c>
      <c r="D253" s="182" t="e">
        <f t="shared" si="23"/>
        <v>#VALUE!</v>
      </c>
      <c r="E253" s="182" t="e">
        <f t="shared" si="28"/>
        <v>#VALUE!</v>
      </c>
      <c r="F253" s="182" t="e">
        <f>SUM($D$33:D253)</f>
        <v>#VALUE!</v>
      </c>
      <c r="G253" s="182">
        <f t="shared" ca="1" si="29"/>
        <v>0</v>
      </c>
      <c r="H253" s="182" t="e">
        <f t="shared" si="24"/>
        <v>#VALUE!</v>
      </c>
      <c r="I253" s="183" t="e">
        <f t="shared" si="25"/>
        <v>#VALUE!</v>
      </c>
    </row>
    <row r="254" spans="1:9" x14ac:dyDescent="0.25">
      <c r="A254" s="180">
        <f t="shared" ca="1" si="26"/>
        <v>46326</v>
      </c>
      <c r="B254" s="181">
        <v>222</v>
      </c>
      <c r="C254" s="182" t="e">
        <f t="shared" si="27"/>
        <v>#VALUE!</v>
      </c>
      <c r="D254" s="182" t="e">
        <f t="shared" si="23"/>
        <v>#VALUE!</v>
      </c>
      <c r="E254" s="182" t="e">
        <f t="shared" si="28"/>
        <v>#VALUE!</v>
      </c>
      <c r="F254" s="182" t="e">
        <f>SUM($D$33:D254)</f>
        <v>#VALUE!</v>
      </c>
      <c r="G254" s="182">
        <f t="shared" ca="1" si="29"/>
        <v>0</v>
      </c>
      <c r="H254" s="182" t="e">
        <f t="shared" si="24"/>
        <v>#VALUE!</v>
      </c>
      <c r="I254" s="183" t="e">
        <f t="shared" si="25"/>
        <v>#VALUE!</v>
      </c>
    </row>
    <row r="255" spans="1:9" x14ac:dyDescent="0.25">
      <c r="A255" s="180">
        <f t="shared" ca="1" si="26"/>
        <v>46327</v>
      </c>
      <c r="B255" s="181">
        <v>223</v>
      </c>
      <c r="C255" s="182" t="e">
        <f t="shared" si="27"/>
        <v>#VALUE!</v>
      </c>
      <c r="D255" s="182" t="e">
        <f t="shared" si="23"/>
        <v>#VALUE!</v>
      </c>
      <c r="E255" s="182" t="e">
        <f t="shared" si="28"/>
        <v>#VALUE!</v>
      </c>
      <c r="F255" s="182" t="e">
        <f>SUM($D$33:D255)</f>
        <v>#VALUE!</v>
      </c>
      <c r="G255" s="182">
        <f t="shared" ca="1" si="29"/>
        <v>0</v>
      </c>
      <c r="H255" s="182" t="e">
        <f t="shared" si="24"/>
        <v>#VALUE!</v>
      </c>
      <c r="I255" s="183" t="e">
        <f t="shared" si="25"/>
        <v>#VALUE!</v>
      </c>
    </row>
    <row r="256" spans="1:9" x14ac:dyDescent="0.25">
      <c r="A256" s="180">
        <f t="shared" ca="1" si="26"/>
        <v>46328</v>
      </c>
      <c r="B256" s="181">
        <v>224</v>
      </c>
      <c r="C256" s="182" t="e">
        <f t="shared" si="27"/>
        <v>#VALUE!</v>
      </c>
      <c r="D256" s="182" t="e">
        <f t="shared" si="23"/>
        <v>#VALUE!</v>
      </c>
      <c r="E256" s="182" t="e">
        <f t="shared" si="28"/>
        <v>#VALUE!</v>
      </c>
      <c r="F256" s="182" t="e">
        <f>SUM($D$33:D256)</f>
        <v>#VALUE!</v>
      </c>
      <c r="G256" s="182">
        <f t="shared" ca="1" si="29"/>
        <v>0</v>
      </c>
      <c r="H256" s="182" t="e">
        <f t="shared" si="24"/>
        <v>#VALUE!</v>
      </c>
      <c r="I256" s="183" t="e">
        <f t="shared" si="25"/>
        <v>#VALUE!</v>
      </c>
    </row>
    <row r="257" spans="1:12" x14ac:dyDescent="0.25">
      <c r="A257" s="180">
        <f t="shared" ca="1" si="26"/>
        <v>46329</v>
      </c>
      <c r="B257" s="181">
        <v>225</v>
      </c>
      <c r="C257" s="182" t="e">
        <f t="shared" si="27"/>
        <v>#VALUE!</v>
      </c>
      <c r="D257" s="182" t="e">
        <f t="shared" si="23"/>
        <v>#VALUE!</v>
      </c>
      <c r="E257" s="182" t="e">
        <f t="shared" si="28"/>
        <v>#VALUE!</v>
      </c>
      <c r="F257" s="182" t="e">
        <f>SUM($D$33:D257)</f>
        <v>#VALUE!</v>
      </c>
      <c r="G257" s="182">
        <f t="shared" ca="1" si="29"/>
        <v>0</v>
      </c>
      <c r="H257" s="182" t="e">
        <f t="shared" si="24"/>
        <v>#VALUE!</v>
      </c>
      <c r="I257" s="183" t="e">
        <f t="shared" si="25"/>
        <v>#VALUE!</v>
      </c>
    </row>
    <row r="258" spans="1:12" x14ac:dyDescent="0.25">
      <c r="A258" s="180">
        <f t="shared" ca="1" si="26"/>
        <v>46330</v>
      </c>
      <c r="B258" s="181">
        <v>226</v>
      </c>
      <c r="C258" s="182" t="e">
        <f t="shared" si="27"/>
        <v>#VALUE!</v>
      </c>
      <c r="D258" s="182" t="e">
        <f t="shared" si="23"/>
        <v>#VALUE!</v>
      </c>
      <c r="E258" s="182" t="e">
        <f t="shared" si="28"/>
        <v>#VALUE!</v>
      </c>
      <c r="F258" s="182" t="e">
        <f>SUM($D$33:D258)</f>
        <v>#VALUE!</v>
      </c>
      <c r="G258" s="182">
        <f t="shared" ca="1" si="29"/>
        <v>0</v>
      </c>
      <c r="H258" s="182" t="e">
        <f t="shared" si="24"/>
        <v>#VALUE!</v>
      </c>
      <c r="I258" s="183" t="e">
        <f t="shared" si="25"/>
        <v>#VALUE!</v>
      </c>
    </row>
    <row r="259" spans="1:12" x14ac:dyDescent="0.25">
      <c r="A259" s="180">
        <f t="shared" ca="1" si="26"/>
        <v>46331</v>
      </c>
      <c r="B259" s="181">
        <v>227</v>
      </c>
      <c r="C259" s="182" t="e">
        <f t="shared" si="27"/>
        <v>#VALUE!</v>
      </c>
      <c r="D259" s="182" t="e">
        <f t="shared" si="23"/>
        <v>#VALUE!</v>
      </c>
      <c r="E259" s="182" t="e">
        <f t="shared" si="28"/>
        <v>#VALUE!</v>
      </c>
      <c r="F259" s="182" t="e">
        <f>SUM($D$33:D259)</f>
        <v>#VALUE!</v>
      </c>
      <c r="G259" s="182">
        <f t="shared" ca="1" si="29"/>
        <v>0</v>
      </c>
      <c r="H259" s="182" t="e">
        <f t="shared" si="24"/>
        <v>#VALUE!</v>
      </c>
      <c r="I259" s="183" t="e">
        <f t="shared" si="25"/>
        <v>#VALUE!</v>
      </c>
    </row>
    <row r="260" spans="1:12" x14ac:dyDescent="0.25">
      <c r="A260" s="180">
        <f t="shared" ca="1" si="26"/>
        <v>46332</v>
      </c>
      <c r="B260" s="181">
        <v>228</v>
      </c>
      <c r="C260" s="182" t="e">
        <f t="shared" si="27"/>
        <v>#VALUE!</v>
      </c>
      <c r="D260" s="182" t="e">
        <f t="shared" si="23"/>
        <v>#VALUE!</v>
      </c>
      <c r="E260" s="182" t="e">
        <f t="shared" si="28"/>
        <v>#VALUE!</v>
      </c>
      <c r="F260" s="182" t="e">
        <f>SUM($D$33:D260)</f>
        <v>#VALUE!</v>
      </c>
      <c r="G260" s="182">
        <f t="shared" ca="1" si="29"/>
        <v>0</v>
      </c>
      <c r="H260" s="182" t="e">
        <f t="shared" si="24"/>
        <v>#VALUE!</v>
      </c>
      <c r="I260" s="183" t="e">
        <f t="shared" si="25"/>
        <v>#VALUE!</v>
      </c>
    </row>
    <row r="261" spans="1:12" x14ac:dyDescent="0.25">
      <c r="A261" s="180">
        <f t="shared" ca="1" si="26"/>
        <v>46333</v>
      </c>
      <c r="B261" s="181">
        <v>229</v>
      </c>
      <c r="C261" s="182" t="e">
        <f t="shared" si="27"/>
        <v>#VALUE!</v>
      </c>
      <c r="D261" s="182" t="e">
        <f t="shared" si="23"/>
        <v>#VALUE!</v>
      </c>
      <c r="E261" s="182" t="e">
        <f t="shared" si="28"/>
        <v>#VALUE!</v>
      </c>
      <c r="F261" s="182" t="e">
        <f>SUM($D$33:D261)</f>
        <v>#VALUE!</v>
      </c>
      <c r="G261" s="182">
        <f t="shared" ca="1" si="29"/>
        <v>0</v>
      </c>
      <c r="H261" s="182" t="e">
        <f t="shared" si="24"/>
        <v>#VALUE!</v>
      </c>
      <c r="I261" s="183" t="e">
        <f t="shared" si="25"/>
        <v>#VALUE!</v>
      </c>
      <c r="J261" s="160"/>
    </row>
    <row r="262" spans="1:12" x14ac:dyDescent="0.25">
      <c r="A262" s="180">
        <f t="shared" ca="1" si="26"/>
        <v>46334</v>
      </c>
      <c r="B262" s="181">
        <v>230</v>
      </c>
      <c r="C262" s="182" t="e">
        <f t="shared" si="27"/>
        <v>#VALUE!</v>
      </c>
      <c r="D262" s="182" t="e">
        <f t="shared" si="23"/>
        <v>#VALUE!</v>
      </c>
      <c r="E262" s="182" t="e">
        <f t="shared" si="28"/>
        <v>#VALUE!</v>
      </c>
      <c r="F262" s="182" t="e">
        <f>SUM($D$33:D262)</f>
        <v>#VALUE!</v>
      </c>
      <c r="G262" s="182">
        <f t="shared" ca="1" si="29"/>
        <v>0</v>
      </c>
      <c r="H262" s="182" t="e">
        <f t="shared" si="24"/>
        <v>#VALUE!</v>
      </c>
      <c r="I262" s="183" t="e">
        <f t="shared" si="25"/>
        <v>#VALUE!</v>
      </c>
      <c r="J262" s="160"/>
    </row>
    <row r="263" spans="1:12" x14ac:dyDescent="0.25">
      <c r="A263" s="180">
        <f t="shared" ca="1" si="26"/>
        <v>46335</v>
      </c>
      <c r="B263" s="181">
        <v>231</v>
      </c>
      <c r="C263" s="182" t="e">
        <f t="shared" si="27"/>
        <v>#VALUE!</v>
      </c>
      <c r="D263" s="182" t="e">
        <f t="shared" si="23"/>
        <v>#VALUE!</v>
      </c>
      <c r="E263" s="182" t="e">
        <f t="shared" si="28"/>
        <v>#VALUE!</v>
      </c>
      <c r="F263" s="182" t="e">
        <f>SUM($D$33:D263)</f>
        <v>#VALUE!</v>
      </c>
      <c r="G263" s="182">
        <f t="shared" ca="1" si="29"/>
        <v>0</v>
      </c>
      <c r="H263" s="182" t="e">
        <f t="shared" si="24"/>
        <v>#VALUE!</v>
      </c>
      <c r="I263" s="183" t="e">
        <f t="shared" si="25"/>
        <v>#VALUE!</v>
      </c>
      <c r="J263" s="160"/>
    </row>
    <row r="264" spans="1:12" x14ac:dyDescent="0.25">
      <c r="A264" s="180">
        <f t="shared" ca="1" si="26"/>
        <v>46336</v>
      </c>
      <c r="B264" s="181">
        <v>232</v>
      </c>
      <c r="C264" s="182" t="e">
        <f t="shared" si="27"/>
        <v>#VALUE!</v>
      </c>
      <c r="D264" s="182" t="e">
        <f t="shared" si="23"/>
        <v>#VALUE!</v>
      </c>
      <c r="E264" s="182" t="e">
        <f t="shared" si="28"/>
        <v>#VALUE!</v>
      </c>
      <c r="F264" s="182" t="e">
        <f>SUM($D$33:D264)</f>
        <v>#VALUE!</v>
      </c>
      <c r="G264" s="182">
        <f t="shared" ca="1" si="29"/>
        <v>0</v>
      </c>
      <c r="H264" s="182" t="e">
        <f t="shared" si="24"/>
        <v>#VALUE!</v>
      </c>
      <c r="I264" s="183" t="e">
        <f t="shared" si="25"/>
        <v>#VALUE!</v>
      </c>
    </row>
    <row r="265" spans="1:12" x14ac:dyDescent="0.25">
      <c r="A265" s="180">
        <f t="shared" ca="1" si="26"/>
        <v>46337</v>
      </c>
      <c r="B265" s="181">
        <v>233</v>
      </c>
      <c r="C265" s="182" t="e">
        <f t="shared" si="27"/>
        <v>#VALUE!</v>
      </c>
      <c r="D265" s="182" t="e">
        <f t="shared" si="23"/>
        <v>#VALUE!</v>
      </c>
      <c r="E265" s="182" t="e">
        <f t="shared" si="28"/>
        <v>#VALUE!</v>
      </c>
      <c r="F265" s="182" t="e">
        <f>SUM($D$33:D265)</f>
        <v>#VALUE!</v>
      </c>
      <c r="G265" s="182">
        <f t="shared" ca="1" si="29"/>
        <v>0</v>
      </c>
      <c r="H265" s="182" t="e">
        <f t="shared" si="24"/>
        <v>#VALUE!</v>
      </c>
      <c r="I265" s="183" t="e">
        <f t="shared" si="25"/>
        <v>#VALUE!</v>
      </c>
    </row>
    <row r="266" spans="1:12" x14ac:dyDescent="0.25">
      <c r="A266" s="180">
        <f t="shared" ca="1" si="26"/>
        <v>46338</v>
      </c>
      <c r="B266" s="181">
        <v>234</v>
      </c>
      <c r="C266" s="182" t="e">
        <f t="shared" si="27"/>
        <v>#VALUE!</v>
      </c>
      <c r="D266" s="182" t="e">
        <f t="shared" si="23"/>
        <v>#VALUE!</v>
      </c>
      <c r="E266" s="182" t="e">
        <f t="shared" si="28"/>
        <v>#VALUE!</v>
      </c>
      <c r="F266" s="182" t="e">
        <f>SUM($D$33:D266)</f>
        <v>#VALUE!</v>
      </c>
      <c r="G266" s="182">
        <f t="shared" ca="1" si="29"/>
        <v>0</v>
      </c>
      <c r="H266" s="182" t="e">
        <f t="shared" si="24"/>
        <v>#VALUE!</v>
      </c>
      <c r="I266" s="183" t="e">
        <f t="shared" si="25"/>
        <v>#VALUE!</v>
      </c>
    </row>
    <row r="267" spans="1:12" x14ac:dyDescent="0.25">
      <c r="A267" s="180">
        <f t="shared" ca="1" si="26"/>
        <v>46339</v>
      </c>
      <c r="B267" s="181">
        <v>235</v>
      </c>
      <c r="C267" s="182" t="e">
        <f t="shared" si="27"/>
        <v>#VALUE!</v>
      </c>
      <c r="D267" s="182" t="e">
        <f t="shared" si="23"/>
        <v>#VALUE!</v>
      </c>
      <c r="E267" s="182" t="e">
        <f t="shared" si="28"/>
        <v>#VALUE!</v>
      </c>
      <c r="F267" s="182" t="e">
        <f>SUM($D$33:D267)</f>
        <v>#VALUE!</v>
      </c>
      <c r="G267" s="182">
        <f t="shared" ca="1" si="29"/>
        <v>0</v>
      </c>
      <c r="H267" s="182" t="e">
        <f t="shared" si="24"/>
        <v>#VALUE!</v>
      </c>
      <c r="I267" s="183" t="e">
        <f t="shared" si="25"/>
        <v>#VALUE!</v>
      </c>
    </row>
    <row r="268" spans="1:12" x14ac:dyDescent="0.25">
      <c r="A268" s="180">
        <f t="shared" ca="1" si="26"/>
        <v>46340</v>
      </c>
      <c r="B268" s="181">
        <v>236</v>
      </c>
      <c r="C268" s="182" t="e">
        <f t="shared" si="27"/>
        <v>#VALUE!</v>
      </c>
      <c r="D268" s="182" t="e">
        <f t="shared" si="23"/>
        <v>#VALUE!</v>
      </c>
      <c r="E268" s="182" t="e">
        <f t="shared" si="28"/>
        <v>#VALUE!</v>
      </c>
      <c r="F268" s="182" t="e">
        <f>SUM($D$33:D268)</f>
        <v>#VALUE!</v>
      </c>
      <c r="G268" s="182">
        <f t="shared" ca="1" si="29"/>
        <v>0</v>
      </c>
      <c r="H268" s="182" t="e">
        <f t="shared" si="24"/>
        <v>#VALUE!</v>
      </c>
      <c r="I268" s="183" t="e">
        <f t="shared" si="25"/>
        <v>#VALUE!</v>
      </c>
    </row>
    <row r="269" spans="1:12" x14ac:dyDescent="0.25">
      <c r="A269" s="180">
        <f t="shared" ca="1" si="26"/>
        <v>46341</v>
      </c>
      <c r="B269" s="181">
        <v>237</v>
      </c>
      <c r="C269" s="182" t="e">
        <f t="shared" si="27"/>
        <v>#VALUE!</v>
      </c>
      <c r="D269" s="182" t="e">
        <f t="shared" si="23"/>
        <v>#VALUE!</v>
      </c>
      <c r="E269" s="182" t="e">
        <f t="shared" si="28"/>
        <v>#VALUE!</v>
      </c>
      <c r="F269" s="182" t="e">
        <f>SUM($D$33:D269)</f>
        <v>#VALUE!</v>
      </c>
      <c r="G269" s="182">
        <f t="shared" ca="1" si="29"/>
        <v>0</v>
      </c>
      <c r="H269" s="182" t="e">
        <f t="shared" si="24"/>
        <v>#VALUE!</v>
      </c>
      <c r="I269" s="183" t="e">
        <f t="shared" si="25"/>
        <v>#VALUE!</v>
      </c>
    </row>
    <row r="270" spans="1:12" x14ac:dyDescent="0.25">
      <c r="A270" s="180">
        <f t="shared" ca="1" si="26"/>
        <v>46342</v>
      </c>
      <c r="B270" s="181">
        <v>238</v>
      </c>
      <c r="C270" s="182" t="e">
        <f t="shared" si="27"/>
        <v>#VALUE!</v>
      </c>
      <c r="D270" s="182" t="e">
        <f t="shared" si="23"/>
        <v>#VALUE!</v>
      </c>
      <c r="E270" s="182" t="e">
        <f t="shared" si="28"/>
        <v>#VALUE!</v>
      </c>
      <c r="F270" s="182" t="e">
        <f>SUM($D$33:D270)</f>
        <v>#VALUE!</v>
      </c>
      <c r="G270" s="182">
        <f t="shared" ca="1" si="29"/>
        <v>0</v>
      </c>
      <c r="H270" s="182" t="e">
        <f t="shared" si="24"/>
        <v>#VALUE!</v>
      </c>
      <c r="I270" s="183" t="e">
        <f t="shared" si="25"/>
        <v>#VALUE!</v>
      </c>
      <c r="K270" s="203"/>
      <c r="L270" s="155"/>
    </row>
    <row r="271" spans="1:12" x14ac:dyDescent="0.25">
      <c r="A271" s="180">
        <f t="shared" ca="1" si="26"/>
        <v>46343</v>
      </c>
      <c r="B271" s="181">
        <v>239</v>
      </c>
      <c r="C271" s="182" t="e">
        <f t="shared" si="27"/>
        <v>#VALUE!</v>
      </c>
      <c r="D271" s="182" t="e">
        <f t="shared" si="23"/>
        <v>#VALUE!</v>
      </c>
      <c r="E271" s="182" t="e">
        <f t="shared" si="28"/>
        <v>#VALUE!</v>
      </c>
      <c r="F271" s="182" t="e">
        <f>SUM($D$33:D271)</f>
        <v>#VALUE!</v>
      </c>
      <c r="G271" s="182">
        <f t="shared" ca="1" si="29"/>
        <v>0</v>
      </c>
      <c r="H271" s="182" t="e">
        <f t="shared" si="24"/>
        <v>#VALUE!</v>
      </c>
      <c r="I271" s="183" t="e">
        <f t="shared" si="25"/>
        <v>#VALUE!</v>
      </c>
      <c r="K271" s="160"/>
    </row>
    <row r="272" spans="1:12" x14ac:dyDescent="0.25">
      <c r="A272" s="180">
        <f t="shared" ca="1" si="26"/>
        <v>46344</v>
      </c>
      <c r="B272" s="181">
        <v>240</v>
      </c>
      <c r="C272" s="182" t="e">
        <f t="shared" si="27"/>
        <v>#VALUE!</v>
      </c>
      <c r="D272" s="182" t="e">
        <f t="shared" si="23"/>
        <v>#VALUE!</v>
      </c>
      <c r="E272" s="182" t="e">
        <f t="shared" si="28"/>
        <v>#VALUE!</v>
      </c>
      <c r="F272" s="182" t="e">
        <f>SUM($D$33:D272)</f>
        <v>#VALUE!</v>
      </c>
      <c r="G272" s="182">
        <f t="shared" ca="1" si="29"/>
        <v>0</v>
      </c>
      <c r="H272" s="182" t="e">
        <f t="shared" si="24"/>
        <v>#VALUE!</v>
      </c>
      <c r="I272" s="183" t="e">
        <f t="shared" si="25"/>
        <v>#VALUE!</v>
      </c>
    </row>
    <row r="273" spans="1:9" x14ac:dyDescent="0.25">
      <c r="A273" s="180">
        <f t="shared" ca="1" si="26"/>
        <v>46345</v>
      </c>
      <c r="B273" s="181">
        <v>241</v>
      </c>
      <c r="C273" s="182" t="e">
        <f t="shared" si="27"/>
        <v>#VALUE!</v>
      </c>
      <c r="D273" s="182" t="e">
        <f t="shared" si="23"/>
        <v>#VALUE!</v>
      </c>
      <c r="E273" s="182" t="e">
        <f t="shared" si="28"/>
        <v>#VALUE!</v>
      </c>
      <c r="F273" s="182" t="e">
        <f>SUM($D$33:D273)</f>
        <v>#VALUE!</v>
      </c>
      <c r="G273" s="182">
        <f t="shared" ca="1" si="29"/>
        <v>0</v>
      </c>
      <c r="H273" s="182" t="e">
        <f t="shared" si="24"/>
        <v>#VALUE!</v>
      </c>
      <c r="I273" s="183" t="e">
        <f t="shared" si="25"/>
        <v>#VALUE!</v>
      </c>
    </row>
    <row r="274" spans="1:9" x14ac:dyDescent="0.25">
      <c r="A274" s="180">
        <f t="shared" ca="1" si="26"/>
        <v>46346</v>
      </c>
      <c r="B274" s="181">
        <v>242</v>
      </c>
      <c r="C274" s="182" t="e">
        <f t="shared" si="27"/>
        <v>#VALUE!</v>
      </c>
      <c r="D274" s="182" t="e">
        <f t="shared" si="23"/>
        <v>#VALUE!</v>
      </c>
      <c r="E274" s="182" t="e">
        <f t="shared" si="28"/>
        <v>#VALUE!</v>
      </c>
      <c r="F274" s="182" t="e">
        <f>SUM($D$33:D274)</f>
        <v>#VALUE!</v>
      </c>
      <c r="G274" s="182">
        <f t="shared" ca="1" si="29"/>
        <v>0</v>
      </c>
      <c r="H274" s="182" t="e">
        <f t="shared" si="24"/>
        <v>#VALUE!</v>
      </c>
      <c r="I274" s="183" t="e">
        <f t="shared" si="25"/>
        <v>#VALUE!</v>
      </c>
    </row>
    <row r="275" spans="1:9" x14ac:dyDescent="0.25">
      <c r="A275" s="180">
        <f t="shared" ca="1" si="26"/>
        <v>46347</v>
      </c>
      <c r="B275" s="181">
        <v>243</v>
      </c>
      <c r="C275" s="182" t="e">
        <f t="shared" si="27"/>
        <v>#VALUE!</v>
      </c>
      <c r="D275" s="182" t="e">
        <f t="shared" si="23"/>
        <v>#VALUE!</v>
      </c>
      <c r="E275" s="182" t="e">
        <f t="shared" si="28"/>
        <v>#VALUE!</v>
      </c>
      <c r="F275" s="182" t="e">
        <f>SUM($D$33:D275)</f>
        <v>#VALUE!</v>
      </c>
      <c r="G275" s="182">
        <f t="shared" ca="1" si="29"/>
        <v>0</v>
      </c>
      <c r="H275" s="182" t="e">
        <f t="shared" si="24"/>
        <v>#VALUE!</v>
      </c>
      <c r="I275" s="183" t="e">
        <f t="shared" si="25"/>
        <v>#VALUE!</v>
      </c>
    </row>
    <row r="276" spans="1:9" x14ac:dyDescent="0.25">
      <c r="A276" s="180">
        <f t="shared" ca="1" si="26"/>
        <v>46348</v>
      </c>
      <c r="B276" s="181">
        <v>244</v>
      </c>
      <c r="C276" s="182" t="e">
        <f t="shared" si="27"/>
        <v>#VALUE!</v>
      </c>
      <c r="D276" s="182" t="e">
        <f t="shared" si="23"/>
        <v>#VALUE!</v>
      </c>
      <c r="E276" s="182" t="e">
        <f t="shared" si="28"/>
        <v>#VALUE!</v>
      </c>
      <c r="F276" s="182" t="e">
        <f>SUM($D$33:D276)</f>
        <v>#VALUE!</v>
      </c>
      <c r="G276" s="182">
        <f t="shared" ca="1" si="29"/>
        <v>0</v>
      </c>
      <c r="H276" s="182" t="e">
        <f t="shared" si="24"/>
        <v>#VALUE!</v>
      </c>
      <c r="I276" s="183" t="e">
        <f t="shared" si="25"/>
        <v>#VALUE!</v>
      </c>
    </row>
    <row r="277" spans="1:9" x14ac:dyDescent="0.25">
      <c r="A277" s="180">
        <f t="shared" ca="1" si="26"/>
        <v>46349</v>
      </c>
      <c r="B277" s="181">
        <v>245</v>
      </c>
      <c r="C277" s="182" t="e">
        <f t="shared" si="27"/>
        <v>#VALUE!</v>
      </c>
      <c r="D277" s="182" t="e">
        <f t="shared" si="23"/>
        <v>#VALUE!</v>
      </c>
      <c r="E277" s="182" t="e">
        <f t="shared" si="28"/>
        <v>#VALUE!</v>
      </c>
      <c r="F277" s="182" t="e">
        <f>SUM($D$33:D277)</f>
        <v>#VALUE!</v>
      </c>
      <c r="G277" s="182">
        <f t="shared" ca="1" si="29"/>
        <v>0</v>
      </c>
      <c r="H277" s="182" t="e">
        <f t="shared" si="24"/>
        <v>#VALUE!</v>
      </c>
      <c r="I277" s="183" t="e">
        <f t="shared" si="25"/>
        <v>#VALUE!</v>
      </c>
    </row>
    <row r="278" spans="1:9" x14ac:dyDescent="0.25">
      <c r="A278" s="180">
        <f t="shared" ca="1" si="26"/>
        <v>46350</v>
      </c>
      <c r="B278" s="181">
        <v>246</v>
      </c>
      <c r="C278" s="182" t="e">
        <f t="shared" si="27"/>
        <v>#VALUE!</v>
      </c>
      <c r="D278" s="182" t="e">
        <f t="shared" si="23"/>
        <v>#VALUE!</v>
      </c>
      <c r="E278" s="182" t="e">
        <f t="shared" si="28"/>
        <v>#VALUE!</v>
      </c>
      <c r="F278" s="182" t="e">
        <f>SUM($D$33:D278)</f>
        <v>#VALUE!</v>
      </c>
      <c r="G278" s="182">
        <f t="shared" ca="1" si="29"/>
        <v>0</v>
      </c>
      <c r="H278" s="182" t="e">
        <f t="shared" si="24"/>
        <v>#VALUE!</v>
      </c>
      <c r="I278" s="183" t="e">
        <f t="shared" si="25"/>
        <v>#VALUE!</v>
      </c>
    </row>
    <row r="279" spans="1:9" x14ac:dyDescent="0.25">
      <c r="A279" s="180">
        <f t="shared" ca="1" si="26"/>
        <v>46351</v>
      </c>
      <c r="B279" s="181">
        <v>247</v>
      </c>
      <c r="C279" s="182" t="e">
        <f t="shared" si="27"/>
        <v>#VALUE!</v>
      </c>
      <c r="D279" s="182" t="e">
        <f t="shared" si="23"/>
        <v>#VALUE!</v>
      </c>
      <c r="E279" s="182" t="e">
        <f t="shared" si="28"/>
        <v>#VALUE!</v>
      </c>
      <c r="F279" s="182" t="e">
        <f>SUM($D$33:D279)</f>
        <v>#VALUE!</v>
      </c>
      <c r="G279" s="182">
        <f t="shared" ca="1" si="29"/>
        <v>0</v>
      </c>
      <c r="H279" s="182" t="e">
        <f t="shared" si="24"/>
        <v>#VALUE!</v>
      </c>
      <c r="I279" s="183" t="e">
        <f t="shared" si="25"/>
        <v>#VALUE!</v>
      </c>
    </row>
    <row r="280" spans="1:9" x14ac:dyDescent="0.25">
      <c r="A280" s="180">
        <f t="shared" ca="1" si="26"/>
        <v>46352</v>
      </c>
      <c r="B280" s="181">
        <v>248</v>
      </c>
      <c r="C280" s="182" t="e">
        <f t="shared" si="27"/>
        <v>#VALUE!</v>
      </c>
      <c r="D280" s="182" t="e">
        <f t="shared" si="23"/>
        <v>#VALUE!</v>
      </c>
      <c r="E280" s="182" t="e">
        <f t="shared" si="28"/>
        <v>#VALUE!</v>
      </c>
      <c r="F280" s="182" t="e">
        <f>SUM($D$33:D280)</f>
        <v>#VALUE!</v>
      </c>
      <c r="G280" s="182">
        <f t="shared" ca="1" si="29"/>
        <v>0</v>
      </c>
      <c r="H280" s="182" t="e">
        <f t="shared" si="24"/>
        <v>#VALUE!</v>
      </c>
      <c r="I280" s="183" t="e">
        <f t="shared" si="25"/>
        <v>#VALUE!</v>
      </c>
    </row>
    <row r="281" spans="1:9" x14ac:dyDescent="0.25">
      <c r="A281" s="180">
        <f t="shared" ca="1" si="26"/>
        <v>46353</v>
      </c>
      <c r="B281" s="181">
        <v>249</v>
      </c>
      <c r="C281" s="182" t="e">
        <f t="shared" si="27"/>
        <v>#VALUE!</v>
      </c>
      <c r="D281" s="182" t="e">
        <f t="shared" si="23"/>
        <v>#VALUE!</v>
      </c>
      <c r="E281" s="182" t="e">
        <f t="shared" si="28"/>
        <v>#VALUE!</v>
      </c>
      <c r="F281" s="182" t="e">
        <f>SUM($D$33:D281)</f>
        <v>#VALUE!</v>
      </c>
      <c r="G281" s="182">
        <f t="shared" ca="1" si="29"/>
        <v>0</v>
      </c>
      <c r="H281" s="182" t="e">
        <f t="shared" si="24"/>
        <v>#VALUE!</v>
      </c>
      <c r="I281" s="183" t="e">
        <f t="shared" si="25"/>
        <v>#VALUE!</v>
      </c>
    </row>
    <row r="282" spans="1:9" x14ac:dyDescent="0.25">
      <c r="A282" s="180">
        <f t="shared" ca="1" si="26"/>
        <v>46354</v>
      </c>
      <c r="B282" s="181">
        <v>250</v>
      </c>
      <c r="C282" s="182" t="e">
        <f t="shared" si="27"/>
        <v>#VALUE!</v>
      </c>
      <c r="D282" s="182" t="e">
        <f t="shared" si="23"/>
        <v>#VALUE!</v>
      </c>
      <c r="E282" s="182" t="e">
        <f t="shared" si="28"/>
        <v>#VALUE!</v>
      </c>
      <c r="F282" s="182" t="e">
        <f>SUM($D$33:D282)</f>
        <v>#VALUE!</v>
      </c>
      <c r="G282" s="182">
        <f t="shared" ca="1" si="29"/>
        <v>0</v>
      </c>
      <c r="H282" s="182" t="e">
        <f t="shared" si="24"/>
        <v>#VALUE!</v>
      </c>
      <c r="I282" s="183" t="e">
        <f t="shared" si="25"/>
        <v>#VALUE!</v>
      </c>
    </row>
    <row r="283" spans="1:9" x14ac:dyDescent="0.25">
      <c r="A283" s="180">
        <f t="shared" ca="1" si="26"/>
        <v>46355</v>
      </c>
      <c r="B283" s="181">
        <v>251</v>
      </c>
      <c r="C283" s="182" t="e">
        <f t="shared" si="27"/>
        <v>#VALUE!</v>
      </c>
      <c r="D283" s="182" t="e">
        <f t="shared" si="23"/>
        <v>#VALUE!</v>
      </c>
      <c r="E283" s="182" t="e">
        <f t="shared" si="28"/>
        <v>#VALUE!</v>
      </c>
      <c r="F283" s="182" t="e">
        <f>SUM($D$33:D283)</f>
        <v>#VALUE!</v>
      </c>
      <c r="G283" s="182">
        <f t="shared" ca="1" si="29"/>
        <v>0</v>
      </c>
      <c r="H283" s="182" t="e">
        <f t="shared" si="24"/>
        <v>#VALUE!</v>
      </c>
      <c r="I283" s="183" t="e">
        <f t="shared" si="25"/>
        <v>#VALUE!</v>
      </c>
    </row>
    <row r="284" spans="1:9" x14ac:dyDescent="0.25">
      <c r="A284" s="180">
        <f t="shared" ca="1" si="26"/>
        <v>46356</v>
      </c>
      <c r="B284" s="181">
        <v>252</v>
      </c>
      <c r="C284" s="182" t="e">
        <f t="shared" si="27"/>
        <v>#VALUE!</v>
      </c>
      <c r="D284" s="182" t="e">
        <f t="shared" si="23"/>
        <v>#VALUE!</v>
      </c>
      <c r="E284" s="182" t="e">
        <f t="shared" si="28"/>
        <v>#VALUE!</v>
      </c>
      <c r="F284" s="182" t="e">
        <f>SUM($D$33:D284)</f>
        <v>#VALUE!</v>
      </c>
      <c r="G284" s="182">
        <f t="shared" ca="1" si="29"/>
        <v>0</v>
      </c>
      <c r="H284" s="182" t="e">
        <f t="shared" si="24"/>
        <v>#VALUE!</v>
      </c>
      <c r="I284" s="183" t="e">
        <f t="shared" si="25"/>
        <v>#VALUE!</v>
      </c>
    </row>
    <row r="285" spans="1:9" x14ac:dyDescent="0.25">
      <c r="A285" s="180">
        <f t="shared" ca="1" si="26"/>
        <v>46357</v>
      </c>
      <c r="B285" s="181">
        <v>253</v>
      </c>
      <c r="C285" s="182" t="e">
        <f t="shared" si="27"/>
        <v>#VALUE!</v>
      </c>
      <c r="D285" s="182" t="e">
        <f t="shared" si="23"/>
        <v>#VALUE!</v>
      </c>
      <c r="E285" s="182" t="e">
        <f t="shared" si="28"/>
        <v>#VALUE!</v>
      </c>
      <c r="F285" s="182" t="e">
        <f>SUM($D$33:D285)</f>
        <v>#VALUE!</v>
      </c>
      <c r="G285" s="182">
        <f t="shared" ca="1" si="29"/>
        <v>0</v>
      </c>
      <c r="H285" s="182" t="e">
        <f t="shared" si="24"/>
        <v>#VALUE!</v>
      </c>
      <c r="I285" s="183" t="e">
        <f t="shared" si="25"/>
        <v>#VALUE!</v>
      </c>
    </row>
    <row r="286" spans="1:9" x14ac:dyDescent="0.25">
      <c r="A286" s="180">
        <f t="shared" ca="1" si="26"/>
        <v>46358</v>
      </c>
      <c r="B286" s="181">
        <v>254</v>
      </c>
      <c r="C286" s="182" t="e">
        <f t="shared" si="27"/>
        <v>#VALUE!</v>
      </c>
      <c r="D286" s="182" t="e">
        <f t="shared" si="23"/>
        <v>#VALUE!</v>
      </c>
      <c r="E286" s="182" t="e">
        <f t="shared" si="28"/>
        <v>#VALUE!</v>
      </c>
      <c r="F286" s="182" t="e">
        <f>SUM($D$33:D286)</f>
        <v>#VALUE!</v>
      </c>
      <c r="G286" s="182">
        <f t="shared" ca="1" si="29"/>
        <v>0</v>
      </c>
      <c r="H286" s="182" t="e">
        <f t="shared" si="24"/>
        <v>#VALUE!</v>
      </c>
      <c r="I286" s="183" t="e">
        <f t="shared" si="25"/>
        <v>#VALUE!</v>
      </c>
    </row>
    <row r="287" spans="1:9" x14ac:dyDescent="0.25">
      <c r="A287" s="180">
        <f t="shared" ca="1" si="26"/>
        <v>46359</v>
      </c>
      <c r="B287" s="181">
        <v>255</v>
      </c>
      <c r="C287" s="182" t="e">
        <f t="shared" si="27"/>
        <v>#VALUE!</v>
      </c>
      <c r="D287" s="182" t="e">
        <f t="shared" si="23"/>
        <v>#VALUE!</v>
      </c>
      <c r="E287" s="182" t="e">
        <f t="shared" si="28"/>
        <v>#VALUE!</v>
      </c>
      <c r="F287" s="182" t="e">
        <f>SUM($D$33:D287)</f>
        <v>#VALUE!</v>
      </c>
      <c r="G287" s="182">
        <f t="shared" ca="1" si="29"/>
        <v>0</v>
      </c>
      <c r="H287" s="182" t="e">
        <f t="shared" si="24"/>
        <v>#VALUE!</v>
      </c>
      <c r="I287" s="183" t="e">
        <f t="shared" si="25"/>
        <v>#VALUE!</v>
      </c>
    </row>
    <row r="288" spans="1:9" x14ac:dyDescent="0.25">
      <c r="A288" s="180">
        <f t="shared" ca="1" si="26"/>
        <v>46360</v>
      </c>
      <c r="B288" s="181">
        <v>256</v>
      </c>
      <c r="C288" s="182" t="e">
        <f t="shared" si="27"/>
        <v>#VALUE!</v>
      </c>
      <c r="D288" s="182" t="e">
        <f t="shared" si="23"/>
        <v>#VALUE!</v>
      </c>
      <c r="E288" s="182" t="e">
        <f t="shared" si="28"/>
        <v>#VALUE!</v>
      </c>
      <c r="F288" s="182" t="e">
        <f>SUM($D$33:D288)</f>
        <v>#VALUE!</v>
      </c>
      <c r="G288" s="182">
        <f t="shared" ca="1" si="29"/>
        <v>0</v>
      </c>
      <c r="H288" s="182" t="e">
        <f t="shared" si="24"/>
        <v>#VALUE!</v>
      </c>
      <c r="I288" s="183" t="e">
        <f t="shared" si="25"/>
        <v>#VALUE!</v>
      </c>
    </row>
    <row r="289" spans="1:9" x14ac:dyDescent="0.25">
      <c r="A289" s="180">
        <f t="shared" ca="1" si="26"/>
        <v>46361</v>
      </c>
      <c r="B289" s="181">
        <v>257</v>
      </c>
      <c r="C289" s="182" t="e">
        <f t="shared" si="27"/>
        <v>#VALUE!</v>
      </c>
      <c r="D289" s="182" t="e">
        <f t="shared" ref="D289:D352" si="30">IF(C289&gt;$H$21,C289*($C$25/360),$H$21*($C$25/360))</f>
        <v>#VALUE!</v>
      </c>
      <c r="E289" s="182" t="e">
        <f t="shared" si="28"/>
        <v>#VALUE!</v>
      </c>
      <c r="F289" s="182" t="e">
        <f>SUM($D$33:D289)</f>
        <v>#VALUE!</v>
      </c>
      <c r="G289" s="182">
        <f t="shared" ca="1" si="29"/>
        <v>0</v>
      </c>
      <c r="H289" s="182" t="e">
        <f t="shared" ref="H289:H352" si="31">IF(E289&gt;0,C289+G289,IF(E289&lt;0,C289+G289+D289-E288,C289+D289+G289))</f>
        <v>#VALUE!</v>
      </c>
      <c r="I289" s="183" t="e">
        <f t="shared" ref="I289:I352" si="32">(C289+D289-E289)</f>
        <v>#VALUE!</v>
      </c>
    </row>
    <row r="290" spans="1:9" x14ac:dyDescent="0.25">
      <c r="A290" s="180">
        <f t="shared" ref="A290:A353" ca="1" si="33">A289+1</f>
        <v>46362</v>
      </c>
      <c r="B290" s="181">
        <v>258</v>
      </c>
      <c r="C290" s="182" t="e">
        <f t="shared" ref="C290:C353" si="34">H289</f>
        <v>#VALUE!</v>
      </c>
      <c r="D290" s="182" t="e">
        <f t="shared" si="30"/>
        <v>#VALUE!</v>
      </c>
      <c r="E290" s="182" t="e">
        <f t="shared" ref="E290:E353" si="35">IF(E289&gt;0,E289-D290,0)</f>
        <v>#VALUE!</v>
      </c>
      <c r="F290" s="182" t="e">
        <f>SUM($D$33:D290)</f>
        <v>#VALUE!</v>
      </c>
      <c r="G290" s="182">
        <f t="shared" ref="G290:G353" ca="1" si="36">IFERROR(-VLOOKUP(A290,$K$30:$M$36,2,FALSE),0)</f>
        <v>0</v>
      </c>
      <c r="H290" s="182" t="e">
        <f t="shared" si="31"/>
        <v>#VALUE!</v>
      </c>
      <c r="I290" s="183" t="e">
        <f t="shared" si="32"/>
        <v>#VALUE!</v>
      </c>
    </row>
    <row r="291" spans="1:9" x14ac:dyDescent="0.25">
      <c r="A291" s="180">
        <f t="shared" ca="1" si="33"/>
        <v>46363</v>
      </c>
      <c r="B291" s="181">
        <v>259</v>
      </c>
      <c r="C291" s="182" t="e">
        <f t="shared" si="34"/>
        <v>#VALUE!</v>
      </c>
      <c r="D291" s="182" t="e">
        <f t="shared" si="30"/>
        <v>#VALUE!</v>
      </c>
      <c r="E291" s="182" t="e">
        <f t="shared" si="35"/>
        <v>#VALUE!</v>
      </c>
      <c r="F291" s="182" t="e">
        <f>SUM($D$33:D291)</f>
        <v>#VALUE!</v>
      </c>
      <c r="G291" s="182">
        <f t="shared" ca="1" si="36"/>
        <v>0</v>
      </c>
      <c r="H291" s="182" t="e">
        <f t="shared" si="31"/>
        <v>#VALUE!</v>
      </c>
      <c r="I291" s="183" t="e">
        <f t="shared" si="32"/>
        <v>#VALUE!</v>
      </c>
    </row>
    <row r="292" spans="1:9" x14ac:dyDescent="0.25">
      <c r="A292" s="180">
        <f t="shared" ca="1" si="33"/>
        <v>46364</v>
      </c>
      <c r="B292" s="181">
        <v>260</v>
      </c>
      <c r="C292" s="182" t="e">
        <f t="shared" si="34"/>
        <v>#VALUE!</v>
      </c>
      <c r="D292" s="182" t="e">
        <f t="shared" si="30"/>
        <v>#VALUE!</v>
      </c>
      <c r="E292" s="182" t="e">
        <f t="shared" si="35"/>
        <v>#VALUE!</v>
      </c>
      <c r="F292" s="182" t="e">
        <f>SUM($D$33:D292)</f>
        <v>#VALUE!</v>
      </c>
      <c r="G292" s="182">
        <f t="shared" ca="1" si="36"/>
        <v>0</v>
      </c>
      <c r="H292" s="182" t="e">
        <f t="shared" si="31"/>
        <v>#VALUE!</v>
      </c>
      <c r="I292" s="183" t="e">
        <f t="shared" si="32"/>
        <v>#VALUE!</v>
      </c>
    </row>
    <row r="293" spans="1:9" x14ac:dyDescent="0.25">
      <c r="A293" s="180">
        <f t="shared" ca="1" si="33"/>
        <v>46365</v>
      </c>
      <c r="B293" s="181">
        <v>261</v>
      </c>
      <c r="C293" s="182" t="e">
        <f t="shared" si="34"/>
        <v>#VALUE!</v>
      </c>
      <c r="D293" s="182" t="e">
        <f t="shared" si="30"/>
        <v>#VALUE!</v>
      </c>
      <c r="E293" s="182" t="e">
        <f t="shared" si="35"/>
        <v>#VALUE!</v>
      </c>
      <c r="F293" s="182" t="e">
        <f>SUM($D$33:D293)</f>
        <v>#VALUE!</v>
      </c>
      <c r="G293" s="182">
        <f t="shared" ca="1" si="36"/>
        <v>0</v>
      </c>
      <c r="H293" s="182" t="e">
        <f t="shared" si="31"/>
        <v>#VALUE!</v>
      </c>
      <c r="I293" s="183" t="e">
        <f t="shared" si="32"/>
        <v>#VALUE!</v>
      </c>
    </row>
    <row r="294" spans="1:9" x14ac:dyDescent="0.25">
      <c r="A294" s="180">
        <f t="shared" ca="1" si="33"/>
        <v>46366</v>
      </c>
      <c r="B294" s="181">
        <v>262</v>
      </c>
      <c r="C294" s="182" t="e">
        <f t="shared" si="34"/>
        <v>#VALUE!</v>
      </c>
      <c r="D294" s="182" t="e">
        <f t="shared" si="30"/>
        <v>#VALUE!</v>
      </c>
      <c r="E294" s="182" t="e">
        <f t="shared" si="35"/>
        <v>#VALUE!</v>
      </c>
      <c r="F294" s="182" t="e">
        <f>SUM($D$33:D294)</f>
        <v>#VALUE!</v>
      </c>
      <c r="G294" s="182">
        <f t="shared" ca="1" si="36"/>
        <v>0</v>
      </c>
      <c r="H294" s="182" t="e">
        <f t="shared" si="31"/>
        <v>#VALUE!</v>
      </c>
      <c r="I294" s="183" t="e">
        <f t="shared" si="32"/>
        <v>#VALUE!</v>
      </c>
    </row>
    <row r="295" spans="1:9" x14ac:dyDescent="0.25">
      <c r="A295" s="180">
        <f t="shared" ca="1" si="33"/>
        <v>46367</v>
      </c>
      <c r="B295" s="181">
        <v>263</v>
      </c>
      <c r="C295" s="182" t="e">
        <f t="shared" si="34"/>
        <v>#VALUE!</v>
      </c>
      <c r="D295" s="182" t="e">
        <f t="shared" si="30"/>
        <v>#VALUE!</v>
      </c>
      <c r="E295" s="182" t="e">
        <f t="shared" si="35"/>
        <v>#VALUE!</v>
      </c>
      <c r="F295" s="182" t="e">
        <f>SUM($D$33:D295)</f>
        <v>#VALUE!</v>
      </c>
      <c r="G295" s="182">
        <f t="shared" ca="1" si="36"/>
        <v>0</v>
      </c>
      <c r="H295" s="182" t="e">
        <f t="shared" si="31"/>
        <v>#VALUE!</v>
      </c>
      <c r="I295" s="183" t="e">
        <f t="shared" si="32"/>
        <v>#VALUE!</v>
      </c>
    </row>
    <row r="296" spans="1:9" x14ac:dyDescent="0.25">
      <c r="A296" s="180">
        <f t="shared" ca="1" si="33"/>
        <v>46368</v>
      </c>
      <c r="B296" s="181">
        <v>264</v>
      </c>
      <c r="C296" s="182" t="e">
        <f t="shared" si="34"/>
        <v>#VALUE!</v>
      </c>
      <c r="D296" s="182" t="e">
        <f t="shared" si="30"/>
        <v>#VALUE!</v>
      </c>
      <c r="E296" s="182" t="e">
        <f t="shared" si="35"/>
        <v>#VALUE!</v>
      </c>
      <c r="F296" s="182" t="e">
        <f>SUM($D$33:D296)</f>
        <v>#VALUE!</v>
      </c>
      <c r="G296" s="182">
        <f t="shared" ca="1" si="36"/>
        <v>0</v>
      </c>
      <c r="H296" s="182" t="e">
        <f t="shared" si="31"/>
        <v>#VALUE!</v>
      </c>
      <c r="I296" s="183" t="e">
        <f t="shared" si="32"/>
        <v>#VALUE!</v>
      </c>
    </row>
    <row r="297" spans="1:9" x14ac:dyDescent="0.25">
      <c r="A297" s="180">
        <f t="shared" ca="1" si="33"/>
        <v>46369</v>
      </c>
      <c r="B297" s="181">
        <v>265</v>
      </c>
      <c r="C297" s="182" t="e">
        <f t="shared" si="34"/>
        <v>#VALUE!</v>
      </c>
      <c r="D297" s="182" t="e">
        <f t="shared" si="30"/>
        <v>#VALUE!</v>
      </c>
      <c r="E297" s="182" t="e">
        <f t="shared" si="35"/>
        <v>#VALUE!</v>
      </c>
      <c r="F297" s="182" t="e">
        <f>SUM($D$33:D297)</f>
        <v>#VALUE!</v>
      </c>
      <c r="G297" s="182">
        <f t="shared" ca="1" si="36"/>
        <v>0</v>
      </c>
      <c r="H297" s="182" t="e">
        <f t="shared" si="31"/>
        <v>#VALUE!</v>
      </c>
      <c r="I297" s="183" t="e">
        <f t="shared" si="32"/>
        <v>#VALUE!</v>
      </c>
    </row>
    <row r="298" spans="1:9" x14ac:dyDescent="0.25">
      <c r="A298" s="180">
        <f t="shared" ca="1" si="33"/>
        <v>46370</v>
      </c>
      <c r="B298" s="181">
        <v>266</v>
      </c>
      <c r="C298" s="182" t="e">
        <f t="shared" si="34"/>
        <v>#VALUE!</v>
      </c>
      <c r="D298" s="182" t="e">
        <f t="shared" si="30"/>
        <v>#VALUE!</v>
      </c>
      <c r="E298" s="182" t="e">
        <f t="shared" si="35"/>
        <v>#VALUE!</v>
      </c>
      <c r="F298" s="182" t="e">
        <f>SUM($D$33:D298)</f>
        <v>#VALUE!</v>
      </c>
      <c r="G298" s="182">
        <f t="shared" ca="1" si="36"/>
        <v>0</v>
      </c>
      <c r="H298" s="182" t="e">
        <f t="shared" si="31"/>
        <v>#VALUE!</v>
      </c>
      <c r="I298" s="183" t="e">
        <f t="shared" si="32"/>
        <v>#VALUE!</v>
      </c>
    </row>
    <row r="299" spans="1:9" x14ac:dyDescent="0.25">
      <c r="A299" s="180">
        <f t="shared" ca="1" si="33"/>
        <v>46371</v>
      </c>
      <c r="B299" s="181">
        <v>267</v>
      </c>
      <c r="C299" s="182" t="e">
        <f t="shared" si="34"/>
        <v>#VALUE!</v>
      </c>
      <c r="D299" s="182" t="e">
        <f t="shared" si="30"/>
        <v>#VALUE!</v>
      </c>
      <c r="E299" s="182" t="e">
        <f t="shared" si="35"/>
        <v>#VALUE!</v>
      </c>
      <c r="F299" s="182" t="e">
        <f>SUM($D$33:D299)</f>
        <v>#VALUE!</v>
      </c>
      <c r="G299" s="182">
        <f t="shared" ca="1" si="36"/>
        <v>0</v>
      </c>
      <c r="H299" s="182" t="e">
        <f t="shared" si="31"/>
        <v>#VALUE!</v>
      </c>
      <c r="I299" s="183" t="e">
        <f t="shared" si="32"/>
        <v>#VALUE!</v>
      </c>
    </row>
    <row r="300" spans="1:9" x14ac:dyDescent="0.25">
      <c r="A300" s="180">
        <f t="shared" ca="1" si="33"/>
        <v>46372</v>
      </c>
      <c r="B300" s="181">
        <v>268</v>
      </c>
      <c r="C300" s="182" t="e">
        <f t="shared" si="34"/>
        <v>#VALUE!</v>
      </c>
      <c r="D300" s="182" t="e">
        <f t="shared" si="30"/>
        <v>#VALUE!</v>
      </c>
      <c r="E300" s="182" t="e">
        <f t="shared" si="35"/>
        <v>#VALUE!</v>
      </c>
      <c r="F300" s="182" t="e">
        <f>SUM($D$33:D300)</f>
        <v>#VALUE!</v>
      </c>
      <c r="G300" s="182">
        <f t="shared" ca="1" si="36"/>
        <v>0</v>
      </c>
      <c r="H300" s="182" t="e">
        <f t="shared" si="31"/>
        <v>#VALUE!</v>
      </c>
      <c r="I300" s="183" t="e">
        <f t="shared" si="32"/>
        <v>#VALUE!</v>
      </c>
    </row>
    <row r="301" spans="1:9" x14ac:dyDescent="0.25">
      <c r="A301" s="180">
        <f t="shared" ca="1" si="33"/>
        <v>46373</v>
      </c>
      <c r="B301" s="181">
        <v>269</v>
      </c>
      <c r="C301" s="182" t="e">
        <f t="shared" si="34"/>
        <v>#VALUE!</v>
      </c>
      <c r="D301" s="182" t="e">
        <f t="shared" si="30"/>
        <v>#VALUE!</v>
      </c>
      <c r="E301" s="182" t="e">
        <f t="shared" si="35"/>
        <v>#VALUE!</v>
      </c>
      <c r="F301" s="182" t="e">
        <f>SUM($D$33:D301)</f>
        <v>#VALUE!</v>
      </c>
      <c r="G301" s="182">
        <f t="shared" ca="1" si="36"/>
        <v>0</v>
      </c>
      <c r="H301" s="182" t="e">
        <f t="shared" si="31"/>
        <v>#VALUE!</v>
      </c>
      <c r="I301" s="183" t="e">
        <f t="shared" si="32"/>
        <v>#VALUE!</v>
      </c>
    </row>
    <row r="302" spans="1:9" x14ac:dyDescent="0.25">
      <c r="A302" s="180">
        <f t="shared" ca="1" si="33"/>
        <v>46374</v>
      </c>
      <c r="B302" s="181">
        <v>270</v>
      </c>
      <c r="C302" s="182" t="e">
        <f t="shared" si="34"/>
        <v>#VALUE!</v>
      </c>
      <c r="D302" s="182" t="e">
        <f t="shared" si="30"/>
        <v>#VALUE!</v>
      </c>
      <c r="E302" s="182" t="e">
        <f t="shared" si="35"/>
        <v>#VALUE!</v>
      </c>
      <c r="F302" s="182" t="e">
        <f>SUM($D$33:D302)</f>
        <v>#VALUE!</v>
      </c>
      <c r="G302" s="182">
        <f t="shared" ca="1" si="36"/>
        <v>0</v>
      </c>
      <c r="H302" s="182" t="e">
        <f t="shared" si="31"/>
        <v>#VALUE!</v>
      </c>
      <c r="I302" s="183" t="e">
        <f t="shared" si="32"/>
        <v>#VALUE!</v>
      </c>
    </row>
    <row r="303" spans="1:9" x14ac:dyDescent="0.25">
      <c r="A303" s="180">
        <f t="shared" ca="1" si="33"/>
        <v>46375</v>
      </c>
      <c r="B303" s="181">
        <v>271</v>
      </c>
      <c r="C303" s="182" t="e">
        <f t="shared" si="34"/>
        <v>#VALUE!</v>
      </c>
      <c r="D303" s="182" t="e">
        <f t="shared" si="30"/>
        <v>#VALUE!</v>
      </c>
      <c r="E303" s="182" t="e">
        <f t="shared" si="35"/>
        <v>#VALUE!</v>
      </c>
      <c r="F303" s="182" t="e">
        <f>SUM($D$33:D303)</f>
        <v>#VALUE!</v>
      </c>
      <c r="G303" s="182">
        <f t="shared" ca="1" si="36"/>
        <v>0</v>
      </c>
      <c r="H303" s="182" t="e">
        <f t="shared" si="31"/>
        <v>#VALUE!</v>
      </c>
      <c r="I303" s="183" t="e">
        <f t="shared" si="32"/>
        <v>#VALUE!</v>
      </c>
    </row>
    <row r="304" spans="1:9" x14ac:dyDescent="0.25">
      <c r="A304" s="180">
        <f t="shared" ca="1" si="33"/>
        <v>46376</v>
      </c>
      <c r="B304" s="181">
        <v>272</v>
      </c>
      <c r="C304" s="182" t="e">
        <f t="shared" si="34"/>
        <v>#VALUE!</v>
      </c>
      <c r="D304" s="182" t="e">
        <f t="shared" si="30"/>
        <v>#VALUE!</v>
      </c>
      <c r="E304" s="182" t="e">
        <f t="shared" si="35"/>
        <v>#VALUE!</v>
      </c>
      <c r="F304" s="182" t="e">
        <f>SUM($D$33:D304)</f>
        <v>#VALUE!</v>
      </c>
      <c r="G304" s="182">
        <f t="shared" ca="1" si="36"/>
        <v>0</v>
      </c>
      <c r="H304" s="182" t="e">
        <f t="shared" si="31"/>
        <v>#VALUE!</v>
      </c>
      <c r="I304" s="183" t="e">
        <f t="shared" si="32"/>
        <v>#VALUE!</v>
      </c>
    </row>
    <row r="305" spans="1:9" x14ac:dyDescent="0.25">
      <c r="A305" s="180">
        <f t="shared" ca="1" si="33"/>
        <v>46377</v>
      </c>
      <c r="B305" s="181">
        <v>273</v>
      </c>
      <c r="C305" s="182" t="e">
        <f t="shared" si="34"/>
        <v>#VALUE!</v>
      </c>
      <c r="D305" s="182" t="e">
        <f t="shared" si="30"/>
        <v>#VALUE!</v>
      </c>
      <c r="E305" s="182" t="e">
        <f t="shared" si="35"/>
        <v>#VALUE!</v>
      </c>
      <c r="F305" s="182" t="e">
        <f>SUM($D$33:D305)</f>
        <v>#VALUE!</v>
      </c>
      <c r="G305" s="182">
        <f t="shared" ca="1" si="36"/>
        <v>0</v>
      </c>
      <c r="H305" s="182" t="e">
        <f t="shared" si="31"/>
        <v>#VALUE!</v>
      </c>
      <c r="I305" s="183" t="e">
        <f t="shared" si="32"/>
        <v>#VALUE!</v>
      </c>
    </row>
    <row r="306" spans="1:9" x14ac:dyDescent="0.25">
      <c r="A306" s="180">
        <f t="shared" ca="1" si="33"/>
        <v>46378</v>
      </c>
      <c r="B306" s="181">
        <v>274</v>
      </c>
      <c r="C306" s="182" t="e">
        <f t="shared" si="34"/>
        <v>#VALUE!</v>
      </c>
      <c r="D306" s="182" t="e">
        <f t="shared" si="30"/>
        <v>#VALUE!</v>
      </c>
      <c r="E306" s="182" t="e">
        <f t="shared" si="35"/>
        <v>#VALUE!</v>
      </c>
      <c r="F306" s="182" t="e">
        <f>SUM($D$33:D306)</f>
        <v>#VALUE!</v>
      </c>
      <c r="G306" s="182">
        <f t="shared" ca="1" si="36"/>
        <v>0</v>
      </c>
      <c r="H306" s="182" t="e">
        <f t="shared" si="31"/>
        <v>#VALUE!</v>
      </c>
      <c r="I306" s="183" t="e">
        <f t="shared" si="32"/>
        <v>#VALUE!</v>
      </c>
    </row>
    <row r="307" spans="1:9" x14ac:dyDescent="0.25">
      <c r="A307" s="180">
        <f t="shared" ca="1" si="33"/>
        <v>46379</v>
      </c>
      <c r="B307" s="181">
        <v>275</v>
      </c>
      <c r="C307" s="182" t="e">
        <f t="shared" si="34"/>
        <v>#VALUE!</v>
      </c>
      <c r="D307" s="182" t="e">
        <f t="shared" si="30"/>
        <v>#VALUE!</v>
      </c>
      <c r="E307" s="182" t="e">
        <f t="shared" si="35"/>
        <v>#VALUE!</v>
      </c>
      <c r="F307" s="182" t="e">
        <f>SUM($D$33:D307)</f>
        <v>#VALUE!</v>
      </c>
      <c r="G307" s="182">
        <f t="shared" ca="1" si="36"/>
        <v>0</v>
      </c>
      <c r="H307" s="182" t="e">
        <f t="shared" si="31"/>
        <v>#VALUE!</v>
      </c>
      <c r="I307" s="183" t="e">
        <f t="shared" si="32"/>
        <v>#VALUE!</v>
      </c>
    </row>
    <row r="308" spans="1:9" x14ac:dyDescent="0.25">
      <c r="A308" s="180">
        <f t="shared" ca="1" si="33"/>
        <v>46380</v>
      </c>
      <c r="B308" s="181">
        <v>276</v>
      </c>
      <c r="C308" s="182" t="e">
        <f t="shared" si="34"/>
        <v>#VALUE!</v>
      </c>
      <c r="D308" s="182" t="e">
        <f t="shared" si="30"/>
        <v>#VALUE!</v>
      </c>
      <c r="E308" s="182" t="e">
        <f t="shared" si="35"/>
        <v>#VALUE!</v>
      </c>
      <c r="F308" s="182" t="e">
        <f>SUM($D$33:D308)</f>
        <v>#VALUE!</v>
      </c>
      <c r="G308" s="182">
        <f t="shared" ca="1" si="36"/>
        <v>0</v>
      </c>
      <c r="H308" s="182" t="e">
        <f t="shared" si="31"/>
        <v>#VALUE!</v>
      </c>
      <c r="I308" s="183" t="e">
        <f t="shared" si="32"/>
        <v>#VALUE!</v>
      </c>
    </row>
    <row r="309" spans="1:9" x14ac:dyDescent="0.25">
      <c r="A309" s="180">
        <f t="shared" ca="1" si="33"/>
        <v>46381</v>
      </c>
      <c r="B309" s="181">
        <v>277</v>
      </c>
      <c r="C309" s="182" t="e">
        <f t="shared" si="34"/>
        <v>#VALUE!</v>
      </c>
      <c r="D309" s="182" t="e">
        <f t="shared" si="30"/>
        <v>#VALUE!</v>
      </c>
      <c r="E309" s="182" t="e">
        <f t="shared" si="35"/>
        <v>#VALUE!</v>
      </c>
      <c r="F309" s="182" t="e">
        <f>SUM($D$33:D309)</f>
        <v>#VALUE!</v>
      </c>
      <c r="G309" s="182">
        <f t="shared" ca="1" si="36"/>
        <v>0</v>
      </c>
      <c r="H309" s="182" t="e">
        <f t="shared" si="31"/>
        <v>#VALUE!</v>
      </c>
      <c r="I309" s="183" t="e">
        <f t="shared" si="32"/>
        <v>#VALUE!</v>
      </c>
    </row>
    <row r="310" spans="1:9" x14ac:dyDescent="0.25">
      <c r="A310" s="180">
        <f t="shared" ca="1" si="33"/>
        <v>46382</v>
      </c>
      <c r="B310" s="181">
        <v>278</v>
      </c>
      <c r="C310" s="182" t="e">
        <f t="shared" si="34"/>
        <v>#VALUE!</v>
      </c>
      <c r="D310" s="182" t="e">
        <f t="shared" si="30"/>
        <v>#VALUE!</v>
      </c>
      <c r="E310" s="182" t="e">
        <f t="shared" si="35"/>
        <v>#VALUE!</v>
      </c>
      <c r="F310" s="182" t="e">
        <f>SUM($D$33:D310)</f>
        <v>#VALUE!</v>
      </c>
      <c r="G310" s="182">
        <f t="shared" ca="1" si="36"/>
        <v>0</v>
      </c>
      <c r="H310" s="182" t="e">
        <f t="shared" si="31"/>
        <v>#VALUE!</v>
      </c>
      <c r="I310" s="183" t="e">
        <f t="shared" si="32"/>
        <v>#VALUE!</v>
      </c>
    </row>
    <row r="311" spans="1:9" x14ac:dyDescent="0.25">
      <c r="A311" s="180">
        <f t="shared" ca="1" si="33"/>
        <v>46383</v>
      </c>
      <c r="B311" s="181">
        <v>279</v>
      </c>
      <c r="C311" s="182" t="e">
        <f t="shared" si="34"/>
        <v>#VALUE!</v>
      </c>
      <c r="D311" s="182" t="e">
        <f t="shared" si="30"/>
        <v>#VALUE!</v>
      </c>
      <c r="E311" s="182" t="e">
        <f t="shared" si="35"/>
        <v>#VALUE!</v>
      </c>
      <c r="F311" s="182" t="e">
        <f>SUM($D$33:D311)</f>
        <v>#VALUE!</v>
      </c>
      <c r="G311" s="182">
        <f t="shared" ca="1" si="36"/>
        <v>0</v>
      </c>
      <c r="H311" s="182" t="e">
        <f t="shared" si="31"/>
        <v>#VALUE!</v>
      </c>
      <c r="I311" s="183" t="e">
        <f t="shared" si="32"/>
        <v>#VALUE!</v>
      </c>
    </row>
    <row r="312" spans="1:9" x14ac:dyDescent="0.25">
      <c r="A312" s="180">
        <f t="shared" ca="1" si="33"/>
        <v>46384</v>
      </c>
      <c r="B312" s="181">
        <v>280</v>
      </c>
      <c r="C312" s="182" t="e">
        <f t="shared" si="34"/>
        <v>#VALUE!</v>
      </c>
      <c r="D312" s="182" t="e">
        <f t="shared" si="30"/>
        <v>#VALUE!</v>
      </c>
      <c r="E312" s="182" t="e">
        <f t="shared" si="35"/>
        <v>#VALUE!</v>
      </c>
      <c r="F312" s="182" t="e">
        <f>SUM($D$33:D312)</f>
        <v>#VALUE!</v>
      </c>
      <c r="G312" s="182">
        <f t="shared" ca="1" si="36"/>
        <v>0</v>
      </c>
      <c r="H312" s="182" t="e">
        <f t="shared" si="31"/>
        <v>#VALUE!</v>
      </c>
      <c r="I312" s="183" t="e">
        <f t="shared" si="32"/>
        <v>#VALUE!</v>
      </c>
    </row>
    <row r="313" spans="1:9" x14ac:dyDescent="0.25">
      <c r="A313" s="180">
        <f t="shared" ca="1" si="33"/>
        <v>46385</v>
      </c>
      <c r="B313" s="181">
        <v>281</v>
      </c>
      <c r="C313" s="182" t="e">
        <f t="shared" si="34"/>
        <v>#VALUE!</v>
      </c>
      <c r="D313" s="182" t="e">
        <f t="shared" si="30"/>
        <v>#VALUE!</v>
      </c>
      <c r="E313" s="182" t="e">
        <f t="shared" si="35"/>
        <v>#VALUE!</v>
      </c>
      <c r="F313" s="182" t="e">
        <f>SUM($D$33:D313)</f>
        <v>#VALUE!</v>
      </c>
      <c r="G313" s="182">
        <f t="shared" ca="1" si="36"/>
        <v>0</v>
      </c>
      <c r="H313" s="182" t="e">
        <f t="shared" si="31"/>
        <v>#VALUE!</v>
      </c>
      <c r="I313" s="183" t="e">
        <f t="shared" si="32"/>
        <v>#VALUE!</v>
      </c>
    </row>
    <row r="314" spans="1:9" x14ac:dyDescent="0.25">
      <c r="A314" s="180">
        <f t="shared" ca="1" si="33"/>
        <v>46386</v>
      </c>
      <c r="B314" s="181">
        <v>282</v>
      </c>
      <c r="C314" s="182" t="e">
        <f t="shared" si="34"/>
        <v>#VALUE!</v>
      </c>
      <c r="D314" s="182" t="e">
        <f t="shared" si="30"/>
        <v>#VALUE!</v>
      </c>
      <c r="E314" s="182" t="e">
        <f t="shared" si="35"/>
        <v>#VALUE!</v>
      </c>
      <c r="F314" s="182" t="e">
        <f>SUM($D$33:D314)</f>
        <v>#VALUE!</v>
      </c>
      <c r="G314" s="182">
        <f t="shared" ca="1" si="36"/>
        <v>0</v>
      </c>
      <c r="H314" s="182" t="e">
        <f t="shared" si="31"/>
        <v>#VALUE!</v>
      </c>
      <c r="I314" s="183" t="e">
        <f t="shared" si="32"/>
        <v>#VALUE!</v>
      </c>
    </row>
    <row r="315" spans="1:9" x14ac:dyDescent="0.25">
      <c r="A315" s="180">
        <f t="shared" ca="1" si="33"/>
        <v>46387</v>
      </c>
      <c r="B315" s="181">
        <v>283</v>
      </c>
      <c r="C315" s="182" t="e">
        <f t="shared" si="34"/>
        <v>#VALUE!</v>
      </c>
      <c r="D315" s="182" t="e">
        <f t="shared" si="30"/>
        <v>#VALUE!</v>
      </c>
      <c r="E315" s="182" t="e">
        <f t="shared" si="35"/>
        <v>#VALUE!</v>
      </c>
      <c r="F315" s="182" t="e">
        <f>SUM($D$33:D315)</f>
        <v>#VALUE!</v>
      </c>
      <c r="G315" s="182">
        <f t="shared" ca="1" si="36"/>
        <v>0</v>
      </c>
      <c r="H315" s="182" t="e">
        <f t="shared" si="31"/>
        <v>#VALUE!</v>
      </c>
      <c r="I315" s="183" t="e">
        <f t="shared" si="32"/>
        <v>#VALUE!</v>
      </c>
    </row>
    <row r="316" spans="1:9" x14ac:dyDescent="0.25">
      <c r="A316" s="180">
        <f t="shared" ca="1" si="33"/>
        <v>46388</v>
      </c>
      <c r="B316" s="181">
        <v>284</v>
      </c>
      <c r="C316" s="182" t="e">
        <f t="shared" si="34"/>
        <v>#VALUE!</v>
      </c>
      <c r="D316" s="182" t="e">
        <f t="shared" si="30"/>
        <v>#VALUE!</v>
      </c>
      <c r="E316" s="182" t="e">
        <f t="shared" si="35"/>
        <v>#VALUE!</v>
      </c>
      <c r="F316" s="182" t="e">
        <f>SUM($D$33:D316)</f>
        <v>#VALUE!</v>
      </c>
      <c r="G316" s="182">
        <f t="shared" ca="1" si="36"/>
        <v>0</v>
      </c>
      <c r="H316" s="182" t="e">
        <f t="shared" si="31"/>
        <v>#VALUE!</v>
      </c>
      <c r="I316" s="183" t="e">
        <f t="shared" si="32"/>
        <v>#VALUE!</v>
      </c>
    </row>
    <row r="317" spans="1:9" x14ac:dyDescent="0.25">
      <c r="A317" s="180">
        <f t="shared" ca="1" si="33"/>
        <v>46389</v>
      </c>
      <c r="B317" s="181">
        <v>285</v>
      </c>
      <c r="C317" s="182" t="e">
        <f t="shared" si="34"/>
        <v>#VALUE!</v>
      </c>
      <c r="D317" s="182" t="e">
        <f t="shared" si="30"/>
        <v>#VALUE!</v>
      </c>
      <c r="E317" s="182" t="e">
        <f t="shared" si="35"/>
        <v>#VALUE!</v>
      </c>
      <c r="F317" s="182" t="e">
        <f>SUM($D$33:D317)</f>
        <v>#VALUE!</v>
      </c>
      <c r="G317" s="182">
        <f t="shared" ca="1" si="36"/>
        <v>0</v>
      </c>
      <c r="H317" s="182" t="e">
        <f t="shared" si="31"/>
        <v>#VALUE!</v>
      </c>
      <c r="I317" s="183" t="e">
        <f t="shared" si="32"/>
        <v>#VALUE!</v>
      </c>
    </row>
    <row r="318" spans="1:9" x14ac:dyDescent="0.25">
      <c r="A318" s="180">
        <f t="shared" ca="1" si="33"/>
        <v>46390</v>
      </c>
      <c r="B318" s="181">
        <v>286</v>
      </c>
      <c r="C318" s="182" t="e">
        <f t="shared" si="34"/>
        <v>#VALUE!</v>
      </c>
      <c r="D318" s="182" t="e">
        <f t="shared" si="30"/>
        <v>#VALUE!</v>
      </c>
      <c r="E318" s="182" t="e">
        <f t="shared" si="35"/>
        <v>#VALUE!</v>
      </c>
      <c r="F318" s="182" t="e">
        <f>SUM($D$33:D318)</f>
        <v>#VALUE!</v>
      </c>
      <c r="G318" s="182">
        <f t="shared" ca="1" si="36"/>
        <v>0</v>
      </c>
      <c r="H318" s="182" t="e">
        <f t="shared" si="31"/>
        <v>#VALUE!</v>
      </c>
      <c r="I318" s="183" t="e">
        <f t="shared" si="32"/>
        <v>#VALUE!</v>
      </c>
    </row>
    <row r="319" spans="1:9" x14ac:dyDescent="0.25">
      <c r="A319" s="180">
        <f t="shared" ca="1" si="33"/>
        <v>46391</v>
      </c>
      <c r="B319" s="181">
        <v>287</v>
      </c>
      <c r="C319" s="182" t="e">
        <f t="shared" si="34"/>
        <v>#VALUE!</v>
      </c>
      <c r="D319" s="182" t="e">
        <f t="shared" si="30"/>
        <v>#VALUE!</v>
      </c>
      <c r="E319" s="182" t="e">
        <f t="shared" si="35"/>
        <v>#VALUE!</v>
      </c>
      <c r="F319" s="182" t="e">
        <f>SUM($D$33:D319)</f>
        <v>#VALUE!</v>
      </c>
      <c r="G319" s="182">
        <f t="shared" ca="1" si="36"/>
        <v>0</v>
      </c>
      <c r="H319" s="182" t="e">
        <f t="shared" si="31"/>
        <v>#VALUE!</v>
      </c>
      <c r="I319" s="183" t="e">
        <f t="shared" si="32"/>
        <v>#VALUE!</v>
      </c>
    </row>
    <row r="320" spans="1:9" x14ac:dyDescent="0.25">
      <c r="A320" s="180">
        <f t="shared" ca="1" si="33"/>
        <v>46392</v>
      </c>
      <c r="B320" s="181">
        <v>288</v>
      </c>
      <c r="C320" s="182" t="e">
        <f t="shared" si="34"/>
        <v>#VALUE!</v>
      </c>
      <c r="D320" s="182" t="e">
        <f t="shared" si="30"/>
        <v>#VALUE!</v>
      </c>
      <c r="E320" s="182" t="e">
        <f t="shared" si="35"/>
        <v>#VALUE!</v>
      </c>
      <c r="F320" s="182" t="e">
        <f>SUM($D$33:D320)</f>
        <v>#VALUE!</v>
      </c>
      <c r="G320" s="182">
        <f t="shared" ca="1" si="36"/>
        <v>0</v>
      </c>
      <c r="H320" s="182" t="e">
        <f t="shared" si="31"/>
        <v>#VALUE!</v>
      </c>
      <c r="I320" s="183" t="e">
        <f t="shared" si="32"/>
        <v>#VALUE!</v>
      </c>
    </row>
    <row r="321" spans="1:9" x14ac:dyDescent="0.25">
      <c r="A321" s="180">
        <f t="shared" ca="1" si="33"/>
        <v>46393</v>
      </c>
      <c r="B321" s="181">
        <v>289</v>
      </c>
      <c r="C321" s="182" t="e">
        <f t="shared" si="34"/>
        <v>#VALUE!</v>
      </c>
      <c r="D321" s="182" t="e">
        <f t="shared" si="30"/>
        <v>#VALUE!</v>
      </c>
      <c r="E321" s="182" t="e">
        <f t="shared" si="35"/>
        <v>#VALUE!</v>
      </c>
      <c r="F321" s="182" t="e">
        <f>SUM($D$33:D321)</f>
        <v>#VALUE!</v>
      </c>
      <c r="G321" s="182">
        <f t="shared" ca="1" si="36"/>
        <v>0</v>
      </c>
      <c r="H321" s="182" t="e">
        <f t="shared" si="31"/>
        <v>#VALUE!</v>
      </c>
      <c r="I321" s="183" t="e">
        <f t="shared" si="32"/>
        <v>#VALUE!</v>
      </c>
    </row>
    <row r="322" spans="1:9" x14ac:dyDescent="0.25">
      <c r="A322" s="180">
        <f t="shared" ca="1" si="33"/>
        <v>46394</v>
      </c>
      <c r="B322" s="181">
        <v>290</v>
      </c>
      <c r="C322" s="182" t="e">
        <f t="shared" si="34"/>
        <v>#VALUE!</v>
      </c>
      <c r="D322" s="182" t="e">
        <f t="shared" si="30"/>
        <v>#VALUE!</v>
      </c>
      <c r="E322" s="182" t="e">
        <f t="shared" si="35"/>
        <v>#VALUE!</v>
      </c>
      <c r="F322" s="182" t="e">
        <f>SUM($D$33:D322)</f>
        <v>#VALUE!</v>
      </c>
      <c r="G322" s="182">
        <f t="shared" ca="1" si="36"/>
        <v>0</v>
      </c>
      <c r="H322" s="182" t="e">
        <f t="shared" si="31"/>
        <v>#VALUE!</v>
      </c>
      <c r="I322" s="183" t="e">
        <f t="shared" si="32"/>
        <v>#VALUE!</v>
      </c>
    </row>
    <row r="323" spans="1:9" x14ac:dyDescent="0.25">
      <c r="A323" s="180">
        <f t="shared" ca="1" si="33"/>
        <v>46395</v>
      </c>
      <c r="B323" s="181">
        <v>291</v>
      </c>
      <c r="C323" s="182" t="e">
        <f t="shared" si="34"/>
        <v>#VALUE!</v>
      </c>
      <c r="D323" s="182" t="e">
        <f t="shared" si="30"/>
        <v>#VALUE!</v>
      </c>
      <c r="E323" s="182" t="e">
        <f t="shared" si="35"/>
        <v>#VALUE!</v>
      </c>
      <c r="F323" s="182" t="e">
        <f>SUM($D$33:D323)</f>
        <v>#VALUE!</v>
      </c>
      <c r="G323" s="182">
        <f t="shared" ca="1" si="36"/>
        <v>0</v>
      </c>
      <c r="H323" s="182" t="e">
        <f t="shared" si="31"/>
        <v>#VALUE!</v>
      </c>
      <c r="I323" s="183" t="e">
        <f t="shared" si="32"/>
        <v>#VALUE!</v>
      </c>
    </row>
    <row r="324" spans="1:9" x14ac:dyDescent="0.25">
      <c r="A324" s="180">
        <f t="shared" ca="1" si="33"/>
        <v>46396</v>
      </c>
      <c r="B324" s="181">
        <v>292</v>
      </c>
      <c r="C324" s="182" t="e">
        <f t="shared" si="34"/>
        <v>#VALUE!</v>
      </c>
      <c r="D324" s="182" t="e">
        <f t="shared" si="30"/>
        <v>#VALUE!</v>
      </c>
      <c r="E324" s="182" t="e">
        <f t="shared" si="35"/>
        <v>#VALUE!</v>
      </c>
      <c r="F324" s="182" t="e">
        <f>SUM($D$33:D324)</f>
        <v>#VALUE!</v>
      </c>
      <c r="G324" s="182">
        <f t="shared" ca="1" si="36"/>
        <v>0</v>
      </c>
      <c r="H324" s="182" t="e">
        <f t="shared" si="31"/>
        <v>#VALUE!</v>
      </c>
      <c r="I324" s="183" t="e">
        <f t="shared" si="32"/>
        <v>#VALUE!</v>
      </c>
    </row>
    <row r="325" spans="1:9" x14ac:dyDescent="0.25">
      <c r="A325" s="180">
        <f t="shared" ca="1" si="33"/>
        <v>46397</v>
      </c>
      <c r="B325" s="181">
        <v>293</v>
      </c>
      <c r="C325" s="182" t="e">
        <f t="shared" si="34"/>
        <v>#VALUE!</v>
      </c>
      <c r="D325" s="182" t="e">
        <f t="shared" si="30"/>
        <v>#VALUE!</v>
      </c>
      <c r="E325" s="182" t="e">
        <f t="shared" si="35"/>
        <v>#VALUE!</v>
      </c>
      <c r="F325" s="182" t="e">
        <f>SUM($D$33:D325)</f>
        <v>#VALUE!</v>
      </c>
      <c r="G325" s="182">
        <f t="shared" ca="1" si="36"/>
        <v>0</v>
      </c>
      <c r="H325" s="182" t="e">
        <f t="shared" si="31"/>
        <v>#VALUE!</v>
      </c>
      <c r="I325" s="183" t="e">
        <f t="shared" si="32"/>
        <v>#VALUE!</v>
      </c>
    </row>
    <row r="326" spans="1:9" x14ac:dyDescent="0.25">
      <c r="A326" s="180">
        <f t="shared" ca="1" si="33"/>
        <v>46398</v>
      </c>
      <c r="B326" s="181">
        <v>294</v>
      </c>
      <c r="C326" s="182" t="e">
        <f t="shared" si="34"/>
        <v>#VALUE!</v>
      </c>
      <c r="D326" s="182" t="e">
        <f t="shared" si="30"/>
        <v>#VALUE!</v>
      </c>
      <c r="E326" s="182" t="e">
        <f t="shared" si="35"/>
        <v>#VALUE!</v>
      </c>
      <c r="F326" s="182" t="e">
        <f>SUM($D$33:D326)</f>
        <v>#VALUE!</v>
      </c>
      <c r="G326" s="182">
        <f t="shared" ca="1" si="36"/>
        <v>0</v>
      </c>
      <c r="H326" s="182" t="e">
        <f t="shared" si="31"/>
        <v>#VALUE!</v>
      </c>
      <c r="I326" s="183" t="e">
        <f t="shared" si="32"/>
        <v>#VALUE!</v>
      </c>
    </row>
    <row r="327" spans="1:9" x14ac:dyDescent="0.25">
      <c r="A327" s="180">
        <f t="shared" ca="1" si="33"/>
        <v>46399</v>
      </c>
      <c r="B327" s="181">
        <v>295</v>
      </c>
      <c r="C327" s="182" t="e">
        <f t="shared" si="34"/>
        <v>#VALUE!</v>
      </c>
      <c r="D327" s="182" t="e">
        <f t="shared" si="30"/>
        <v>#VALUE!</v>
      </c>
      <c r="E327" s="182" t="e">
        <f t="shared" si="35"/>
        <v>#VALUE!</v>
      </c>
      <c r="F327" s="182" t="e">
        <f>SUM($D$33:D327)</f>
        <v>#VALUE!</v>
      </c>
      <c r="G327" s="182">
        <f t="shared" ca="1" si="36"/>
        <v>0</v>
      </c>
      <c r="H327" s="182" t="e">
        <f t="shared" si="31"/>
        <v>#VALUE!</v>
      </c>
      <c r="I327" s="183" t="e">
        <f t="shared" si="32"/>
        <v>#VALUE!</v>
      </c>
    </row>
    <row r="328" spans="1:9" x14ac:dyDescent="0.25">
      <c r="A328" s="180">
        <f t="shared" ca="1" si="33"/>
        <v>46400</v>
      </c>
      <c r="B328" s="181">
        <v>296</v>
      </c>
      <c r="C328" s="182" t="e">
        <f t="shared" si="34"/>
        <v>#VALUE!</v>
      </c>
      <c r="D328" s="182" t="e">
        <f t="shared" si="30"/>
        <v>#VALUE!</v>
      </c>
      <c r="E328" s="182" t="e">
        <f t="shared" si="35"/>
        <v>#VALUE!</v>
      </c>
      <c r="F328" s="182" t="e">
        <f>SUM($D$33:D328)</f>
        <v>#VALUE!</v>
      </c>
      <c r="G328" s="182">
        <f t="shared" ca="1" si="36"/>
        <v>0</v>
      </c>
      <c r="H328" s="182" t="e">
        <f t="shared" si="31"/>
        <v>#VALUE!</v>
      </c>
      <c r="I328" s="183" t="e">
        <f t="shared" si="32"/>
        <v>#VALUE!</v>
      </c>
    </row>
    <row r="329" spans="1:9" x14ac:dyDescent="0.25">
      <c r="A329" s="180">
        <f t="shared" ca="1" si="33"/>
        <v>46401</v>
      </c>
      <c r="B329" s="181">
        <v>297</v>
      </c>
      <c r="C329" s="182" t="e">
        <f t="shared" si="34"/>
        <v>#VALUE!</v>
      </c>
      <c r="D329" s="182" t="e">
        <f t="shared" si="30"/>
        <v>#VALUE!</v>
      </c>
      <c r="E329" s="182" t="e">
        <f t="shared" si="35"/>
        <v>#VALUE!</v>
      </c>
      <c r="F329" s="182" t="e">
        <f>SUM($D$33:D329)</f>
        <v>#VALUE!</v>
      </c>
      <c r="G329" s="182">
        <f t="shared" ca="1" si="36"/>
        <v>0</v>
      </c>
      <c r="H329" s="182" t="e">
        <f t="shared" si="31"/>
        <v>#VALUE!</v>
      </c>
      <c r="I329" s="183" t="e">
        <f t="shared" si="32"/>
        <v>#VALUE!</v>
      </c>
    </row>
    <row r="330" spans="1:9" x14ac:dyDescent="0.25">
      <c r="A330" s="180">
        <f t="shared" ca="1" si="33"/>
        <v>46402</v>
      </c>
      <c r="B330" s="181">
        <v>298</v>
      </c>
      <c r="C330" s="182" t="e">
        <f t="shared" si="34"/>
        <v>#VALUE!</v>
      </c>
      <c r="D330" s="182" t="e">
        <f t="shared" si="30"/>
        <v>#VALUE!</v>
      </c>
      <c r="E330" s="182" t="e">
        <f t="shared" si="35"/>
        <v>#VALUE!</v>
      </c>
      <c r="F330" s="182" t="e">
        <f>SUM($D$33:D330)</f>
        <v>#VALUE!</v>
      </c>
      <c r="G330" s="182">
        <f t="shared" ca="1" si="36"/>
        <v>0</v>
      </c>
      <c r="H330" s="182" t="e">
        <f t="shared" si="31"/>
        <v>#VALUE!</v>
      </c>
      <c r="I330" s="183" t="e">
        <f t="shared" si="32"/>
        <v>#VALUE!</v>
      </c>
    </row>
    <row r="331" spans="1:9" x14ac:dyDescent="0.25">
      <c r="A331" s="180">
        <f t="shared" ca="1" si="33"/>
        <v>46403</v>
      </c>
      <c r="B331" s="181">
        <v>299</v>
      </c>
      <c r="C331" s="182" t="e">
        <f t="shared" si="34"/>
        <v>#VALUE!</v>
      </c>
      <c r="D331" s="182" t="e">
        <f t="shared" si="30"/>
        <v>#VALUE!</v>
      </c>
      <c r="E331" s="182" t="e">
        <f t="shared" si="35"/>
        <v>#VALUE!</v>
      </c>
      <c r="F331" s="182" t="e">
        <f>SUM($D$33:D331)</f>
        <v>#VALUE!</v>
      </c>
      <c r="G331" s="182">
        <f t="shared" ca="1" si="36"/>
        <v>0</v>
      </c>
      <c r="H331" s="182" t="e">
        <f t="shared" si="31"/>
        <v>#VALUE!</v>
      </c>
      <c r="I331" s="183" t="e">
        <f t="shared" si="32"/>
        <v>#VALUE!</v>
      </c>
    </row>
    <row r="332" spans="1:9" x14ac:dyDescent="0.25">
      <c r="A332" s="180">
        <f t="shared" ca="1" si="33"/>
        <v>46404</v>
      </c>
      <c r="B332" s="181">
        <v>300</v>
      </c>
      <c r="C332" s="182" t="e">
        <f t="shared" si="34"/>
        <v>#VALUE!</v>
      </c>
      <c r="D332" s="182" t="e">
        <f t="shared" si="30"/>
        <v>#VALUE!</v>
      </c>
      <c r="E332" s="182" t="e">
        <f t="shared" si="35"/>
        <v>#VALUE!</v>
      </c>
      <c r="F332" s="182" t="e">
        <f>SUM($D$33:D332)</f>
        <v>#VALUE!</v>
      </c>
      <c r="G332" s="182">
        <f t="shared" ca="1" si="36"/>
        <v>0</v>
      </c>
      <c r="H332" s="182" t="e">
        <f t="shared" si="31"/>
        <v>#VALUE!</v>
      </c>
      <c r="I332" s="183" t="e">
        <f t="shared" si="32"/>
        <v>#VALUE!</v>
      </c>
    </row>
    <row r="333" spans="1:9" x14ac:dyDescent="0.25">
      <c r="A333" s="180">
        <f t="shared" ca="1" si="33"/>
        <v>46405</v>
      </c>
      <c r="B333" s="181">
        <v>301</v>
      </c>
      <c r="C333" s="182" t="e">
        <f t="shared" si="34"/>
        <v>#VALUE!</v>
      </c>
      <c r="D333" s="182" t="e">
        <f t="shared" si="30"/>
        <v>#VALUE!</v>
      </c>
      <c r="E333" s="182" t="e">
        <f t="shared" si="35"/>
        <v>#VALUE!</v>
      </c>
      <c r="F333" s="182" t="e">
        <f>SUM($D$33:D333)</f>
        <v>#VALUE!</v>
      </c>
      <c r="G333" s="182">
        <f t="shared" ca="1" si="36"/>
        <v>0</v>
      </c>
      <c r="H333" s="182" t="e">
        <f t="shared" si="31"/>
        <v>#VALUE!</v>
      </c>
      <c r="I333" s="183" t="e">
        <f t="shared" si="32"/>
        <v>#VALUE!</v>
      </c>
    </row>
    <row r="334" spans="1:9" x14ac:dyDescent="0.25">
      <c r="A334" s="180">
        <f t="shared" ca="1" si="33"/>
        <v>46406</v>
      </c>
      <c r="B334" s="181">
        <v>302</v>
      </c>
      <c r="C334" s="182" t="e">
        <f t="shared" si="34"/>
        <v>#VALUE!</v>
      </c>
      <c r="D334" s="182" t="e">
        <f t="shared" si="30"/>
        <v>#VALUE!</v>
      </c>
      <c r="E334" s="182" t="e">
        <f t="shared" si="35"/>
        <v>#VALUE!</v>
      </c>
      <c r="F334" s="182" t="e">
        <f>SUM($D$33:D334)</f>
        <v>#VALUE!</v>
      </c>
      <c r="G334" s="182">
        <f t="shared" ca="1" si="36"/>
        <v>0</v>
      </c>
      <c r="H334" s="182" t="e">
        <f t="shared" si="31"/>
        <v>#VALUE!</v>
      </c>
      <c r="I334" s="183" t="e">
        <f t="shared" si="32"/>
        <v>#VALUE!</v>
      </c>
    </row>
    <row r="335" spans="1:9" x14ac:dyDescent="0.25">
      <c r="A335" s="180">
        <f t="shared" ca="1" si="33"/>
        <v>46407</v>
      </c>
      <c r="B335" s="181">
        <v>303</v>
      </c>
      <c r="C335" s="182" t="e">
        <f t="shared" si="34"/>
        <v>#VALUE!</v>
      </c>
      <c r="D335" s="182" t="e">
        <f t="shared" si="30"/>
        <v>#VALUE!</v>
      </c>
      <c r="E335" s="182" t="e">
        <f t="shared" si="35"/>
        <v>#VALUE!</v>
      </c>
      <c r="F335" s="182" t="e">
        <f>SUM($D$33:D335)</f>
        <v>#VALUE!</v>
      </c>
      <c r="G335" s="182">
        <f t="shared" ca="1" si="36"/>
        <v>0</v>
      </c>
      <c r="H335" s="182" t="e">
        <f t="shared" si="31"/>
        <v>#VALUE!</v>
      </c>
      <c r="I335" s="183" t="e">
        <f t="shared" si="32"/>
        <v>#VALUE!</v>
      </c>
    </row>
    <row r="336" spans="1:9" x14ac:dyDescent="0.25">
      <c r="A336" s="180">
        <f t="shared" ca="1" si="33"/>
        <v>46408</v>
      </c>
      <c r="B336" s="181">
        <v>304</v>
      </c>
      <c r="C336" s="182" t="e">
        <f t="shared" si="34"/>
        <v>#VALUE!</v>
      </c>
      <c r="D336" s="182" t="e">
        <f t="shared" si="30"/>
        <v>#VALUE!</v>
      </c>
      <c r="E336" s="182" t="e">
        <f t="shared" si="35"/>
        <v>#VALUE!</v>
      </c>
      <c r="F336" s="182" t="e">
        <f>SUM($D$33:D336)</f>
        <v>#VALUE!</v>
      </c>
      <c r="G336" s="182">
        <f t="shared" ca="1" si="36"/>
        <v>0</v>
      </c>
      <c r="H336" s="182" t="e">
        <f t="shared" si="31"/>
        <v>#VALUE!</v>
      </c>
      <c r="I336" s="183" t="e">
        <f t="shared" si="32"/>
        <v>#VALUE!</v>
      </c>
    </row>
    <row r="337" spans="1:9" x14ac:dyDescent="0.25">
      <c r="A337" s="180">
        <f t="shared" ca="1" si="33"/>
        <v>46409</v>
      </c>
      <c r="B337" s="181">
        <v>305</v>
      </c>
      <c r="C337" s="182" t="e">
        <f t="shared" si="34"/>
        <v>#VALUE!</v>
      </c>
      <c r="D337" s="182" t="e">
        <f t="shared" si="30"/>
        <v>#VALUE!</v>
      </c>
      <c r="E337" s="182" t="e">
        <f t="shared" si="35"/>
        <v>#VALUE!</v>
      </c>
      <c r="F337" s="182" t="e">
        <f>SUM($D$33:D337)</f>
        <v>#VALUE!</v>
      </c>
      <c r="G337" s="182">
        <f t="shared" ca="1" si="36"/>
        <v>0</v>
      </c>
      <c r="H337" s="182" t="e">
        <f t="shared" si="31"/>
        <v>#VALUE!</v>
      </c>
      <c r="I337" s="183" t="e">
        <f t="shared" si="32"/>
        <v>#VALUE!</v>
      </c>
    </row>
    <row r="338" spans="1:9" x14ac:dyDescent="0.25">
      <c r="A338" s="180">
        <f t="shared" ca="1" si="33"/>
        <v>46410</v>
      </c>
      <c r="B338" s="181">
        <v>306</v>
      </c>
      <c r="C338" s="182" t="e">
        <f t="shared" si="34"/>
        <v>#VALUE!</v>
      </c>
      <c r="D338" s="182" t="e">
        <f t="shared" si="30"/>
        <v>#VALUE!</v>
      </c>
      <c r="E338" s="182" t="e">
        <f t="shared" si="35"/>
        <v>#VALUE!</v>
      </c>
      <c r="F338" s="182" t="e">
        <f>SUM($D$33:D338)</f>
        <v>#VALUE!</v>
      </c>
      <c r="G338" s="182">
        <f t="shared" ca="1" si="36"/>
        <v>0</v>
      </c>
      <c r="H338" s="182" t="e">
        <f t="shared" si="31"/>
        <v>#VALUE!</v>
      </c>
      <c r="I338" s="183" t="e">
        <f t="shared" si="32"/>
        <v>#VALUE!</v>
      </c>
    </row>
    <row r="339" spans="1:9" x14ac:dyDescent="0.25">
      <c r="A339" s="180">
        <f t="shared" ca="1" si="33"/>
        <v>46411</v>
      </c>
      <c r="B339" s="181">
        <v>307</v>
      </c>
      <c r="C339" s="182" t="e">
        <f t="shared" si="34"/>
        <v>#VALUE!</v>
      </c>
      <c r="D339" s="182" t="e">
        <f t="shared" si="30"/>
        <v>#VALUE!</v>
      </c>
      <c r="E339" s="182" t="e">
        <f t="shared" si="35"/>
        <v>#VALUE!</v>
      </c>
      <c r="F339" s="182" t="e">
        <f>SUM($D$33:D339)</f>
        <v>#VALUE!</v>
      </c>
      <c r="G339" s="182">
        <f t="shared" ca="1" si="36"/>
        <v>0</v>
      </c>
      <c r="H339" s="182" t="e">
        <f t="shared" si="31"/>
        <v>#VALUE!</v>
      </c>
      <c r="I339" s="183" t="e">
        <f t="shared" si="32"/>
        <v>#VALUE!</v>
      </c>
    </row>
    <row r="340" spans="1:9" x14ac:dyDescent="0.25">
      <c r="A340" s="180">
        <f t="shared" ca="1" si="33"/>
        <v>46412</v>
      </c>
      <c r="B340" s="181">
        <v>308</v>
      </c>
      <c r="C340" s="182" t="e">
        <f t="shared" si="34"/>
        <v>#VALUE!</v>
      </c>
      <c r="D340" s="182" t="e">
        <f t="shared" si="30"/>
        <v>#VALUE!</v>
      </c>
      <c r="E340" s="182" t="e">
        <f t="shared" si="35"/>
        <v>#VALUE!</v>
      </c>
      <c r="F340" s="182" t="e">
        <f>SUM($D$33:D340)</f>
        <v>#VALUE!</v>
      </c>
      <c r="G340" s="182">
        <f t="shared" ca="1" si="36"/>
        <v>0</v>
      </c>
      <c r="H340" s="182" t="e">
        <f t="shared" si="31"/>
        <v>#VALUE!</v>
      </c>
      <c r="I340" s="183" t="e">
        <f t="shared" si="32"/>
        <v>#VALUE!</v>
      </c>
    </row>
    <row r="341" spans="1:9" x14ac:dyDescent="0.25">
      <c r="A341" s="180">
        <f t="shared" ca="1" si="33"/>
        <v>46413</v>
      </c>
      <c r="B341" s="181">
        <v>309</v>
      </c>
      <c r="C341" s="182" t="e">
        <f t="shared" si="34"/>
        <v>#VALUE!</v>
      </c>
      <c r="D341" s="182" t="e">
        <f t="shared" si="30"/>
        <v>#VALUE!</v>
      </c>
      <c r="E341" s="182" t="e">
        <f t="shared" si="35"/>
        <v>#VALUE!</v>
      </c>
      <c r="F341" s="182" t="e">
        <f>SUM($D$33:D341)</f>
        <v>#VALUE!</v>
      </c>
      <c r="G341" s="182">
        <f t="shared" ca="1" si="36"/>
        <v>0</v>
      </c>
      <c r="H341" s="182" t="e">
        <f t="shared" si="31"/>
        <v>#VALUE!</v>
      </c>
      <c r="I341" s="183" t="e">
        <f t="shared" si="32"/>
        <v>#VALUE!</v>
      </c>
    </row>
    <row r="342" spans="1:9" x14ac:dyDescent="0.25">
      <c r="A342" s="180">
        <f t="shared" ca="1" si="33"/>
        <v>46414</v>
      </c>
      <c r="B342" s="181">
        <v>310</v>
      </c>
      <c r="C342" s="182" t="e">
        <f t="shared" si="34"/>
        <v>#VALUE!</v>
      </c>
      <c r="D342" s="182" t="e">
        <f t="shared" si="30"/>
        <v>#VALUE!</v>
      </c>
      <c r="E342" s="182" t="e">
        <f t="shared" si="35"/>
        <v>#VALUE!</v>
      </c>
      <c r="F342" s="182" t="e">
        <f>SUM($D$33:D342)</f>
        <v>#VALUE!</v>
      </c>
      <c r="G342" s="182">
        <f t="shared" ca="1" si="36"/>
        <v>0</v>
      </c>
      <c r="H342" s="182" t="e">
        <f t="shared" si="31"/>
        <v>#VALUE!</v>
      </c>
      <c r="I342" s="183" t="e">
        <f t="shared" si="32"/>
        <v>#VALUE!</v>
      </c>
    </row>
    <row r="343" spans="1:9" x14ac:dyDescent="0.25">
      <c r="A343" s="180">
        <f t="shared" ca="1" si="33"/>
        <v>46415</v>
      </c>
      <c r="B343" s="181">
        <v>311</v>
      </c>
      <c r="C343" s="182" t="e">
        <f t="shared" si="34"/>
        <v>#VALUE!</v>
      </c>
      <c r="D343" s="182" t="e">
        <f t="shared" si="30"/>
        <v>#VALUE!</v>
      </c>
      <c r="E343" s="182" t="e">
        <f t="shared" si="35"/>
        <v>#VALUE!</v>
      </c>
      <c r="F343" s="182" t="e">
        <f>SUM($D$33:D343)</f>
        <v>#VALUE!</v>
      </c>
      <c r="G343" s="182">
        <f t="shared" ca="1" si="36"/>
        <v>0</v>
      </c>
      <c r="H343" s="182" t="e">
        <f t="shared" si="31"/>
        <v>#VALUE!</v>
      </c>
      <c r="I343" s="183" t="e">
        <f t="shared" si="32"/>
        <v>#VALUE!</v>
      </c>
    </row>
    <row r="344" spans="1:9" x14ac:dyDescent="0.25">
      <c r="A344" s="180">
        <f t="shared" ca="1" si="33"/>
        <v>46416</v>
      </c>
      <c r="B344" s="181">
        <v>312</v>
      </c>
      <c r="C344" s="182" t="e">
        <f t="shared" si="34"/>
        <v>#VALUE!</v>
      </c>
      <c r="D344" s="182" t="e">
        <f t="shared" si="30"/>
        <v>#VALUE!</v>
      </c>
      <c r="E344" s="182" t="e">
        <f t="shared" si="35"/>
        <v>#VALUE!</v>
      </c>
      <c r="F344" s="182" t="e">
        <f>SUM($D$33:D344)</f>
        <v>#VALUE!</v>
      </c>
      <c r="G344" s="182">
        <f t="shared" ca="1" si="36"/>
        <v>0</v>
      </c>
      <c r="H344" s="182" t="e">
        <f t="shared" si="31"/>
        <v>#VALUE!</v>
      </c>
      <c r="I344" s="183" t="e">
        <f t="shared" si="32"/>
        <v>#VALUE!</v>
      </c>
    </row>
    <row r="345" spans="1:9" x14ac:dyDescent="0.25">
      <c r="A345" s="180">
        <f t="shared" ca="1" si="33"/>
        <v>46417</v>
      </c>
      <c r="B345" s="181">
        <v>313</v>
      </c>
      <c r="C345" s="182" t="e">
        <f t="shared" si="34"/>
        <v>#VALUE!</v>
      </c>
      <c r="D345" s="182" t="e">
        <f t="shared" si="30"/>
        <v>#VALUE!</v>
      </c>
      <c r="E345" s="182" t="e">
        <f t="shared" si="35"/>
        <v>#VALUE!</v>
      </c>
      <c r="F345" s="182" t="e">
        <f>SUM($D$33:D345)</f>
        <v>#VALUE!</v>
      </c>
      <c r="G345" s="182">
        <f t="shared" ca="1" si="36"/>
        <v>0</v>
      </c>
      <c r="H345" s="182" t="e">
        <f t="shared" si="31"/>
        <v>#VALUE!</v>
      </c>
      <c r="I345" s="183" t="e">
        <f t="shared" si="32"/>
        <v>#VALUE!</v>
      </c>
    </row>
    <row r="346" spans="1:9" x14ac:dyDescent="0.25">
      <c r="A346" s="180">
        <f t="shared" ca="1" si="33"/>
        <v>46418</v>
      </c>
      <c r="B346" s="181">
        <v>314</v>
      </c>
      <c r="C346" s="182" t="e">
        <f t="shared" si="34"/>
        <v>#VALUE!</v>
      </c>
      <c r="D346" s="182" t="e">
        <f t="shared" si="30"/>
        <v>#VALUE!</v>
      </c>
      <c r="E346" s="182" t="e">
        <f t="shared" si="35"/>
        <v>#VALUE!</v>
      </c>
      <c r="F346" s="182" t="e">
        <f>SUM($D$33:D346)</f>
        <v>#VALUE!</v>
      </c>
      <c r="G346" s="182">
        <f t="shared" ca="1" si="36"/>
        <v>0</v>
      </c>
      <c r="H346" s="182" t="e">
        <f t="shared" si="31"/>
        <v>#VALUE!</v>
      </c>
      <c r="I346" s="183" t="e">
        <f t="shared" si="32"/>
        <v>#VALUE!</v>
      </c>
    </row>
    <row r="347" spans="1:9" x14ac:dyDescent="0.25">
      <c r="A347" s="180">
        <f t="shared" ca="1" si="33"/>
        <v>46419</v>
      </c>
      <c r="B347" s="181">
        <v>315</v>
      </c>
      <c r="C347" s="182" t="e">
        <f t="shared" si="34"/>
        <v>#VALUE!</v>
      </c>
      <c r="D347" s="182" t="e">
        <f t="shared" si="30"/>
        <v>#VALUE!</v>
      </c>
      <c r="E347" s="182" t="e">
        <f t="shared" si="35"/>
        <v>#VALUE!</v>
      </c>
      <c r="F347" s="182" t="e">
        <f>SUM($D$33:D347)</f>
        <v>#VALUE!</v>
      </c>
      <c r="G347" s="182">
        <f t="shared" ca="1" si="36"/>
        <v>0</v>
      </c>
      <c r="H347" s="182" t="e">
        <f t="shared" si="31"/>
        <v>#VALUE!</v>
      </c>
      <c r="I347" s="183" t="e">
        <f t="shared" si="32"/>
        <v>#VALUE!</v>
      </c>
    </row>
    <row r="348" spans="1:9" x14ac:dyDescent="0.25">
      <c r="A348" s="180">
        <f t="shared" ca="1" si="33"/>
        <v>46420</v>
      </c>
      <c r="B348" s="181">
        <v>316</v>
      </c>
      <c r="C348" s="182" t="e">
        <f t="shared" si="34"/>
        <v>#VALUE!</v>
      </c>
      <c r="D348" s="182" t="e">
        <f t="shared" si="30"/>
        <v>#VALUE!</v>
      </c>
      <c r="E348" s="182" t="e">
        <f t="shared" si="35"/>
        <v>#VALUE!</v>
      </c>
      <c r="F348" s="182" t="e">
        <f>SUM($D$33:D348)</f>
        <v>#VALUE!</v>
      </c>
      <c r="G348" s="182">
        <f t="shared" ca="1" si="36"/>
        <v>0</v>
      </c>
      <c r="H348" s="182" t="e">
        <f t="shared" si="31"/>
        <v>#VALUE!</v>
      </c>
      <c r="I348" s="183" t="e">
        <f t="shared" si="32"/>
        <v>#VALUE!</v>
      </c>
    </row>
    <row r="349" spans="1:9" x14ac:dyDescent="0.25">
      <c r="A349" s="180">
        <f t="shared" ca="1" si="33"/>
        <v>46421</v>
      </c>
      <c r="B349" s="181">
        <v>317</v>
      </c>
      <c r="C349" s="182" t="e">
        <f t="shared" si="34"/>
        <v>#VALUE!</v>
      </c>
      <c r="D349" s="182" t="e">
        <f t="shared" si="30"/>
        <v>#VALUE!</v>
      </c>
      <c r="E349" s="182" t="e">
        <f t="shared" si="35"/>
        <v>#VALUE!</v>
      </c>
      <c r="F349" s="182" t="e">
        <f>SUM($D$33:D349)</f>
        <v>#VALUE!</v>
      </c>
      <c r="G349" s="182">
        <f t="shared" ca="1" si="36"/>
        <v>0</v>
      </c>
      <c r="H349" s="182" t="e">
        <f t="shared" si="31"/>
        <v>#VALUE!</v>
      </c>
      <c r="I349" s="183" t="e">
        <f t="shared" si="32"/>
        <v>#VALUE!</v>
      </c>
    </row>
    <row r="350" spans="1:9" x14ac:dyDescent="0.25">
      <c r="A350" s="180">
        <f t="shared" ca="1" si="33"/>
        <v>46422</v>
      </c>
      <c r="B350" s="181">
        <v>318</v>
      </c>
      <c r="C350" s="182" t="e">
        <f t="shared" si="34"/>
        <v>#VALUE!</v>
      </c>
      <c r="D350" s="182" t="e">
        <f t="shared" si="30"/>
        <v>#VALUE!</v>
      </c>
      <c r="E350" s="182" t="e">
        <f t="shared" si="35"/>
        <v>#VALUE!</v>
      </c>
      <c r="F350" s="182" t="e">
        <f>SUM($D$33:D350)</f>
        <v>#VALUE!</v>
      </c>
      <c r="G350" s="182">
        <f t="shared" ca="1" si="36"/>
        <v>0</v>
      </c>
      <c r="H350" s="182" t="e">
        <f t="shared" si="31"/>
        <v>#VALUE!</v>
      </c>
      <c r="I350" s="183" t="e">
        <f t="shared" si="32"/>
        <v>#VALUE!</v>
      </c>
    </row>
    <row r="351" spans="1:9" x14ac:dyDescent="0.25">
      <c r="A351" s="180">
        <f t="shared" ca="1" si="33"/>
        <v>46423</v>
      </c>
      <c r="B351" s="181">
        <v>319</v>
      </c>
      <c r="C351" s="182" t="e">
        <f t="shared" si="34"/>
        <v>#VALUE!</v>
      </c>
      <c r="D351" s="182" t="e">
        <f t="shared" si="30"/>
        <v>#VALUE!</v>
      </c>
      <c r="E351" s="182" t="e">
        <f t="shared" si="35"/>
        <v>#VALUE!</v>
      </c>
      <c r="F351" s="182" t="e">
        <f>SUM($D$33:D351)</f>
        <v>#VALUE!</v>
      </c>
      <c r="G351" s="182">
        <f t="shared" ca="1" si="36"/>
        <v>0</v>
      </c>
      <c r="H351" s="182" t="e">
        <f t="shared" si="31"/>
        <v>#VALUE!</v>
      </c>
      <c r="I351" s="183" t="e">
        <f t="shared" si="32"/>
        <v>#VALUE!</v>
      </c>
    </row>
    <row r="352" spans="1:9" x14ac:dyDescent="0.25">
      <c r="A352" s="180">
        <f t="shared" ca="1" si="33"/>
        <v>46424</v>
      </c>
      <c r="B352" s="181">
        <v>320</v>
      </c>
      <c r="C352" s="182" t="e">
        <f t="shared" si="34"/>
        <v>#VALUE!</v>
      </c>
      <c r="D352" s="182" t="e">
        <f t="shared" si="30"/>
        <v>#VALUE!</v>
      </c>
      <c r="E352" s="182" t="e">
        <f t="shared" si="35"/>
        <v>#VALUE!</v>
      </c>
      <c r="F352" s="182" t="e">
        <f>SUM($D$33:D352)</f>
        <v>#VALUE!</v>
      </c>
      <c r="G352" s="182">
        <f t="shared" ca="1" si="36"/>
        <v>0</v>
      </c>
      <c r="H352" s="182" t="e">
        <f t="shared" si="31"/>
        <v>#VALUE!</v>
      </c>
      <c r="I352" s="183" t="e">
        <f t="shared" si="32"/>
        <v>#VALUE!</v>
      </c>
    </row>
    <row r="353" spans="1:9" x14ac:dyDescent="0.25">
      <c r="A353" s="180">
        <f t="shared" ca="1" si="33"/>
        <v>46425</v>
      </c>
      <c r="B353" s="181">
        <v>321</v>
      </c>
      <c r="C353" s="182" t="e">
        <f t="shared" si="34"/>
        <v>#VALUE!</v>
      </c>
      <c r="D353" s="182" t="e">
        <f t="shared" ref="D353:D395" si="37">IF(C353&gt;$H$21,C353*($C$25/360),$H$21*($C$25/360))</f>
        <v>#VALUE!</v>
      </c>
      <c r="E353" s="182" t="e">
        <f t="shared" si="35"/>
        <v>#VALUE!</v>
      </c>
      <c r="F353" s="182" t="e">
        <f>SUM($D$33:D353)</f>
        <v>#VALUE!</v>
      </c>
      <c r="G353" s="182">
        <f t="shared" ca="1" si="36"/>
        <v>0</v>
      </c>
      <c r="H353" s="182" t="e">
        <f t="shared" ref="H353:H416" si="38">IF(E353&gt;0,C353+G353,IF(E353&lt;0,C353+G353+D353-E352,C353+D353+G353))</f>
        <v>#VALUE!</v>
      </c>
      <c r="I353" s="183" t="e">
        <f t="shared" ref="I353:I395" si="39">(C353+D353-E353)</f>
        <v>#VALUE!</v>
      </c>
    </row>
    <row r="354" spans="1:9" x14ac:dyDescent="0.25">
      <c r="A354" s="180">
        <f t="shared" ref="A354:A417" ca="1" si="40">A353+1</f>
        <v>46426</v>
      </c>
      <c r="B354" s="181">
        <v>322</v>
      </c>
      <c r="C354" s="182" t="e">
        <f t="shared" ref="C354:C417" si="41">H353</f>
        <v>#VALUE!</v>
      </c>
      <c r="D354" s="182" t="e">
        <f t="shared" si="37"/>
        <v>#VALUE!</v>
      </c>
      <c r="E354" s="182" t="e">
        <f t="shared" ref="E354:E417" si="42">IF(E353&gt;0,E353-D354,0)</f>
        <v>#VALUE!</v>
      </c>
      <c r="F354" s="182" t="e">
        <f>SUM($D$33:D354)</f>
        <v>#VALUE!</v>
      </c>
      <c r="G354" s="182">
        <f t="shared" ref="G354:G417" ca="1" si="43">IFERROR(-VLOOKUP(A354,$K$30:$M$36,2,FALSE),0)</f>
        <v>0</v>
      </c>
      <c r="H354" s="182" t="e">
        <f t="shared" si="38"/>
        <v>#VALUE!</v>
      </c>
      <c r="I354" s="183" t="e">
        <f t="shared" si="39"/>
        <v>#VALUE!</v>
      </c>
    </row>
    <row r="355" spans="1:9" x14ac:dyDescent="0.25">
      <c r="A355" s="180">
        <f t="shared" ca="1" si="40"/>
        <v>46427</v>
      </c>
      <c r="B355" s="181">
        <v>323</v>
      </c>
      <c r="C355" s="182" t="e">
        <f t="shared" si="41"/>
        <v>#VALUE!</v>
      </c>
      <c r="D355" s="182" t="e">
        <f t="shared" si="37"/>
        <v>#VALUE!</v>
      </c>
      <c r="E355" s="182" t="e">
        <f t="shared" si="42"/>
        <v>#VALUE!</v>
      </c>
      <c r="F355" s="182" t="e">
        <f>SUM($D$33:D355)</f>
        <v>#VALUE!</v>
      </c>
      <c r="G355" s="182">
        <f t="shared" ca="1" si="43"/>
        <v>0</v>
      </c>
      <c r="H355" s="182" t="e">
        <f t="shared" si="38"/>
        <v>#VALUE!</v>
      </c>
      <c r="I355" s="183" t="e">
        <f t="shared" si="39"/>
        <v>#VALUE!</v>
      </c>
    </row>
    <row r="356" spans="1:9" x14ac:dyDescent="0.25">
      <c r="A356" s="180">
        <f t="shared" ca="1" si="40"/>
        <v>46428</v>
      </c>
      <c r="B356" s="181">
        <v>324</v>
      </c>
      <c r="C356" s="182" t="e">
        <f t="shared" si="41"/>
        <v>#VALUE!</v>
      </c>
      <c r="D356" s="182" t="e">
        <f t="shared" si="37"/>
        <v>#VALUE!</v>
      </c>
      <c r="E356" s="182" t="e">
        <f t="shared" si="42"/>
        <v>#VALUE!</v>
      </c>
      <c r="F356" s="182" t="e">
        <f>SUM($D$33:D356)</f>
        <v>#VALUE!</v>
      </c>
      <c r="G356" s="182">
        <f t="shared" ca="1" si="43"/>
        <v>0</v>
      </c>
      <c r="H356" s="182" t="e">
        <f t="shared" si="38"/>
        <v>#VALUE!</v>
      </c>
      <c r="I356" s="183" t="e">
        <f t="shared" si="39"/>
        <v>#VALUE!</v>
      </c>
    </row>
    <row r="357" spans="1:9" x14ac:dyDescent="0.25">
      <c r="A357" s="180">
        <f t="shared" ca="1" si="40"/>
        <v>46429</v>
      </c>
      <c r="B357" s="181">
        <v>325</v>
      </c>
      <c r="C357" s="182" t="e">
        <f t="shared" si="41"/>
        <v>#VALUE!</v>
      </c>
      <c r="D357" s="182" t="e">
        <f t="shared" si="37"/>
        <v>#VALUE!</v>
      </c>
      <c r="E357" s="182" t="e">
        <f t="shared" si="42"/>
        <v>#VALUE!</v>
      </c>
      <c r="F357" s="182" t="e">
        <f>SUM($D$33:D357)</f>
        <v>#VALUE!</v>
      </c>
      <c r="G357" s="182">
        <f t="shared" ca="1" si="43"/>
        <v>0</v>
      </c>
      <c r="H357" s="182" t="e">
        <f t="shared" si="38"/>
        <v>#VALUE!</v>
      </c>
      <c r="I357" s="183" t="e">
        <f t="shared" si="39"/>
        <v>#VALUE!</v>
      </c>
    </row>
    <row r="358" spans="1:9" x14ac:dyDescent="0.25">
      <c r="A358" s="180">
        <f t="shared" ca="1" si="40"/>
        <v>46430</v>
      </c>
      <c r="B358" s="181">
        <v>326</v>
      </c>
      <c r="C358" s="182" t="e">
        <f t="shared" si="41"/>
        <v>#VALUE!</v>
      </c>
      <c r="D358" s="182" t="e">
        <f t="shared" si="37"/>
        <v>#VALUE!</v>
      </c>
      <c r="E358" s="182" t="e">
        <f t="shared" si="42"/>
        <v>#VALUE!</v>
      </c>
      <c r="F358" s="182" t="e">
        <f>SUM($D$33:D358)</f>
        <v>#VALUE!</v>
      </c>
      <c r="G358" s="182">
        <f t="shared" ca="1" si="43"/>
        <v>0</v>
      </c>
      <c r="H358" s="182" t="e">
        <f t="shared" si="38"/>
        <v>#VALUE!</v>
      </c>
      <c r="I358" s="183" t="e">
        <f t="shared" si="39"/>
        <v>#VALUE!</v>
      </c>
    </row>
    <row r="359" spans="1:9" x14ac:dyDescent="0.25">
      <c r="A359" s="180">
        <f t="shared" ca="1" si="40"/>
        <v>46431</v>
      </c>
      <c r="B359" s="181">
        <v>327</v>
      </c>
      <c r="C359" s="182" t="e">
        <f t="shared" si="41"/>
        <v>#VALUE!</v>
      </c>
      <c r="D359" s="182" t="e">
        <f t="shared" si="37"/>
        <v>#VALUE!</v>
      </c>
      <c r="E359" s="182" t="e">
        <f t="shared" si="42"/>
        <v>#VALUE!</v>
      </c>
      <c r="F359" s="182" t="e">
        <f>SUM($D$33:D359)</f>
        <v>#VALUE!</v>
      </c>
      <c r="G359" s="182">
        <f t="shared" ca="1" si="43"/>
        <v>0</v>
      </c>
      <c r="H359" s="182" t="e">
        <f t="shared" si="38"/>
        <v>#VALUE!</v>
      </c>
      <c r="I359" s="183" t="e">
        <f t="shared" si="39"/>
        <v>#VALUE!</v>
      </c>
    </row>
    <row r="360" spans="1:9" x14ac:dyDescent="0.25">
      <c r="A360" s="180">
        <f t="shared" ca="1" si="40"/>
        <v>46432</v>
      </c>
      <c r="B360" s="181">
        <v>328</v>
      </c>
      <c r="C360" s="182" t="e">
        <f t="shared" si="41"/>
        <v>#VALUE!</v>
      </c>
      <c r="D360" s="182" t="e">
        <f t="shared" si="37"/>
        <v>#VALUE!</v>
      </c>
      <c r="E360" s="182" t="e">
        <f t="shared" si="42"/>
        <v>#VALUE!</v>
      </c>
      <c r="F360" s="182" t="e">
        <f>SUM($D$33:D360)</f>
        <v>#VALUE!</v>
      </c>
      <c r="G360" s="182">
        <f t="shared" ca="1" si="43"/>
        <v>0</v>
      </c>
      <c r="H360" s="182" t="e">
        <f t="shared" si="38"/>
        <v>#VALUE!</v>
      </c>
      <c r="I360" s="183" t="e">
        <f t="shared" si="39"/>
        <v>#VALUE!</v>
      </c>
    </row>
    <row r="361" spans="1:9" x14ac:dyDescent="0.25">
      <c r="A361" s="180">
        <f t="shared" ca="1" si="40"/>
        <v>46433</v>
      </c>
      <c r="B361" s="181">
        <v>329</v>
      </c>
      <c r="C361" s="182" t="e">
        <f t="shared" si="41"/>
        <v>#VALUE!</v>
      </c>
      <c r="D361" s="182" t="e">
        <f t="shared" si="37"/>
        <v>#VALUE!</v>
      </c>
      <c r="E361" s="182" t="e">
        <f t="shared" si="42"/>
        <v>#VALUE!</v>
      </c>
      <c r="F361" s="182" t="e">
        <f>SUM($D$33:D361)</f>
        <v>#VALUE!</v>
      </c>
      <c r="G361" s="182">
        <f t="shared" ca="1" si="43"/>
        <v>0</v>
      </c>
      <c r="H361" s="182" t="e">
        <f t="shared" si="38"/>
        <v>#VALUE!</v>
      </c>
      <c r="I361" s="183" t="e">
        <f t="shared" si="39"/>
        <v>#VALUE!</v>
      </c>
    </row>
    <row r="362" spans="1:9" x14ac:dyDescent="0.25">
      <c r="A362" s="180">
        <f t="shared" ca="1" si="40"/>
        <v>46434</v>
      </c>
      <c r="B362" s="181">
        <v>330</v>
      </c>
      <c r="C362" s="182" t="e">
        <f t="shared" si="41"/>
        <v>#VALUE!</v>
      </c>
      <c r="D362" s="182" t="e">
        <f t="shared" si="37"/>
        <v>#VALUE!</v>
      </c>
      <c r="E362" s="182" t="e">
        <f t="shared" si="42"/>
        <v>#VALUE!</v>
      </c>
      <c r="F362" s="182" t="e">
        <f>SUM($D$33:D362)</f>
        <v>#VALUE!</v>
      </c>
      <c r="G362" s="182">
        <f t="shared" ca="1" si="43"/>
        <v>0</v>
      </c>
      <c r="H362" s="182" t="e">
        <f t="shared" si="38"/>
        <v>#VALUE!</v>
      </c>
      <c r="I362" s="183" t="e">
        <f t="shared" si="39"/>
        <v>#VALUE!</v>
      </c>
    </row>
    <row r="363" spans="1:9" x14ac:dyDescent="0.25">
      <c r="A363" s="180">
        <f t="shared" ca="1" si="40"/>
        <v>46435</v>
      </c>
      <c r="B363" s="181">
        <v>331</v>
      </c>
      <c r="C363" s="182" t="e">
        <f t="shared" si="41"/>
        <v>#VALUE!</v>
      </c>
      <c r="D363" s="182" t="e">
        <f t="shared" si="37"/>
        <v>#VALUE!</v>
      </c>
      <c r="E363" s="182" t="e">
        <f t="shared" si="42"/>
        <v>#VALUE!</v>
      </c>
      <c r="F363" s="182" t="e">
        <f>SUM($D$33:D363)</f>
        <v>#VALUE!</v>
      </c>
      <c r="G363" s="182">
        <f t="shared" ca="1" si="43"/>
        <v>0</v>
      </c>
      <c r="H363" s="182" t="e">
        <f t="shared" si="38"/>
        <v>#VALUE!</v>
      </c>
      <c r="I363" s="183" t="e">
        <f t="shared" si="39"/>
        <v>#VALUE!</v>
      </c>
    </row>
    <row r="364" spans="1:9" x14ac:dyDescent="0.25">
      <c r="A364" s="180">
        <f t="shared" ca="1" si="40"/>
        <v>46436</v>
      </c>
      <c r="B364" s="181">
        <v>332</v>
      </c>
      <c r="C364" s="182" t="e">
        <f t="shared" si="41"/>
        <v>#VALUE!</v>
      </c>
      <c r="D364" s="182" t="e">
        <f t="shared" si="37"/>
        <v>#VALUE!</v>
      </c>
      <c r="E364" s="182" t="e">
        <f t="shared" si="42"/>
        <v>#VALUE!</v>
      </c>
      <c r="F364" s="182" t="e">
        <f>SUM($D$33:D364)</f>
        <v>#VALUE!</v>
      </c>
      <c r="G364" s="182">
        <f t="shared" ca="1" si="43"/>
        <v>0</v>
      </c>
      <c r="H364" s="182" t="e">
        <f t="shared" si="38"/>
        <v>#VALUE!</v>
      </c>
      <c r="I364" s="183" t="e">
        <f t="shared" si="39"/>
        <v>#VALUE!</v>
      </c>
    </row>
    <row r="365" spans="1:9" x14ac:dyDescent="0.25">
      <c r="A365" s="180">
        <f t="shared" ca="1" si="40"/>
        <v>46437</v>
      </c>
      <c r="B365" s="181">
        <v>333</v>
      </c>
      <c r="C365" s="182" t="e">
        <f t="shared" si="41"/>
        <v>#VALUE!</v>
      </c>
      <c r="D365" s="182" t="e">
        <f t="shared" si="37"/>
        <v>#VALUE!</v>
      </c>
      <c r="E365" s="182" t="e">
        <f t="shared" si="42"/>
        <v>#VALUE!</v>
      </c>
      <c r="F365" s="182" t="e">
        <f>SUM($D$33:D365)</f>
        <v>#VALUE!</v>
      </c>
      <c r="G365" s="182">
        <f t="shared" ca="1" si="43"/>
        <v>0</v>
      </c>
      <c r="H365" s="182" t="e">
        <f t="shared" si="38"/>
        <v>#VALUE!</v>
      </c>
      <c r="I365" s="183" t="e">
        <f t="shared" si="39"/>
        <v>#VALUE!</v>
      </c>
    </row>
    <row r="366" spans="1:9" x14ac:dyDescent="0.25">
      <c r="A366" s="180">
        <f t="shared" ca="1" si="40"/>
        <v>46438</v>
      </c>
      <c r="B366" s="181">
        <v>334</v>
      </c>
      <c r="C366" s="182" t="e">
        <f t="shared" si="41"/>
        <v>#VALUE!</v>
      </c>
      <c r="D366" s="182" t="e">
        <f t="shared" si="37"/>
        <v>#VALUE!</v>
      </c>
      <c r="E366" s="182" t="e">
        <f t="shared" si="42"/>
        <v>#VALUE!</v>
      </c>
      <c r="F366" s="182" t="e">
        <f>SUM($D$33:D366)</f>
        <v>#VALUE!</v>
      </c>
      <c r="G366" s="182">
        <f t="shared" ca="1" si="43"/>
        <v>0</v>
      </c>
      <c r="H366" s="182" t="e">
        <f t="shared" si="38"/>
        <v>#VALUE!</v>
      </c>
      <c r="I366" s="183" t="e">
        <f t="shared" si="39"/>
        <v>#VALUE!</v>
      </c>
    </row>
    <row r="367" spans="1:9" x14ac:dyDescent="0.25">
      <c r="A367" s="180">
        <f t="shared" ca="1" si="40"/>
        <v>46439</v>
      </c>
      <c r="B367" s="181">
        <v>335</v>
      </c>
      <c r="C367" s="182" t="e">
        <f t="shared" si="41"/>
        <v>#VALUE!</v>
      </c>
      <c r="D367" s="182" t="e">
        <f t="shared" si="37"/>
        <v>#VALUE!</v>
      </c>
      <c r="E367" s="182" t="e">
        <f t="shared" si="42"/>
        <v>#VALUE!</v>
      </c>
      <c r="F367" s="182" t="e">
        <f>SUM($D$33:D367)</f>
        <v>#VALUE!</v>
      </c>
      <c r="G367" s="182">
        <f t="shared" ca="1" si="43"/>
        <v>0</v>
      </c>
      <c r="H367" s="182" t="e">
        <f t="shared" si="38"/>
        <v>#VALUE!</v>
      </c>
      <c r="I367" s="183" t="e">
        <f t="shared" si="39"/>
        <v>#VALUE!</v>
      </c>
    </row>
    <row r="368" spans="1:9" x14ac:dyDescent="0.25">
      <c r="A368" s="180">
        <f t="shared" ca="1" si="40"/>
        <v>46440</v>
      </c>
      <c r="B368" s="181">
        <v>336</v>
      </c>
      <c r="C368" s="182" t="e">
        <f t="shared" si="41"/>
        <v>#VALUE!</v>
      </c>
      <c r="D368" s="182" t="e">
        <f t="shared" si="37"/>
        <v>#VALUE!</v>
      </c>
      <c r="E368" s="182" t="e">
        <f t="shared" si="42"/>
        <v>#VALUE!</v>
      </c>
      <c r="F368" s="182" t="e">
        <f>SUM($D$33:D368)</f>
        <v>#VALUE!</v>
      </c>
      <c r="G368" s="182">
        <f t="shared" ca="1" si="43"/>
        <v>0</v>
      </c>
      <c r="H368" s="182" t="e">
        <f t="shared" si="38"/>
        <v>#VALUE!</v>
      </c>
      <c r="I368" s="183" t="e">
        <f t="shared" si="39"/>
        <v>#VALUE!</v>
      </c>
    </row>
    <row r="369" spans="1:9" x14ac:dyDescent="0.25">
      <c r="A369" s="180">
        <f t="shared" ca="1" si="40"/>
        <v>46441</v>
      </c>
      <c r="B369" s="181">
        <v>337</v>
      </c>
      <c r="C369" s="182" t="e">
        <f t="shared" si="41"/>
        <v>#VALUE!</v>
      </c>
      <c r="D369" s="182" t="e">
        <f t="shared" si="37"/>
        <v>#VALUE!</v>
      </c>
      <c r="E369" s="182" t="e">
        <f t="shared" si="42"/>
        <v>#VALUE!</v>
      </c>
      <c r="F369" s="182" t="e">
        <f>SUM($D$33:D369)</f>
        <v>#VALUE!</v>
      </c>
      <c r="G369" s="182">
        <f t="shared" ca="1" si="43"/>
        <v>0</v>
      </c>
      <c r="H369" s="182" t="e">
        <f t="shared" si="38"/>
        <v>#VALUE!</v>
      </c>
      <c r="I369" s="183" t="e">
        <f t="shared" si="39"/>
        <v>#VALUE!</v>
      </c>
    </row>
    <row r="370" spans="1:9" x14ac:dyDescent="0.25">
      <c r="A370" s="180">
        <f t="shared" ca="1" si="40"/>
        <v>46442</v>
      </c>
      <c r="B370" s="181">
        <v>338</v>
      </c>
      <c r="C370" s="182" t="e">
        <f t="shared" si="41"/>
        <v>#VALUE!</v>
      </c>
      <c r="D370" s="182" t="e">
        <f t="shared" si="37"/>
        <v>#VALUE!</v>
      </c>
      <c r="E370" s="182" t="e">
        <f t="shared" si="42"/>
        <v>#VALUE!</v>
      </c>
      <c r="F370" s="182" t="e">
        <f>SUM($D$33:D370)</f>
        <v>#VALUE!</v>
      </c>
      <c r="G370" s="182">
        <f t="shared" ca="1" si="43"/>
        <v>0</v>
      </c>
      <c r="H370" s="182" t="e">
        <f t="shared" si="38"/>
        <v>#VALUE!</v>
      </c>
      <c r="I370" s="183" t="e">
        <f t="shared" si="39"/>
        <v>#VALUE!</v>
      </c>
    </row>
    <row r="371" spans="1:9" x14ac:dyDescent="0.25">
      <c r="A371" s="180">
        <f t="shared" ca="1" si="40"/>
        <v>46443</v>
      </c>
      <c r="B371" s="181">
        <v>339</v>
      </c>
      <c r="C371" s="182" t="e">
        <f t="shared" si="41"/>
        <v>#VALUE!</v>
      </c>
      <c r="D371" s="182" t="e">
        <f t="shared" si="37"/>
        <v>#VALUE!</v>
      </c>
      <c r="E371" s="182" t="e">
        <f t="shared" si="42"/>
        <v>#VALUE!</v>
      </c>
      <c r="F371" s="182" t="e">
        <f>SUM($D$33:D371)</f>
        <v>#VALUE!</v>
      </c>
      <c r="G371" s="182">
        <f t="shared" ca="1" si="43"/>
        <v>0</v>
      </c>
      <c r="H371" s="182" t="e">
        <f t="shared" si="38"/>
        <v>#VALUE!</v>
      </c>
      <c r="I371" s="183" t="e">
        <f t="shared" si="39"/>
        <v>#VALUE!</v>
      </c>
    </row>
    <row r="372" spans="1:9" x14ac:dyDescent="0.25">
      <c r="A372" s="180">
        <f t="shared" ca="1" si="40"/>
        <v>46444</v>
      </c>
      <c r="B372" s="181">
        <v>340</v>
      </c>
      <c r="C372" s="182" t="e">
        <f t="shared" si="41"/>
        <v>#VALUE!</v>
      </c>
      <c r="D372" s="182" t="e">
        <f t="shared" si="37"/>
        <v>#VALUE!</v>
      </c>
      <c r="E372" s="182" t="e">
        <f t="shared" si="42"/>
        <v>#VALUE!</v>
      </c>
      <c r="F372" s="182" t="e">
        <f>SUM($D$33:D372)</f>
        <v>#VALUE!</v>
      </c>
      <c r="G372" s="182">
        <f t="shared" ca="1" si="43"/>
        <v>0</v>
      </c>
      <c r="H372" s="182" t="e">
        <f t="shared" si="38"/>
        <v>#VALUE!</v>
      </c>
      <c r="I372" s="183" t="e">
        <f t="shared" si="39"/>
        <v>#VALUE!</v>
      </c>
    </row>
    <row r="373" spans="1:9" x14ac:dyDescent="0.25">
      <c r="A373" s="180">
        <f t="shared" ca="1" si="40"/>
        <v>46445</v>
      </c>
      <c r="B373" s="181">
        <v>341</v>
      </c>
      <c r="C373" s="182" t="e">
        <f t="shared" si="41"/>
        <v>#VALUE!</v>
      </c>
      <c r="D373" s="182" t="e">
        <f t="shared" si="37"/>
        <v>#VALUE!</v>
      </c>
      <c r="E373" s="182" t="e">
        <f t="shared" si="42"/>
        <v>#VALUE!</v>
      </c>
      <c r="F373" s="182" t="e">
        <f>SUM($D$33:D373)</f>
        <v>#VALUE!</v>
      </c>
      <c r="G373" s="182">
        <f t="shared" ca="1" si="43"/>
        <v>0</v>
      </c>
      <c r="H373" s="182" t="e">
        <f t="shared" si="38"/>
        <v>#VALUE!</v>
      </c>
      <c r="I373" s="183" t="e">
        <f t="shared" si="39"/>
        <v>#VALUE!</v>
      </c>
    </row>
    <row r="374" spans="1:9" x14ac:dyDescent="0.25">
      <c r="A374" s="180">
        <f t="shared" ca="1" si="40"/>
        <v>46446</v>
      </c>
      <c r="B374" s="181">
        <v>342</v>
      </c>
      <c r="C374" s="182" t="e">
        <f t="shared" si="41"/>
        <v>#VALUE!</v>
      </c>
      <c r="D374" s="182" t="e">
        <f t="shared" si="37"/>
        <v>#VALUE!</v>
      </c>
      <c r="E374" s="182" t="e">
        <f t="shared" si="42"/>
        <v>#VALUE!</v>
      </c>
      <c r="F374" s="182" t="e">
        <f>SUM($D$33:D374)</f>
        <v>#VALUE!</v>
      </c>
      <c r="G374" s="182">
        <f t="shared" ca="1" si="43"/>
        <v>0</v>
      </c>
      <c r="H374" s="182" t="e">
        <f t="shared" si="38"/>
        <v>#VALUE!</v>
      </c>
      <c r="I374" s="183" t="e">
        <f t="shared" si="39"/>
        <v>#VALUE!</v>
      </c>
    </row>
    <row r="375" spans="1:9" x14ac:dyDescent="0.25">
      <c r="A375" s="180">
        <f t="shared" ca="1" si="40"/>
        <v>46447</v>
      </c>
      <c r="B375" s="181">
        <v>343</v>
      </c>
      <c r="C375" s="182" t="e">
        <f t="shared" si="41"/>
        <v>#VALUE!</v>
      </c>
      <c r="D375" s="182" t="e">
        <f t="shared" si="37"/>
        <v>#VALUE!</v>
      </c>
      <c r="E375" s="182" t="e">
        <f t="shared" si="42"/>
        <v>#VALUE!</v>
      </c>
      <c r="F375" s="182" t="e">
        <f>SUM($D$33:D375)</f>
        <v>#VALUE!</v>
      </c>
      <c r="G375" s="182">
        <f t="shared" ca="1" si="43"/>
        <v>0</v>
      </c>
      <c r="H375" s="182" t="e">
        <f t="shared" si="38"/>
        <v>#VALUE!</v>
      </c>
      <c r="I375" s="183" t="e">
        <f t="shared" si="39"/>
        <v>#VALUE!</v>
      </c>
    </row>
    <row r="376" spans="1:9" x14ac:dyDescent="0.25">
      <c r="A376" s="180">
        <f t="shared" ca="1" si="40"/>
        <v>46448</v>
      </c>
      <c r="B376" s="181">
        <v>344</v>
      </c>
      <c r="C376" s="182" t="e">
        <f t="shared" si="41"/>
        <v>#VALUE!</v>
      </c>
      <c r="D376" s="182" t="e">
        <f t="shared" si="37"/>
        <v>#VALUE!</v>
      </c>
      <c r="E376" s="182" t="e">
        <f t="shared" si="42"/>
        <v>#VALUE!</v>
      </c>
      <c r="F376" s="182" t="e">
        <f>SUM($D$33:D376)</f>
        <v>#VALUE!</v>
      </c>
      <c r="G376" s="182">
        <f t="shared" ca="1" si="43"/>
        <v>0</v>
      </c>
      <c r="H376" s="182" t="e">
        <f t="shared" si="38"/>
        <v>#VALUE!</v>
      </c>
      <c r="I376" s="183" t="e">
        <f t="shared" si="39"/>
        <v>#VALUE!</v>
      </c>
    </row>
    <row r="377" spans="1:9" x14ac:dyDescent="0.25">
      <c r="A377" s="180">
        <f t="shared" ca="1" si="40"/>
        <v>46449</v>
      </c>
      <c r="B377" s="181">
        <v>345</v>
      </c>
      <c r="C377" s="182" t="e">
        <f t="shared" si="41"/>
        <v>#VALUE!</v>
      </c>
      <c r="D377" s="182" t="e">
        <f t="shared" si="37"/>
        <v>#VALUE!</v>
      </c>
      <c r="E377" s="182" t="e">
        <f t="shared" si="42"/>
        <v>#VALUE!</v>
      </c>
      <c r="F377" s="182" t="e">
        <f>SUM($D$33:D377)</f>
        <v>#VALUE!</v>
      </c>
      <c r="G377" s="182">
        <f t="shared" ca="1" si="43"/>
        <v>0</v>
      </c>
      <c r="H377" s="182" t="e">
        <f t="shared" si="38"/>
        <v>#VALUE!</v>
      </c>
      <c r="I377" s="183" t="e">
        <f t="shared" si="39"/>
        <v>#VALUE!</v>
      </c>
    </row>
    <row r="378" spans="1:9" x14ac:dyDescent="0.25">
      <c r="A378" s="180">
        <f t="shared" ca="1" si="40"/>
        <v>46450</v>
      </c>
      <c r="B378" s="181">
        <v>346</v>
      </c>
      <c r="C378" s="182" t="e">
        <f t="shared" si="41"/>
        <v>#VALUE!</v>
      </c>
      <c r="D378" s="182" t="e">
        <f t="shared" si="37"/>
        <v>#VALUE!</v>
      </c>
      <c r="E378" s="182" t="e">
        <f t="shared" si="42"/>
        <v>#VALUE!</v>
      </c>
      <c r="F378" s="182" t="e">
        <f>SUM($D$33:D378)</f>
        <v>#VALUE!</v>
      </c>
      <c r="G378" s="182">
        <f t="shared" ca="1" si="43"/>
        <v>0</v>
      </c>
      <c r="H378" s="182" t="e">
        <f t="shared" si="38"/>
        <v>#VALUE!</v>
      </c>
      <c r="I378" s="183" t="e">
        <f t="shared" si="39"/>
        <v>#VALUE!</v>
      </c>
    </row>
    <row r="379" spans="1:9" x14ac:dyDescent="0.25">
      <c r="A379" s="180">
        <f t="shared" ca="1" si="40"/>
        <v>46451</v>
      </c>
      <c r="B379" s="181">
        <v>347</v>
      </c>
      <c r="C379" s="182" t="e">
        <f t="shared" si="41"/>
        <v>#VALUE!</v>
      </c>
      <c r="D379" s="182" t="e">
        <f t="shared" si="37"/>
        <v>#VALUE!</v>
      </c>
      <c r="E379" s="182" t="e">
        <f t="shared" si="42"/>
        <v>#VALUE!</v>
      </c>
      <c r="F379" s="182" t="e">
        <f>SUM($D$33:D379)</f>
        <v>#VALUE!</v>
      </c>
      <c r="G379" s="182">
        <f t="shared" ca="1" si="43"/>
        <v>0</v>
      </c>
      <c r="H379" s="182" t="e">
        <f t="shared" si="38"/>
        <v>#VALUE!</v>
      </c>
      <c r="I379" s="183" t="e">
        <f t="shared" si="39"/>
        <v>#VALUE!</v>
      </c>
    </row>
    <row r="380" spans="1:9" x14ac:dyDescent="0.25">
      <c r="A380" s="180">
        <f t="shared" ca="1" si="40"/>
        <v>46452</v>
      </c>
      <c r="B380" s="181">
        <v>348</v>
      </c>
      <c r="C380" s="182" t="e">
        <f t="shared" si="41"/>
        <v>#VALUE!</v>
      </c>
      <c r="D380" s="182" t="e">
        <f t="shared" si="37"/>
        <v>#VALUE!</v>
      </c>
      <c r="E380" s="182" t="e">
        <f t="shared" si="42"/>
        <v>#VALUE!</v>
      </c>
      <c r="F380" s="182" t="e">
        <f>SUM($D$33:D380)</f>
        <v>#VALUE!</v>
      </c>
      <c r="G380" s="182">
        <f t="shared" ca="1" si="43"/>
        <v>0</v>
      </c>
      <c r="H380" s="182" t="e">
        <f t="shared" si="38"/>
        <v>#VALUE!</v>
      </c>
      <c r="I380" s="183" t="e">
        <f t="shared" si="39"/>
        <v>#VALUE!</v>
      </c>
    </row>
    <row r="381" spans="1:9" x14ac:dyDescent="0.25">
      <c r="A381" s="180">
        <f t="shared" ca="1" si="40"/>
        <v>46453</v>
      </c>
      <c r="B381" s="181">
        <v>349</v>
      </c>
      <c r="C381" s="182" t="e">
        <f t="shared" si="41"/>
        <v>#VALUE!</v>
      </c>
      <c r="D381" s="182" t="e">
        <f t="shared" si="37"/>
        <v>#VALUE!</v>
      </c>
      <c r="E381" s="182" t="e">
        <f t="shared" si="42"/>
        <v>#VALUE!</v>
      </c>
      <c r="F381" s="182" t="e">
        <f>SUM($D$33:D381)</f>
        <v>#VALUE!</v>
      </c>
      <c r="G381" s="182">
        <f t="shared" ca="1" si="43"/>
        <v>0</v>
      </c>
      <c r="H381" s="182" t="e">
        <f t="shared" si="38"/>
        <v>#VALUE!</v>
      </c>
      <c r="I381" s="183" t="e">
        <f t="shared" si="39"/>
        <v>#VALUE!</v>
      </c>
    </row>
    <row r="382" spans="1:9" x14ac:dyDescent="0.25">
      <c r="A382" s="180">
        <f t="shared" ca="1" si="40"/>
        <v>46454</v>
      </c>
      <c r="B382" s="181">
        <v>350</v>
      </c>
      <c r="C382" s="182" t="e">
        <f t="shared" si="41"/>
        <v>#VALUE!</v>
      </c>
      <c r="D382" s="182" t="e">
        <f t="shared" si="37"/>
        <v>#VALUE!</v>
      </c>
      <c r="E382" s="182" t="e">
        <f t="shared" si="42"/>
        <v>#VALUE!</v>
      </c>
      <c r="F382" s="182" t="e">
        <f>SUM($D$33:D382)</f>
        <v>#VALUE!</v>
      </c>
      <c r="G382" s="182">
        <f t="shared" ca="1" si="43"/>
        <v>0</v>
      </c>
      <c r="H382" s="182" t="e">
        <f t="shared" si="38"/>
        <v>#VALUE!</v>
      </c>
      <c r="I382" s="183" t="e">
        <f t="shared" si="39"/>
        <v>#VALUE!</v>
      </c>
    </row>
    <row r="383" spans="1:9" x14ac:dyDescent="0.25">
      <c r="A383" s="180">
        <f t="shared" ca="1" si="40"/>
        <v>46455</v>
      </c>
      <c r="B383" s="181">
        <v>351</v>
      </c>
      <c r="C383" s="182" t="e">
        <f t="shared" si="41"/>
        <v>#VALUE!</v>
      </c>
      <c r="D383" s="182" t="e">
        <f t="shared" si="37"/>
        <v>#VALUE!</v>
      </c>
      <c r="E383" s="182" t="e">
        <f t="shared" si="42"/>
        <v>#VALUE!</v>
      </c>
      <c r="F383" s="182" t="e">
        <f>SUM($D$33:D383)</f>
        <v>#VALUE!</v>
      </c>
      <c r="G383" s="182">
        <f t="shared" ca="1" si="43"/>
        <v>0</v>
      </c>
      <c r="H383" s="182" t="e">
        <f t="shared" si="38"/>
        <v>#VALUE!</v>
      </c>
      <c r="I383" s="183" t="e">
        <f t="shared" si="39"/>
        <v>#VALUE!</v>
      </c>
    </row>
    <row r="384" spans="1:9" x14ac:dyDescent="0.25">
      <c r="A384" s="180">
        <f t="shared" ca="1" si="40"/>
        <v>46456</v>
      </c>
      <c r="B384" s="181">
        <v>352</v>
      </c>
      <c r="C384" s="182" t="e">
        <f t="shared" si="41"/>
        <v>#VALUE!</v>
      </c>
      <c r="D384" s="182" t="e">
        <f t="shared" si="37"/>
        <v>#VALUE!</v>
      </c>
      <c r="E384" s="182" t="e">
        <f t="shared" si="42"/>
        <v>#VALUE!</v>
      </c>
      <c r="F384" s="182" t="e">
        <f>SUM($D$33:D384)</f>
        <v>#VALUE!</v>
      </c>
      <c r="G384" s="182">
        <f t="shared" ca="1" si="43"/>
        <v>0</v>
      </c>
      <c r="H384" s="182" t="e">
        <f t="shared" si="38"/>
        <v>#VALUE!</v>
      </c>
      <c r="I384" s="183" t="e">
        <f t="shared" si="39"/>
        <v>#VALUE!</v>
      </c>
    </row>
    <row r="385" spans="1:10" x14ac:dyDescent="0.25">
      <c r="A385" s="180">
        <f t="shared" ca="1" si="40"/>
        <v>46457</v>
      </c>
      <c r="B385" s="181">
        <v>353</v>
      </c>
      <c r="C385" s="182" t="e">
        <f t="shared" si="41"/>
        <v>#VALUE!</v>
      </c>
      <c r="D385" s="182" t="e">
        <f t="shared" si="37"/>
        <v>#VALUE!</v>
      </c>
      <c r="E385" s="182" t="e">
        <f t="shared" si="42"/>
        <v>#VALUE!</v>
      </c>
      <c r="F385" s="182" t="e">
        <f>SUM($D$33:D385)</f>
        <v>#VALUE!</v>
      </c>
      <c r="G385" s="182">
        <f t="shared" ca="1" si="43"/>
        <v>0</v>
      </c>
      <c r="H385" s="182" t="e">
        <f t="shared" si="38"/>
        <v>#VALUE!</v>
      </c>
      <c r="I385" s="183" t="e">
        <f t="shared" si="39"/>
        <v>#VALUE!</v>
      </c>
    </row>
    <row r="386" spans="1:10" x14ac:dyDescent="0.25">
      <c r="A386" s="180">
        <f t="shared" ca="1" si="40"/>
        <v>46458</v>
      </c>
      <c r="B386" s="181">
        <v>354</v>
      </c>
      <c r="C386" s="182" t="e">
        <f t="shared" si="41"/>
        <v>#VALUE!</v>
      </c>
      <c r="D386" s="182" t="e">
        <f t="shared" si="37"/>
        <v>#VALUE!</v>
      </c>
      <c r="E386" s="182" t="e">
        <f t="shared" si="42"/>
        <v>#VALUE!</v>
      </c>
      <c r="F386" s="182" t="e">
        <f>SUM($D$33:D386)</f>
        <v>#VALUE!</v>
      </c>
      <c r="G386" s="182">
        <f t="shared" ca="1" si="43"/>
        <v>0</v>
      </c>
      <c r="H386" s="182" t="e">
        <f t="shared" si="38"/>
        <v>#VALUE!</v>
      </c>
      <c r="I386" s="183" t="e">
        <f t="shared" si="39"/>
        <v>#VALUE!</v>
      </c>
    </row>
    <row r="387" spans="1:10" x14ac:dyDescent="0.25">
      <c r="A387" s="180">
        <f t="shared" ca="1" si="40"/>
        <v>46459</v>
      </c>
      <c r="B387" s="181">
        <v>355</v>
      </c>
      <c r="C387" s="182" t="e">
        <f t="shared" si="41"/>
        <v>#VALUE!</v>
      </c>
      <c r="D387" s="182" t="e">
        <f t="shared" si="37"/>
        <v>#VALUE!</v>
      </c>
      <c r="E387" s="182" t="e">
        <f t="shared" si="42"/>
        <v>#VALUE!</v>
      </c>
      <c r="F387" s="182" t="e">
        <f>SUM($D$33:D387)</f>
        <v>#VALUE!</v>
      </c>
      <c r="G387" s="182">
        <f t="shared" ca="1" si="43"/>
        <v>0</v>
      </c>
      <c r="H387" s="182" t="e">
        <f t="shared" si="38"/>
        <v>#VALUE!</v>
      </c>
      <c r="I387" s="183" t="e">
        <f t="shared" si="39"/>
        <v>#VALUE!</v>
      </c>
    </row>
    <row r="388" spans="1:10" x14ac:dyDescent="0.25">
      <c r="A388" s="180">
        <f t="shared" ca="1" si="40"/>
        <v>46460</v>
      </c>
      <c r="B388" s="181">
        <v>356</v>
      </c>
      <c r="C388" s="182" t="e">
        <f t="shared" si="41"/>
        <v>#VALUE!</v>
      </c>
      <c r="D388" s="182" t="e">
        <f t="shared" si="37"/>
        <v>#VALUE!</v>
      </c>
      <c r="E388" s="182" t="e">
        <f t="shared" si="42"/>
        <v>#VALUE!</v>
      </c>
      <c r="F388" s="182" t="e">
        <f>SUM($D$33:D388)</f>
        <v>#VALUE!</v>
      </c>
      <c r="G388" s="182">
        <f t="shared" ca="1" si="43"/>
        <v>0</v>
      </c>
      <c r="H388" s="182" t="e">
        <f t="shared" si="38"/>
        <v>#VALUE!</v>
      </c>
      <c r="I388" s="183" t="e">
        <f t="shared" si="39"/>
        <v>#VALUE!</v>
      </c>
    </row>
    <row r="389" spans="1:10" x14ac:dyDescent="0.25">
      <c r="A389" s="180">
        <f t="shared" ca="1" si="40"/>
        <v>46461</v>
      </c>
      <c r="B389" s="181">
        <v>357</v>
      </c>
      <c r="C389" s="182" t="e">
        <f t="shared" si="41"/>
        <v>#VALUE!</v>
      </c>
      <c r="D389" s="182" t="e">
        <f t="shared" si="37"/>
        <v>#VALUE!</v>
      </c>
      <c r="E389" s="182" t="e">
        <f t="shared" si="42"/>
        <v>#VALUE!</v>
      </c>
      <c r="F389" s="182" t="e">
        <f>SUM($D$33:D389)</f>
        <v>#VALUE!</v>
      </c>
      <c r="G389" s="182">
        <f t="shared" ca="1" si="43"/>
        <v>0</v>
      </c>
      <c r="H389" s="182" t="e">
        <f t="shared" si="38"/>
        <v>#VALUE!</v>
      </c>
      <c r="I389" s="183" t="e">
        <f t="shared" si="39"/>
        <v>#VALUE!</v>
      </c>
    </row>
    <row r="390" spans="1:10" x14ac:dyDescent="0.25">
      <c r="A390" s="180">
        <f t="shared" ca="1" si="40"/>
        <v>46462</v>
      </c>
      <c r="B390" s="181">
        <v>358</v>
      </c>
      <c r="C390" s="182" t="e">
        <f t="shared" si="41"/>
        <v>#VALUE!</v>
      </c>
      <c r="D390" s="182" t="e">
        <f t="shared" si="37"/>
        <v>#VALUE!</v>
      </c>
      <c r="E390" s="182" t="e">
        <f t="shared" si="42"/>
        <v>#VALUE!</v>
      </c>
      <c r="F390" s="182" t="e">
        <f>SUM($D$33:D390)</f>
        <v>#VALUE!</v>
      </c>
      <c r="G390" s="182">
        <f t="shared" ca="1" si="43"/>
        <v>0</v>
      </c>
      <c r="H390" s="182" t="e">
        <f t="shared" si="38"/>
        <v>#VALUE!</v>
      </c>
      <c r="I390" s="183" t="e">
        <f t="shared" si="39"/>
        <v>#VALUE!</v>
      </c>
    </row>
    <row r="391" spans="1:10" x14ac:dyDescent="0.25">
      <c r="A391" s="180">
        <f t="shared" ca="1" si="40"/>
        <v>46463</v>
      </c>
      <c r="B391" s="181">
        <v>359</v>
      </c>
      <c r="C391" s="182" t="e">
        <f t="shared" si="41"/>
        <v>#VALUE!</v>
      </c>
      <c r="D391" s="182" t="e">
        <f t="shared" si="37"/>
        <v>#VALUE!</v>
      </c>
      <c r="E391" s="182" t="e">
        <f t="shared" si="42"/>
        <v>#VALUE!</v>
      </c>
      <c r="F391" s="182" t="e">
        <f>SUM($D$33:D391)</f>
        <v>#VALUE!</v>
      </c>
      <c r="G391" s="182">
        <f t="shared" ca="1" si="43"/>
        <v>0</v>
      </c>
      <c r="H391" s="182" t="e">
        <f t="shared" si="38"/>
        <v>#VALUE!</v>
      </c>
      <c r="I391" s="183" t="e">
        <f t="shared" si="39"/>
        <v>#VALUE!</v>
      </c>
    </row>
    <row r="392" spans="1:10" x14ac:dyDescent="0.25">
      <c r="A392" s="180">
        <f t="shared" ca="1" si="40"/>
        <v>46464</v>
      </c>
      <c r="B392" s="181">
        <v>360</v>
      </c>
      <c r="C392" s="182" t="e">
        <f t="shared" si="41"/>
        <v>#VALUE!</v>
      </c>
      <c r="D392" s="182" t="e">
        <f t="shared" si="37"/>
        <v>#VALUE!</v>
      </c>
      <c r="E392" s="182" t="e">
        <f t="shared" si="42"/>
        <v>#VALUE!</v>
      </c>
      <c r="F392" s="182" t="e">
        <f>SUM($D$33:D392)</f>
        <v>#VALUE!</v>
      </c>
      <c r="G392" s="182">
        <f t="shared" ca="1" si="43"/>
        <v>0</v>
      </c>
      <c r="H392" s="182" t="e">
        <f t="shared" si="38"/>
        <v>#VALUE!</v>
      </c>
      <c r="I392" s="183" t="e">
        <f t="shared" si="39"/>
        <v>#VALUE!</v>
      </c>
    </row>
    <row r="393" spans="1:10" x14ac:dyDescent="0.25">
      <c r="A393" s="180">
        <f t="shared" ca="1" si="40"/>
        <v>46465</v>
      </c>
      <c r="B393" s="181">
        <v>361</v>
      </c>
      <c r="C393" s="182" t="e">
        <f t="shared" si="41"/>
        <v>#VALUE!</v>
      </c>
      <c r="D393" s="182" t="e">
        <f t="shared" si="37"/>
        <v>#VALUE!</v>
      </c>
      <c r="E393" s="182" t="e">
        <f t="shared" si="42"/>
        <v>#VALUE!</v>
      </c>
      <c r="F393" s="182" t="e">
        <f>SUM($D$33:D393)</f>
        <v>#VALUE!</v>
      </c>
      <c r="G393" s="182">
        <f t="shared" ca="1" si="43"/>
        <v>0</v>
      </c>
      <c r="H393" s="182" t="e">
        <f t="shared" si="38"/>
        <v>#VALUE!</v>
      </c>
      <c r="I393" s="183" t="e">
        <f t="shared" si="39"/>
        <v>#VALUE!</v>
      </c>
    </row>
    <row r="394" spans="1:10" x14ac:dyDescent="0.25">
      <c r="A394" s="180">
        <f t="shared" ca="1" si="40"/>
        <v>46466</v>
      </c>
      <c r="B394" s="181">
        <v>362</v>
      </c>
      <c r="C394" s="182" t="e">
        <f t="shared" si="41"/>
        <v>#VALUE!</v>
      </c>
      <c r="D394" s="182" t="e">
        <f t="shared" si="37"/>
        <v>#VALUE!</v>
      </c>
      <c r="E394" s="182" t="e">
        <f t="shared" si="42"/>
        <v>#VALUE!</v>
      </c>
      <c r="F394" s="182" t="e">
        <f>SUM($D$33:D394)</f>
        <v>#VALUE!</v>
      </c>
      <c r="G394" s="182">
        <f t="shared" ca="1" si="43"/>
        <v>0</v>
      </c>
      <c r="H394" s="182" t="e">
        <f t="shared" si="38"/>
        <v>#VALUE!</v>
      </c>
      <c r="I394" s="183" t="e">
        <f t="shared" si="39"/>
        <v>#VALUE!</v>
      </c>
    </row>
    <row r="395" spans="1:10" x14ac:dyDescent="0.25">
      <c r="A395" s="180">
        <f t="shared" ca="1" si="40"/>
        <v>46467</v>
      </c>
      <c r="B395" s="181">
        <v>363</v>
      </c>
      <c r="C395" s="182" t="e">
        <f t="shared" si="41"/>
        <v>#VALUE!</v>
      </c>
      <c r="D395" s="182" t="e">
        <f t="shared" si="37"/>
        <v>#VALUE!</v>
      </c>
      <c r="E395" s="182" t="e">
        <f t="shared" si="42"/>
        <v>#VALUE!</v>
      </c>
      <c r="F395" s="182" t="e">
        <f>SUM($D$33:D395)</f>
        <v>#VALUE!</v>
      </c>
      <c r="G395" s="182">
        <f t="shared" ca="1" si="43"/>
        <v>0</v>
      </c>
      <c r="H395" s="182" t="e">
        <f t="shared" si="38"/>
        <v>#VALUE!</v>
      </c>
      <c r="I395" s="183" t="e">
        <f t="shared" si="39"/>
        <v>#VALUE!</v>
      </c>
    </row>
    <row r="396" spans="1:10" x14ac:dyDescent="0.25">
      <c r="A396" s="216">
        <f t="shared" ca="1" si="40"/>
        <v>46468</v>
      </c>
      <c r="B396" s="181">
        <v>364</v>
      </c>
      <c r="C396" s="217" t="e">
        <f t="shared" si="41"/>
        <v>#VALUE!</v>
      </c>
      <c r="D396" s="217" t="e">
        <f>IF(C396&gt;$H$21,C396*($L$16/360),$H$21*($L$16/360))</f>
        <v>#VALUE!</v>
      </c>
      <c r="E396" s="217" t="e">
        <f t="shared" si="42"/>
        <v>#VALUE!</v>
      </c>
      <c r="F396" s="217" t="e">
        <f>SUM($D$33:D396)</f>
        <v>#VALUE!</v>
      </c>
      <c r="G396" s="217">
        <f t="shared" ca="1" si="43"/>
        <v>0</v>
      </c>
      <c r="H396" s="217" t="e">
        <f t="shared" si="38"/>
        <v>#VALUE!</v>
      </c>
      <c r="I396" s="218" t="e">
        <f>(C396+D396-E396)</f>
        <v>#VALUE!</v>
      </c>
      <c r="J396" t="s">
        <v>316</v>
      </c>
    </row>
    <row r="397" spans="1:10" x14ac:dyDescent="0.25">
      <c r="A397" s="180">
        <f t="shared" ca="1" si="40"/>
        <v>46469</v>
      </c>
      <c r="B397" s="181">
        <v>365</v>
      </c>
      <c r="C397" s="182" t="e">
        <f t="shared" si="41"/>
        <v>#VALUE!</v>
      </c>
      <c r="D397" s="182" t="e">
        <f t="shared" ref="D397:D460" si="44">IF(C397&gt;$H$21,C397*($L$16/360),$H$21*($L$16/360))</f>
        <v>#VALUE!</v>
      </c>
      <c r="E397" s="182" t="e">
        <f t="shared" si="42"/>
        <v>#VALUE!</v>
      </c>
      <c r="F397" s="182" t="e">
        <f>SUM($D$33:D397)</f>
        <v>#VALUE!</v>
      </c>
      <c r="G397" s="182">
        <f t="shared" ca="1" si="43"/>
        <v>0</v>
      </c>
      <c r="H397" s="182" t="e">
        <f t="shared" si="38"/>
        <v>#VALUE!</v>
      </c>
      <c r="I397" s="183" t="e">
        <f t="shared" ref="I397:I460" si="45">(C397+D397-E397)</f>
        <v>#VALUE!</v>
      </c>
    </row>
    <row r="398" spans="1:10" x14ac:dyDescent="0.25">
      <c r="A398" s="180">
        <f t="shared" ca="1" si="40"/>
        <v>46470</v>
      </c>
      <c r="B398" s="181">
        <v>366</v>
      </c>
      <c r="C398" s="182" t="e">
        <f t="shared" si="41"/>
        <v>#VALUE!</v>
      </c>
      <c r="D398" s="182" t="e">
        <f t="shared" si="44"/>
        <v>#VALUE!</v>
      </c>
      <c r="E398" s="182" t="e">
        <f t="shared" si="42"/>
        <v>#VALUE!</v>
      </c>
      <c r="F398" s="182" t="e">
        <f>SUM($D$33:D398)</f>
        <v>#VALUE!</v>
      </c>
      <c r="G398" s="182">
        <f t="shared" ca="1" si="43"/>
        <v>0</v>
      </c>
      <c r="H398" s="182" t="e">
        <f t="shared" si="38"/>
        <v>#VALUE!</v>
      </c>
      <c r="I398" s="183" t="e">
        <f t="shared" si="45"/>
        <v>#VALUE!</v>
      </c>
    </row>
    <row r="399" spans="1:10" x14ac:dyDescent="0.25">
      <c r="A399" s="180">
        <f t="shared" ca="1" si="40"/>
        <v>46471</v>
      </c>
      <c r="B399" s="181">
        <v>367</v>
      </c>
      <c r="C399" s="182" t="e">
        <f t="shared" si="41"/>
        <v>#VALUE!</v>
      </c>
      <c r="D399" s="182" t="e">
        <f t="shared" si="44"/>
        <v>#VALUE!</v>
      </c>
      <c r="E399" s="182" t="e">
        <f t="shared" si="42"/>
        <v>#VALUE!</v>
      </c>
      <c r="F399" s="182" t="e">
        <f>SUM($D$33:D399)</f>
        <v>#VALUE!</v>
      </c>
      <c r="G399" s="182">
        <f t="shared" ca="1" si="43"/>
        <v>0</v>
      </c>
      <c r="H399" s="182" t="e">
        <f t="shared" si="38"/>
        <v>#VALUE!</v>
      </c>
      <c r="I399" s="183" t="e">
        <f t="shared" si="45"/>
        <v>#VALUE!</v>
      </c>
    </row>
    <row r="400" spans="1:10" x14ac:dyDescent="0.25">
      <c r="A400" s="180">
        <f t="shared" ca="1" si="40"/>
        <v>46472</v>
      </c>
      <c r="B400" s="181">
        <v>368</v>
      </c>
      <c r="C400" s="182" t="e">
        <f t="shared" si="41"/>
        <v>#VALUE!</v>
      </c>
      <c r="D400" s="182" t="e">
        <f t="shared" si="44"/>
        <v>#VALUE!</v>
      </c>
      <c r="E400" s="182" t="e">
        <f t="shared" si="42"/>
        <v>#VALUE!</v>
      </c>
      <c r="F400" s="182" t="e">
        <f>SUM($D$33:D400)</f>
        <v>#VALUE!</v>
      </c>
      <c r="G400" s="182">
        <f t="shared" ca="1" si="43"/>
        <v>0</v>
      </c>
      <c r="H400" s="182" t="e">
        <f t="shared" si="38"/>
        <v>#VALUE!</v>
      </c>
      <c r="I400" s="183" t="e">
        <f t="shared" si="45"/>
        <v>#VALUE!</v>
      </c>
    </row>
    <row r="401" spans="1:9" x14ac:dyDescent="0.25">
      <c r="A401" s="180">
        <f t="shared" ca="1" si="40"/>
        <v>46473</v>
      </c>
      <c r="B401" s="181">
        <v>369</v>
      </c>
      <c r="C401" s="182" t="e">
        <f t="shared" si="41"/>
        <v>#VALUE!</v>
      </c>
      <c r="D401" s="182" t="e">
        <f t="shared" si="44"/>
        <v>#VALUE!</v>
      </c>
      <c r="E401" s="182" t="e">
        <f t="shared" si="42"/>
        <v>#VALUE!</v>
      </c>
      <c r="F401" s="182" t="e">
        <f>SUM($D$33:D401)</f>
        <v>#VALUE!</v>
      </c>
      <c r="G401" s="182">
        <f t="shared" ca="1" si="43"/>
        <v>0</v>
      </c>
      <c r="H401" s="182" t="e">
        <f t="shared" si="38"/>
        <v>#VALUE!</v>
      </c>
      <c r="I401" s="183" t="e">
        <f t="shared" si="45"/>
        <v>#VALUE!</v>
      </c>
    </row>
    <row r="402" spans="1:9" x14ac:dyDescent="0.25">
      <c r="A402" s="180">
        <f t="shared" ca="1" si="40"/>
        <v>46474</v>
      </c>
      <c r="B402" s="181">
        <v>370</v>
      </c>
      <c r="C402" s="182" t="e">
        <f t="shared" si="41"/>
        <v>#VALUE!</v>
      </c>
      <c r="D402" s="182" t="e">
        <f t="shared" si="44"/>
        <v>#VALUE!</v>
      </c>
      <c r="E402" s="182" t="e">
        <f t="shared" si="42"/>
        <v>#VALUE!</v>
      </c>
      <c r="F402" s="182" t="e">
        <f>SUM($D$33:D402)</f>
        <v>#VALUE!</v>
      </c>
      <c r="G402" s="182">
        <f t="shared" ca="1" si="43"/>
        <v>0</v>
      </c>
      <c r="H402" s="182" t="e">
        <f t="shared" si="38"/>
        <v>#VALUE!</v>
      </c>
      <c r="I402" s="183" t="e">
        <f t="shared" si="45"/>
        <v>#VALUE!</v>
      </c>
    </row>
    <row r="403" spans="1:9" x14ac:dyDescent="0.25">
      <c r="A403" s="180">
        <f t="shared" ca="1" si="40"/>
        <v>46475</v>
      </c>
      <c r="B403" s="181">
        <v>371</v>
      </c>
      <c r="C403" s="182" t="e">
        <f t="shared" si="41"/>
        <v>#VALUE!</v>
      </c>
      <c r="D403" s="182" t="e">
        <f t="shared" si="44"/>
        <v>#VALUE!</v>
      </c>
      <c r="E403" s="182" t="e">
        <f t="shared" si="42"/>
        <v>#VALUE!</v>
      </c>
      <c r="F403" s="182" t="e">
        <f>SUM($D$33:D403)</f>
        <v>#VALUE!</v>
      </c>
      <c r="G403" s="182">
        <f t="shared" ca="1" si="43"/>
        <v>0</v>
      </c>
      <c r="H403" s="182" t="e">
        <f t="shared" si="38"/>
        <v>#VALUE!</v>
      </c>
      <c r="I403" s="183" t="e">
        <f t="shared" si="45"/>
        <v>#VALUE!</v>
      </c>
    </row>
    <row r="404" spans="1:9" x14ac:dyDescent="0.25">
      <c r="A404" s="180">
        <f t="shared" ca="1" si="40"/>
        <v>46476</v>
      </c>
      <c r="B404" s="181">
        <v>372</v>
      </c>
      <c r="C404" s="182" t="e">
        <f t="shared" si="41"/>
        <v>#VALUE!</v>
      </c>
      <c r="D404" s="182" t="e">
        <f t="shared" si="44"/>
        <v>#VALUE!</v>
      </c>
      <c r="E404" s="182" t="e">
        <f t="shared" si="42"/>
        <v>#VALUE!</v>
      </c>
      <c r="F404" s="182" t="e">
        <f>SUM($D$33:D404)</f>
        <v>#VALUE!</v>
      </c>
      <c r="G404" s="182">
        <f t="shared" ca="1" si="43"/>
        <v>0</v>
      </c>
      <c r="H404" s="182" t="e">
        <f t="shared" si="38"/>
        <v>#VALUE!</v>
      </c>
      <c r="I404" s="183" t="e">
        <f t="shared" si="45"/>
        <v>#VALUE!</v>
      </c>
    </row>
    <row r="405" spans="1:9" x14ac:dyDescent="0.25">
      <c r="A405" s="180">
        <f t="shared" ca="1" si="40"/>
        <v>46477</v>
      </c>
      <c r="B405" s="181">
        <v>373</v>
      </c>
      <c r="C405" s="182" t="e">
        <f t="shared" si="41"/>
        <v>#VALUE!</v>
      </c>
      <c r="D405" s="182" t="e">
        <f t="shared" si="44"/>
        <v>#VALUE!</v>
      </c>
      <c r="E405" s="182" t="e">
        <f t="shared" si="42"/>
        <v>#VALUE!</v>
      </c>
      <c r="F405" s="182" t="e">
        <f>SUM($D$33:D405)</f>
        <v>#VALUE!</v>
      </c>
      <c r="G405" s="182">
        <f t="shared" ca="1" si="43"/>
        <v>0</v>
      </c>
      <c r="H405" s="182" t="e">
        <f t="shared" si="38"/>
        <v>#VALUE!</v>
      </c>
      <c r="I405" s="183" t="e">
        <f t="shared" si="45"/>
        <v>#VALUE!</v>
      </c>
    </row>
    <row r="406" spans="1:9" x14ac:dyDescent="0.25">
      <c r="A406" s="180">
        <f t="shared" ca="1" si="40"/>
        <v>46478</v>
      </c>
      <c r="B406" s="181">
        <v>374</v>
      </c>
      <c r="C406" s="182" t="e">
        <f t="shared" si="41"/>
        <v>#VALUE!</v>
      </c>
      <c r="D406" s="182" t="e">
        <f t="shared" si="44"/>
        <v>#VALUE!</v>
      </c>
      <c r="E406" s="182" t="e">
        <f t="shared" si="42"/>
        <v>#VALUE!</v>
      </c>
      <c r="F406" s="182" t="e">
        <f>SUM($D$33:D406)</f>
        <v>#VALUE!</v>
      </c>
      <c r="G406" s="182">
        <f t="shared" ca="1" si="43"/>
        <v>0</v>
      </c>
      <c r="H406" s="182" t="e">
        <f t="shared" si="38"/>
        <v>#VALUE!</v>
      </c>
      <c r="I406" s="183" t="e">
        <f t="shared" si="45"/>
        <v>#VALUE!</v>
      </c>
    </row>
    <row r="407" spans="1:9" x14ac:dyDescent="0.25">
      <c r="A407" s="180">
        <f t="shared" ca="1" si="40"/>
        <v>46479</v>
      </c>
      <c r="B407" s="181">
        <v>375</v>
      </c>
      <c r="C407" s="182" t="e">
        <f t="shared" si="41"/>
        <v>#VALUE!</v>
      </c>
      <c r="D407" s="182" t="e">
        <f t="shared" si="44"/>
        <v>#VALUE!</v>
      </c>
      <c r="E407" s="182" t="e">
        <f t="shared" si="42"/>
        <v>#VALUE!</v>
      </c>
      <c r="F407" s="182" t="e">
        <f>SUM($D$33:D407)</f>
        <v>#VALUE!</v>
      </c>
      <c r="G407" s="182">
        <f t="shared" ca="1" si="43"/>
        <v>0</v>
      </c>
      <c r="H407" s="182" t="e">
        <f t="shared" si="38"/>
        <v>#VALUE!</v>
      </c>
      <c r="I407" s="183" t="e">
        <f t="shared" si="45"/>
        <v>#VALUE!</v>
      </c>
    </row>
    <row r="408" spans="1:9" x14ac:dyDescent="0.25">
      <c r="A408" s="180">
        <f t="shared" ca="1" si="40"/>
        <v>46480</v>
      </c>
      <c r="B408" s="181">
        <v>376</v>
      </c>
      <c r="C408" s="182" t="e">
        <f t="shared" si="41"/>
        <v>#VALUE!</v>
      </c>
      <c r="D408" s="182" t="e">
        <f t="shared" si="44"/>
        <v>#VALUE!</v>
      </c>
      <c r="E408" s="182" t="e">
        <f t="shared" si="42"/>
        <v>#VALUE!</v>
      </c>
      <c r="F408" s="182" t="e">
        <f>SUM($D$33:D408)</f>
        <v>#VALUE!</v>
      </c>
      <c r="G408" s="182">
        <f t="shared" ca="1" si="43"/>
        <v>0</v>
      </c>
      <c r="H408" s="182" t="e">
        <f t="shared" si="38"/>
        <v>#VALUE!</v>
      </c>
      <c r="I408" s="183" t="e">
        <f t="shared" si="45"/>
        <v>#VALUE!</v>
      </c>
    </row>
    <row r="409" spans="1:9" x14ac:dyDescent="0.25">
      <c r="A409" s="180">
        <f t="shared" ca="1" si="40"/>
        <v>46481</v>
      </c>
      <c r="B409" s="181">
        <v>377</v>
      </c>
      <c r="C409" s="182" t="e">
        <f t="shared" si="41"/>
        <v>#VALUE!</v>
      </c>
      <c r="D409" s="182" t="e">
        <f t="shared" si="44"/>
        <v>#VALUE!</v>
      </c>
      <c r="E409" s="182" t="e">
        <f t="shared" si="42"/>
        <v>#VALUE!</v>
      </c>
      <c r="F409" s="182" t="e">
        <f>SUM($D$33:D409)</f>
        <v>#VALUE!</v>
      </c>
      <c r="G409" s="182">
        <f t="shared" ca="1" si="43"/>
        <v>0</v>
      </c>
      <c r="H409" s="182" t="e">
        <f t="shared" si="38"/>
        <v>#VALUE!</v>
      </c>
      <c r="I409" s="183" t="e">
        <f t="shared" si="45"/>
        <v>#VALUE!</v>
      </c>
    </row>
    <row r="410" spans="1:9" x14ac:dyDescent="0.25">
      <c r="A410" s="180">
        <f t="shared" ca="1" si="40"/>
        <v>46482</v>
      </c>
      <c r="B410" s="181">
        <v>378</v>
      </c>
      <c r="C410" s="182" t="e">
        <f t="shared" si="41"/>
        <v>#VALUE!</v>
      </c>
      <c r="D410" s="182" t="e">
        <f t="shared" si="44"/>
        <v>#VALUE!</v>
      </c>
      <c r="E410" s="182" t="e">
        <f t="shared" si="42"/>
        <v>#VALUE!</v>
      </c>
      <c r="F410" s="182" t="e">
        <f>SUM($D$33:D410)</f>
        <v>#VALUE!</v>
      </c>
      <c r="G410" s="182">
        <f t="shared" ca="1" si="43"/>
        <v>0</v>
      </c>
      <c r="H410" s="182" t="e">
        <f t="shared" si="38"/>
        <v>#VALUE!</v>
      </c>
      <c r="I410" s="183" t="e">
        <f t="shared" si="45"/>
        <v>#VALUE!</v>
      </c>
    </row>
    <row r="411" spans="1:9" x14ac:dyDescent="0.25">
      <c r="A411" s="180">
        <f t="shared" ca="1" si="40"/>
        <v>46483</v>
      </c>
      <c r="B411" s="181">
        <v>379</v>
      </c>
      <c r="C411" s="182" t="e">
        <f t="shared" si="41"/>
        <v>#VALUE!</v>
      </c>
      <c r="D411" s="182" t="e">
        <f t="shared" si="44"/>
        <v>#VALUE!</v>
      </c>
      <c r="E411" s="182" t="e">
        <f t="shared" si="42"/>
        <v>#VALUE!</v>
      </c>
      <c r="F411" s="182" t="e">
        <f>SUM($D$33:D411)</f>
        <v>#VALUE!</v>
      </c>
      <c r="G411" s="182">
        <f t="shared" ca="1" si="43"/>
        <v>0</v>
      </c>
      <c r="H411" s="182" t="e">
        <f t="shared" si="38"/>
        <v>#VALUE!</v>
      </c>
      <c r="I411" s="183" t="e">
        <f t="shared" si="45"/>
        <v>#VALUE!</v>
      </c>
    </row>
    <row r="412" spans="1:9" x14ac:dyDescent="0.25">
      <c r="A412" s="180">
        <f t="shared" ca="1" si="40"/>
        <v>46484</v>
      </c>
      <c r="B412" s="181">
        <v>380</v>
      </c>
      <c r="C412" s="182" t="e">
        <f t="shared" si="41"/>
        <v>#VALUE!</v>
      </c>
      <c r="D412" s="182" t="e">
        <f t="shared" si="44"/>
        <v>#VALUE!</v>
      </c>
      <c r="E412" s="182" t="e">
        <f t="shared" si="42"/>
        <v>#VALUE!</v>
      </c>
      <c r="F412" s="182" t="e">
        <f>SUM($D$33:D412)</f>
        <v>#VALUE!</v>
      </c>
      <c r="G412" s="182">
        <f t="shared" ca="1" si="43"/>
        <v>0</v>
      </c>
      <c r="H412" s="182" t="e">
        <f t="shared" si="38"/>
        <v>#VALUE!</v>
      </c>
      <c r="I412" s="183" t="e">
        <f t="shared" si="45"/>
        <v>#VALUE!</v>
      </c>
    </row>
    <row r="413" spans="1:9" x14ac:dyDescent="0.25">
      <c r="A413" s="180">
        <f t="shared" ca="1" si="40"/>
        <v>46485</v>
      </c>
      <c r="B413" s="181">
        <v>381</v>
      </c>
      <c r="C413" s="182" t="e">
        <f t="shared" si="41"/>
        <v>#VALUE!</v>
      </c>
      <c r="D413" s="182" t="e">
        <f t="shared" si="44"/>
        <v>#VALUE!</v>
      </c>
      <c r="E413" s="182" t="e">
        <f t="shared" si="42"/>
        <v>#VALUE!</v>
      </c>
      <c r="F413" s="182" t="e">
        <f>SUM($D$33:D413)</f>
        <v>#VALUE!</v>
      </c>
      <c r="G413" s="182">
        <f t="shared" ca="1" si="43"/>
        <v>0</v>
      </c>
      <c r="H413" s="182" t="e">
        <f t="shared" si="38"/>
        <v>#VALUE!</v>
      </c>
      <c r="I413" s="183" t="e">
        <f t="shared" si="45"/>
        <v>#VALUE!</v>
      </c>
    </row>
    <row r="414" spans="1:9" x14ac:dyDescent="0.25">
      <c r="A414" s="180">
        <f t="shared" ca="1" si="40"/>
        <v>46486</v>
      </c>
      <c r="B414" s="181">
        <v>382</v>
      </c>
      <c r="C414" s="182" t="e">
        <f t="shared" si="41"/>
        <v>#VALUE!</v>
      </c>
      <c r="D414" s="182" t="e">
        <f t="shared" si="44"/>
        <v>#VALUE!</v>
      </c>
      <c r="E414" s="182" t="e">
        <f t="shared" si="42"/>
        <v>#VALUE!</v>
      </c>
      <c r="F414" s="182" t="e">
        <f>SUM($D$33:D414)</f>
        <v>#VALUE!</v>
      </c>
      <c r="G414" s="182">
        <f t="shared" ca="1" si="43"/>
        <v>0</v>
      </c>
      <c r="H414" s="182" t="e">
        <f t="shared" si="38"/>
        <v>#VALUE!</v>
      </c>
      <c r="I414" s="183" t="e">
        <f t="shared" si="45"/>
        <v>#VALUE!</v>
      </c>
    </row>
    <row r="415" spans="1:9" x14ac:dyDescent="0.25">
      <c r="A415" s="180">
        <f t="shared" ca="1" si="40"/>
        <v>46487</v>
      </c>
      <c r="B415" s="181">
        <v>383</v>
      </c>
      <c r="C415" s="182" t="e">
        <f t="shared" si="41"/>
        <v>#VALUE!</v>
      </c>
      <c r="D415" s="182" t="e">
        <f t="shared" si="44"/>
        <v>#VALUE!</v>
      </c>
      <c r="E415" s="182" t="e">
        <f t="shared" si="42"/>
        <v>#VALUE!</v>
      </c>
      <c r="F415" s="182" t="e">
        <f>SUM($D$33:D415)</f>
        <v>#VALUE!</v>
      </c>
      <c r="G415" s="182">
        <f t="shared" ca="1" si="43"/>
        <v>0</v>
      </c>
      <c r="H415" s="182" t="e">
        <f t="shared" si="38"/>
        <v>#VALUE!</v>
      </c>
      <c r="I415" s="183" t="e">
        <f t="shared" si="45"/>
        <v>#VALUE!</v>
      </c>
    </row>
    <row r="416" spans="1:9" x14ac:dyDescent="0.25">
      <c r="A416" s="180">
        <f t="shared" ca="1" si="40"/>
        <v>46488</v>
      </c>
      <c r="B416" s="181">
        <v>384</v>
      </c>
      <c r="C416" s="182" t="e">
        <f t="shared" si="41"/>
        <v>#VALUE!</v>
      </c>
      <c r="D416" s="182" t="e">
        <f t="shared" si="44"/>
        <v>#VALUE!</v>
      </c>
      <c r="E416" s="182" t="e">
        <f t="shared" si="42"/>
        <v>#VALUE!</v>
      </c>
      <c r="F416" s="182" t="e">
        <f>SUM($D$33:D416)</f>
        <v>#VALUE!</v>
      </c>
      <c r="G416" s="182">
        <f t="shared" ca="1" si="43"/>
        <v>0</v>
      </c>
      <c r="H416" s="182" t="e">
        <f t="shared" si="38"/>
        <v>#VALUE!</v>
      </c>
      <c r="I416" s="183" t="e">
        <f t="shared" si="45"/>
        <v>#VALUE!</v>
      </c>
    </row>
    <row r="417" spans="1:9" x14ac:dyDescent="0.25">
      <c r="A417" s="180">
        <f t="shared" ca="1" si="40"/>
        <v>46489</v>
      </c>
      <c r="B417" s="181">
        <v>385</v>
      </c>
      <c r="C417" s="182" t="e">
        <f t="shared" si="41"/>
        <v>#VALUE!</v>
      </c>
      <c r="D417" s="182" t="e">
        <f t="shared" si="44"/>
        <v>#VALUE!</v>
      </c>
      <c r="E417" s="182" t="e">
        <f t="shared" si="42"/>
        <v>#VALUE!</v>
      </c>
      <c r="F417" s="182" t="e">
        <f>SUM($D$33:D417)</f>
        <v>#VALUE!</v>
      </c>
      <c r="G417" s="182">
        <f t="shared" ca="1" si="43"/>
        <v>0</v>
      </c>
      <c r="H417" s="182" t="e">
        <f t="shared" ref="H417:H480" si="46">IF(E417&gt;0,C417+G417,IF(E417&lt;0,C417+G417+D417-E416,C417+D417+G417))</f>
        <v>#VALUE!</v>
      </c>
      <c r="I417" s="183" t="e">
        <f t="shared" si="45"/>
        <v>#VALUE!</v>
      </c>
    </row>
    <row r="418" spans="1:9" x14ac:dyDescent="0.25">
      <c r="A418" s="180">
        <f t="shared" ref="A418:A481" ca="1" si="47">A417+1</f>
        <v>46490</v>
      </c>
      <c r="B418" s="181">
        <v>386</v>
      </c>
      <c r="C418" s="182" t="e">
        <f t="shared" ref="C418:C481" si="48">H417</f>
        <v>#VALUE!</v>
      </c>
      <c r="D418" s="182" t="e">
        <f t="shared" si="44"/>
        <v>#VALUE!</v>
      </c>
      <c r="E418" s="182" t="e">
        <f t="shared" ref="E418:E481" si="49">IF(E417&gt;0,E417-D418,0)</f>
        <v>#VALUE!</v>
      </c>
      <c r="F418" s="182" t="e">
        <f>SUM($D$33:D418)</f>
        <v>#VALUE!</v>
      </c>
      <c r="G418" s="182">
        <f t="shared" ref="G418:G481" ca="1" si="50">IFERROR(-VLOOKUP(A418,$K$30:$M$36,2,FALSE),0)</f>
        <v>0</v>
      </c>
      <c r="H418" s="182" t="e">
        <f t="shared" si="46"/>
        <v>#VALUE!</v>
      </c>
      <c r="I418" s="183" t="e">
        <f t="shared" si="45"/>
        <v>#VALUE!</v>
      </c>
    </row>
    <row r="419" spans="1:9" x14ac:dyDescent="0.25">
      <c r="A419" s="180">
        <f t="shared" ca="1" si="47"/>
        <v>46491</v>
      </c>
      <c r="B419" s="181">
        <v>387</v>
      </c>
      <c r="C419" s="182" t="e">
        <f t="shared" si="48"/>
        <v>#VALUE!</v>
      </c>
      <c r="D419" s="182" t="e">
        <f t="shared" si="44"/>
        <v>#VALUE!</v>
      </c>
      <c r="E419" s="182" t="e">
        <f t="shared" si="49"/>
        <v>#VALUE!</v>
      </c>
      <c r="F419" s="182" t="e">
        <f>SUM($D$33:D419)</f>
        <v>#VALUE!</v>
      </c>
      <c r="G419" s="182">
        <f t="shared" ca="1" si="50"/>
        <v>0</v>
      </c>
      <c r="H419" s="182" t="e">
        <f t="shared" si="46"/>
        <v>#VALUE!</v>
      </c>
      <c r="I419" s="183" t="e">
        <f t="shared" si="45"/>
        <v>#VALUE!</v>
      </c>
    </row>
    <row r="420" spans="1:9" x14ac:dyDescent="0.25">
      <c r="A420" s="180">
        <f t="shared" ca="1" si="47"/>
        <v>46492</v>
      </c>
      <c r="B420" s="181">
        <v>388</v>
      </c>
      <c r="C420" s="182" t="e">
        <f t="shared" si="48"/>
        <v>#VALUE!</v>
      </c>
      <c r="D420" s="182" t="e">
        <f t="shared" si="44"/>
        <v>#VALUE!</v>
      </c>
      <c r="E420" s="182" t="e">
        <f t="shared" si="49"/>
        <v>#VALUE!</v>
      </c>
      <c r="F420" s="182" t="e">
        <f>SUM($D$33:D420)</f>
        <v>#VALUE!</v>
      </c>
      <c r="G420" s="182">
        <f t="shared" ca="1" si="50"/>
        <v>0</v>
      </c>
      <c r="H420" s="182" t="e">
        <f t="shared" si="46"/>
        <v>#VALUE!</v>
      </c>
      <c r="I420" s="183" t="e">
        <f t="shared" si="45"/>
        <v>#VALUE!</v>
      </c>
    </row>
    <row r="421" spans="1:9" x14ac:dyDescent="0.25">
      <c r="A421" s="180">
        <f t="shared" ca="1" si="47"/>
        <v>46493</v>
      </c>
      <c r="B421" s="181">
        <v>389</v>
      </c>
      <c r="C421" s="182" t="e">
        <f t="shared" si="48"/>
        <v>#VALUE!</v>
      </c>
      <c r="D421" s="182" t="e">
        <f t="shared" si="44"/>
        <v>#VALUE!</v>
      </c>
      <c r="E421" s="182" t="e">
        <f t="shared" si="49"/>
        <v>#VALUE!</v>
      </c>
      <c r="F421" s="182" t="e">
        <f>SUM($D$33:D421)</f>
        <v>#VALUE!</v>
      </c>
      <c r="G421" s="182">
        <f t="shared" ca="1" si="50"/>
        <v>0</v>
      </c>
      <c r="H421" s="182" t="e">
        <f t="shared" si="46"/>
        <v>#VALUE!</v>
      </c>
      <c r="I421" s="183" t="e">
        <f t="shared" si="45"/>
        <v>#VALUE!</v>
      </c>
    </row>
    <row r="422" spans="1:9" x14ac:dyDescent="0.25">
      <c r="A422" s="180">
        <f t="shared" ca="1" si="47"/>
        <v>46494</v>
      </c>
      <c r="B422" s="181">
        <v>390</v>
      </c>
      <c r="C422" s="182" t="e">
        <f t="shared" si="48"/>
        <v>#VALUE!</v>
      </c>
      <c r="D422" s="182" t="e">
        <f t="shared" si="44"/>
        <v>#VALUE!</v>
      </c>
      <c r="E422" s="182" t="e">
        <f t="shared" si="49"/>
        <v>#VALUE!</v>
      </c>
      <c r="F422" s="182" t="e">
        <f>SUM($D$33:D422)</f>
        <v>#VALUE!</v>
      </c>
      <c r="G422" s="182">
        <f t="shared" ca="1" si="50"/>
        <v>0</v>
      </c>
      <c r="H422" s="182" t="e">
        <f t="shared" si="46"/>
        <v>#VALUE!</v>
      </c>
      <c r="I422" s="183" t="e">
        <f t="shared" si="45"/>
        <v>#VALUE!</v>
      </c>
    </row>
    <row r="423" spans="1:9" x14ac:dyDescent="0.25">
      <c r="A423" s="180">
        <f t="shared" ca="1" si="47"/>
        <v>46495</v>
      </c>
      <c r="B423" s="181">
        <v>391</v>
      </c>
      <c r="C423" s="182" t="e">
        <f t="shared" si="48"/>
        <v>#VALUE!</v>
      </c>
      <c r="D423" s="182" t="e">
        <f t="shared" si="44"/>
        <v>#VALUE!</v>
      </c>
      <c r="E423" s="182" t="e">
        <f t="shared" si="49"/>
        <v>#VALUE!</v>
      </c>
      <c r="F423" s="182" t="e">
        <f>SUM($D$33:D423)</f>
        <v>#VALUE!</v>
      </c>
      <c r="G423" s="182">
        <f t="shared" ca="1" si="50"/>
        <v>0</v>
      </c>
      <c r="H423" s="182" t="e">
        <f t="shared" si="46"/>
        <v>#VALUE!</v>
      </c>
      <c r="I423" s="183" t="e">
        <f t="shared" si="45"/>
        <v>#VALUE!</v>
      </c>
    </row>
    <row r="424" spans="1:9" x14ac:dyDescent="0.25">
      <c r="A424" s="180">
        <f t="shared" ca="1" si="47"/>
        <v>46496</v>
      </c>
      <c r="B424" s="181">
        <v>392</v>
      </c>
      <c r="C424" s="182" t="e">
        <f t="shared" si="48"/>
        <v>#VALUE!</v>
      </c>
      <c r="D424" s="182" t="e">
        <f t="shared" si="44"/>
        <v>#VALUE!</v>
      </c>
      <c r="E424" s="182" t="e">
        <f t="shared" si="49"/>
        <v>#VALUE!</v>
      </c>
      <c r="F424" s="182" t="e">
        <f>SUM($D$33:D424)</f>
        <v>#VALUE!</v>
      </c>
      <c r="G424" s="182">
        <f t="shared" ca="1" si="50"/>
        <v>0</v>
      </c>
      <c r="H424" s="182" t="e">
        <f t="shared" si="46"/>
        <v>#VALUE!</v>
      </c>
      <c r="I424" s="183" t="e">
        <f t="shared" si="45"/>
        <v>#VALUE!</v>
      </c>
    </row>
    <row r="425" spans="1:9" x14ac:dyDescent="0.25">
      <c r="A425" s="180">
        <f t="shared" ca="1" si="47"/>
        <v>46497</v>
      </c>
      <c r="B425" s="181">
        <v>393</v>
      </c>
      <c r="C425" s="182" t="e">
        <f t="shared" si="48"/>
        <v>#VALUE!</v>
      </c>
      <c r="D425" s="182" t="e">
        <f t="shared" si="44"/>
        <v>#VALUE!</v>
      </c>
      <c r="E425" s="182" t="e">
        <f t="shared" si="49"/>
        <v>#VALUE!</v>
      </c>
      <c r="F425" s="182" t="e">
        <f>SUM($D$33:D425)</f>
        <v>#VALUE!</v>
      </c>
      <c r="G425" s="182">
        <f t="shared" ca="1" si="50"/>
        <v>0</v>
      </c>
      <c r="H425" s="182" t="e">
        <f t="shared" si="46"/>
        <v>#VALUE!</v>
      </c>
      <c r="I425" s="183" t="e">
        <f t="shared" si="45"/>
        <v>#VALUE!</v>
      </c>
    </row>
    <row r="426" spans="1:9" x14ac:dyDescent="0.25">
      <c r="A426" s="180">
        <f t="shared" ca="1" si="47"/>
        <v>46498</v>
      </c>
      <c r="B426" s="181">
        <v>394</v>
      </c>
      <c r="C426" s="182" t="e">
        <f t="shared" si="48"/>
        <v>#VALUE!</v>
      </c>
      <c r="D426" s="182" t="e">
        <f t="shared" si="44"/>
        <v>#VALUE!</v>
      </c>
      <c r="E426" s="182" t="e">
        <f t="shared" si="49"/>
        <v>#VALUE!</v>
      </c>
      <c r="F426" s="182" t="e">
        <f>SUM($D$33:D426)</f>
        <v>#VALUE!</v>
      </c>
      <c r="G426" s="182">
        <f t="shared" ca="1" si="50"/>
        <v>0</v>
      </c>
      <c r="H426" s="182" t="e">
        <f t="shared" si="46"/>
        <v>#VALUE!</v>
      </c>
      <c r="I426" s="183" t="e">
        <f t="shared" si="45"/>
        <v>#VALUE!</v>
      </c>
    </row>
    <row r="427" spans="1:9" x14ac:dyDescent="0.25">
      <c r="A427" s="180">
        <f t="shared" ca="1" si="47"/>
        <v>46499</v>
      </c>
      <c r="B427" s="181">
        <v>395</v>
      </c>
      <c r="C427" s="182" t="e">
        <f t="shared" si="48"/>
        <v>#VALUE!</v>
      </c>
      <c r="D427" s="182" t="e">
        <f t="shared" si="44"/>
        <v>#VALUE!</v>
      </c>
      <c r="E427" s="182" t="e">
        <f t="shared" si="49"/>
        <v>#VALUE!</v>
      </c>
      <c r="F427" s="182" t="e">
        <f>SUM($D$33:D427)</f>
        <v>#VALUE!</v>
      </c>
      <c r="G427" s="182">
        <f t="shared" ca="1" si="50"/>
        <v>0</v>
      </c>
      <c r="H427" s="182" t="e">
        <f t="shared" si="46"/>
        <v>#VALUE!</v>
      </c>
      <c r="I427" s="183" t="e">
        <f t="shared" si="45"/>
        <v>#VALUE!</v>
      </c>
    </row>
    <row r="428" spans="1:9" x14ac:dyDescent="0.25">
      <c r="A428" s="180">
        <f t="shared" ca="1" si="47"/>
        <v>46500</v>
      </c>
      <c r="B428" s="181">
        <v>396</v>
      </c>
      <c r="C428" s="182" t="e">
        <f t="shared" si="48"/>
        <v>#VALUE!</v>
      </c>
      <c r="D428" s="182" t="e">
        <f t="shared" si="44"/>
        <v>#VALUE!</v>
      </c>
      <c r="E428" s="182" t="e">
        <f t="shared" si="49"/>
        <v>#VALUE!</v>
      </c>
      <c r="F428" s="182" t="e">
        <f>SUM($D$33:D428)</f>
        <v>#VALUE!</v>
      </c>
      <c r="G428" s="182">
        <f t="shared" ca="1" si="50"/>
        <v>0</v>
      </c>
      <c r="H428" s="182" t="e">
        <f t="shared" si="46"/>
        <v>#VALUE!</v>
      </c>
      <c r="I428" s="183" t="e">
        <f t="shared" si="45"/>
        <v>#VALUE!</v>
      </c>
    </row>
    <row r="429" spans="1:9" x14ac:dyDescent="0.25">
      <c r="A429" s="180">
        <f t="shared" ca="1" si="47"/>
        <v>46501</v>
      </c>
      <c r="B429" s="181">
        <v>397</v>
      </c>
      <c r="C429" s="182" t="e">
        <f t="shared" si="48"/>
        <v>#VALUE!</v>
      </c>
      <c r="D429" s="182" t="e">
        <f t="shared" si="44"/>
        <v>#VALUE!</v>
      </c>
      <c r="E429" s="182" t="e">
        <f t="shared" si="49"/>
        <v>#VALUE!</v>
      </c>
      <c r="F429" s="182" t="e">
        <f>SUM($D$33:D429)</f>
        <v>#VALUE!</v>
      </c>
      <c r="G429" s="182">
        <f t="shared" ca="1" si="50"/>
        <v>0</v>
      </c>
      <c r="H429" s="182" t="e">
        <f t="shared" si="46"/>
        <v>#VALUE!</v>
      </c>
      <c r="I429" s="183" t="e">
        <f t="shared" si="45"/>
        <v>#VALUE!</v>
      </c>
    </row>
    <row r="430" spans="1:9" x14ac:dyDescent="0.25">
      <c r="A430" s="180">
        <f t="shared" ca="1" si="47"/>
        <v>46502</v>
      </c>
      <c r="B430" s="181">
        <v>398</v>
      </c>
      <c r="C430" s="182" t="e">
        <f t="shared" si="48"/>
        <v>#VALUE!</v>
      </c>
      <c r="D430" s="182" t="e">
        <f t="shared" si="44"/>
        <v>#VALUE!</v>
      </c>
      <c r="E430" s="182" t="e">
        <f t="shared" si="49"/>
        <v>#VALUE!</v>
      </c>
      <c r="F430" s="182" t="e">
        <f>SUM($D$33:D430)</f>
        <v>#VALUE!</v>
      </c>
      <c r="G430" s="182">
        <f t="shared" ca="1" si="50"/>
        <v>0</v>
      </c>
      <c r="H430" s="182" t="e">
        <f t="shared" si="46"/>
        <v>#VALUE!</v>
      </c>
      <c r="I430" s="183" t="e">
        <f t="shared" si="45"/>
        <v>#VALUE!</v>
      </c>
    </row>
    <row r="431" spans="1:9" x14ac:dyDescent="0.25">
      <c r="A431" s="180">
        <f t="shared" ca="1" si="47"/>
        <v>46503</v>
      </c>
      <c r="B431" s="181">
        <v>399</v>
      </c>
      <c r="C431" s="182" t="e">
        <f t="shared" si="48"/>
        <v>#VALUE!</v>
      </c>
      <c r="D431" s="182" t="e">
        <f t="shared" si="44"/>
        <v>#VALUE!</v>
      </c>
      <c r="E431" s="182" t="e">
        <f t="shared" si="49"/>
        <v>#VALUE!</v>
      </c>
      <c r="F431" s="182" t="e">
        <f>SUM($D$33:D431)</f>
        <v>#VALUE!</v>
      </c>
      <c r="G431" s="182">
        <f t="shared" ca="1" si="50"/>
        <v>0</v>
      </c>
      <c r="H431" s="182" t="e">
        <f t="shared" si="46"/>
        <v>#VALUE!</v>
      </c>
      <c r="I431" s="183" t="e">
        <f t="shared" si="45"/>
        <v>#VALUE!</v>
      </c>
    </row>
    <row r="432" spans="1:9" x14ac:dyDescent="0.25">
      <c r="A432" s="180">
        <f t="shared" ca="1" si="47"/>
        <v>46504</v>
      </c>
      <c r="B432" s="181">
        <v>400</v>
      </c>
      <c r="C432" s="182" t="e">
        <f t="shared" si="48"/>
        <v>#VALUE!</v>
      </c>
      <c r="D432" s="182" t="e">
        <f t="shared" si="44"/>
        <v>#VALUE!</v>
      </c>
      <c r="E432" s="182" t="e">
        <f t="shared" si="49"/>
        <v>#VALUE!</v>
      </c>
      <c r="F432" s="182" t="e">
        <f>SUM($D$33:D432)</f>
        <v>#VALUE!</v>
      </c>
      <c r="G432" s="182">
        <f t="shared" ca="1" si="50"/>
        <v>0</v>
      </c>
      <c r="H432" s="182" t="e">
        <f t="shared" si="46"/>
        <v>#VALUE!</v>
      </c>
      <c r="I432" s="183" t="e">
        <f t="shared" si="45"/>
        <v>#VALUE!</v>
      </c>
    </row>
    <row r="433" spans="1:9" x14ac:dyDescent="0.25">
      <c r="A433" s="180">
        <f t="shared" ca="1" si="47"/>
        <v>46505</v>
      </c>
      <c r="B433" s="181">
        <v>401</v>
      </c>
      <c r="C433" s="182" t="e">
        <f t="shared" si="48"/>
        <v>#VALUE!</v>
      </c>
      <c r="D433" s="182" t="e">
        <f t="shared" si="44"/>
        <v>#VALUE!</v>
      </c>
      <c r="E433" s="182" t="e">
        <f t="shared" si="49"/>
        <v>#VALUE!</v>
      </c>
      <c r="F433" s="182" t="e">
        <f>SUM($D$33:D433)</f>
        <v>#VALUE!</v>
      </c>
      <c r="G433" s="182">
        <f t="shared" ca="1" si="50"/>
        <v>0</v>
      </c>
      <c r="H433" s="182" t="e">
        <f t="shared" si="46"/>
        <v>#VALUE!</v>
      </c>
      <c r="I433" s="183" t="e">
        <f t="shared" si="45"/>
        <v>#VALUE!</v>
      </c>
    </row>
    <row r="434" spans="1:9" x14ac:dyDescent="0.25">
      <c r="A434" s="180">
        <f t="shared" ca="1" si="47"/>
        <v>46506</v>
      </c>
      <c r="B434" s="181">
        <v>402</v>
      </c>
      <c r="C434" s="182" t="e">
        <f t="shared" si="48"/>
        <v>#VALUE!</v>
      </c>
      <c r="D434" s="182" t="e">
        <f t="shared" si="44"/>
        <v>#VALUE!</v>
      </c>
      <c r="E434" s="182" t="e">
        <f t="shared" si="49"/>
        <v>#VALUE!</v>
      </c>
      <c r="F434" s="182" t="e">
        <f>SUM($D$33:D434)</f>
        <v>#VALUE!</v>
      </c>
      <c r="G434" s="182">
        <f t="shared" ca="1" si="50"/>
        <v>0</v>
      </c>
      <c r="H434" s="182" t="e">
        <f t="shared" si="46"/>
        <v>#VALUE!</v>
      </c>
      <c r="I434" s="183" t="e">
        <f t="shared" si="45"/>
        <v>#VALUE!</v>
      </c>
    </row>
    <row r="435" spans="1:9" x14ac:dyDescent="0.25">
      <c r="A435" s="180">
        <f t="shared" ca="1" si="47"/>
        <v>46507</v>
      </c>
      <c r="B435" s="181">
        <v>403</v>
      </c>
      <c r="C435" s="182" t="e">
        <f t="shared" si="48"/>
        <v>#VALUE!</v>
      </c>
      <c r="D435" s="182" t="e">
        <f t="shared" si="44"/>
        <v>#VALUE!</v>
      </c>
      <c r="E435" s="182" t="e">
        <f t="shared" si="49"/>
        <v>#VALUE!</v>
      </c>
      <c r="F435" s="182" t="e">
        <f>SUM($D$33:D435)</f>
        <v>#VALUE!</v>
      </c>
      <c r="G435" s="182">
        <f t="shared" ca="1" si="50"/>
        <v>0</v>
      </c>
      <c r="H435" s="182" t="e">
        <f t="shared" si="46"/>
        <v>#VALUE!</v>
      </c>
      <c r="I435" s="183" t="e">
        <f t="shared" si="45"/>
        <v>#VALUE!</v>
      </c>
    </row>
    <row r="436" spans="1:9" x14ac:dyDescent="0.25">
      <c r="A436" s="180">
        <f t="shared" ca="1" si="47"/>
        <v>46508</v>
      </c>
      <c r="B436" s="181">
        <v>404</v>
      </c>
      <c r="C436" s="182" t="e">
        <f t="shared" si="48"/>
        <v>#VALUE!</v>
      </c>
      <c r="D436" s="182" t="e">
        <f t="shared" si="44"/>
        <v>#VALUE!</v>
      </c>
      <c r="E436" s="182" t="e">
        <f t="shared" si="49"/>
        <v>#VALUE!</v>
      </c>
      <c r="F436" s="182" t="e">
        <f>SUM($D$33:D436)</f>
        <v>#VALUE!</v>
      </c>
      <c r="G436" s="182">
        <f t="shared" ca="1" si="50"/>
        <v>0</v>
      </c>
      <c r="H436" s="182" t="e">
        <f t="shared" si="46"/>
        <v>#VALUE!</v>
      </c>
      <c r="I436" s="183" t="e">
        <f t="shared" si="45"/>
        <v>#VALUE!</v>
      </c>
    </row>
    <row r="437" spans="1:9" x14ac:dyDescent="0.25">
      <c r="A437" s="180">
        <f t="shared" ca="1" si="47"/>
        <v>46509</v>
      </c>
      <c r="B437" s="181">
        <v>405</v>
      </c>
      <c r="C437" s="182" t="e">
        <f t="shared" si="48"/>
        <v>#VALUE!</v>
      </c>
      <c r="D437" s="182" t="e">
        <f t="shared" si="44"/>
        <v>#VALUE!</v>
      </c>
      <c r="E437" s="182" t="e">
        <f t="shared" si="49"/>
        <v>#VALUE!</v>
      </c>
      <c r="F437" s="182" t="e">
        <f>SUM($D$33:D437)</f>
        <v>#VALUE!</v>
      </c>
      <c r="G437" s="182">
        <f t="shared" ca="1" si="50"/>
        <v>0</v>
      </c>
      <c r="H437" s="182" t="e">
        <f t="shared" si="46"/>
        <v>#VALUE!</v>
      </c>
      <c r="I437" s="183" t="e">
        <f t="shared" si="45"/>
        <v>#VALUE!</v>
      </c>
    </row>
    <row r="438" spans="1:9" x14ac:dyDescent="0.25">
      <c r="A438" s="180">
        <f t="shared" ca="1" si="47"/>
        <v>46510</v>
      </c>
      <c r="B438" s="181">
        <v>406</v>
      </c>
      <c r="C438" s="182" t="e">
        <f t="shared" si="48"/>
        <v>#VALUE!</v>
      </c>
      <c r="D438" s="182" t="e">
        <f t="shared" si="44"/>
        <v>#VALUE!</v>
      </c>
      <c r="E438" s="182" t="e">
        <f t="shared" si="49"/>
        <v>#VALUE!</v>
      </c>
      <c r="F438" s="182" t="e">
        <f>SUM($D$33:D438)</f>
        <v>#VALUE!</v>
      </c>
      <c r="G438" s="182">
        <f t="shared" ca="1" si="50"/>
        <v>0</v>
      </c>
      <c r="H438" s="182" t="e">
        <f t="shared" si="46"/>
        <v>#VALUE!</v>
      </c>
      <c r="I438" s="183" t="e">
        <f t="shared" si="45"/>
        <v>#VALUE!</v>
      </c>
    </row>
    <row r="439" spans="1:9" x14ac:dyDescent="0.25">
      <c r="A439" s="180">
        <f t="shared" ca="1" si="47"/>
        <v>46511</v>
      </c>
      <c r="B439" s="181">
        <v>407</v>
      </c>
      <c r="C439" s="182" t="e">
        <f t="shared" si="48"/>
        <v>#VALUE!</v>
      </c>
      <c r="D439" s="182" t="e">
        <f t="shared" si="44"/>
        <v>#VALUE!</v>
      </c>
      <c r="E439" s="182" t="e">
        <f t="shared" si="49"/>
        <v>#VALUE!</v>
      </c>
      <c r="F439" s="182" t="e">
        <f>SUM($D$33:D439)</f>
        <v>#VALUE!</v>
      </c>
      <c r="G439" s="182">
        <f t="shared" ca="1" si="50"/>
        <v>0</v>
      </c>
      <c r="H439" s="182" t="e">
        <f t="shared" si="46"/>
        <v>#VALUE!</v>
      </c>
      <c r="I439" s="183" t="e">
        <f t="shared" si="45"/>
        <v>#VALUE!</v>
      </c>
    </row>
    <row r="440" spans="1:9" x14ac:dyDescent="0.25">
      <c r="A440" s="180">
        <f t="shared" ca="1" si="47"/>
        <v>46512</v>
      </c>
      <c r="B440" s="181">
        <v>408</v>
      </c>
      <c r="C440" s="182" t="e">
        <f t="shared" si="48"/>
        <v>#VALUE!</v>
      </c>
      <c r="D440" s="182" t="e">
        <f t="shared" si="44"/>
        <v>#VALUE!</v>
      </c>
      <c r="E440" s="182" t="e">
        <f t="shared" si="49"/>
        <v>#VALUE!</v>
      </c>
      <c r="F440" s="182" t="e">
        <f>SUM($D$33:D440)</f>
        <v>#VALUE!</v>
      </c>
      <c r="G440" s="182">
        <f t="shared" ca="1" si="50"/>
        <v>0</v>
      </c>
      <c r="H440" s="182" t="e">
        <f t="shared" si="46"/>
        <v>#VALUE!</v>
      </c>
      <c r="I440" s="183" t="e">
        <f t="shared" si="45"/>
        <v>#VALUE!</v>
      </c>
    </row>
    <row r="441" spans="1:9" x14ac:dyDescent="0.25">
      <c r="A441" s="180">
        <f t="shared" ca="1" si="47"/>
        <v>46513</v>
      </c>
      <c r="B441" s="181">
        <v>409</v>
      </c>
      <c r="C441" s="182" t="e">
        <f t="shared" si="48"/>
        <v>#VALUE!</v>
      </c>
      <c r="D441" s="182" t="e">
        <f t="shared" si="44"/>
        <v>#VALUE!</v>
      </c>
      <c r="E441" s="182" t="e">
        <f t="shared" si="49"/>
        <v>#VALUE!</v>
      </c>
      <c r="F441" s="182" t="e">
        <f>SUM($D$33:D441)</f>
        <v>#VALUE!</v>
      </c>
      <c r="G441" s="182">
        <f t="shared" ca="1" si="50"/>
        <v>0</v>
      </c>
      <c r="H441" s="182" t="e">
        <f t="shared" si="46"/>
        <v>#VALUE!</v>
      </c>
      <c r="I441" s="183" t="e">
        <f t="shared" si="45"/>
        <v>#VALUE!</v>
      </c>
    </row>
    <row r="442" spans="1:9" x14ac:dyDescent="0.25">
      <c r="A442" s="180">
        <f t="shared" ca="1" si="47"/>
        <v>46514</v>
      </c>
      <c r="B442" s="181">
        <v>410</v>
      </c>
      <c r="C442" s="182" t="e">
        <f t="shared" si="48"/>
        <v>#VALUE!</v>
      </c>
      <c r="D442" s="182" t="e">
        <f t="shared" si="44"/>
        <v>#VALUE!</v>
      </c>
      <c r="E442" s="182" t="e">
        <f t="shared" si="49"/>
        <v>#VALUE!</v>
      </c>
      <c r="F442" s="182" t="e">
        <f>SUM($D$33:D442)</f>
        <v>#VALUE!</v>
      </c>
      <c r="G442" s="182">
        <f t="shared" ca="1" si="50"/>
        <v>0</v>
      </c>
      <c r="H442" s="182" t="e">
        <f t="shared" si="46"/>
        <v>#VALUE!</v>
      </c>
      <c r="I442" s="183" t="e">
        <f t="shared" si="45"/>
        <v>#VALUE!</v>
      </c>
    </row>
    <row r="443" spans="1:9" x14ac:dyDescent="0.25">
      <c r="A443" s="180">
        <f t="shared" ca="1" si="47"/>
        <v>46515</v>
      </c>
      <c r="B443" s="181">
        <v>411</v>
      </c>
      <c r="C443" s="182" t="e">
        <f t="shared" si="48"/>
        <v>#VALUE!</v>
      </c>
      <c r="D443" s="182" t="e">
        <f t="shared" si="44"/>
        <v>#VALUE!</v>
      </c>
      <c r="E443" s="182" t="e">
        <f t="shared" si="49"/>
        <v>#VALUE!</v>
      </c>
      <c r="F443" s="182" t="e">
        <f>SUM($D$33:D443)</f>
        <v>#VALUE!</v>
      </c>
      <c r="G443" s="182">
        <f t="shared" ca="1" si="50"/>
        <v>0</v>
      </c>
      <c r="H443" s="182" t="e">
        <f t="shared" si="46"/>
        <v>#VALUE!</v>
      </c>
      <c r="I443" s="183" t="e">
        <f t="shared" si="45"/>
        <v>#VALUE!</v>
      </c>
    </row>
    <row r="444" spans="1:9" x14ac:dyDescent="0.25">
      <c r="A444" s="180">
        <f t="shared" ca="1" si="47"/>
        <v>46516</v>
      </c>
      <c r="B444" s="181">
        <v>412</v>
      </c>
      <c r="C444" s="182" t="e">
        <f t="shared" si="48"/>
        <v>#VALUE!</v>
      </c>
      <c r="D444" s="182" t="e">
        <f t="shared" si="44"/>
        <v>#VALUE!</v>
      </c>
      <c r="E444" s="182" t="e">
        <f t="shared" si="49"/>
        <v>#VALUE!</v>
      </c>
      <c r="F444" s="182" t="e">
        <f>SUM($D$33:D444)</f>
        <v>#VALUE!</v>
      </c>
      <c r="G444" s="182">
        <f t="shared" ca="1" si="50"/>
        <v>0</v>
      </c>
      <c r="H444" s="182" t="e">
        <f t="shared" si="46"/>
        <v>#VALUE!</v>
      </c>
      <c r="I444" s="183" t="e">
        <f t="shared" si="45"/>
        <v>#VALUE!</v>
      </c>
    </row>
    <row r="445" spans="1:9" x14ac:dyDescent="0.25">
      <c r="A445" s="180">
        <f t="shared" ca="1" si="47"/>
        <v>46517</v>
      </c>
      <c r="B445" s="181">
        <v>413</v>
      </c>
      <c r="C445" s="182" t="e">
        <f t="shared" si="48"/>
        <v>#VALUE!</v>
      </c>
      <c r="D445" s="182" t="e">
        <f t="shared" si="44"/>
        <v>#VALUE!</v>
      </c>
      <c r="E445" s="182" t="e">
        <f t="shared" si="49"/>
        <v>#VALUE!</v>
      </c>
      <c r="F445" s="182" t="e">
        <f>SUM($D$33:D445)</f>
        <v>#VALUE!</v>
      </c>
      <c r="G445" s="182">
        <f t="shared" ca="1" si="50"/>
        <v>0</v>
      </c>
      <c r="H445" s="182" t="e">
        <f t="shared" si="46"/>
        <v>#VALUE!</v>
      </c>
      <c r="I445" s="183" t="e">
        <f t="shared" si="45"/>
        <v>#VALUE!</v>
      </c>
    </row>
    <row r="446" spans="1:9" x14ac:dyDescent="0.25">
      <c r="A446" s="180">
        <f t="shared" ca="1" si="47"/>
        <v>46518</v>
      </c>
      <c r="B446" s="181">
        <v>414</v>
      </c>
      <c r="C446" s="182" t="e">
        <f t="shared" si="48"/>
        <v>#VALUE!</v>
      </c>
      <c r="D446" s="182" t="e">
        <f t="shared" si="44"/>
        <v>#VALUE!</v>
      </c>
      <c r="E446" s="182" t="e">
        <f t="shared" si="49"/>
        <v>#VALUE!</v>
      </c>
      <c r="F446" s="182" t="e">
        <f>SUM($D$33:D446)</f>
        <v>#VALUE!</v>
      </c>
      <c r="G446" s="182">
        <f t="shared" ca="1" si="50"/>
        <v>0</v>
      </c>
      <c r="H446" s="182" t="e">
        <f t="shared" si="46"/>
        <v>#VALUE!</v>
      </c>
      <c r="I446" s="183" t="e">
        <f t="shared" si="45"/>
        <v>#VALUE!</v>
      </c>
    </row>
    <row r="447" spans="1:9" x14ac:dyDescent="0.25">
      <c r="A447" s="180">
        <f t="shared" ca="1" si="47"/>
        <v>46519</v>
      </c>
      <c r="B447" s="181">
        <v>415</v>
      </c>
      <c r="C447" s="182" t="e">
        <f t="shared" si="48"/>
        <v>#VALUE!</v>
      </c>
      <c r="D447" s="182" t="e">
        <f t="shared" si="44"/>
        <v>#VALUE!</v>
      </c>
      <c r="E447" s="182" t="e">
        <f t="shared" si="49"/>
        <v>#VALUE!</v>
      </c>
      <c r="F447" s="182" t="e">
        <f>SUM($D$33:D447)</f>
        <v>#VALUE!</v>
      </c>
      <c r="G447" s="182">
        <f t="shared" ca="1" si="50"/>
        <v>0</v>
      </c>
      <c r="H447" s="182" t="e">
        <f t="shared" si="46"/>
        <v>#VALUE!</v>
      </c>
      <c r="I447" s="183" t="e">
        <f t="shared" si="45"/>
        <v>#VALUE!</v>
      </c>
    </row>
    <row r="448" spans="1:9" x14ac:dyDescent="0.25">
      <c r="A448" s="180">
        <f t="shared" ca="1" si="47"/>
        <v>46520</v>
      </c>
      <c r="B448" s="181">
        <v>416</v>
      </c>
      <c r="C448" s="182" t="e">
        <f t="shared" si="48"/>
        <v>#VALUE!</v>
      </c>
      <c r="D448" s="182" t="e">
        <f t="shared" si="44"/>
        <v>#VALUE!</v>
      </c>
      <c r="E448" s="182" t="e">
        <f t="shared" si="49"/>
        <v>#VALUE!</v>
      </c>
      <c r="F448" s="182" t="e">
        <f>SUM($D$33:D448)</f>
        <v>#VALUE!</v>
      </c>
      <c r="G448" s="182">
        <f t="shared" ca="1" si="50"/>
        <v>0</v>
      </c>
      <c r="H448" s="182" t="e">
        <f t="shared" si="46"/>
        <v>#VALUE!</v>
      </c>
      <c r="I448" s="183" t="e">
        <f t="shared" si="45"/>
        <v>#VALUE!</v>
      </c>
    </row>
    <row r="449" spans="1:9" x14ac:dyDescent="0.25">
      <c r="A449" s="180">
        <f t="shared" ca="1" si="47"/>
        <v>46521</v>
      </c>
      <c r="B449" s="181">
        <v>417</v>
      </c>
      <c r="C449" s="182" t="e">
        <f t="shared" si="48"/>
        <v>#VALUE!</v>
      </c>
      <c r="D449" s="182" t="e">
        <f t="shared" si="44"/>
        <v>#VALUE!</v>
      </c>
      <c r="E449" s="182" t="e">
        <f t="shared" si="49"/>
        <v>#VALUE!</v>
      </c>
      <c r="F449" s="182" t="e">
        <f>SUM($D$33:D449)</f>
        <v>#VALUE!</v>
      </c>
      <c r="G449" s="182">
        <f t="shared" ca="1" si="50"/>
        <v>0</v>
      </c>
      <c r="H449" s="182" t="e">
        <f t="shared" si="46"/>
        <v>#VALUE!</v>
      </c>
      <c r="I449" s="183" t="e">
        <f t="shared" si="45"/>
        <v>#VALUE!</v>
      </c>
    </row>
    <row r="450" spans="1:9" x14ac:dyDescent="0.25">
      <c r="A450" s="180">
        <f t="shared" ca="1" si="47"/>
        <v>46522</v>
      </c>
      <c r="B450" s="181">
        <v>418</v>
      </c>
      <c r="C450" s="182" t="e">
        <f t="shared" si="48"/>
        <v>#VALUE!</v>
      </c>
      <c r="D450" s="182" t="e">
        <f t="shared" si="44"/>
        <v>#VALUE!</v>
      </c>
      <c r="E450" s="182" t="e">
        <f t="shared" si="49"/>
        <v>#VALUE!</v>
      </c>
      <c r="F450" s="182" t="e">
        <f>SUM($D$33:D450)</f>
        <v>#VALUE!</v>
      </c>
      <c r="G450" s="182">
        <f t="shared" ca="1" si="50"/>
        <v>0</v>
      </c>
      <c r="H450" s="182" t="e">
        <f t="shared" si="46"/>
        <v>#VALUE!</v>
      </c>
      <c r="I450" s="183" t="e">
        <f t="shared" si="45"/>
        <v>#VALUE!</v>
      </c>
    </row>
    <row r="451" spans="1:9" x14ac:dyDescent="0.25">
      <c r="A451" s="180">
        <f t="shared" ca="1" si="47"/>
        <v>46523</v>
      </c>
      <c r="B451" s="181">
        <v>419</v>
      </c>
      <c r="C451" s="182" t="e">
        <f t="shared" si="48"/>
        <v>#VALUE!</v>
      </c>
      <c r="D451" s="182" t="e">
        <f t="shared" si="44"/>
        <v>#VALUE!</v>
      </c>
      <c r="E451" s="182" t="e">
        <f t="shared" si="49"/>
        <v>#VALUE!</v>
      </c>
      <c r="F451" s="182" t="e">
        <f>SUM($D$33:D451)</f>
        <v>#VALUE!</v>
      </c>
      <c r="G451" s="182">
        <f t="shared" ca="1" si="50"/>
        <v>0</v>
      </c>
      <c r="H451" s="182" t="e">
        <f t="shared" si="46"/>
        <v>#VALUE!</v>
      </c>
      <c r="I451" s="183" t="e">
        <f t="shared" si="45"/>
        <v>#VALUE!</v>
      </c>
    </row>
    <row r="452" spans="1:9" x14ac:dyDescent="0.25">
      <c r="A452" s="180">
        <f t="shared" ca="1" si="47"/>
        <v>46524</v>
      </c>
      <c r="B452" s="181">
        <v>420</v>
      </c>
      <c r="C452" s="182" t="e">
        <f t="shared" si="48"/>
        <v>#VALUE!</v>
      </c>
      <c r="D452" s="182" t="e">
        <f t="shared" si="44"/>
        <v>#VALUE!</v>
      </c>
      <c r="E452" s="182" t="e">
        <f t="shared" si="49"/>
        <v>#VALUE!</v>
      </c>
      <c r="F452" s="182" t="e">
        <f>SUM($D$33:D452)</f>
        <v>#VALUE!</v>
      </c>
      <c r="G452" s="182">
        <f t="shared" ca="1" si="50"/>
        <v>0</v>
      </c>
      <c r="H452" s="182" t="e">
        <f t="shared" si="46"/>
        <v>#VALUE!</v>
      </c>
      <c r="I452" s="183" t="e">
        <f t="shared" si="45"/>
        <v>#VALUE!</v>
      </c>
    </row>
    <row r="453" spans="1:9" x14ac:dyDescent="0.25">
      <c r="A453" s="180">
        <f t="shared" ca="1" si="47"/>
        <v>46525</v>
      </c>
      <c r="B453" s="181">
        <v>421</v>
      </c>
      <c r="C453" s="182" t="e">
        <f t="shared" si="48"/>
        <v>#VALUE!</v>
      </c>
      <c r="D453" s="182" t="e">
        <f t="shared" si="44"/>
        <v>#VALUE!</v>
      </c>
      <c r="E453" s="182" t="e">
        <f t="shared" si="49"/>
        <v>#VALUE!</v>
      </c>
      <c r="F453" s="182" t="e">
        <f>SUM($D$33:D453)</f>
        <v>#VALUE!</v>
      </c>
      <c r="G453" s="182">
        <f t="shared" ca="1" si="50"/>
        <v>0</v>
      </c>
      <c r="H453" s="182" t="e">
        <f t="shared" si="46"/>
        <v>#VALUE!</v>
      </c>
      <c r="I453" s="183" t="e">
        <f t="shared" si="45"/>
        <v>#VALUE!</v>
      </c>
    </row>
    <row r="454" spans="1:9" x14ac:dyDescent="0.25">
      <c r="A454" s="180">
        <f t="shared" ca="1" si="47"/>
        <v>46526</v>
      </c>
      <c r="B454" s="181">
        <v>422</v>
      </c>
      <c r="C454" s="182" t="e">
        <f t="shared" si="48"/>
        <v>#VALUE!</v>
      </c>
      <c r="D454" s="182" t="e">
        <f t="shared" si="44"/>
        <v>#VALUE!</v>
      </c>
      <c r="E454" s="182" t="e">
        <f t="shared" si="49"/>
        <v>#VALUE!</v>
      </c>
      <c r="F454" s="182" t="e">
        <f>SUM($D$33:D454)</f>
        <v>#VALUE!</v>
      </c>
      <c r="G454" s="182">
        <f t="shared" ca="1" si="50"/>
        <v>0</v>
      </c>
      <c r="H454" s="182" t="e">
        <f t="shared" si="46"/>
        <v>#VALUE!</v>
      </c>
      <c r="I454" s="183" t="e">
        <f t="shared" si="45"/>
        <v>#VALUE!</v>
      </c>
    </row>
    <row r="455" spans="1:9" x14ac:dyDescent="0.25">
      <c r="A455" s="180">
        <f t="shared" ca="1" si="47"/>
        <v>46527</v>
      </c>
      <c r="B455" s="181">
        <v>423</v>
      </c>
      <c r="C455" s="182" t="e">
        <f t="shared" si="48"/>
        <v>#VALUE!</v>
      </c>
      <c r="D455" s="182" t="e">
        <f t="shared" si="44"/>
        <v>#VALUE!</v>
      </c>
      <c r="E455" s="182" t="e">
        <f t="shared" si="49"/>
        <v>#VALUE!</v>
      </c>
      <c r="F455" s="182" t="e">
        <f>SUM($D$33:D455)</f>
        <v>#VALUE!</v>
      </c>
      <c r="G455" s="182">
        <f t="shared" ca="1" si="50"/>
        <v>0</v>
      </c>
      <c r="H455" s="182" t="e">
        <f t="shared" si="46"/>
        <v>#VALUE!</v>
      </c>
      <c r="I455" s="183" t="e">
        <f t="shared" si="45"/>
        <v>#VALUE!</v>
      </c>
    </row>
    <row r="456" spans="1:9" x14ac:dyDescent="0.25">
      <c r="A456" s="180">
        <f t="shared" ca="1" si="47"/>
        <v>46528</v>
      </c>
      <c r="B456" s="181">
        <v>424</v>
      </c>
      <c r="C456" s="182" t="e">
        <f t="shared" si="48"/>
        <v>#VALUE!</v>
      </c>
      <c r="D456" s="182" t="e">
        <f t="shared" si="44"/>
        <v>#VALUE!</v>
      </c>
      <c r="E456" s="182" t="e">
        <f t="shared" si="49"/>
        <v>#VALUE!</v>
      </c>
      <c r="F456" s="182" t="e">
        <f>SUM($D$33:D456)</f>
        <v>#VALUE!</v>
      </c>
      <c r="G456" s="182">
        <f t="shared" ca="1" si="50"/>
        <v>0</v>
      </c>
      <c r="H456" s="182" t="e">
        <f t="shared" si="46"/>
        <v>#VALUE!</v>
      </c>
      <c r="I456" s="183" t="e">
        <f t="shared" si="45"/>
        <v>#VALUE!</v>
      </c>
    </row>
    <row r="457" spans="1:9" x14ac:dyDescent="0.25">
      <c r="A457" s="180">
        <f t="shared" ca="1" si="47"/>
        <v>46529</v>
      </c>
      <c r="B457" s="181">
        <v>425</v>
      </c>
      <c r="C457" s="182" t="e">
        <f t="shared" si="48"/>
        <v>#VALUE!</v>
      </c>
      <c r="D457" s="182" t="e">
        <f t="shared" si="44"/>
        <v>#VALUE!</v>
      </c>
      <c r="E457" s="182" t="e">
        <f t="shared" si="49"/>
        <v>#VALUE!</v>
      </c>
      <c r="F457" s="182" t="e">
        <f>SUM($D$33:D457)</f>
        <v>#VALUE!</v>
      </c>
      <c r="G457" s="182">
        <f t="shared" ca="1" si="50"/>
        <v>0</v>
      </c>
      <c r="H457" s="182" t="e">
        <f t="shared" si="46"/>
        <v>#VALUE!</v>
      </c>
      <c r="I457" s="183" t="e">
        <f t="shared" si="45"/>
        <v>#VALUE!</v>
      </c>
    </row>
    <row r="458" spans="1:9" x14ac:dyDescent="0.25">
      <c r="A458" s="180">
        <f t="shared" ca="1" si="47"/>
        <v>46530</v>
      </c>
      <c r="B458" s="181">
        <v>426</v>
      </c>
      <c r="C458" s="182" t="e">
        <f t="shared" si="48"/>
        <v>#VALUE!</v>
      </c>
      <c r="D458" s="182" t="e">
        <f t="shared" si="44"/>
        <v>#VALUE!</v>
      </c>
      <c r="E458" s="182" t="e">
        <f t="shared" si="49"/>
        <v>#VALUE!</v>
      </c>
      <c r="F458" s="182" t="e">
        <f>SUM($D$33:D458)</f>
        <v>#VALUE!</v>
      </c>
      <c r="G458" s="182">
        <f t="shared" ca="1" si="50"/>
        <v>0</v>
      </c>
      <c r="H458" s="182" t="e">
        <f t="shared" si="46"/>
        <v>#VALUE!</v>
      </c>
      <c r="I458" s="183" t="e">
        <f t="shared" si="45"/>
        <v>#VALUE!</v>
      </c>
    </row>
    <row r="459" spans="1:9" x14ac:dyDescent="0.25">
      <c r="A459" s="180">
        <f t="shared" ca="1" si="47"/>
        <v>46531</v>
      </c>
      <c r="B459" s="181">
        <v>427</v>
      </c>
      <c r="C459" s="182" t="e">
        <f t="shared" si="48"/>
        <v>#VALUE!</v>
      </c>
      <c r="D459" s="182" t="e">
        <f t="shared" si="44"/>
        <v>#VALUE!</v>
      </c>
      <c r="E459" s="182" t="e">
        <f t="shared" si="49"/>
        <v>#VALUE!</v>
      </c>
      <c r="F459" s="182" t="e">
        <f>SUM($D$33:D459)</f>
        <v>#VALUE!</v>
      </c>
      <c r="G459" s="182">
        <f t="shared" ca="1" si="50"/>
        <v>0</v>
      </c>
      <c r="H459" s="182" t="e">
        <f t="shared" si="46"/>
        <v>#VALUE!</v>
      </c>
      <c r="I459" s="183" t="e">
        <f t="shared" si="45"/>
        <v>#VALUE!</v>
      </c>
    </row>
    <row r="460" spans="1:9" x14ac:dyDescent="0.25">
      <c r="A460" s="180">
        <f t="shared" ca="1" si="47"/>
        <v>46532</v>
      </c>
      <c r="B460" s="181">
        <v>428</v>
      </c>
      <c r="C460" s="182" t="e">
        <f t="shared" si="48"/>
        <v>#VALUE!</v>
      </c>
      <c r="D460" s="182" t="e">
        <f t="shared" si="44"/>
        <v>#VALUE!</v>
      </c>
      <c r="E460" s="182" t="e">
        <f t="shared" si="49"/>
        <v>#VALUE!</v>
      </c>
      <c r="F460" s="182" t="e">
        <f>SUM($D$33:D460)</f>
        <v>#VALUE!</v>
      </c>
      <c r="G460" s="182">
        <f t="shared" ca="1" si="50"/>
        <v>0</v>
      </c>
      <c r="H460" s="182" t="e">
        <f t="shared" si="46"/>
        <v>#VALUE!</v>
      </c>
      <c r="I460" s="183" t="e">
        <f t="shared" si="45"/>
        <v>#VALUE!</v>
      </c>
    </row>
    <row r="461" spans="1:9" x14ac:dyDescent="0.25">
      <c r="A461" s="180">
        <f t="shared" ca="1" si="47"/>
        <v>46533</v>
      </c>
      <c r="B461" s="181">
        <v>429</v>
      </c>
      <c r="C461" s="182" t="e">
        <f t="shared" si="48"/>
        <v>#VALUE!</v>
      </c>
      <c r="D461" s="182" t="e">
        <f t="shared" ref="D461:D524" si="51">IF(C461&gt;$H$21,C461*($L$16/360),$H$21*($L$16/360))</f>
        <v>#VALUE!</v>
      </c>
      <c r="E461" s="182" t="e">
        <f t="shared" si="49"/>
        <v>#VALUE!</v>
      </c>
      <c r="F461" s="182" t="e">
        <f>SUM($D$33:D461)</f>
        <v>#VALUE!</v>
      </c>
      <c r="G461" s="182">
        <f t="shared" ca="1" si="50"/>
        <v>0</v>
      </c>
      <c r="H461" s="182" t="e">
        <f t="shared" si="46"/>
        <v>#VALUE!</v>
      </c>
      <c r="I461" s="183" t="e">
        <f t="shared" ref="I461:I524" si="52">(C461+D461-E461)</f>
        <v>#VALUE!</v>
      </c>
    </row>
    <row r="462" spans="1:9" x14ac:dyDescent="0.25">
      <c r="A462" s="180">
        <f t="shared" ca="1" si="47"/>
        <v>46534</v>
      </c>
      <c r="B462" s="181">
        <v>430</v>
      </c>
      <c r="C462" s="182" t="e">
        <f t="shared" si="48"/>
        <v>#VALUE!</v>
      </c>
      <c r="D462" s="182" t="e">
        <f t="shared" si="51"/>
        <v>#VALUE!</v>
      </c>
      <c r="E462" s="182" t="e">
        <f t="shared" si="49"/>
        <v>#VALUE!</v>
      </c>
      <c r="F462" s="182" t="e">
        <f>SUM($D$33:D462)</f>
        <v>#VALUE!</v>
      </c>
      <c r="G462" s="182">
        <f t="shared" ca="1" si="50"/>
        <v>0</v>
      </c>
      <c r="H462" s="182" t="e">
        <f t="shared" si="46"/>
        <v>#VALUE!</v>
      </c>
      <c r="I462" s="183" t="e">
        <f t="shared" si="52"/>
        <v>#VALUE!</v>
      </c>
    </row>
    <row r="463" spans="1:9" x14ac:dyDescent="0.25">
      <c r="A463" s="180">
        <f t="shared" ca="1" si="47"/>
        <v>46535</v>
      </c>
      <c r="B463" s="181">
        <v>431</v>
      </c>
      <c r="C463" s="182" t="e">
        <f t="shared" si="48"/>
        <v>#VALUE!</v>
      </c>
      <c r="D463" s="182" t="e">
        <f t="shared" si="51"/>
        <v>#VALUE!</v>
      </c>
      <c r="E463" s="182" t="e">
        <f t="shared" si="49"/>
        <v>#VALUE!</v>
      </c>
      <c r="F463" s="182" t="e">
        <f>SUM($D$33:D463)</f>
        <v>#VALUE!</v>
      </c>
      <c r="G463" s="182">
        <f t="shared" ca="1" si="50"/>
        <v>0</v>
      </c>
      <c r="H463" s="182" t="e">
        <f t="shared" si="46"/>
        <v>#VALUE!</v>
      </c>
      <c r="I463" s="183" t="e">
        <f t="shared" si="52"/>
        <v>#VALUE!</v>
      </c>
    </row>
    <row r="464" spans="1:9" x14ac:dyDescent="0.25">
      <c r="A464" s="180">
        <f t="shared" ca="1" si="47"/>
        <v>46536</v>
      </c>
      <c r="B464" s="181">
        <v>432</v>
      </c>
      <c r="C464" s="182" t="e">
        <f t="shared" si="48"/>
        <v>#VALUE!</v>
      </c>
      <c r="D464" s="182" t="e">
        <f t="shared" si="51"/>
        <v>#VALUE!</v>
      </c>
      <c r="E464" s="182" t="e">
        <f t="shared" si="49"/>
        <v>#VALUE!</v>
      </c>
      <c r="F464" s="182" t="e">
        <f>SUM($D$33:D464)</f>
        <v>#VALUE!</v>
      </c>
      <c r="G464" s="182">
        <f t="shared" ca="1" si="50"/>
        <v>0</v>
      </c>
      <c r="H464" s="182" t="e">
        <f t="shared" si="46"/>
        <v>#VALUE!</v>
      </c>
      <c r="I464" s="183" t="e">
        <f t="shared" si="52"/>
        <v>#VALUE!</v>
      </c>
    </row>
    <row r="465" spans="1:9" x14ac:dyDescent="0.25">
      <c r="A465" s="180">
        <f t="shared" ca="1" si="47"/>
        <v>46537</v>
      </c>
      <c r="B465" s="181">
        <v>433</v>
      </c>
      <c r="C465" s="182" t="e">
        <f t="shared" si="48"/>
        <v>#VALUE!</v>
      </c>
      <c r="D465" s="182" t="e">
        <f t="shared" si="51"/>
        <v>#VALUE!</v>
      </c>
      <c r="E465" s="182" t="e">
        <f t="shared" si="49"/>
        <v>#VALUE!</v>
      </c>
      <c r="F465" s="182" t="e">
        <f>SUM($D$33:D465)</f>
        <v>#VALUE!</v>
      </c>
      <c r="G465" s="182">
        <f t="shared" ca="1" si="50"/>
        <v>0</v>
      </c>
      <c r="H465" s="182" t="e">
        <f t="shared" si="46"/>
        <v>#VALUE!</v>
      </c>
      <c r="I465" s="183" t="e">
        <f t="shared" si="52"/>
        <v>#VALUE!</v>
      </c>
    </row>
    <row r="466" spans="1:9" x14ac:dyDescent="0.25">
      <c r="A466" s="180">
        <f t="shared" ca="1" si="47"/>
        <v>46538</v>
      </c>
      <c r="B466" s="181">
        <v>434</v>
      </c>
      <c r="C466" s="182" t="e">
        <f t="shared" si="48"/>
        <v>#VALUE!</v>
      </c>
      <c r="D466" s="182" t="e">
        <f t="shared" si="51"/>
        <v>#VALUE!</v>
      </c>
      <c r="E466" s="182" t="e">
        <f t="shared" si="49"/>
        <v>#VALUE!</v>
      </c>
      <c r="F466" s="182" t="e">
        <f>SUM($D$33:D466)</f>
        <v>#VALUE!</v>
      </c>
      <c r="G466" s="182">
        <f t="shared" ca="1" si="50"/>
        <v>0</v>
      </c>
      <c r="H466" s="182" t="e">
        <f t="shared" si="46"/>
        <v>#VALUE!</v>
      </c>
      <c r="I466" s="183" t="e">
        <f t="shared" si="52"/>
        <v>#VALUE!</v>
      </c>
    </row>
    <row r="467" spans="1:9" x14ac:dyDescent="0.25">
      <c r="A467" s="180">
        <f t="shared" ca="1" si="47"/>
        <v>46539</v>
      </c>
      <c r="B467" s="181">
        <v>435</v>
      </c>
      <c r="C467" s="182" t="e">
        <f t="shared" si="48"/>
        <v>#VALUE!</v>
      </c>
      <c r="D467" s="182" t="e">
        <f t="shared" si="51"/>
        <v>#VALUE!</v>
      </c>
      <c r="E467" s="182" t="e">
        <f t="shared" si="49"/>
        <v>#VALUE!</v>
      </c>
      <c r="F467" s="182" t="e">
        <f>SUM($D$33:D467)</f>
        <v>#VALUE!</v>
      </c>
      <c r="G467" s="182">
        <f t="shared" ca="1" si="50"/>
        <v>0</v>
      </c>
      <c r="H467" s="182" t="e">
        <f t="shared" si="46"/>
        <v>#VALUE!</v>
      </c>
      <c r="I467" s="183" t="e">
        <f t="shared" si="52"/>
        <v>#VALUE!</v>
      </c>
    </row>
    <row r="468" spans="1:9" x14ac:dyDescent="0.25">
      <c r="A468" s="180">
        <f t="shared" ca="1" si="47"/>
        <v>46540</v>
      </c>
      <c r="B468" s="181">
        <v>436</v>
      </c>
      <c r="C468" s="182" t="e">
        <f t="shared" si="48"/>
        <v>#VALUE!</v>
      </c>
      <c r="D468" s="182" t="e">
        <f t="shared" si="51"/>
        <v>#VALUE!</v>
      </c>
      <c r="E468" s="182" t="e">
        <f t="shared" si="49"/>
        <v>#VALUE!</v>
      </c>
      <c r="F468" s="182" t="e">
        <f>SUM($D$33:D468)</f>
        <v>#VALUE!</v>
      </c>
      <c r="G468" s="182">
        <f t="shared" ca="1" si="50"/>
        <v>0</v>
      </c>
      <c r="H468" s="182" t="e">
        <f t="shared" si="46"/>
        <v>#VALUE!</v>
      </c>
      <c r="I468" s="183" t="e">
        <f t="shared" si="52"/>
        <v>#VALUE!</v>
      </c>
    </row>
    <row r="469" spans="1:9" x14ac:dyDescent="0.25">
      <c r="A469" s="180">
        <f t="shared" ca="1" si="47"/>
        <v>46541</v>
      </c>
      <c r="B469" s="181">
        <v>437</v>
      </c>
      <c r="C469" s="182" t="e">
        <f t="shared" si="48"/>
        <v>#VALUE!</v>
      </c>
      <c r="D469" s="182" t="e">
        <f t="shared" si="51"/>
        <v>#VALUE!</v>
      </c>
      <c r="E469" s="182" t="e">
        <f t="shared" si="49"/>
        <v>#VALUE!</v>
      </c>
      <c r="F469" s="182" t="e">
        <f>SUM($D$33:D469)</f>
        <v>#VALUE!</v>
      </c>
      <c r="G469" s="182">
        <f t="shared" ca="1" si="50"/>
        <v>0</v>
      </c>
      <c r="H469" s="182" t="e">
        <f t="shared" si="46"/>
        <v>#VALUE!</v>
      </c>
      <c r="I469" s="183" t="e">
        <f t="shared" si="52"/>
        <v>#VALUE!</v>
      </c>
    </row>
    <row r="470" spans="1:9" x14ac:dyDescent="0.25">
      <c r="A470" s="180">
        <f t="shared" ca="1" si="47"/>
        <v>46542</v>
      </c>
      <c r="B470" s="181">
        <v>438</v>
      </c>
      <c r="C470" s="182" t="e">
        <f t="shared" si="48"/>
        <v>#VALUE!</v>
      </c>
      <c r="D470" s="182" t="e">
        <f t="shared" si="51"/>
        <v>#VALUE!</v>
      </c>
      <c r="E470" s="182" t="e">
        <f t="shared" si="49"/>
        <v>#VALUE!</v>
      </c>
      <c r="F470" s="182" t="e">
        <f>SUM($D$33:D470)</f>
        <v>#VALUE!</v>
      </c>
      <c r="G470" s="182">
        <f t="shared" ca="1" si="50"/>
        <v>0</v>
      </c>
      <c r="H470" s="182" t="e">
        <f t="shared" si="46"/>
        <v>#VALUE!</v>
      </c>
      <c r="I470" s="183" t="e">
        <f t="shared" si="52"/>
        <v>#VALUE!</v>
      </c>
    </row>
    <row r="471" spans="1:9" x14ac:dyDescent="0.25">
      <c r="A471" s="180">
        <f t="shared" ca="1" si="47"/>
        <v>46543</v>
      </c>
      <c r="B471" s="181">
        <v>439</v>
      </c>
      <c r="C471" s="182" t="e">
        <f t="shared" si="48"/>
        <v>#VALUE!</v>
      </c>
      <c r="D471" s="182" t="e">
        <f t="shared" si="51"/>
        <v>#VALUE!</v>
      </c>
      <c r="E471" s="182" t="e">
        <f t="shared" si="49"/>
        <v>#VALUE!</v>
      </c>
      <c r="F471" s="182" t="e">
        <f>SUM($D$33:D471)</f>
        <v>#VALUE!</v>
      </c>
      <c r="G471" s="182">
        <f t="shared" ca="1" si="50"/>
        <v>0</v>
      </c>
      <c r="H471" s="182" t="e">
        <f t="shared" si="46"/>
        <v>#VALUE!</v>
      </c>
      <c r="I471" s="183" t="e">
        <f t="shared" si="52"/>
        <v>#VALUE!</v>
      </c>
    </row>
    <row r="472" spans="1:9" x14ac:dyDescent="0.25">
      <c r="A472" s="180">
        <f t="shared" ca="1" si="47"/>
        <v>46544</v>
      </c>
      <c r="B472" s="181">
        <v>440</v>
      </c>
      <c r="C472" s="182" t="e">
        <f t="shared" si="48"/>
        <v>#VALUE!</v>
      </c>
      <c r="D472" s="182" t="e">
        <f t="shared" si="51"/>
        <v>#VALUE!</v>
      </c>
      <c r="E472" s="182" t="e">
        <f t="shared" si="49"/>
        <v>#VALUE!</v>
      </c>
      <c r="F472" s="182" t="e">
        <f>SUM($D$33:D472)</f>
        <v>#VALUE!</v>
      </c>
      <c r="G472" s="182">
        <f t="shared" ca="1" si="50"/>
        <v>0</v>
      </c>
      <c r="H472" s="182" t="e">
        <f t="shared" si="46"/>
        <v>#VALUE!</v>
      </c>
      <c r="I472" s="183" t="e">
        <f t="shared" si="52"/>
        <v>#VALUE!</v>
      </c>
    </row>
    <row r="473" spans="1:9" x14ac:dyDescent="0.25">
      <c r="A473" s="180">
        <f t="shared" ca="1" si="47"/>
        <v>46545</v>
      </c>
      <c r="B473" s="181">
        <v>441</v>
      </c>
      <c r="C473" s="182" t="e">
        <f t="shared" si="48"/>
        <v>#VALUE!</v>
      </c>
      <c r="D473" s="182" t="e">
        <f t="shared" si="51"/>
        <v>#VALUE!</v>
      </c>
      <c r="E473" s="182" t="e">
        <f t="shared" si="49"/>
        <v>#VALUE!</v>
      </c>
      <c r="F473" s="182" t="e">
        <f>SUM($D$33:D473)</f>
        <v>#VALUE!</v>
      </c>
      <c r="G473" s="182">
        <f t="shared" ca="1" si="50"/>
        <v>0</v>
      </c>
      <c r="H473" s="182" t="e">
        <f t="shared" si="46"/>
        <v>#VALUE!</v>
      </c>
      <c r="I473" s="183" t="e">
        <f t="shared" si="52"/>
        <v>#VALUE!</v>
      </c>
    </row>
    <row r="474" spans="1:9" x14ac:dyDescent="0.25">
      <c r="A474" s="180">
        <f t="shared" ca="1" si="47"/>
        <v>46546</v>
      </c>
      <c r="B474" s="181">
        <v>442</v>
      </c>
      <c r="C474" s="182" t="e">
        <f t="shared" si="48"/>
        <v>#VALUE!</v>
      </c>
      <c r="D474" s="182" t="e">
        <f t="shared" si="51"/>
        <v>#VALUE!</v>
      </c>
      <c r="E474" s="182" t="e">
        <f t="shared" si="49"/>
        <v>#VALUE!</v>
      </c>
      <c r="F474" s="182" t="e">
        <f>SUM($D$33:D474)</f>
        <v>#VALUE!</v>
      </c>
      <c r="G474" s="182">
        <f t="shared" ca="1" si="50"/>
        <v>0</v>
      </c>
      <c r="H474" s="182" t="e">
        <f t="shared" si="46"/>
        <v>#VALUE!</v>
      </c>
      <c r="I474" s="183" t="e">
        <f t="shared" si="52"/>
        <v>#VALUE!</v>
      </c>
    </row>
    <row r="475" spans="1:9" x14ac:dyDescent="0.25">
      <c r="A475" s="180">
        <f t="shared" ca="1" si="47"/>
        <v>46547</v>
      </c>
      <c r="B475" s="181">
        <v>443</v>
      </c>
      <c r="C475" s="182" t="e">
        <f t="shared" si="48"/>
        <v>#VALUE!</v>
      </c>
      <c r="D475" s="182" t="e">
        <f t="shared" si="51"/>
        <v>#VALUE!</v>
      </c>
      <c r="E475" s="182" t="e">
        <f t="shared" si="49"/>
        <v>#VALUE!</v>
      </c>
      <c r="F475" s="182" t="e">
        <f>SUM($D$33:D475)</f>
        <v>#VALUE!</v>
      </c>
      <c r="G475" s="182">
        <f t="shared" ca="1" si="50"/>
        <v>0</v>
      </c>
      <c r="H475" s="182" t="e">
        <f t="shared" si="46"/>
        <v>#VALUE!</v>
      </c>
      <c r="I475" s="183" t="e">
        <f t="shared" si="52"/>
        <v>#VALUE!</v>
      </c>
    </row>
    <row r="476" spans="1:9" x14ac:dyDescent="0.25">
      <c r="A476" s="180">
        <f t="shared" ca="1" si="47"/>
        <v>46548</v>
      </c>
      <c r="B476" s="181">
        <v>444</v>
      </c>
      <c r="C476" s="182" t="e">
        <f t="shared" si="48"/>
        <v>#VALUE!</v>
      </c>
      <c r="D476" s="182" t="e">
        <f t="shared" si="51"/>
        <v>#VALUE!</v>
      </c>
      <c r="E476" s="182" t="e">
        <f t="shared" si="49"/>
        <v>#VALUE!</v>
      </c>
      <c r="F476" s="182" t="e">
        <f>SUM($D$33:D476)</f>
        <v>#VALUE!</v>
      </c>
      <c r="G476" s="182">
        <f t="shared" ca="1" si="50"/>
        <v>0</v>
      </c>
      <c r="H476" s="182" t="e">
        <f t="shared" si="46"/>
        <v>#VALUE!</v>
      </c>
      <c r="I476" s="183" t="e">
        <f t="shared" si="52"/>
        <v>#VALUE!</v>
      </c>
    </row>
    <row r="477" spans="1:9" x14ac:dyDescent="0.25">
      <c r="A477" s="180">
        <f t="shared" ca="1" si="47"/>
        <v>46549</v>
      </c>
      <c r="B477" s="181">
        <v>445</v>
      </c>
      <c r="C477" s="182" t="e">
        <f t="shared" si="48"/>
        <v>#VALUE!</v>
      </c>
      <c r="D477" s="182" t="e">
        <f t="shared" si="51"/>
        <v>#VALUE!</v>
      </c>
      <c r="E477" s="182" t="e">
        <f t="shared" si="49"/>
        <v>#VALUE!</v>
      </c>
      <c r="F477" s="182" t="e">
        <f>SUM($D$33:D477)</f>
        <v>#VALUE!</v>
      </c>
      <c r="G477" s="182">
        <f t="shared" ca="1" si="50"/>
        <v>0</v>
      </c>
      <c r="H477" s="182" t="e">
        <f t="shared" si="46"/>
        <v>#VALUE!</v>
      </c>
      <c r="I477" s="183" t="e">
        <f t="shared" si="52"/>
        <v>#VALUE!</v>
      </c>
    </row>
    <row r="478" spans="1:9" x14ac:dyDescent="0.25">
      <c r="A478" s="180">
        <f t="shared" ca="1" si="47"/>
        <v>46550</v>
      </c>
      <c r="B478" s="181">
        <v>446</v>
      </c>
      <c r="C478" s="182" t="e">
        <f t="shared" si="48"/>
        <v>#VALUE!</v>
      </c>
      <c r="D478" s="182" t="e">
        <f t="shared" si="51"/>
        <v>#VALUE!</v>
      </c>
      <c r="E478" s="182" t="e">
        <f t="shared" si="49"/>
        <v>#VALUE!</v>
      </c>
      <c r="F478" s="182" t="e">
        <f>SUM($D$33:D478)</f>
        <v>#VALUE!</v>
      </c>
      <c r="G478" s="182">
        <f t="shared" ca="1" si="50"/>
        <v>0</v>
      </c>
      <c r="H478" s="182" t="e">
        <f t="shared" si="46"/>
        <v>#VALUE!</v>
      </c>
      <c r="I478" s="183" t="e">
        <f t="shared" si="52"/>
        <v>#VALUE!</v>
      </c>
    </row>
    <row r="479" spans="1:9" x14ac:dyDescent="0.25">
      <c r="A479" s="180">
        <f t="shared" ca="1" si="47"/>
        <v>46551</v>
      </c>
      <c r="B479" s="181">
        <v>447</v>
      </c>
      <c r="C479" s="182" t="e">
        <f t="shared" si="48"/>
        <v>#VALUE!</v>
      </c>
      <c r="D479" s="182" t="e">
        <f t="shared" si="51"/>
        <v>#VALUE!</v>
      </c>
      <c r="E479" s="182" t="e">
        <f t="shared" si="49"/>
        <v>#VALUE!</v>
      </c>
      <c r="F479" s="182" t="e">
        <f>SUM($D$33:D479)</f>
        <v>#VALUE!</v>
      </c>
      <c r="G479" s="182">
        <f t="shared" ca="1" si="50"/>
        <v>0</v>
      </c>
      <c r="H479" s="182" t="e">
        <f t="shared" si="46"/>
        <v>#VALUE!</v>
      </c>
      <c r="I479" s="183" t="e">
        <f t="shared" si="52"/>
        <v>#VALUE!</v>
      </c>
    </row>
    <row r="480" spans="1:9" x14ac:dyDescent="0.25">
      <c r="A480" s="180">
        <f t="shared" ca="1" si="47"/>
        <v>46552</v>
      </c>
      <c r="B480" s="181">
        <v>448</v>
      </c>
      <c r="C480" s="182" t="e">
        <f t="shared" si="48"/>
        <v>#VALUE!</v>
      </c>
      <c r="D480" s="182" t="e">
        <f t="shared" si="51"/>
        <v>#VALUE!</v>
      </c>
      <c r="E480" s="182" t="e">
        <f t="shared" si="49"/>
        <v>#VALUE!</v>
      </c>
      <c r="F480" s="182" t="e">
        <f>SUM($D$33:D480)</f>
        <v>#VALUE!</v>
      </c>
      <c r="G480" s="182">
        <f t="shared" ca="1" si="50"/>
        <v>0</v>
      </c>
      <c r="H480" s="182" t="e">
        <f t="shared" si="46"/>
        <v>#VALUE!</v>
      </c>
      <c r="I480" s="183" t="e">
        <f t="shared" si="52"/>
        <v>#VALUE!</v>
      </c>
    </row>
    <row r="481" spans="1:9" x14ac:dyDescent="0.25">
      <c r="A481" s="180">
        <f t="shared" ca="1" si="47"/>
        <v>46553</v>
      </c>
      <c r="B481" s="181">
        <v>449</v>
      </c>
      <c r="C481" s="182" t="e">
        <f t="shared" si="48"/>
        <v>#VALUE!</v>
      </c>
      <c r="D481" s="182" t="e">
        <f t="shared" si="51"/>
        <v>#VALUE!</v>
      </c>
      <c r="E481" s="182" t="e">
        <f t="shared" si="49"/>
        <v>#VALUE!</v>
      </c>
      <c r="F481" s="182" t="e">
        <f>SUM($D$33:D481)</f>
        <v>#VALUE!</v>
      </c>
      <c r="G481" s="182">
        <f t="shared" ca="1" si="50"/>
        <v>0</v>
      </c>
      <c r="H481" s="182" t="e">
        <f t="shared" ref="H481:H544" si="53">IF(E481&gt;0,C481+G481,IF(E481&lt;0,C481+G481+D481-E480,C481+D481+G481))</f>
        <v>#VALUE!</v>
      </c>
      <c r="I481" s="183" t="e">
        <f t="shared" si="52"/>
        <v>#VALUE!</v>
      </c>
    </row>
    <row r="482" spans="1:9" x14ac:dyDescent="0.25">
      <c r="A482" s="180">
        <f t="shared" ref="A482:A545" ca="1" si="54">A481+1</f>
        <v>46554</v>
      </c>
      <c r="B482" s="181">
        <v>450</v>
      </c>
      <c r="C482" s="182" t="e">
        <f t="shared" ref="C482:C545" si="55">H481</f>
        <v>#VALUE!</v>
      </c>
      <c r="D482" s="182" t="e">
        <f t="shared" si="51"/>
        <v>#VALUE!</v>
      </c>
      <c r="E482" s="182" t="e">
        <f t="shared" ref="E482:E545" si="56">IF(E481&gt;0,E481-D482,0)</f>
        <v>#VALUE!</v>
      </c>
      <c r="F482" s="182" t="e">
        <f>SUM($D$33:D482)</f>
        <v>#VALUE!</v>
      </c>
      <c r="G482" s="182">
        <f t="shared" ref="G482:G545" ca="1" si="57">IFERROR(-VLOOKUP(A482,$K$30:$M$36,2,FALSE),0)</f>
        <v>0</v>
      </c>
      <c r="H482" s="182" t="e">
        <f t="shared" si="53"/>
        <v>#VALUE!</v>
      </c>
      <c r="I482" s="183" t="e">
        <f t="shared" si="52"/>
        <v>#VALUE!</v>
      </c>
    </row>
    <row r="483" spans="1:9" x14ac:dyDescent="0.25">
      <c r="A483" s="180">
        <f t="shared" ca="1" si="54"/>
        <v>46555</v>
      </c>
      <c r="B483" s="181">
        <v>451</v>
      </c>
      <c r="C483" s="182" t="e">
        <f t="shared" si="55"/>
        <v>#VALUE!</v>
      </c>
      <c r="D483" s="182" t="e">
        <f t="shared" si="51"/>
        <v>#VALUE!</v>
      </c>
      <c r="E483" s="182" t="e">
        <f t="shared" si="56"/>
        <v>#VALUE!</v>
      </c>
      <c r="F483" s="182" t="e">
        <f>SUM($D$33:D483)</f>
        <v>#VALUE!</v>
      </c>
      <c r="G483" s="182">
        <f t="shared" ca="1" si="57"/>
        <v>0</v>
      </c>
      <c r="H483" s="182" t="e">
        <f t="shared" si="53"/>
        <v>#VALUE!</v>
      </c>
      <c r="I483" s="183" t="e">
        <f t="shared" si="52"/>
        <v>#VALUE!</v>
      </c>
    </row>
    <row r="484" spans="1:9" x14ac:dyDescent="0.25">
      <c r="A484" s="180">
        <f t="shared" ca="1" si="54"/>
        <v>46556</v>
      </c>
      <c r="B484" s="181">
        <v>452</v>
      </c>
      <c r="C484" s="182" t="e">
        <f t="shared" si="55"/>
        <v>#VALUE!</v>
      </c>
      <c r="D484" s="182" t="e">
        <f t="shared" si="51"/>
        <v>#VALUE!</v>
      </c>
      <c r="E484" s="182" t="e">
        <f t="shared" si="56"/>
        <v>#VALUE!</v>
      </c>
      <c r="F484" s="182" t="e">
        <f>SUM($D$33:D484)</f>
        <v>#VALUE!</v>
      </c>
      <c r="G484" s="182">
        <f t="shared" ca="1" si="57"/>
        <v>0</v>
      </c>
      <c r="H484" s="182" t="e">
        <f t="shared" si="53"/>
        <v>#VALUE!</v>
      </c>
      <c r="I484" s="183" t="e">
        <f t="shared" si="52"/>
        <v>#VALUE!</v>
      </c>
    </row>
    <row r="485" spans="1:9" x14ac:dyDescent="0.25">
      <c r="A485" s="180">
        <f t="shared" ca="1" si="54"/>
        <v>46557</v>
      </c>
      <c r="B485" s="181">
        <v>453</v>
      </c>
      <c r="C485" s="182" t="e">
        <f t="shared" si="55"/>
        <v>#VALUE!</v>
      </c>
      <c r="D485" s="182" t="e">
        <f t="shared" si="51"/>
        <v>#VALUE!</v>
      </c>
      <c r="E485" s="182" t="e">
        <f t="shared" si="56"/>
        <v>#VALUE!</v>
      </c>
      <c r="F485" s="182" t="e">
        <f>SUM($D$33:D485)</f>
        <v>#VALUE!</v>
      </c>
      <c r="G485" s="182">
        <f t="shared" ca="1" si="57"/>
        <v>0</v>
      </c>
      <c r="H485" s="182" t="e">
        <f t="shared" si="53"/>
        <v>#VALUE!</v>
      </c>
      <c r="I485" s="183" t="e">
        <f t="shared" si="52"/>
        <v>#VALUE!</v>
      </c>
    </row>
    <row r="486" spans="1:9" x14ac:dyDescent="0.25">
      <c r="A486" s="180">
        <f t="shared" ca="1" si="54"/>
        <v>46558</v>
      </c>
      <c r="B486" s="181">
        <v>454</v>
      </c>
      <c r="C486" s="182" t="e">
        <f t="shared" si="55"/>
        <v>#VALUE!</v>
      </c>
      <c r="D486" s="182" t="e">
        <f t="shared" si="51"/>
        <v>#VALUE!</v>
      </c>
      <c r="E486" s="182" t="e">
        <f t="shared" si="56"/>
        <v>#VALUE!</v>
      </c>
      <c r="F486" s="182" t="e">
        <f>SUM($D$33:D486)</f>
        <v>#VALUE!</v>
      </c>
      <c r="G486" s="182">
        <f t="shared" ca="1" si="57"/>
        <v>0</v>
      </c>
      <c r="H486" s="182" t="e">
        <f t="shared" si="53"/>
        <v>#VALUE!</v>
      </c>
      <c r="I486" s="183" t="e">
        <f t="shared" si="52"/>
        <v>#VALUE!</v>
      </c>
    </row>
    <row r="487" spans="1:9" x14ac:dyDescent="0.25">
      <c r="A487" s="180">
        <f t="shared" ca="1" si="54"/>
        <v>46559</v>
      </c>
      <c r="B487" s="181">
        <v>455</v>
      </c>
      <c r="C487" s="182" t="e">
        <f t="shared" si="55"/>
        <v>#VALUE!</v>
      </c>
      <c r="D487" s="182" t="e">
        <f t="shared" si="51"/>
        <v>#VALUE!</v>
      </c>
      <c r="E487" s="182" t="e">
        <f t="shared" si="56"/>
        <v>#VALUE!</v>
      </c>
      <c r="F487" s="182" t="e">
        <f>SUM($D$33:D487)</f>
        <v>#VALUE!</v>
      </c>
      <c r="G487" s="182">
        <f t="shared" ca="1" si="57"/>
        <v>0</v>
      </c>
      <c r="H487" s="182" t="e">
        <f t="shared" si="53"/>
        <v>#VALUE!</v>
      </c>
      <c r="I487" s="183" t="e">
        <f t="shared" si="52"/>
        <v>#VALUE!</v>
      </c>
    </row>
    <row r="488" spans="1:9" x14ac:dyDescent="0.25">
      <c r="A488" s="180">
        <f t="shared" ca="1" si="54"/>
        <v>46560</v>
      </c>
      <c r="B488" s="181">
        <v>456</v>
      </c>
      <c r="C488" s="182" t="e">
        <f t="shared" si="55"/>
        <v>#VALUE!</v>
      </c>
      <c r="D488" s="182" t="e">
        <f t="shared" si="51"/>
        <v>#VALUE!</v>
      </c>
      <c r="E488" s="182" t="e">
        <f t="shared" si="56"/>
        <v>#VALUE!</v>
      </c>
      <c r="F488" s="182" t="e">
        <f>SUM($D$33:D488)</f>
        <v>#VALUE!</v>
      </c>
      <c r="G488" s="182">
        <f t="shared" ca="1" si="57"/>
        <v>0</v>
      </c>
      <c r="H488" s="182" t="e">
        <f t="shared" si="53"/>
        <v>#VALUE!</v>
      </c>
      <c r="I488" s="183" t="e">
        <f t="shared" si="52"/>
        <v>#VALUE!</v>
      </c>
    </row>
    <row r="489" spans="1:9" x14ac:dyDescent="0.25">
      <c r="A489" s="180">
        <f t="shared" ca="1" si="54"/>
        <v>46561</v>
      </c>
      <c r="B489" s="181">
        <v>457</v>
      </c>
      <c r="C489" s="182" t="e">
        <f t="shared" si="55"/>
        <v>#VALUE!</v>
      </c>
      <c r="D489" s="182" t="e">
        <f t="shared" si="51"/>
        <v>#VALUE!</v>
      </c>
      <c r="E489" s="182" t="e">
        <f t="shared" si="56"/>
        <v>#VALUE!</v>
      </c>
      <c r="F489" s="182" t="e">
        <f>SUM($D$33:D489)</f>
        <v>#VALUE!</v>
      </c>
      <c r="G489" s="182">
        <f t="shared" ca="1" si="57"/>
        <v>0</v>
      </c>
      <c r="H489" s="182" t="e">
        <f t="shared" si="53"/>
        <v>#VALUE!</v>
      </c>
      <c r="I489" s="183" t="e">
        <f t="shared" si="52"/>
        <v>#VALUE!</v>
      </c>
    </row>
    <row r="490" spans="1:9" x14ac:dyDescent="0.25">
      <c r="A490" s="180">
        <f t="shared" ca="1" si="54"/>
        <v>46562</v>
      </c>
      <c r="B490" s="181">
        <v>458</v>
      </c>
      <c r="C490" s="182" t="e">
        <f t="shared" si="55"/>
        <v>#VALUE!</v>
      </c>
      <c r="D490" s="182" t="e">
        <f t="shared" si="51"/>
        <v>#VALUE!</v>
      </c>
      <c r="E490" s="182" t="e">
        <f t="shared" si="56"/>
        <v>#VALUE!</v>
      </c>
      <c r="F490" s="182" t="e">
        <f>SUM($D$33:D490)</f>
        <v>#VALUE!</v>
      </c>
      <c r="G490" s="182">
        <f t="shared" ca="1" si="57"/>
        <v>0</v>
      </c>
      <c r="H490" s="182" t="e">
        <f t="shared" si="53"/>
        <v>#VALUE!</v>
      </c>
      <c r="I490" s="183" t="e">
        <f t="shared" si="52"/>
        <v>#VALUE!</v>
      </c>
    </row>
    <row r="491" spans="1:9" x14ac:dyDescent="0.25">
      <c r="A491" s="180">
        <f t="shared" ca="1" si="54"/>
        <v>46563</v>
      </c>
      <c r="B491" s="181">
        <v>459</v>
      </c>
      <c r="C491" s="182" t="e">
        <f t="shared" si="55"/>
        <v>#VALUE!</v>
      </c>
      <c r="D491" s="182" t="e">
        <f t="shared" si="51"/>
        <v>#VALUE!</v>
      </c>
      <c r="E491" s="182" t="e">
        <f t="shared" si="56"/>
        <v>#VALUE!</v>
      </c>
      <c r="F491" s="182" t="e">
        <f>SUM($D$33:D491)</f>
        <v>#VALUE!</v>
      </c>
      <c r="G491" s="182">
        <f t="shared" ca="1" si="57"/>
        <v>0</v>
      </c>
      <c r="H491" s="182" t="e">
        <f t="shared" si="53"/>
        <v>#VALUE!</v>
      </c>
      <c r="I491" s="183" t="e">
        <f t="shared" si="52"/>
        <v>#VALUE!</v>
      </c>
    </row>
    <row r="492" spans="1:9" x14ac:dyDescent="0.25">
      <c r="A492" s="180">
        <f t="shared" ca="1" si="54"/>
        <v>46564</v>
      </c>
      <c r="B492" s="181">
        <v>460</v>
      </c>
      <c r="C492" s="182" t="e">
        <f t="shared" si="55"/>
        <v>#VALUE!</v>
      </c>
      <c r="D492" s="182" t="e">
        <f t="shared" si="51"/>
        <v>#VALUE!</v>
      </c>
      <c r="E492" s="182" t="e">
        <f t="shared" si="56"/>
        <v>#VALUE!</v>
      </c>
      <c r="F492" s="182" t="e">
        <f>SUM($D$33:D492)</f>
        <v>#VALUE!</v>
      </c>
      <c r="G492" s="182">
        <f t="shared" ca="1" si="57"/>
        <v>0</v>
      </c>
      <c r="H492" s="182" t="e">
        <f t="shared" si="53"/>
        <v>#VALUE!</v>
      </c>
      <c r="I492" s="183" t="e">
        <f t="shared" si="52"/>
        <v>#VALUE!</v>
      </c>
    </row>
    <row r="493" spans="1:9" x14ac:dyDescent="0.25">
      <c r="A493" s="180">
        <f t="shared" ca="1" si="54"/>
        <v>46565</v>
      </c>
      <c r="B493" s="181">
        <v>461</v>
      </c>
      <c r="C493" s="182" t="e">
        <f t="shared" si="55"/>
        <v>#VALUE!</v>
      </c>
      <c r="D493" s="182" t="e">
        <f t="shared" si="51"/>
        <v>#VALUE!</v>
      </c>
      <c r="E493" s="182" t="e">
        <f t="shared" si="56"/>
        <v>#VALUE!</v>
      </c>
      <c r="F493" s="182" t="e">
        <f>SUM($D$33:D493)</f>
        <v>#VALUE!</v>
      </c>
      <c r="G493" s="182">
        <f t="shared" ca="1" si="57"/>
        <v>0</v>
      </c>
      <c r="H493" s="182" t="e">
        <f t="shared" si="53"/>
        <v>#VALUE!</v>
      </c>
      <c r="I493" s="183" t="e">
        <f t="shared" si="52"/>
        <v>#VALUE!</v>
      </c>
    </row>
    <row r="494" spans="1:9" x14ac:dyDescent="0.25">
      <c r="A494" s="180">
        <f t="shared" ca="1" si="54"/>
        <v>46566</v>
      </c>
      <c r="B494" s="181">
        <v>462</v>
      </c>
      <c r="C494" s="182" t="e">
        <f t="shared" si="55"/>
        <v>#VALUE!</v>
      </c>
      <c r="D494" s="182" t="e">
        <f t="shared" si="51"/>
        <v>#VALUE!</v>
      </c>
      <c r="E494" s="182" t="e">
        <f t="shared" si="56"/>
        <v>#VALUE!</v>
      </c>
      <c r="F494" s="182" t="e">
        <f>SUM($D$33:D494)</f>
        <v>#VALUE!</v>
      </c>
      <c r="G494" s="182">
        <f t="shared" ca="1" si="57"/>
        <v>0</v>
      </c>
      <c r="H494" s="182" t="e">
        <f t="shared" si="53"/>
        <v>#VALUE!</v>
      </c>
      <c r="I494" s="183" t="e">
        <f t="shared" si="52"/>
        <v>#VALUE!</v>
      </c>
    </row>
    <row r="495" spans="1:9" x14ac:dyDescent="0.25">
      <c r="A495" s="180">
        <f t="shared" ca="1" si="54"/>
        <v>46567</v>
      </c>
      <c r="B495" s="181">
        <v>463</v>
      </c>
      <c r="C495" s="182" t="e">
        <f t="shared" si="55"/>
        <v>#VALUE!</v>
      </c>
      <c r="D495" s="182" t="e">
        <f t="shared" si="51"/>
        <v>#VALUE!</v>
      </c>
      <c r="E495" s="182" t="e">
        <f t="shared" si="56"/>
        <v>#VALUE!</v>
      </c>
      <c r="F495" s="182" t="e">
        <f>SUM($D$33:D495)</f>
        <v>#VALUE!</v>
      </c>
      <c r="G495" s="182">
        <f t="shared" ca="1" si="57"/>
        <v>0</v>
      </c>
      <c r="H495" s="182" t="e">
        <f t="shared" si="53"/>
        <v>#VALUE!</v>
      </c>
      <c r="I495" s="183" t="e">
        <f t="shared" si="52"/>
        <v>#VALUE!</v>
      </c>
    </row>
    <row r="496" spans="1:9" x14ac:dyDescent="0.25">
      <c r="A496" s="180">
        <f t="shared" ca="1" si="54"/>
        <v>46568</v>
      </c>
      <c r="B496" s="181">
        <v>464</v>
      </c>
      <c r="C496" s="182" t="e">
        <f t="shared" si="55"/>
        <v>#VALUE!</v>
      </c>
      <c r="D496" s="182" t="e">
        <f t="shared" si="51"/>
        <v>#VALUE!</v>
      </c>
      <c r="E496" s="182" t="e">
        <f t="shared" si="56"/>
        <v>#VALUE!</v>
      </c>
      <c r="F496" s="182" t="e">
        <f>SUM($D$33:D496)</f>
        <v>#VALUE!</v>
      </c>
      <c r="G496" s="182">
        <f t="shared" ca="1" si="57"/>
        <v>0</v>
      </c>
      <c r="H496" s="182" t="e">
        <f t="shared" si="53"/>
        <v>#VALUE!</v>
      </c>
      <c r="I496" s="183" t="e">
        <f t="shared" si="52"/>
        <v>#VALUE!</v>
      </c>
    </row>
    <row r="497" spans="1:9" x14ac:dyDescent="0.25">
      <c r="A497" s="180">
        <f t="shared" ca="1" si="54"/>
        <v>46569</v>
      </c>
      <c r="B497" s="181">
        <v>465</v>
      </c>
      <c r="C497" s="182" t="e">
        <f t="shared" si="55"/>
        <v>#VALUE!</v>
      </c>
      <c r="D497" s="182" t="e">
        <f t="shared" si="51"/>
        <v>#VALUE!</v>
      </c>
      <c r="E497" s="182" t="e">
        <f t="shared" si="56"/>
        <v>#VALUE!</v>
      </c>
      <c r="F497" s="182" t="e">
        <f>SUM($D$33:D497)</f>
        <v>#VALUE!</v>
      </c>
      <c r="G497" s="182">
        <f t="shared" ca="1" si="57"/>
        <v>0</v>
      </c>
      <c r="H497" s="182" t="e">
        <f t="shared" si="53"/>
        <v>#VALUE!</v>
      </c>
      <c r="I497" s="183" t="e">
        <f t="shared" si="52"/>
        <v>#VALUE!</v>
      </c>
    </row>
    <row r="498" spans="1:9" x14ac:dyDescent="0.25">
      <c r="A498" s="180">
        <f t="shared" ca="1" si="54"/>
        <v>46570</v>
      </c>
      <c r="B498" s="181">
        <v>466</v>
      </c>
      <c r="C498" s="182" t="e">
        <f t="shared" si="55"/>
        <v>#VALUE!</v>
      </c>
      <c r="D498" s="182" t="e">
        <f t="shared" si="51"/>
        <v>#VALUE!</v>
      </c>
      <c r="E498" s="182" t="e">
        <f t="shared" si="56"/>
        <v>#VALUE!</v>
      </c>
      <c r="F498" s="182" t="e">
        <f>SUM($D$33:D498)</f>
        <v>#VALUE!</v>
      </c>
      <c r="G498" s="182">
        <f t="shared" ca="1" si="57"/>
        <v>0</v>
      </c>
      <c r="H498" s="182" t="e">
        <f t="shared" si="53"/>
        <v>#VALUE!</v>
      </c>
      <c r="I498" s="183" t="e">
        <f t="shared" si="52"/>
        <v>#VALUE!</v>
      </c>
    </row>
    <row r="499" spans="1:9" x14ac:dyDescent="0.25">
      <c r="A499" s="180">
        <f t="shared" ca="1" si="54"/>
        <v>46571</v>
      </c>
      <c r="B499" s="181">
        <v>467</v>
      </c>
      <c r="C499" s="182" t="e">
        <f t="shared" si="55"/>
        <v>#VALUE!</v>
      </c>
      <c r="D499" s="182" t="e">
        <f t="shared" si="51"/>
        <v>#VALUE!</v>
      </c>
      <c r="E499" s="182" t="e">
        <f t="shared" si="56"/>
        <v>#VALUE!</v>
      </c>
      <c r="F499" s="182" t="e">
        <f>SUM($D$33:D499)</f>
        <v>#VALUE!</v>
      </c>
      <c r="G499" s="182">
        <f t="shared" ca="1" si="57"/>
        <v>0</v>
      </c>
      <c r="H499" s="182" t="e">
        <f t="shared" si="53"/>
        <v>#VALUE!</v>
      </c>
      <c r="I499" s="183" t="e">
        <f t="shared" si="52"/>
        <v>#VALUE!</v>
      </c>
    </row>
    <row r="500" spans="1:9" x14ac:dyDescent="0.25">
      <c r="A500" s="180">
        <f t="shared" ca="1" si="54"/>
        <v>46572</v>
      </c>
      <c r="B500" s="181">
        <v>468</v>
      </c>
      <c r="C500" s="182" t="e">
        <f t="shared" si="55"/>
        <v>#VALUE!</v>
      </c>
      <c r="D500" s="182" t="e">
        <f t="shared" si="51"/>
        <v>#VALUE!</v>
      </c>
      <c r="E500" s="182" t="e">
        <f t="shared" si="56"/>
        <v>#VALUE!</v>
      </c>
      <c r="F500" s="182" t="e">
        <f>SUM($D$33:D500)</f>
        <v>#VALUE!</v>
      </c>
      <c r="G500" s="182">
        <f t="shared" ca="1" si="57"/>
        <v>0</v>
      </c>
      <c r="H500" s="182" t="e">
        <f t="shared" si="53"/>
        <v>#VALUE!</v>
      </c>
      <c r="I500" s="183" t="e">
        <f t="shared" si="52"/>
        <v>#VALUE!</v>
      </c>
    </row>
    <row r="501" spans="1:9" x14ac:dyDescent="0.25">
      <c r="A501" s="180">
        <f t="shared" ca="1" si="54"/>
        <v>46573</v>
      </c>
      <c r="B501" s="181">
        <v>469</v>
      </c>
      <c r="C501" s="182" t="e">
        <f t="shared" si="55"/>
        <v>#VALUE!</v>
      </c>
      <c r="D501" s="182" t="e">
        <f t="shared" si="51"/>
        <v>#VALUE!</v>
      </c>
      <c r="E501" s="182" t="e">
        <f t="shared" si="56"/>
        <v>#VALUE!</v>
      </c>
      <c r="F501" s="182" t="e">
        <f>SUM($D$33:D501)</f>
        <v>#VALUE!</v>
      </c>
      <c r="G501" s="182">
        <f t="shared" ca="1" si="57"/>
        <v>0</v>
      </c>
      <c r="H501" s="182" t="e">
        <f t="shared" si="53"/>
        <v>#VALUE!</v>
      </c>
      <c r="I501" s="183" t="e">
        <f t="shared" si="52"/>
        <v>#VALUE!</v>
      </c>
    </row>
    <row r="502" spans="1:9" x14ac:dyDescent="0.25">
      <c r="A502" s="180">
        <f t="shared" ca="1" si="54"/>
        <v>46574</v>
      </c>
      <c r="B502" s="181">
        <v>470</v>
      </c>
      <c r="C502" s="182" t="e">
        <f t="shared" si="55"/>
        <v>#VALUE!</v>
      </c>
      <c r="D502" s="182" t="e">
        <f t="shared" si="51"/>
        <v>#VALUE!</v>
      </c>
      <c r="E502" s="182" t="e">
        <f t="shared" si="56"/>
        <v>#VALUE!</v>
      </c>
      <c r="F502" s="182" t="e">
        <f>SUM($D$33:D502)</f>
        <v>#VALUE!</v>
      </c>
      <c r="G502" s="182">
        <f t="shared" ca="1" si="57"/>
        <v>0</v>
      </c>
      <c r="H502" s="182" t="e">
        <f t="shared" si="53"/>
        <v>#VALUE!</v>
      </c>
      <c r="I502" s="183" t="e">
        <f t="shared" si="52"/>
        <v>#VALUE!</v>
      </c>
    </row>
    <row r="503" spans="1:9" x14ac:dyDescent="0.25">
      <c r="A503" s="180">
        <f t="shared" ca="1" si="54"/>
        <v>46575</v>
      </c>
      <c r="B503" s="181">
        <v>471</v>
      </c>
      <c r="C503" s="182" t="e">
        <f t="shared" si="55"/>
        <v>#VALUE!</v>
      </c>
      <c r="D503" s="182" t="e">
        <f t="shared" si="51"/>
        <v>#VALUE!</v>
      </c>
      <c r="E503" s="182" t="e">
        <f t="shared" si="56"/>
        <v>#VALUE!</v>
      </c>
      <c r="F503" s="182" t="e">
        <f>SUM($D$33:D503)</f>
        <v>#VALUE!</v>
      </c>
      <c r="G503" s="182">
        <f t="shared" ca="1" si="57"/>
        <v>0</v>
      </c>
      <c r="H503" s="182" t="e">
        <f t="shared" si="53"/>
        <v>#VALUE!</v>
      </c>
      <c r="I503" s="183" t="e">
        <f t="shared" si="52"/>
        <v>#VALUE!</v>
      </c>
    </row>
    <row r="504" spans="1:9" x14ac:dyDescent="0.25">
      <c r="A504" s="180">
        <f t="shared" ca="1" si="54"/>
        <v>46576</v>
      </c>
      <c r="B504" s="181">
        <v>472</v>
      </c>
      <c r="C504" s="182" t="e">
        <f t="shared" si="55"/>
        <v>#VALUE!</v>
      </c>
      <c r="D504" s="182" t="e">
        <f t="shared" si="51"/>
        <v>#VALUE!</v>
      </c>
      <c r="E504" s="182" t="e">
        <f t="shared" si="56"/>
        <v>#VALUE!</v>
      </c>
      <c r="F504" s="182" t="e">
        <f>SUM($D$33:D504)</f>
        <v>#VALUE!</v>
      </c>
      <c r="G504" s="182">
        <f t="shared" ca="1" si="57"/>
        <v>0</v>
      </c>
      <c r="H504" s="182" t="e">
        <f t="shared" si="53"/>
        <v>#VALUE!</v>
      </c>
      <c r="I504" s="183" t="e">
        <f t="shared" si="52"/>
        <v>#VALUE!</v>
      </c>
    </row>
    <row r="505" spans="1:9" x14ac:dyDescent="0.25">
      <c r="A505" s="180">
        <f t="shared" ca="1" si="54"/>
        <v>46577</v>
      </c>
      <c r="B505" s="181">
        <v>473</v>
      </c>
      <c r="C505" s="182" t="e">
        <f t="shared" si="55"/>
        <v>#VALUE!</v>
      </c>
      <c r="D505" s="182" t="e">
        <f t="shared" si="51"/>
        <v>#VALUE!</v>
      </c>
      <c r="E505" s="182" t="e">
        <f t="shared" si="56"/>
        <v>#VALUE!</v>
      </c>
      <c r="F505" s="182" t="e">
        <f>SUM($D$33:D505)</f>
        <v>#VALUE!</v>
      </c>
      <c r="G505" s="182">
        <f t="shared" ca="1" si="57"/>
        <v>0</v>
      </c>
      <c r="H505" s="182" t="e">
        <f t="shared" si="53"/>
        <v>#VALUE!</v>
      </c>
      <c r="I505" s="183" t="e">
        <f t="shared" si="52"/>
        <v>#VALUE!</v>
      </c>
    </row>
    <row r="506" spans="1:9" x14ac:dyDescent="0.25">
      <c r="A506" s="180">
        <f t="shared" ca="1" si="54"/>
        <v>46578</v>
      </c>
      <c r="B506" s="181">
        <v>474</v>
      </c>
      <c r="C506" s="182" t="e">
        <f t="shared" si="55"/>
        <v>#VALUE!</v>
      </c>
      <c r="D506" s="182" t="e">
        <f t="shared" si="51"/>
        <v>#VALUE!</v>
      </c>
      <c r="E506" s="182" t="e">
        <f t="shared" si="56"/>
        <v>#VALUE!</v>
      </c>
      <c r="F506" s="182" t="e">
        <f>SUM($D$33:D506)</f>
        <v>#VALUE!</v>
      </c>
      <c r="G506" s="182">
        <f t="shared" ca="1" si="57"/>
        <v>0</v>
      </c>
      <c r="H506" s="182" t="e">
        <f t="shared" si="53"/>
        <v>#VALUE!</v>
      </c>
      <c r="I506" s="183" t="e">
        <f t="shared" si="52"/>
        <v>#VALUE!</v>
      </c>
    </row>
    <row r="507" spans="1:9" x14ac:dyDescent="0.25">
      <c r="A507" s="180">
        <f t="shared" ca="1" si="54"/>
        <v>46579</v>
      </c>
      <c r="B507" s="181">
        <v>475</v>
      </c>
      <c r="C507" s="182" t="e">
        <f t="shared" si="55"/>
        <v>#VALUE!</v>
      </c>
      <c r="D507" s="182" t="e">
        <f t="shared" si="51"/>
        <v>#VALUE!</v>
      </c>
      <c r="E507" s="182" t="e">
        <f t="shared" si="56"/>
        <v>#VALUE!</v>
      </c>
      <c r="F507" s="182" t="e">
        <f>SUM($D$33:D507)</f>
        <v>#VALUE!</v>
      </c>
      <c r="G507" s="182">
        <f t="shared" ca="1" si="57"/>
        <v>0</v>
      </c>
      <c r="H507" s="182" t="e">
        <f t="shared" si="53"/>
        <v>#VALUE!</v>
      </c>
      <c r="I507" s="183" t="e">
        <f t="shared" si="52"/>
        <v>#VALUE!</v>
      </c>
    </row>
    <row r="508" spans="1:9" x14ac:dyDescent="0.25">
      <c r="A508" s="180">
        <f t="shared" ca="1" si="54"/>
        <v>46580</v>
      </c>
      <c r="B508" s="181">
        <v>476</v>
      </c>
      <c r="C508" s="182" t="e">
        <f t="shared" si="55"/>
        <v>#VALUE!</v>
      </c>
      <c r="D508" s="182" t="e">
        <f t="shared" si="51"/>
        <v>#VALUE!</v>
      </c>
      <c r="E508" s="182" t="e">
        <f t="shared" si="56"/>
        <v>#VALUE!</v>
      </c>
      <c r="F508" s="182" t="e">
        <f>SUM($D$33:D508)</f>
        <v>#VALUE!</v>
      </c>
      <c r="G508" s="182">
        <f t="shared" ca="1" si="57"/>
        <v>0</v>
      </c>
      <c r="H508" s="182" t="e">
        <f t="shared" si="53"/>
        <v>#VALUE!</v>
      </c>
      <c r="I508" s="183" t="e">
        <f t="shared" si="52"/>
        <v>#VALUE!</v>
      </c>
    </row>
    <row r="509" spans="1:9" x14ac:dyDescent="0.25">
      <c r="A509" s="180">
        <f t="shared" ca="1" si="54"/>
        <v>46581</v>
      </c>
      <c r="B509" s="181">
        <v>477</v>
      </c>
      <c r="C509" s="182" t="e">
        <f t="shared" si="55"/>
        <v>#VALUE!</v>
      </c>
      <c r="D509" s="182" t="e">
        <f t="shared" si="51"/>
        <v>#VALUE!</v>
      </c>
      <c r="E509" s="182" t="e">
        <f t="shared" si="56"/>
        <v>#VALUE!</v>
      </c>
      <c r="F509" s="182" t="e">
        <f>SUM($D$33:D509)</f>
        <v>#VALUE!</v>
      </c>
      <c r="G509" s="182">
        <f t="shared" ca="1" si="57"/>
        <v>0</v>
      </c>
      <c r="H509" s="182" t="e">
        <f t="shared" si="53"/>
        <v>#VALUE!</v>
      </c>
      <c r="I509" s="183" t="e">
        <f t="shared" si="52"/>
        <v>#VALUE!</v>
      </c>
    </row>
    <row r="510" spans="1:9" x14ac:dyDescent="0.25">
      <c r="A510" s="180">
        <f t="shared" ca="1" si="54"/>
        <v>46582</v>
      </c>
      <c r="B510" s="181">
        <v>478</v>
      </c>
      <c r="C510" s="182" t="e">
        <f t="shared" si="55"/>
        <v>#VALUE!</v>
      </c>
      <c r="D510" s="182" t="e">
        <f t="shared" si="51"/>
        <v>#VALUE!</v>
      </c>
      <c r="E510" s="182" t="e">
        <f t="shared" si="56"/>
        <v>#VALUE!</v>
      </c>
      <c r="F510" s="182" t="e">
        <f>SUM($D$33:D510)</f>
        <v>#VALUE!</v>
      </c>
      <c r="G510" s="182">
        <f t="shared" ca="1" si="57"/>
        <v>0</v>
      </c>
      <c r="H510" s="182" t="e">
        <f t="shared" si="53"/>
        <v>#VALUE!</v>
      </c>
      <c r="I510" s="183" t="e">
        <f t="shared" si="52"/>
        <v>#VALUE!</v>
      </c>
    </row>
    <row r="511" spans="1:9" x14ac:dyDescent="0.25">
      <c r="A511" s="180">
        <f t="shared" ca="1" si="54"/>
        <v>46583</v>
      </c>
      <c r="B511" s="181">
        <v>479</v>
      </c>
      <c r="C511" s="182" t="e">
        <f t="shared" si="55"/>
        <v>#VALUE!</v>
      </c>
      <c r="D511" s="182" t="e">
        <f t="shared" si="51"/>
        <v>#VALUE!</v>
      </c>
      <c r="E511" s="182" t="e">
        <f t="shared" si="56"/>
        <v>#VALUE!</v>
      </c>
      <c r="F511" s="182" t="e">
        <f>SUM($D$33:D511)</f>
        <v>#VALUE!</v>
      </c>
      <c r="G511" s="182">
        <f t="shared" ca="1" si="57"/>
        <v>0</v>
      </c>
      <c r="H511" s="182" t="e">
        <f t="shared" si="53"/>
        <v>#VALUE!</v>
      </c>
      <c r="I511" s="183" t="e">
        <f t="shared" si="52"/>
        <v>#VALUE!</v>
      </c>
    </row>
    <row r="512" spans="1:9" x14ac:dyDescent="0.25">
      <c r="A512" s="180">
        <f t="shared" ca="1" si="54"/>
        <v>46584</v>
      </c>
      <c r="B512" s="181">
        <v>480</v>
      </c>
      <c r="C512" s="182" t="e">
        <f t="shared" si="55"/>
        <v>#VALUE!</v>
      </c>
      <c r="D512" s="182" t="e">
        <f t="shared" si="51"/>
        <v>#VALUE!</v>
      </c>
      <c r="E512" s="182" t="e">
        <f t="shared" si="56"/>
        <v>#VALUE!</v>
      </c>
      <c r="F512" s="182" t="e">
        <f>SUM($D$33:D512)</f>
        <v>#VALUE!</v>
      </c>
      <c r="G512" s="182">
        <f t="shared" ca="1" si="57"/>
        <v>0</v>
      </c>
      <c r="H512" s="182" t="e">
        <f t="shared" si="53"/>
        <v>#VALUE!</v>
      </c>
      <c r="I512" s="183" t="e">
        <f t="shared" si="52"/>
        <v>#VALUE!</v>
      </c>
    </row>
    <row r="513" spans="1:9" x14ac:dyDescent="0.25">
      <c r="A513" s="180">
        <f t="shared" ca="1" si="54"/>
        <v>46585</v>
      </c>
      <c r="B513" s="181">
        <v>481</v>
      </c>
      <c r="C513" s="182" t="e">
        <f t="shared" si="55"/>
        <v>#VALUE!</v>
      </c>
      <c r="D513" s="182" t="e">
        <f t="shared" si="51"/>
        <v>#VALUE!</v>
      </c>
      <c r="E513" s="182" t="e">
        <f t="shared" si="56"/>
        <v>#VALUE!</v>
      </c>
      <c r="F513" s="182" t="e">
        <f>SUM($D$33:D513)</f>
        <v>#VALUE!</v>
      </c>
      <c r="G513" s="182">
        <f t="shared" ca="1" si="57"/>
        <v>0</v>
      </c>
      <c r="H513" s="182" t="e">
        <f t="shared" si="53"/>
        <v>#VALUE!</v>
      </c>
      <c r="I513" s="183" t="e">
        <f t="shared" si="52"/>
        <v>#VALUE!</v>
      </c>
    </row>
    <row r="514" spans="1:9" x14ac:dyDescent="0.25">
      <c r="A514" s="180">
        <f t="shared" ca="1" si="54"/>
        <v>46586</v>
      </c>
      <c r="B514" s="181">
        <v>482</v>
      </c>
      <c r="C514" s="182" t="e">
        <f t="shared" si="55"/>
        <v>#VALUE!</v>
      </c>
      <c r="D514" s="182" t="e">
        <f t="shared" si="51"/>
        <v>#VALUE!</v>
      </c>
      <c r="E514" s="182" t="e">
        <f t="shared" si="56"/>
        <v>#VALUE!</v>
      </c>
      <c r="F514" s="182" t="e">
        <f>SUM($D$33:D514)</f>
        <v>#VALUE!</v>
      </c>
      <c r="G514" s="182">
        <f t="shared" ca="1" si="57"/>
        <v>0</v>
      </c>
      <c r="H514" s="182" t="e">
        <f t="shared" si="53"/>
        <v>#VALUE!</v>
      </c>
      <c r="I514" s="183" t="e">
        <f t="shared" si="52"/>
        <v>#VALUE!</v>
      </c>
    </row>
    <row r="515" spans="1:9" x14ac:dyDescent="0.25">
      <c r="A515" s="180">
        <f t="shared" ca="1" si="54"/>
        <v>46587</v>
      </c>
      <c r="B515" s="181">
        <v>483</v>
      </c>
      <c r="C515" s="182" t="e">
        <f t="shared" si="55"/>
        <v>#VALUE!</v>
      </c>
      <c r="D515" s="182" t="e">
        <f t="shared" si="51"/>
        <v>#VALUE!</v>
      </c>
      <c r="E515" s="182" t="e">
        <f t="shared" si="56"/>
        <v>#VALUE!</v>
      </c>
      <c r="F515" s="182" t="e">
        <f>SUM($D$33:D515)</f>
        <v>#VALUE!</v>
      </c>
      <c r="G515" s="182">
        <f t="shared" ca="1" si="57"/>
        <v>0</v>
      </c>
      <c r="H515" s="182" t="e">
        <f t="shared" si="53"/>
        <v>#VALUE!</v>
      </c>
      <c r="I515" s="183" t="e">
        <f t="shared" si="52"/>
        <v>#VALUE!</v>
      </c>
    </row>
    <row r="516" spans="1:9" x14ac:dyDescent="0.25">
      <c r="A516" s="180">
        <f t="shared" ca="1" si="54"/>
        <v>46588</v>
      </c>
      <c r="B516" s="181">
        <v>484</v>
      </c>
      <c r="C516" s="182" t="e">
        <f t="shared" si="55"/>
        <v>#VALUE!</v>
      </c>
      <c r="D516" s="182" t="e">
        <f t="shared" si="51"/>
        <v>#VALUE!</v>
      </c>
      <c r="E516" s="182" t="e">
        <f t="shared" si="56"/>
        <v>#VALUE!</v>
      </c>
      <c r="F516" s="182" t="e">
        <f>SUM($D$33:D516)</f>
        <v>#VALUE!</v>
      </c>
      <c r="G516" s="182">
        <f t="shared" ca="1" si="57"/>
        <v>0</v>
      </c>
      <c r="H516" s="182" t="e">
        <f t="shared" si="53"/>
        <v>#VALUE!</v>
      </c>
      <c r="I516" s="183" t="e">
        <f t="shared" si="52"/>
        <v>#VALUE!</v>
      </c>
    </row>
    <row r="517" spans="1:9" x14ac:dyDescent="0.25">
      <c r="A517" s="180">
        <f t="shared" ca="1" si="54"/>
        <v>46589</v>
      </c>
      <c r="B517" s="181">
        <v>485</v>
      </c>
      <c r="C517" s="182" t="e">
        <f t="shared" si="55"/>
        <v>#VALUE!</v>
      </c>
      <c r="D517" s="182" t="e">
        <f t="shared" si="51"/>
        <v>#VALUE!</v>
      </c>
      <c r="E517" s="182" t="e">
        <f t="shared" si="56"/>
        <v>#VALUE!</v>
      </c>
      <c r="F517" s="182" t="e">
        <f>SUM($D$33:D517)</f>
        <v>#VALUE!</v>
      </c>
      <c r="G517" s="182">
        <f t="shared" ca="1" si="57"/>
        <v>0</v>
      </c>
      <c r="H517" s="182" t="e">
        <f t="shared" si="53"/>
        <v>#VALUE!</v>
      </c>
      <c r="I517" s="183" t="e">
        <f t="shared" si="52"/>
        <v>#VALUE!</v>
      </c>
    </row>
    <row r="518" spans="1:9" x14ac:dyDescent="0.25">
      <c r="A518" s="180">
        <f t="shared" ca="1" si="54"/>
        <v>46590</v>
      </c>
      <c r="B518" s="181">
        <v>486</v>
      </c>
      <c r="C518" s="182" t="e">
        <f t="shared" si="55"/>
        <v>#VALUE!</v>
      </c>
      <c r="D518" s="182" t="e">
        <f t="shared" si="51"/>
        <v>#VALUE!</v>
      </c>
      <c r="E518" s="182" t="e">
        <f t="shared" si="56"/>
        <v>#VALUE!</v>
      </c>
      <c r="F518" s="182" t="e">
        <f>SUM($D$33:D518)</f>
        <v>#VALUE!</v>
      </c>
      <c r="G518" s="182">
        <f t="shared" ca="1" si="57"/>
        <v>0</v>
      </c>
      <c r="H518" s="182" t="e">
        <f t="shared" si="53"/>
        <v>#VALUE!</v>
      </c>
      <c r="I518" s="183" t="e">
        <f t="shared" si="52"/>
        <v>#VALUE!</v>
      </c>
    </row>
    <row r="519" spans="1:9" x14ac:dyDescent="0.25">
      <c r="A519" s="180">
        <f t="shared" ca="1" si="54"/>
        <v>46591</v>
      </c>
      <c r="B519" s="181">
        <v>487</v>
      </c>
      <c r="C519" s="182" t="e">
        <f t="shared" si="55"/>
        <v>#VALUE!</v>
      </c>
      <c r="D519" s="182" t="e">
        <f t="shared" si="51"/>
        <v>#VALUE!</v>
      </c>
      <c r="E519" s="182" t="e">
        <f t="shared" si="56"/>
        <v>#VALUE!</v>
      </c>
      <c r="F519" s="182" t="e">
        <f>SUM($D$33:D519)</f>
        <v>#VALUE!</v>
      </c>
      <c r="G519" s="182">
        <f t="shared" ca="1" si="57"/>
        <v>0</v>
      </c>
      <c r="H519" s="182" t="e">
        <f t="shared" si="53"/>
        <v>#VALUE!</v>
      </c>
      <c r="I519" s="183" t="e">
        <f t="shared" si="52"/>
        <v>#VALUE!</v>
      </c>
    </row>
    <row r="520" spans="1:9" x14ac:dyDescent="0.25">
      <c r="A520" s="180">
        <f t="shared" ca="1" si="54"/>
        <v>46592</v>
      </c>
      <c r="B520" s="181">
        <v>488</v>
      </c>
      <c r="C520" s="182" t="e">
        <f t="shared" si="55"/>
        <v>#VALUE!</v>
      </c>
      <c r="D520" s="182" t="e">
        <f t="shared" si="51"/>
        <v>#VALUE!</v>
      </c>
      <c r="E520" s="182" t="e">
        <f t="shared" si="56"/>
        <v>#VALUE!</v>
      </c>
      <c r="F520" s="182" t="e">
        <f>SUM($D$33:D520)</f>
        <v>#VALUE!</v>
      </c>
      <c r="G520" s="182">
        <f t="shared" ca="1" si="57"/>
        <v>0</v>
      </c>
      <c r="H520" s="182" t="e">
        <f t="shared" si="53"/>
        <v>#VALUE!</v>
      </c>
      <c r="I520" s="183" t="e">
        <f t="shared" si="52"/>
        <v>#VALUE!</v>
      </c>
    </row>
    <row r="521" spans="1:9" x14ac:dyDescent="0.25">
      <c r="A521" s="180">
        <f t="shared" ca="1" si="54"/>
        <v>46593</v>
      </c>
      <c r="B521" s="181">
        <v>489</v>
      </c>
      <c r="C521" s="182" t="e">
        <f t="shared" si="55"/>
        <v>#VALUE!</v>
      </c>
      <c r="D521" s="182" t="e">
        <f t="shared" si="51"/>
        <v>#VALUE!</v>
      </c>
      <c r="E521" s="182" t="e">
        <f t="shared" si="56"/>
        <v>#VALUE!</v>
      </c>
      <c r="F521" s="182" t="e">
        <f>SUM($D$33:D521)</f>
        <v>#VALUE!</v>
      </c>
      <c r="G521" s="182">
        <f t="shared" ca="1" si="57"/>
        <v>0</v>
      </c>
      <c r="H521" s="182" t="e">
        <f t="shared" si="53"/>
        <v>#VALUE!</v>
      </c>
      <c r="I521" s="183" t="e">
        <f t="shared" si="52"/>
        <v>#VALUE!</v>
      </c>
    </row>
    <row r="522" spans="1:9" x14ac:dyDescent="0.25">
      <c r="A522" s="180">
        <f t="shared" ca="1" si="54"/>
        <v>46594</v>
      </c>
      <c r="B522" s="181">
        <v>490</v>
      </c>
      <c r="C522" s="182" t="e">
        <f t="shared" si="55"/>
        <v>#VALUE!</v>
      </c>
      <c r="D522" s="182" t="e">
        <f t="shared" si="51"/>
        <v>#VALUE!</v>
      </c>
      <c r="E522" s="182" t="e">
        <f t="shared" si="56"/>
        <v>#VALUE!</v>
      </c>
      <c r="F522" s="182" t="e">
        <f>SUM($D$33:D522)</f>
        <v>#VALUE!</v>
      </c>
      <c r="G522" s="182">
        <f t="shared" ca="1" si="57"/>
        <v>0</v>
      </c>
      <c r="H522" s="182" t="e">
        <f t="shared" si="53"/>
        <v>#VALUE!</v>
      </c>
      <c r="I522" s="183" t="e">
        <f t="shared" si="52"/>
        <v>#VALUE!</v>
      </c>
    </row>
    <row r="523" spans="1:9" x14ac:dyDescent="0.25">
      <c r="A523" s="180">
        <f t="shared" ca="1" si="54"/>
        <v>46595</v>
      </c>
      <c r="B523" s="181">
        <v>491</v>
      </c>
      <c r="C523" s="182" t="e">
        <f t="shared" si="55"/>
        <v>#VALUE!</v>
      </c>
      <c r="D523" s="182" t="e">
        <f t="shared" si="51"/>
        <v>#VALUE!</v>
      </c>
      <c r="E523" s="182" t="e">
        <f t="shared" si="56"/>
        <v>#VALUE!</v>
      </c>
      <c r="F523" s="182" t="e">
        <f>SUM($D$33:D523)</f>
        <v>#VALUE!</v>
      </c>
      <c r="G523" s="182">
        <f t="shared" ca="1" si="57"/>
        <v>0</v>
      </c>
      <c r="H523" s="182" t="e">
        <f t="shared" si="53"/>
        <v>#VALUE!</v>
      </c>
      <c r="I523" s="183" t="e">
        <f t="shared" si="52"/>
        <v>#VALUE!</v>
      </c>
    </row>
    <row r="524" spans="1:9" x14ac:dyDescent="0.25">
      <c r="A524" s="180">
        <f t="shared" ca="1" si="54"/>
        <v>46596</v>
      </c>
      <c r="B524" s="181">
        <v>492</v>
      </c>
      <c r="C524" s="182" t="e">
        <f t="shared" si="55"/>
        <v>#VALUE!</v>
      </c>
      <c r="D524" s="182" t="e">
        <f t="shared" si="51"/>
        <v>#VALUE!</v>
      </c>
      <c r="E524" s="182" t="e">
        <f t="shared" si="56"/>
        <v>#VALUE!</v>
      </c>
      <c r="F524" s="182" t="e">
        <f>SUM($D$33:D524)</f>
        <v>#VALUE!</v>
      </c>
      <c r="G524" s="182">
        <f t="shared" ca="1" si="57"/>
        <v>0</v>
      </c>
      <c r="H524" s="182" t="e">
        <f t="shared" si="53"/>
        <v>#VALUE!</v>
      </c>
      <c r="I524" s="183" t="e">
        <f t="shared" si="52"/>
        <v>#VALUE!</v>
      </c>
    </row>
    <row r="525" spans="1:9" x14ac:dyDescent="0.25">
      <c r="A525" s="180">
        <f t="shared" ca="1" si="54"/>
        <v>46597</v>
      </c>
      <c r="B525" s="181">
        <v>493</v>
      </c>
      <c r="C525" s="182" t="e">
        <f t="shared" si="55"/>
        <v>#VALUE!</v>
      </c>
      <c r="D525" s="182" t="e">
        <f t="shared" ref="D525:D588" si="58">IF(C525&gt;$H$21,C525*($L$16/360),$H$21*($L$16/360))</f>
        <v>#VALUE!</v>
      </c>
      <c r="E525" s="182" t="e">
        <f t="shared" si="56"/>
        <v>#VALUE!</v>
      </c>
      <c r="F525" s="182" t="e">
        <f>SUM($D$33:D525)</f>
        <v>#VALUE!</v>
      </c>
      <c r="G525" s="182">
        <f t="shared" ca="1" si="57"/>
        <v>0</v>
      </c>
      <c r="H525" s="182" t="e">
        <f t="shared" si="53"/>
        <v>#VALUE!</v>
      </c>
      <c r="I525" s="183" t="e">
        <f t="shared" ref="I525:I588" si="59">(C525+D525-E525)</f>
        <v>#VALUE!</v>
      </c>
    </row>
    <row r="526" spans="1:9" x14ac:dyDescent="0.25">
      <c r="A526" s="180">
        <f t="shared" ca="1" si="54"/>
        <v>46598</v>
      </c>
      <c r="B526" s="181">
        <v>494</v>
      </c>
      <c r="C526" s="182" t="e">
        <f t="shared" si="55"/>
        <v>#VALUE!</v>
      </c>
      <c r="D526" s="182" t="e">
        <f t="shared" si="58"/>
        <v>#VALUE!</v>
      </c>
      <c r="E526" s="182" t="e">
        <f t="shared" si="56"/>
        <v>#VALUE!</v>
      </c>
      <c r="F526" s="182" t="e">
        <f>SUM($D$33:D526)</f>
        <v>#VALUE!</v>
      </c>
      <c r="G526" s="182">
        <f t="shared" ca="1" si="57"/>
        <v>0</v>
      </c>
      <c r="H526" s="182" t="e">
        <f t="shared" si="53"/>
        <v>#VALUE!</v>
      </c>
      <c r="I526" s="183" t="e">
        <f t="shared" si="59"/>
        <v>#VALUE!</v>
      </c>
    </row>
    <row r="527" spans="1:9" x14ac:dyDescent="0.25">
      <c r="A527" s="180">
        <f t="shared" ca="1" si="54"/>
        <v>46599</v>
      </c>
      <c r="B527" s="181">
        <v>495</v>
      </c>
      <c r="C527" s="182" t="e">
        <f t="shared" si="55"/>
        <v>#VALUE!</v>
      </c>
      <c r="D527" s="182" t="e">
        <f t="shared" si="58"/>
        <v>#VALUE!</v>
      </c>
      <c r="E527" s="182" t="e">
        <f t="shared" si="56"/>
        <v>#VALUE!</v>
      </c>
      <c r="F527" s="182" t="e">
        <f>SUM($D$33:D527)</f>
        <v>#VALUE!</v>
      </c>
      <c r="G527" s="182">
        <f t="shared" ca="1" si="57"/>
        <v>0</v>
      </c>
      <c r="H527" s="182" t="e">
        <f t="shared" si="53"/>
        <v>#VALUE!</v>
      </c>
      <c r="I527" s="183" t="e">
        <f t="shared" si="59"/>
        <v>#VALUE!</v>
      </c>
    </row>
    <row r="528" spans="1:9" x14ac:dyDescent="0.25">
      <c r="A528" s="180">
        <f t="shared" ca="1" si="54"/>
        <v>46600</v>
      </c>
      <c r="B528" s="181">
        <v>496</v>
      </c>
      <c r="C528" s="182" t="e">
        <f t="shared" si="55"/>
        <v>#VALUE!</v>
      </c>
      <c r="D528" s="182" t="e">
        <f t="shared" si="58"/>
        <v>#VALUE!</v>
      </c>
      <c r="E528" s="182" t="e">
        <f t="shared" si="56"/>
        <v>#VALUE!</v>
      </c>
      <c r="F528" s="182" t="e">
        <f>SUM($D$33:D528)</f>
        <v>#VALUE!</v>
      </c>
      <c r="G528" s="182">
        <f t="shared" ca="1" si="57"/>
        <v>0</v>
      </c>
      <c r="H528" s="182" t="e">
        <f t="shared" si="53"/>
        <v>#VALUE!</v>
      </c>
      <c r="I528" s="183" t="e">
        <f t="shared" si="59"/>
        <v>#VALUE!</v>
      </c>
    </row>
    <row r="529" spans="1:9" x14ac:dyDescent="0.25">
      <c r="A529" s="180">
        <f t="shared" ca="1" si="54"/>
        <v>46601</v>
      </c>
      <c r="B529" s="181">
        <v>497</v>
      </c>
      <c r="C529" s="182" t="e">
        <f t="shared" si="55"/>
        <v>#VALUE!</v>
      </c>
      <c r="D529" s="182" t="e">
        <f t="shared" si="58"/>
        <v>#VALUE!</v>
      </c>
      <c r="E529" s="182" t="e">
        <f t="shared" si="56"/>
        <v>#VALUE!</v>
      </c>
      <c r="F529" s="182" t="e">
        <f>SUM($D$33:D529)</f>
        <v>#VALUE!</v>
      </c>
      <c r="G529" s="182">
        <f t="shared" ca="1" si="57"/>
        <v>0</v>
      </c>
      <c r="H529" s="182" t="e">
        <f t="shared" si="53"/>
        <v>#VALUE!</v>
      </c>
      <c r="I529" s="183" t="e">
        <f t="shared" si="59"/>
        <v>#VALUE!</v>
      </c>
    </row>
    <row r="530" spans="1:9" x14ac:dyDescent="0.25">
      <c r="A530" s="180">
        <f t="shared" ca="1" si="54"/>
        <v>46602</v>
      </c>
      <c r="B530" s="181">
        <v>498</v>
      </c>
      <c r="C530" s="182" t="e">
        <f t="shared" si="55"/>
        <v>#VALUE!</v>
      </c>
      <c r="D530" s="182" t="e">
        <f t="shared" si="58"/>
        <v>#VALUE!</v>
      </c>
      <c r="E530" s="182" t="e">
        <f t="shared" si="56"/>
        <v>#VALUE!</v>
      </c>
      <c r="F530" s="182" t="e">
        <f>SUM($D$33:D530)</f>
        <v>#VALUE!</v>
      </c>
      <c r="G530" s="182">
        <f t="shared" ca="1" si="57"/>
        <v>0</v>
      </c>
      <c r="H530" s="182" t="e">
        <f t="shared" si="53"/>
        <v>#VALUE!</v>
      </c>
      <c r="I530" s="183" t="e">
        <f t="shared" si="59"/>
        <v>#VALUE!</v>
      </c>
    </row>
    <row r="531" spans="1:9" x14ac:dyDescent="0.25">
      <c r="A531" s="180">
        <f t="shared" ca="1" si="54"/>
        <v>46603</v>
      </c>
      <c r="B531" s="181">
        <v>499</v>
      </c>
      <c r="C531" s="182" t="e">
        <f t="shared" si="55"/>
        <v>#VALUE!</v>
      </c>
      <c r="D531" s="182" t="e">
        <f t="shared" si="58"/>
        <v>#VALUE!</v>
      </c>
      <c r="E531" s="182" t="e">
        <f t="shared" si="56"/>
        <v>#VALUE!</v>
      </c>
      <c r="F531" s="182" t="e">
        <f>SUM($D$33:D531)</f>
        <v>#VALUE!</v>
      </c>
      <c r="G531" s="182">
        <f t="shared" ca="1" si="57"/>
        <v>0</v>
      </c>
      <c r="H531" s="182" t="e">
        <f t="shared" si="53"/>
        <v>#VALUE!</v>
      </c>
      <c r="I531" s="183" t="e">
        <f t="shared" si="59"/>
        <v>#VALUE!</v>
      </c>
    </row>
    <row r="532" spans="1:9" x14ac:dyDescent="0.25">
      <c r="A532" s="180">
        <f t="shared" ca="1" si="54"/>
        <v>46604</v>
      </c>
      <c r="B532" s="181">
        <v>500</v>
      </c>
      <c r="C532" s="182" t="e">
        <f t="shared" si="55"/>
        <v>#VALUE!</v>
      </c>
      <c r="D532" s="182" t="e">
        <f t="shared" si="58"/>
        <v>#VALUE!</v>
      </c>
      <c r="E532" s="182" t="e">
        <f t="shared" si="56"/>
        <v>#VALUE!</v>
      </c>
      <c r="F532" s="182" t="e">
        <f>SUM($D$33:D532)</f>
        <v>#VALUE!</v>
      </c>
      <c r="G532" s="182">
        <f t="shared" ca="1" si="57"/>
        <v>0</v>
      </c>
      <c r="H532" s="182" t="e">
        <f t="shared" si="53"/>
        <v>#VALUE!</v>
      </c>
      <c r="I532" s="183" t="e">
        <f t="shared" si="59"/>
        <v>#VALUE!</v>
      </c>
    </row>
    <row r="533" spans="1:9" x14ac:dyDescent="0.25">
      <c r="A533" s="180">
        <f t="shared" ca="1" si="54"/>
        <v>46605</v>
      </c>
      <c r="B533" s="181">
        <v>501</v>
      </c>
      <c r="C533" s="182" t="e">
        <f t="shared" si="55"/>
        <v>#VALUE!</v>
      </c>
      <c r="D533" s="182" t="e">
        <f t="shared" si="58"/>
        <v>#VALUE!</v>
      </c>
      <c r="E533" s="182" t="e">
        <f t="shared" si="56"/>
        <v>#VALUE!</v>
      </c>
      <c r="F533" s="182" t="e">
        <f>SUM($D$33:D533)</f>
        <v>#VALUE!</v>
      </c>
      <c r="G533" s="182">
        <f t="shared" ca="1" si="57"/>
        <v>0</v>
      </c>
      <c r="H533" s="182" t="e">
        <f t="shared" si="53"/>
        <v>#VALUE!</v>
      </c>
      <c r="I533" s="183" t="e">
        <f t="shared" si="59"/>
        <v>#VALUE!</v>
      </c>
    </row>
    <row r="534" spans="1:9" x14ac:dyDescent="0.25">
      <c r="A534" s="180">
        <f t="shared" ca="1" si="54"/>
        <v>46606</v>
      </c>
      <c r="B534" s="181">
        <v>502</v>
      </c>
      <c r="C534" s="182" t="e">
        <f t="shared" si="55"/>
        <v>#VALUE!</v>
      </c>
      <c r="D534" s="182" t="e">
        <f t="shared" si="58"/>
        <v>#VALUE!</v>
      </c>
      <c r="E534" s="182" t="e">
        <f t="shared" si="56"/>
        <v>#VALUE!</v>
      </c>
      <c r="F534" s="182" t="e">
        <f>SUM($D$33:D534)</f>
        <v>#VALUE!</v>
      </c>
      <c r="G534" s="182">
        <f t="shared" ca="1" si="57"/>
        <v>0</v>
      </c>
      <c r="H534" s="182" t="e">
        <f t="shared" si="53"/>
        <v>#VALUE!</v>
      </c>
      <c r="I534" s="183" t="e">
        <f t="shared" si="59"/>
        <v>#VALUE!</v>
      </c>
    </row>
    <row r="535" spans="1:9" x14ac:dyDescent="0.25">
      <c r="A535" s="180">
        <f t="shared" ca="1" si="54"/>
        <v>46607</v>
      </c>
      <c r="B535" s="181">
        <v>503</v>
      </c>
      <c r="C535" s="182" t="e">
        <f t="shared" si="55"/>
        <v>#VALUE!</v>
      </c>
      <c r="D535" s="182" t="e">
        <f t="shared" si="58"/>
        <v>#VALUE!</v>
      </c>
      <c r="E535" s="182" t="e">
        <f t="shared" si="56"/>
        <v>#VALUE!</v>
      </c>
      <c r="F535" s="182" t="e">
        <f>SUM($D$33:D535)</f>
        <v>#VALUE!</v>
      </c>
      <c r="G535" s="182">
        <f t="shared" ca="1" si="57"/>
        <v>0</v>
      </c>
      <c r="H535" s="182" t="e">
        <f t="shared" si="53"/>
        <v>#VALUE!</v>
      </c>
      <c r="I535" s="183" t="e">
        <f t="shared" si="59"/>
        <v>#VALUE!</v>
      </c>
    </row>
    <row r="536" spans="1:9" x14ac:dyDescent="0.25">
      <c r="A536" s="180">
        <f t="shared" ca="1" si="54"/>
        <v>46608</v>
      </c>
      <c r="B536" s="181">
        <v>504</v>
      </c>
      <c r="C536" s="182" t="e">
        <f t="shared" si="55"/>
        <v>#VALUE!</v>
      </c>
      <c r="D536" s="182" t="e">
        <f t="shared" si="58"/>
        <v>#VALUE!</v>
      </c>
      <c r="E536" s="182" t="e">
        <f t="shared" si="56"/>
        <v>#VALUE!</v>
      </c>
      <c r="F536" s="182" t="e">
        <f>SUM($D$33:D536)</f>
        <v>#VALUE!</v>
      </c>
      <c r="G536" s="182">
        <f t="shared" ca="1" si="57"/>
        <v>0</v>
      </c>
      <c r="H536" s="182" t="e">
        <f t="shared" si="53"/>
        <v>#VALUE!</v>
      </c>
      <c r="I536" s="183" t="e">
        <f t="shared" si="59"/>
        <v>#VALUE!</v>
      </c>
    </row>
    <row r="537" spans="1:9" x14ac:dyDescent="0.25">
      <c r="A537" s="180">
        <f t="shared" ca="1" si="54"/>
        <v>46609</v>
      </c>
      <c r="B537" s="181">
        <v>505</v>
      </c>
      <c r="C537" s="182" t="e">
        <f t="shared" si="55"/>
        <v>#VALUE!</v>
      </c>
      <c r="D537" s="182" t="e">
        <f t="shared" si="58"/>
        <v>#VALUE!</v>
      </c>
      <c r="E537" s="182" t="e">
        <f t="shared" si="56"/>
        <v>#VALUE!</v>
      </c>
      <c r="F537" s="182" t="e">
        <f>SUM($D$33:D537)</f>
        <v>#VALUE!</v>
      </c>
      <c r="G537" s="182">
        <f t="shared" ca="1" si="57"/>
        <v>0</v>
      </c>
      <c r="H537" s="182" t="e">
        <f t="shared" si="53"/>
        <v>#VALUE!</v>
      </c>
      <c r="I537" s="183" t="e">
        <f t="shared" si="59"/>
        <v>#VALUE!</v>
      </c>
    </row>
    <row r="538" spans="1:9" x14ac:dyDescent="0.25">
      <c r="A538" s="180">
        <f t="shared" ca="1" si="54"/>
        <v>46610</v>
      </c>
      <c r="B538" s="181">
        <v>506</v>
      </c>
      <c r="C538" s="182" t="e">
        <f t="shared" si="55"/>
        <v>#VALUE!</v>
      </c>
      <c r="D538" s="182" t="e">
        <f t="shared" si="58"/>
        <v>#VALUE!</v>
      </c>
      <c r="E538" s="182" t="e">
        <f t="shared" si="56"/>
        <v>#VALUE!</v>
      </c>
      <c r="F538" s="182" t="e">
        <f>SUM($D$33:D538)</f>
        <v>#VALUE!</v>
      </c>
      <c r="G538" s="182">
        <f t="shared" ca="1" si="57"/>
        <v>0</v>
      </c>
      <c r="H538" s="182" t="e">
        <f t="shared" si="53"/>
        <v>#VALUE!</v>
      </c>
      <c r="I538" s="183" t="e">
        <f t="shared" si="59"/>
        <v>#VALUE!</v>
      </c>
    </row>
    <row r="539" spans="1:9" x14ac:dyDescent="0.25">
      <c r="A539" s="180">
        <f t="shared" ca="1" si="54"/>
        <v>46611</v>
      </c>
      <c r="B539" s="181">
        <v>507</v>
      </c>
      <c r="C539" s="182" t="e">
        <f t="shared" si="55"/>
        <v>#VALUE!</v>
      </c>
      <c r="D539" s="182" t="e">
        <f t="shared" si="58"/>
        <v>#VALUE!</v>
      </c>
      <c r="E539" s="182" t="e">
        <f t="shared" si="56"/>
        <v>#VALUE!</v>
      </c>
      <c r="F539" s="182" t="e">
        <f>SUM($D$33:D539)</f>
        <v>#VALUE!</v>
      </c>
      <c r="G539" s="182">
        <f t="shared" ca="1" si="57"/>
        <v>0</v>
      </c>
      <c r="H539" s="182" t="e">
        <f t="shared" si="53"/>
        <v>#VALUE!</v>
      </c>
      <c r="I539" s="183" t="e">
        <f t="shared" si="59"/>
        <v>#VALUE!</v>
      </c>
    </row>
    <row r="540" spans="1:9" x14ac:dyDescent="0.25">
      <c r="A540" s="180">
        <f t="shared" ca="1" si="54"/>
        <v>46612</v>
      </c>
      <c r="B540" s="181">
        <v>508</v>
      </c>
      <c r="C540" s="182" t="e">
        <f t="shared" si="55"/>
        <v>#VALUE!</v>
      </c>
      <c r="D540" s="182" t="e">
        <f t="shared" si="58"/>
        <v>#VALUE!</v>
      </c>
      <c r="E540" s="182" t="e">
        <f t="shared" si="56"/>
        <v>#VALUE!</v>
      </c>
      <c r="F540" s="182" t="e">
        <f>SUM($D$33:D540)</f>
        <v>#VALUE!</v>
      </c>
      <c r="G540" s="182">
        <f t="shared" ca="1" si="57"/>
        <v>0</v>
      </c>
      <c r="H540" s="182" t="e">
        <f t="shared" si="53"/>
        <v>#VALUE!</v>
      </c>
      <c r="I540" s="183" t="e">
        <f t="shared" si="59"/>
        <v>#VALUE!</v>
      </c>
    </row>
    <row r="541" spans="1:9" x14ac:dyDescent="0.25">
      <c r="A541" s="180">
        <f t="shared" ca="1" si="54"/>
        <v>46613</v>
      </c>
      <c r="B541" s="181">
        <v>509</v>
      </c>
      <c r="C541" s="182" t="e">
        <f t="shared" si="55"/>
        <v>#VALUE!</v>
      </c>
      <c r="D541" s="182" t="e">
        <f t="shared" si="58"/>
        <v>#VALUE!</v>
      </c>
      <c r="E541" s="182" t="e">
        <f t="shared" si="56"/>
        <v>#VALUE!</v>
      </c>
      <c r="F541" s="182" t="e">
        <f>SUM($D$33:D541)</f>
        <v>#VALUE!</v>
      </c>
      <c r="G541" s="182">
        <f t="shared" ca="1" si="57"/>
        <v>0</v>
      </c>
      <c r="H541" s="182" t="e">
        <f t="shared" si="53"/>
        <v>#VALUE!</v>
      </c>
      <c r="I541" s="183" t="e">
        <f t="shared" si="59"/>
        <v>#VALUE!</v>
      </c>
    </row>
    <row r="542" spans="1:9" x14ac:dyDescent="0.25">
      <c r="A542" s="180">
        <f t="shared" ca="1" si="54"/>
        <v>46614</v>
      </c>
      <c r="B542" s="181">
        <v>510</v>
      </c>
      <c r="C542" s="182" t="e">
        <f t="shared" si="55"/>
        <v>#VALUE!</v>
      </c>
      <c r="D542" s="182" t="e">
        <f t="shared" si="58"/>
        <v>#VALUE!</v>
      </c>
      <c r="E542" s="182" t="e">
        <f t="shared" si="56"/>
        <v>#VALUE!</v>
      </c>
      <c r="F542" s="182" t="e">
        <f>SUM($D$33:D542)</f>
        <v>#VALUE!</v>
      </c>
      <c r="G542" s="182">
        <f t="shared" ca="1" si="57"/>
        <v>0</v>
      </c>
      <c r="H542" s="182" t="e">
        <f t="shared" si="53"/>
        <v>#VALUE!</v>
      </c>
      <c r="I542" s="183" t="e">
        <f t="shared" si="59"/>
        <v>#VALUE!</v>
      </c>
    </row>
    <row r="543" spans="1:9" x14ac:dyDescent="0.25">
      <c r="A543" s="180">
        <f t="shared" ca="1" si="54"/>
        <v>46615</v>
      </c>
      <c r="B543" s="181">
        <v>511</v>
      </c>
      <c r="C543" s="182" t="e">
        <f t="shared" si="55"/>
        <v>#VALUE!</v>
      </c>
      <c r="D543" s="182" t="e">
        <f t="shared" si="58"/>
        <v>#VALUE!</v>
      </c>
      <c r="E543" s="182" t="e">
        <f t="shared" si="56"/>
        <v>#VALUE!</v>
      </c>
      <c r="F543" s="182" t="e">
        <f>SUM($D$33:D543)</f>
        <v>#VALUE!</v>
      </c>
      <c r="G543" s="182">
        <f t="shared" ca="1" si="57"/>
        <v>0</v>
      </c>
      <c r="H543" s="182" t="e">
        <f t="shared" si="53"/>
        <v>#VALUE!</v>
      </c>
      <c r="I543" s="183" t="e">
        <f t="shared" si="59"/>
        <v>#VALUE!</v>
      </c>
    </row>
    <row r="544" spans="1:9" x14ac:dyDescent="0.25">
      <c r="A544" s="180">
        <f t="shared" ca="1" si="54"/>
        <v>46616</v>
      </c>
      <c r="B544" s="181">
        <v>512</v>
      </c>
      <c r="C544" s="182" t="e">
        <f t="shared" si="55"/>
        <v>#VALUE!</v>
      </c>
      <c r="D544" s="182" t="e">
        <f t="shared" si="58"/>
        <v>#VALUE!</v>
      </c>
      <c r="E544" s="182" t="e">
        <f t="shared" si="56"/>
        <v>#VALUE!</v>
      </c>
      <c r="F544" s="182" t="e">
        <f>SUM($D$33:D544)</f>
        <v>#VALUE!</v>
      </c>
      <c r="G544" s="182">
        <f t="shared" ca="1" si="57"/>
        <v>0</v>
      </c>
      <c r="H544" s="182" t="e">
        <f t="shared" si="53"/>
        <v>#VALUE!</v>
      </c>
      <c r="I544" s="183" t="e">
        <f t="shared" si="59"/>
        <v>#VALUE!</v>
      </c>
    </row>
    <row r="545" spans="1:9" x14ac:dyDescent="0.25">
      <c r="A545" s="180">
        <f t="shared" ca="1" si="54"/>
        <v>46617</v>
      </c>
      <c r="B545" s="181">
        <v>513</v>
      </c>
      <c r="C545" s="182" t="e">
        <f t="shared" si="55"/>
        <v>#VALUE!</v>
      </c>
      <c r="D545" s="182" t="e">
        <f t="shared" si="58"/>
        <v>#VALUE!</v>
      </c>
      <c r="E545" s="182" t="e">
        <f t="shared" si="56"/>
        <v>#VALUE!</v>
      </c>
      <c r="F545" s="182" t="e">
        <f>SUM($D$33:D545)</f>
        <v>#VALUE!</v>
      </c>
      <c r="G545" s="182">
        <f t="shared" ca="1" si="57"/>
        <v>0</v>
      </c>
      <c r="H545" s="182" t="e">
        <f t="shared" ref="H545:H608" si="60">IF(E545&gt;0,C545+G545,IF(E545&lt;0,C545+G545+D545-E544,C545+D545+G545))</f>
        <v>#VALUE!</v>
      </c>
      <c r="I545" s="183" t="e">
        <f t="shared" si="59"/>
        <v>#VALUE!</v>
      </c>
    </row>
    <row r="546" spans="1:9" x14ac:dyDescent="0.25">
      <c r="A546" s="180">
        <f t="shared" ref="A546:A609" ca="1" si="61">A545+1</f>
        <v>46618</v>
      </c>
      <c r="B546" s="181">
        <v>514</v>
      </c>
      <c r="C546" s="182" t="e">
        <f t="shared" ref="C546:C609" si="62">H545</f>
        <v>#VALUE!</v>
      </c>
      <c r="D546" s="182" t="e">
        <f t="shared" si="58"/>
        <v>#VALUE!</v>
      </c>
      <c r="E546" s="182" t="e">
        <f t="shared" ref="E546:E609" si="63">IF(E545&gt;0,E545-D546,0)</f>
        <v>#VALUE!</v>
      </c>
      <c r="F546" s="182" t="e">
        <f>SUM($D$33:D546)</f>
        <v>#VALUE!</v>
      </c>
      <c r="G546" s="182">
        <f t="shared" ref="G546:G609" ca="1" si="64">IFERROR(-VLOOKUP(A546,$K$30:$M$36,2,FALSE),0)</f>
        <v>0</v>
      </c>
      <c r="H546" s="182" t="e">
        <f t="shared" si="60"/>
        <v>#VALUE!</v>
      </c>
      <c r="I546" s="183" t="e">
        <f t="shared" si="59"/>
        <v>#VALUE!</v>
      </c>
    </row>
    <row r="547" spans="1:9" x14ac:dyDescent="0.25">
      <c r="A547" s="180">
        <f t="shared" ca="1" si="61"/>
        <v>46619</v>
      </c>
      <c r="B547" s="181">
        <v>515</v>
      </c>
      <c r="C547" s="182" t="e">
        <f t="shared" si="62"/>
        <v>#VALUE!</v>
      </c>
      <c r="D547" s="182" t="e">
        <f t="shared" si="58"/>
        <v>#VALUE!</v>
      </c>
      <c r="E547" s="182" t="e">
        <f t="shared" si="63"/>
        <v>#VALUE!</v>
      </c>
      <c r="F547" s="182" t="e">
        <f>SUM($D$33:D547)</f>
        <v>#VALUE!</v>
      </c>
      <c r="G547" s="182">
        <f t="shared" ca="1" si="64"/>
        <v>0</v>
      </c>
      <c r="H547" s="182" t="e">
        <f t="shared" si="60"/>
        <v>#VALUE!</v>
      </c>
      <c r="I547" s="183" t="e">
        <f t="shared" si="59"/>
        <v>#VALUE!</v>
      </c>
    </row>
    <row r="548" spans="1:9" x14ac:dyDescent="0.25">
      <c r="A548" s="180">
        <f t="shared" ca="1" si="61"/>
        <v>46620</v>
      </c>
      <c r="B548" s="181">
        <v>516</v>
      </c>
      <c r="C548" s="182" t="e">
        <f t="shared" si="62"/>
        <v>#VALUE!</v>
      </c>
      <c r="D548" s="182" t="e">
        <f t="shared" si="58"/>
        <v>#VALUE!</v>
      </c>
      <c r="E548" s="182" t="e">
        <f t="shared" si="63"/>
        <v>#VALUE!</v>
      </c>
      <c r="F548" s="182" t="e">
        <f>SUM($D$33:D548)</f>
        <v>#VALUE!</v>
      </c>
      <c r="G548" s="182">
        <f t="shared" ca="1" si="64"/>
        <v>0</v>
      </c>
      <c r="H548" s="182" t="e">
        <f t="shared" si="60"/>
        <v>#VALUE!</v>
      </c>
      <c r="I548" s="183" t="e">
        <f t="shared" si="59"/>
        <v>#VALUE!</v>
      </c>
    </row>
    <row r="549" spans="1:9" x14ac:dyDescent="0.25">
      <c r="A549" s="180">
        <f t="shared" ca="1" si="61"/>
        <v>46621</v>
      </c>
      <c r="B549" s="181">
        <v>517</v>
      </c>
      <c r="C549" s="182" t="e">
        <f t="shared" si="62"/>
        <v>#VALUE!</v>
      </c>
      <c r="D549" s="182" t="e">
        <f t="shared" si="58"/>
        <v>#VALUE!</v>
      </c>
      <c r="E549" s="182" t="e">
        <f t="shared" si="63"/>
        <v>#VALUE!</v>
      </c>
      <c r="F549" s="182" t="e">
        <f>SUM($D$33:D549)</f>
        <v>#VALUE!</v>
      </c>
      <c r="G549" s="182">
        <f t="shared" ca="1" si="64"/>
        <v>0</v>
      </c>
      <c r="H549" s="182" t="e">
        <f t="shared" si="60"/>
        <v>#VALUE!</v>
      </c>
      <c r="I549" s="183" t="e">
        <f t="shared" si="59"/>
        <v>#VALUE!</v>
      </c>
    </row>
    <row r="550" spans="1:9" x14ac:dyDescent="0.25">
      <c r="A550" s="180">
        <f t="shared" ca="1" si="61"/>
        <v>46622</v>
      </c>
      <c r="B550" s="181">
        <v>518</v>
      </c>
      <c r="C550" s="182" t="e">
        <f t="shared" si="62"/>
        <v>#VALUE!</v>
      </c>
      <c r="D550" s="182" t="e">
        <f t="shared" si="58"/>
        <v>#VALUE!</v>
      </c>
      <c r="E550" s="182" t="e">
        <f t="shared" si="63"/>
        <v>#VALUE!</v>
      </c>
      <c r="F550" s="182" t="e">
        <f>SUM($D$33:D550)</f>
        <v>#VALUE!</v>
      </c>
      <c r="G550" s="182">
        <f t="shared" ca="1" si="64"/>
        <v>0</v>
      </c>
      <c r="H550" s="182" t="e">
        <f t="shared" si="60"/>
        <v>#VALUE!</v>
      </c>
      <c r="I550" s="183" t="e">
        <f t="shared" si="59"/>
        <v>#VALUE!</v>
      </c>
    </row>
    <row r="551" spans="1:9" x14ac:dyDescent="0.25">
      <c r="A551" s="180">
        <f t="shared" ca="1" si="61"/>
        <v>46623</v>
      </c>
      <c r="B551" s="181">
        <v>519</v>
      </c>
      <c r="C551" s="182" t="e">
        <f t="shared" si="62"/>
        <v>#VALUE!</v>
      </c>
      <c r="D551" s="182" t="e">
        <f t="shared" si="58"/>
        <v>#VALUE!</v>
      </c>
      <c r="E551" s="182" t="e">
        <f t="shared" si="63"/>
        <v>#VALUE!</v>
      </c>
      <c r="F551" s="182" t="e">
        <f>SUM($D$33:D551)</f>
        <v>#VALUE!</v>
      </c>
      <c r="G551" s="182">
        <f t="shared" ca="1" si="64"/>
        <v>0</v>
      </c>
      <c r="H551" s="182" t="e">
        <f t="shared" si="60"/>
        <v>#VALUE!</v>
      </c>
      <c r="I551" s="183" t="e">
        <f t="shared" si="59"/>
        <v>#VALUE!</v>
      </c>
    </row>
    <row r="552" spans="1:9" x14ac:dyDescent="0.25">
      <c r="A552" s="180">
        <f t="shared" ca="1" si="61"/>
        <v>46624</v>
      </c>
      <c r="B552" s="181">
        <v>520</v>
      </c>
      <c r="C552" s="182" t="e">
        <f t="shared" si="62"/>
        <v>#VALUE!</v>
      </c>
      <c r="D552" s="182" t="e">
        <f t="shared" si="58"/>
        <v>#VALUE!</v>
      </c>
      <c r="E552" s="182" t="e">
        <f t="shared" si="63"/>
        <v>#VALUE!</v>
      </c>
      <c r="F552" s="182" t="e">
        <f>SUM($D$33:D552)</f>
        <v>#VALUE!</v>
      </c>
      <c r="G552" s="182">
        <f t="shared" ca="1" si="64"/>
        <v>0</v>
      </c>
      <c r="H552" s="182" t="e">
        <f t="shared" si="60"/>
        <v>#VALUE!</v>
      </c>
      <c r="I552" s="183" t="e">
        <f t="shared" si="59"/>
        <v>#VALUE!</v>
      </c>
    </row>
    <row r="553" spans="1:9" x14ac:dyDescent="0.25">
      <c r="A553" s="180">
        <f t="shared" ca="1" si="61"/>
        <v>46625</v>
      </c>
      <c r="B553" s="181">
        <v>521</v>
      </c>
      <c r="C553" s="182" t="e">
        <f t="shared" si="62"/>
        <v>#VALUE!</v>
      </c>
      <c r="D553" s="182" t="e">
        <f t="shared" si="58"/>
        <v>#VALUE!</v>
      </c>
      <c r="E553" s="182" t="e">
        <f t="shared" si="63"/>
        <v>#VALUE!</v>
      </c>
      <c r="F553" s="182" t="e">
        <f>SUM($D$33:D553)</f>
        <v>#VALUE!</v>
      </c>
      <c r="G553" s="182">
        <f t="shared" ca="1" si="64"/>
        <v>0</v>
      </c>
      <c r="H553" s="182" t="e">
        <f t="shared" si="60"/>
        <v>#VALUE!</v>
      </c>
      <c r="I553" s="183" t="e">
        <f t="shared" si="59"/>
        <v>#VALUE!</v>
      </c>
    </row>
    <row r="554" spans="1:9" x14ac:dyDescent="0.25">
      <c r="A554" s="180">
        <f t="shared" ca="1" si="61"/>
        <v>46626</v>
      </c>
      <c r="B554" s="181">
        <v>522</v>
      </c>
      <c r="C554" s="182" t="e">
        <f t="shared" si="62"/>
        <v>#VALUE!</v>
      </c>
      <c r="D554" s="182" t="e">
        <f t="shared" si="58"/>
        <v>#VALUE!</v>
      </c>
      <c r="E554" s="182" t="e">
        <f t="shared" si="63"/>
        <v>#VALUE!</v>
      </c>
      <c r="F554" s="182" t="e">
        <f>SUM($D$33:D554)</f>
        <v>#VALUE!</v>
      </c>
      <c r="G554" s="182">
        <f t="shared" ca="1" si="64"/>
        <v>0</v>
      </c>
      <c r="H554" s="182" t="e">
        <f t="shared" si="60"/>
        <v>#VALUE!</v>
      </c>
      <c r="I554" s="183" t="e">
        <f t="shared" si="59"/>
        <v>#VALUE!</v>
      </c>
    </row>
    <row r="555" spans="1:9" x14ac:dyDescent="0.25">
      <c r="A555" s="180">
        <f t="shared" ca="1" si="61"/>
        <v>46627</v>
      </c>
      <c r="B555" s="181">
        <v>523</v>
      </c>
      <c r="C555" s="182" t="e">
        <f t="shared" si="62"/>
        <v>#VALUE!</v>
      </c>
      <c r="D555" s="182" t="e">
        <f t="shared" si="58"/>
        <v>#VALUE!</v>
      </c>
      <c r="E555" s="182" t="e">
        <f t="shared" si="63"/>
        <v>#VALUE!</v>
      </c>
      <c r="F555" s="182" t="e">
        <f>SUM($D$33:D555)</f>
        <v>#VALUE!</v>
      </c>
      <c r="G555" s="182">
        <f t="shared" ca="1" si="64"/>
        <v>0</v>
      </c>
      <c r="H555" s="182" t="e">
        <f t="shared" si="60"/>
        <v>#VALUE!</v>
      </c>
      <c r="I555" s="183" t="e">
        <f t="shared" si="59"/>
        <v>#VALUE!</v>
      </c>
    </row>
    <row r="556" spans="1:9" x14ac:dyDescent="0.25">
      <c r="A556" s="180">
        <f t="shared" ca="1" si="61"/>
        <v>46628</v>
      </c>
      <c r="B556" s="181">
        <v>524</v>
      </c>
      <c r="C556" s="182" t="e">
        <f t="shared" si="62"/>
        <v>#VALUE!</v>
      </c>
      <c r="D556" s="182" t="e">
        <f t="shared" si="58"/>
        <v>#VALUE!</v>
      </c>
      <c r="E556" s="182" t="e">
        <f t="shared" si="63"/>
        <v>#VALUE!</v>
      </c>
      <c r="F556" s="182" t="e">
        <f>SUM($D$33:D556)</f>
        <v>#VALUE!</v>
      </c>
      <c r="G556" s="182">
        <f t="shared" ca="1" si="64"/>
        <v>0</v>
      </c>
      <c r="H556" s="182" t="e">
        <f t="shared" si="60"/>
        <v>#VALUE!</v>
      </c>
      <c r="I556" s="183" t="e">
        <f t="shared" si="59"/>
        <v>#VALUE!</v>
      </c>
    </row>
    <row r="557" spans="1:9" x14ac:dyDescent="0.25">
      <c r="A557" s="180">
        <f t="shared" ca="1" si="61"/>
        <v>46629</v>
      </c>
      <c r="B557" s="181">
        <v>525</v>
      </c>
      <c r="C557" s="182" t="e">
        <f t="shared" si="62"/>
        <v>#VALUE!</v>
      </c>
      <c r="D557" s="182" t="e">
        <f t="shared" si="58"/>
        <v>#VALUE!</v>
      </c>
      <c r="E557" s="182" t="e">
        <f t="shared" si="63"/>
        <v>#VALUE!</v>
      </c>
      <c r="F557" s="182" t="e">
        <f>SUM($D$33:D557)</f>
        <v>#VALUE!</v>
      </c>
      <c r="G557" s="182">
        <f t="shared" ca="1" si="64"/>
        <v>0</v>
      </c>
      <c r="H557" s="182" t="e">
        <f t="shared" si="60"/>
        <v>#VALUE!</v>
      </c>
      <c r="I557" s="183" t="e">
        <f t="shared" si="59"/>
        <v>#VALUE!</v>
      </c>
    </row>
    <row r="558" spans="1:9" x14ac:dyDescent="0.25">
      <c r="A558" s="180">
        <f t="shared" ca="1" si="61"/>
        <v>46630</v>
      </c>
      <c r="B558" s="181">
        <v>526</v>
      </c>
      <c r="C558" s="182" t="e">
        <f t="shared" si="62"/>
        <v>#VALUE!</v>
      </c>
      <c r="D558" s="182" t="e">
        <f t="shared" si="58"/>
        <v>#VALUE!</v>
      </c>
      <c r="E558" s="182" t="e">
        <f t="shared" si="63"/>
        <v>#VALUE!</v>
      </c>
      <c r="F558" s="182" t="e">
        <f>SUM($D$33:D558)</f>
        <v>#VALUE!</v>
      </c>
      <c r="G558" s="182">
        <f t="shared" ca="1" si="64"/>
        <v>0</v>
      </c>
      <c r="H558" s="182" t="e">
        <f t="shared" si="60"/>
        <v>#VALUE!</v>
      </c>
      <c r="I558" s="183" t="e">
        <f t="shared" si="59"/>
        <v>#VALUE!</v>
      </c>
    </row>
    <row r="559" spans="1:9" x14ac:dyDescent="0.25">
      <c r="A559" s="180">
        <f t="shared" ca="1" si="61"/>
        <v>46631</v>
      </c>
      <c r="B559" s="181">
        <v>527</v>
      </c>
      <c r="C559" s="182" t="e">
        <f t="shared" si="62"/>
        <v>#VALUE!</v>
      </c>
      <c r="D559" s="182" t="e">
        <f t="shared" si="58"/>
        <v>#VALUE!</v>
      </c>
      <c r="E559" s="182" t="e">
        <f t="shared" si="63"/>
        <v>#VALUE!</v>
      </c>
      <c r="F559" s="182" t="e">
        <f>SUM($D$33:D559)</f>
        <v>#VALUE!</v>
      </c>
      <c r="G559" s="182">
        <f t="shared" ca="1" si="64"/>
        <v>0</v>
      </c>
      <c r="H559" s="182" t="e">
        <f t="shared" si="60"/>
        <v>#VALUE!</v>
      </c>
      <c r="I559" s="183" t="e">
        <f t="shared" si="59"/>
        <v>#VALUE!</v>
      </c>
    </row>
    <row r="560" spans="1:9" x14ac:dyDescent="0.25">
      <c r="A560" s="180">
        <f t="shared" ca="1" si="61"/>
        <v>46632</v>
      </c>
      <c r="B560" s="181">
        <v>528</v>
      </c>
      <c r="C560" s="182" t="e">
        <f t="shared" si="62"/>
        <v>#VALUE!</v>
      </c>
      <c r="D560" s="182" t="e">
        <f t="shared" si="58"/>
        <v>#VALUE!</v>
      </c>
      <c r="E560" s="182" t="e">
        <f t="shared" si="63"/>
        <v>#VALUE!</v>
      </c>
      <c r="F560" s="182" t="e">
        <f>SUM($D$33:D560)</f>
        <v>#VALUE!</v>
      </c>
      <c r="G560" s="182">
        <f t="shared" ca="1" si="64"/>
        <v>0</v>
      </c>
      <c r="H560" s="182" t="e">
        <f t="shared" si="60"/>
        <v>#VALUE!</v>
      </c>
      <c r="I560" s="183" t="e">
        <f t="shared" si="59"/>
        <v>#VALUE!</v>
      </c>
    </row>
    <row r="561" spans="1:9" x14ac:dyDescent="0.25">
      <c r="A561" s="180">
        <f t="shared" ca="1" si="61"/>
        <v>46633</v>
      </c>
      <c r="B561" s="181">
        <v>529</v>
      </c>
      <c r="C561" s="182" t="e">
        <f t="shared" si="62"/>
        <v>#VALUE!</v>
      </c>
      <c r="D561" s="182" t="e">
        <f t="shared" si="58"/>
        <v>#VALUE!</v>
      </c>
      <c r="E561" s="182" t="e">
        <f t="shared" si="63"/>
        <v>#VALUE!</v>
      </c>
      <c r="F561" s="182" t="e">
        <f>SUM($D$33:D561)</f>
        <v>#VALUE!</v>
      </c>
      <c r="G561" s="182">
        <f t="shared" ca="1" si="64"/>
        <v>0</v>
      </c>
      <c r="H561" s="182" t="e">
        <f t="shared" si="60"/>
        <v>#VALUE!</v>
      </c>
      <c r="I561" s="183" t="e">
        <f t="shared" si="59"/>
        <v>#VALUE!</v>
      </c>
    </row>
    <row r="562" spans="1:9" x14ac:dyDescent="0.25">
      <c r="A562" s="180">
        <f t="shared" ca="1" si="61"/>
        <v>46634</v>
      </c>
      <c r="B562" s="181">
        <v>530</v>
      </c>
      <c r="C562" s="182" t="e">
        <f t="shared" si="62"/>
        <v>#VALUE!</v>
      </c>
      <c r="D562" s="182" t="e">
        <f t="shared" si="58"/>
        <v>#VALUE!</v>
      </c>
      <c r="E562" s="182" t="e">
        <f t="shared" si="63"/>
        <v>#VALUE!</v>
      </c>
      <c r="F562" s="182" t="e">
        <f>SUM($D$33:D562)</f>
        <v>#VALUE!</v>
      </c>
      <c r="G562" s="182">
        <f t="shared" ca="1" si="64"/>
        <v>0</v>
      </c>
      <c r="H562" s="182" t="e">
        <f t="shared" si="60"/>
        <v>#VALUE!</v>
      </c>
      <c r="I562" s="183" t="e">
        <f t="shared" si="59"/>
        <v>#VALUE!</v>
      </c>
    </row>
    <row r="563" spans="1:9" x14ac:dyDescent="0.25">
      <c r="A563" s="180">
        <f t="shared" ca="1" si="61"/>
        <v>46635</v>
      </c>
      <c r="B563" s="181">
        <v>531</v>
      </c>
      <c r="C563" s="182" t="e">
        <f t="shared" si="62"/>
        <v>#VALUE!</v>
      </c>
      <c r="D563" s="182" t="e">
        <f t="shared" si="58"/>
        <v>#VALUE!</v>
      </c>
      <c r="E563" s="182" t="e">
        <f t="shared" si="63"/>
        <v>#VALUE!</v>
      </c>
      <c r="F563" s="182" t="e">
        <f>SUM($D$33:D563)</f>
        <v>#VALUE!</v>
      </c>
      <c r="G563" s="182">
        <f t="shared" ca="1" si="64"/>
        <v>0</v>
      </c>
      <c r="H563" s="182" t="e">
        <f t="shared" si="60"/>
        <v>#VALUE!</v>
      </c>
      <c r="I563" s="183" t="e">
        <f t="shared" si="59"/>
        <v>#VALUE!</v>
      </c>
    </row>
    <row r="564" spans="1:9" x14ac:dyDescent="0.25">
      <c r="A564" s="180">
        <f t="shared" ca="1" si="61"/>
        <v>46636</v>
      </c>
      <c r="B564" s="181">
        <v>532</v>
      </c>
      <c r="C564" s="182" t="e">
        <f t="shared" si="62"/>
        <v>#VALUE!</v>
      </c>
      <c r="D564" s="182" t="e">
        <f t="shared" si="58"/>
        <v>#VALUE!</v>
      </c>
      <c r="E564" s="182" t="e">
        <f t="shared" si="63"/>
        <v>#VALUE!</v>
      </c>
      <c r="F564" s="182" t="e">
        <f>SUM($D$33:D564)</f>
        <v>#VALUE!</v>
      </c>
      <c r="G564" s="182">
        <f t="shared" ca="1" si="64"/>
        <v>0</v>
      </c>
      <c r="H564" s="182" t="e">
        <f t="shared" si="60"/>
        <v>#VALUE!</v>
      </c>
      <c r="I564" s="183" t="e">
        <f t="shared" si="59"/>
        <v>#VALUE!</v>
      </c>
    </row>
    <row r="565" spans="1:9" x14ac:dyDescent="0.25">
      <c r="A565" s="180">
        <f t="shared" ca="1" si="61"/>
        <v>46637</v>
      </c>
      <c r="B565" s="181">
        <v>533</v>
      </c>
      <c r="C565" s="182" t="e">
        <f t="shared" si="62"/>
        <v>#VALUE!</v>
      </c>
      <c r="D565" s="182" t="e">
        <f t="shared" si="58"/>
        <v>#VALUE!</v>
      </c>
      <c r="E565" s="182" t="e">
        <f t="shared" si="63"/>
        <v>#VALUE!</v>
      </c>
      <c r="F565" s="182" t="e">
        <f>SUM($D$33:D565)</f>
        <v>#VALUE!</v>
      </c>
      <c r="G565" s="182">
        <f t="shared" ca="1" si="64"/>
        <v>0</v>
      </c>
      <c r="H565" s="182" t="e">
        <f t="shared" si="60"/>
        <v>#VALUE!</v>
      </c>
      <c r="I565" s="183" t="e">
        <f t="shared" si="59"/>
        <v>#VALUE!</v>
      </c>
    </row>
    <row r="566" spans="1:9" x14ac:dyDescent="0.25">
      <c r="A566" s="180">
        <f t="shared" ca="1" si="61"/>
        <v>46638</v>
      </c>
      <c r="B566" s="181">
        <v>534</v>
      </c>
      <c r="C566" s="182" t="e">
        <f t="shared" si="62"/>
        <v>#VALUE!</v>
      </c>
      <c r="D566" s="182" t="e">
        <f t="shared" si="58"/>
        <v>#VALUE!</v>
      </c>
      <c r="E566" s="182" t="e">
        <f t="shared" si="63"/>
        <v>#VALUE!</v>
      </c>
      <c r="F566" s="182" t="e">
        <f>SUM($D$33:D566)</f>
        <v>#VALUE!</v>
      </c>
      <c r="G566" s="182">
        <f t="shared" ca="1" si="64"/>
        <v>0</v>
      </c>
      <c r="H566" s="182" t="e">
        <f t="shared" si="60"/>
        <v>#VALUE!</v>
      </c>
      <c r="I566" s="183" t="e">
        <f t="shared" si="59"/>
        <v>#VALUE!</v>
      </c>
    </row>
    <row r="567" spans="1:9" x14ac:dyDescent="0.25">
      <c r="A567" s="180">
        <f t="shared" ca="1" si="61"/>
        <v>46639</v>
      </c>
      <c r="B567" s="181">
        <v>535</v>
      </c>
      <c r="C567" s="182" t="e">
        <f t="shared" si="62"/>
        <v>#VALUE!</v>
      </c>
      <c r="D567" s="182" t="e">
        <f t="shared" si="58"/>
        <v>#VALUE!</v>
      </c>
      <c r="E567" s="182" t="e">
        <f t="shared" si="63"/>
        <v>#VALUE!</v>
      </c>
      <c r="F567" s="182" t="e">
        <f>SUM($D$33:D567)</f>
        <v>#VALUE!</v>
      </c>
      <c r="G567" s="182">
        <f t="shared" ca="1" si="64"/>
        <v>0</v>
      </c>
      <c r="H567" s="182" t="e">
        <f t="shared" si="60"/>
        <v>#VALUE!</v>
      </c>
      <c r="I567" s="183" t="e">
        <f t="shared" si="59"/>
        <v>#VALUE!</v>
      </c>
    </row>
    <row r="568" spans="1:9" x14ac:dyDescent="0.25">
      <c r="A568" s="180">
        <f t="shared" ca="1" si="61"/>
        <v>46640</v>
      </c>
      <c r="B568" s="181">
        <v>536</v>
      </c>
      <c r="C568" s="182" t="e">
        <f t="shared" si="62"/>
        <v>#VALUE!</v>
      </c>
      <c r="D568" s="182" t="e">
        <f t="shared" si="58"/>
        <v>#VALUE!</v>
      </c>
      <c r="E568" s="182" t="e">
        <f t="shared" si="63"/>
        <v>#VALUE!</v>
      </c>
      <c r="F568" s="182" t="e">
        <f>SUM($D$33:D568)</f>
        <v>#VALUE!</v>
      </c>
      <c r="G568" s="182">
        <f t="shared" ca="1" si="64"/>
        <v>0</v>
      </c>
      <c r="H568" s="182" t="e">
        <f t="shared" si="60"/>
        <v>#VALUE!</v>
      </c>
      <c r="I568" s="183" t="e">
        <f t="shared" si="59"/>
        <v>#VALUE!</v>
      </c>
    </row>
    <row r="569" spans="1:9" x14ac:dyDescent="0.25">
      <c r="A569" s="180">
        <f t="shared" ca="1" si="61"/>
        <v>46641</v>
      </c>
      <c r="B569" s="181">
        <v>537</v>
      </c>
      <c r="C569" s="182" t="e">
        <f t="shared" si="62"/>
        <v>#VALUE!</v>
      </c>
      <c r="D569" s="182" t="e">
        <f t="shared" si="58"/>
        <v>#VALUE!</v>
      </c>
      <c r="E569" s="182" t="e">
        <f t="shared" si="63"/>
        <v>#VALUE!</v>
      </c>
      <c r="F569" s="182" t="e">
        <f>SUM($D$33:D569)</f>
        <v>#VALUE!</v>
      </c>
      <c r="G569" s="182">
        <f t="shared" ca="1" si="64"/>
        <v>0</v>
      </c>
      <c r="H569" s="182" t="e">
        <f t="shared" si="60"/>
        <v>#VALUE!</v>
      </c>
      <c r="I569" s="183" t="e">
        <f t="shared" si="59"/>
        <v>#VALUE!</v>
      </c>
    </row>
    <row r="570" spans="1:9" x14ac:dyDescent="0.25">
      <c r="A570" s="180">
        <f t="shared" ca="1" si="61"/>
        <v>46642</v>
      </c>
      <c r="B570" s="181">
        <v>538</v>
      </c>
      <c r="C570" s="182" t="e">
        <f t="shared" si="62"/>
        <v>#VALUE!</v>
      </c>
      <c r="D570" s="182" t="e">
        <f t="shared" si="58"/>
        <v>#VALUE!</v>
      </c>
      <c r="E570" s="182" t="e">
        <f t="shared" si="63"/>
        <v>#VALUE!</v>
      </c>
      <c r="F570" s="182" t="e">
        <f>SUM($D$33:D570)</f>
        <v>#VALUE!</v>
      </c>
      <c r="G570" s="182">
        <f t="shared" ca="1" si="64"/>
        <v>0</v>
      </c>
      <c r="H570" s="182" t="e">
        <f t="shared" si="60"/>
        <v>#VALUE!</v>
      </c>
      <c r="I570" s="183" t="e">
        <f t="shared" si="59"/>
        <v>#VALUE!</v>
      </c>
    </row>
    <row r="571" spans="1:9" x14ac:dyDescent="0.25">
      <c r="A571" s="180">
        <f t="shared" ca="1" si="61"/>
        <v>46643</v>
      </c>
      <c r="B571" s="181">
        <v>539</v>
      </c>
      <c r="C571" s="182" t="e">
        <f t="shared" si="62"/>
        <v>#VALUE!</v>
      </c>
      <c r="D571" s="182" t="e">
        <f t="shared" si="58"/>
        <v>#VALUE!</v>
      </c>
      <c r="E571" s="182" t="e">
        <f t="shared" si="63"/>
        <v>#VALUE!</v>
      </c>
      <c r="F571" s="182" t="e">
        <f>SUM($D$33:D571)</f>
        <v>#VALUE!</v>
      </c>
      <c r="G571" s="182">
        <f t="shared" ca="1" si="64"/>
        <v>0</v>
      </c>
      <c r="H571" s="182" t="e">
        <f t="shared" si="60"/>
        <v>#VALUE!</v>
      </c>
      <c r="I571" s="183" t="e">
        <f t="shared" si="59"/>
        <v>#VALUE!</v>
      </c>
    </row>
    <row r="572" spans="1:9" x14ac:dyDescent="0.25">
      <c r="A572" s="180">
        <f t="shared" ca="1" si="61"/>
        <v>46644</v>
      </c>
      <c r="B572" s="181">
        <v>540</v>
      </c>
      <c r="C572" s="182" t="e">
        <f t="shared" si="62"/>
        <v>#VALUE!</v>
      </c>
      <c r="D572" s="182" t="e">
        <f t="shared" si="58"/>
        <v>#VALUE!</v>
      </c>
      <c r="E572" s="182" t="e">
        <f t="shared" si="63"/>
        <v>#VALUE!</v>
      </c>
      <c r="F572" s="182" t="e">
        <f>SUM($D$33:D572)</f>
        <v>#VALUE!</v>
      </c>
      <c r="G572" s="182">
        <f t="shared" ca="1" si="64"/>
        <v>0</v>
      </c>
      <c r="H572" s="182" t="e">
        <f t="shared" si="60"/>
        <v>#VALUE!</v>
      </c>
      <c r="I572" s="183" t="e">
        <f t="shared" si="59"/>
        <v>#VALUE!</v>
      </c>
    </row>
    <row r="573" spans="1:9" x14ac:dyDescent="0.25">
      <c r="A573" s="180">
        <f t="shared" ca="1" si="61"/>
        <v>46645</v>
      </c>
      <c r="B573" s="181">
        <v>541</v>
      </c>
      <c r="C573" s="182" t="e">
        <f t="shared" si="62"/>
        <v>#VALUE!</v>
      </c>
      <c r="D573" s="182" t="e">
        <f t="shared" si="58"/>
        <v>#VALUE!</v>
      </c>
      <c r="E573" s="182" t="e">
        <f t="shared" si="63"/>
        <v>#VALUE!</v>
      </c>
      <c r="F573" s="182" t="e">
        <f>SUM($D$33:D573)</f>
        <v>#VALUE!</v>
      </c>
      <c r="G573" s="182">
        <f t="shared" ca="1" si="64"/>
        <v>0</v>
      </c>
      <c r="H573" s="182" t="e">
        <f t="shared" si="60"/>
        <v>#VALUE!</v>
      </c>
      <c r="I573" s="183" t="e">
        <f t="shared" si="59"/>
        <v>#VALUE!</v>
      </c>
    </row>
    <row r="574" spans="1:9" x14ac:dyDescent="0.25">
      <c r="A574" s="180">
        <f t="shared" ca="1" si="61"/>
        <v>46646</v>
      </c>
      <c r="B574" s="181">
        <v>542</v>
      </c>
      <c r="C574" s="182" t="e">
        <f t="shared" si="62"/>
        <v>#VALUE!</v>
      </c>
      <c r="D574" s="182" t="e">
        <f t="shared" si="58"/>
        <v>#VALUE!</v>
      </c>
      <c r="E574" s="182" t="e">
        <f t="shared" si="63"/>
        <v>#VALUE!</v>
      </c>
      <c r="F574" s="182" t="e">
        <f>SUM($D$33:D574)</f>
        <v>#VALUE!</v>
      </c>
      <c r="G574" s="182">
        <f t="shared" ca="1" si="64"/>
        <v>0</v>
      </c>
      <c r="H574" s="182" t="e">
        <f t="shared" si="60"/>
        <v>#VALUE!</v>
      </c>
      <c r="I574" s="183" t="e">
        <f t="shared" si="59"/>
        <v>#VALUE!</v>
      </c>
    </row>
    <row r="575" spans="1:9" x14ac:dyDescent="0.25">
      <c r="A575" s="180">
        <f t="shared" ca="1" si="61"/>
        <v>46647</v>
      </c>
      <c r="B575" s="181">
        <v>543</v>
      </c>
      <c r="C575" s="182" t="e">
        <f t="shared" si="62"/>
        <v>#VALUE!</v>
      </c>
      <c r="D575" s="182" t="e">
        <f t="shared" si="58"/>
        <v>#VALUE!</v>
      </c>
      <c r="E575" s="182" t="e">
        <f t="shared" si="63"/>
        <v>#VALUE!</v>
      </c>
      <c r="F575" s="182" t="e">
        <f>SUM($D$33:D575)</f>
        <v>#VALUE!</v>
      </c>
      <c r="G575" s="182">
        <f t="shared" ca="1" si="64"/>
        <v>0</v>
      </c>
      <c r="H575" s="182" t="e">
        <f t="shared" si="60"/>
        <v>#VALUE!</v>
      </c>
      <c r="I575" s="183" t="e">
        <f t="shared" si="59"/>
        <v>#VALUE!</v>
      </c>
    </row>
    <row r="576" spans="1:9" x14ac:dyDescent="0.25">
      <c r="A576" s="180">
        <f t="shared" ca="1" si="61"/>
        <v>46648</v>
      </c>
      <c r="B576" s="181">
        <v>544</v>
      </c>
      <c r="C576" s="182" t="e">
        <f t="shared" si="62"/>
        <v>#VALUE!</v>
      </c>
      <c r="D576" s="182" t="e">
        <f t="shared" si="58"/>
        <v>#VALUE!</v>
      </c>
      <c r="E576" s="182" t="e">
        <f t="shared" si="63"/>
        <v>#VALUE!</v>
      </c>
      <c r="F576" s="182" t="e">
        <f>SUM($D$33:D576)</f>
        <v>#VALUE!</v>
      </c>
      <c r="G576" s="182">
        <f t="shared" ca="1" si="64"/>
        <v>0</v>
      </c>
      <c r="H576" s="182" t="e">
        <f t="shared" si="60"/>
        <v>#VALUE!</v>
      </c>
      <c r="I576" s="183" t="e">
        <f t="shared" si="59"/>
        <v>#VALUE!</v>
      </c>
    </row>
    <row r="577" spans="1:9" x14ac:dyDescent="0.25">
      <c r="A577" s="180">
        <f t="shared" ca="1" si="61"/>
        <v>46649</v>
      </c>
      <c r="B577" s="181">
        <v>545</v>
      </c>
      <c r="C577" s="182" t="e">
        <f t="shared" si="62"/>
        <v>#VALUE!</v>
      </c>
      <c r="D577" s="182" t="e">
        <f t="shared" si="58"/>
        <v>#VALUE!</v>
      </c>
      <c r="E577" s="182" t="e">
        <f t="shared" si="63"/>
        <v>#VALUE!</v>
      </c>
      <c r="F577" s="182" t="e">
        <f>SUM($D$33:D577)</f>
        <v>#VALUE!</v>
      </c>
      <c r="G577" s="182">
        <f t="shared" ca="1" si="64"/>
        <v>0</v>
      </c>
      <c r="H577" s="182" t="e">
        <f t="shared" si="60"/>
        <v>#VALUE!</v>
      </c>
      <c r="I577" s="183" t="e">
        <f t="shared" si="59"/>
        <v>#VALUE!</v>
      </c>
    </row>
    <row r="578" spans="1:9" x14ac:dyDescent="0.25">
      <c r="A578" s="180">
        <f t="shared" ca="1" si="61"/>
        <v>46650</v>
      </c>
      <c r="B578" s="181">
        <v>546</v>
      </c>
      <c r="C578" s="182" t="e">
        <f t="shared" si="62"/>
        <v>#VALUE!</v>
      </c>
      <c r="D578" s="182" t="e">
        <f t="shared" si="58"/>
        <v>#VALUE!</v>
      </c>
      <c r="E578" s="182" t="e">
        <f t="shared" si="63"/>
        <v>#VALUE!</v>
      </c>
      <c r="F578" s="182" t="e">
        <f>SUM($D$33:D578)</f>
        <v>#VALUE!</v>
      </c>
      <c r="G578" s="182">
        <f t="shared" ca="1" si="64"/>
        <v>0</v>
      </c>
      <c r="H578" s="182" t="e">
        <f t="shared" si="60"/>
        <v>#VALUE!</v>
      </c>
      <c r="I578" s="183" t="e">
        <f t="shared" si="59"/>
        <v>#VALUE!</v>
      </c>
    </row>
    <row r="579" spans="1:9" x14ac:dyDescent="0.25">
      <c r="A579" s="180">
        <f t="shared" ca="1" si="61"/>
        <v>46651</v>
      </c>
      <c r="B579" s="181">
        <v>547</v>
      </c>
      <c r="C579" s="182" t="e">
        <f t="shared" si="62"/>
        <v>#VALUE!</v>
      </c>
      <c r="D579" s="182" t="e">
        <f t="shared" si="58"/>
        <v>#VALUE!</v>
      </c>
      <c r="E579" s="182" t="e">
        <f t="shared" si="63"/>
        <v>#VALUE!</v>
      </c>
      <c r="F579" s="182" t="e">
        <f>SUM($D$33:D579)</f>
        <v>#VALUE!</v>
      </c>
      <c r="G579" s="182">
        <f t="shared" ca="1" si="64"/>
        <v>0</v>
      </c>
      <c r="H579" s="182" t="e">
        <f t="shared" si="60"/>
        <v>#VALUE!</v>
      </c>
      <c r="I579" s="183" t="e">
        <f t="shared" si="59"/>
        <v>#VALUE!</v>
      </c>
    </row>
    <row r="580" spans="1:9" x14ac:dyDescent="0.25">
      <c r="A580" s="180">
        <f t="shared" ca="1" si="61"/>
        <v>46652</v>
      </c>
      <c r="B580" s="181">
        <v>548</v>
      </c>
      <c r="C580" s="182" t="e">
        <f t="shared" si="62"/>
        <v>#VALUE!</v>
      </c>
      <c r="D580" s="182" t="e">
        <f t="shared" si="58"/>
        <v>#VALUE!</v>
      </c>
      <c r="E580" s="182" t="e">
        <f t="shared" si="63"/>
        <v>#VALUE!</v>
      </c>
      <c r="F580" s="182" t="e">
        <f>SUM($D$33:D580)</f>
        <v>#VALUE!</v>
      </c>
      <c r="G580" s="182">
        <f t="shared" ca="1" si="64"/>
        <v>0</v>
      </c>
      <c r="H580" s="182" t="e">
        <f t="shared" si="60"/>
        <v>#VALUE!</v>
      </c>
      <c r="I580" s="183" t="e">
        <f t="shared" si="59"/>
        <v>#VALUE!</v>
      </c>
    </row>
    <row r="581" spans="1:9" x14ac:dyDescent="0.25">
      <c r="A581" s="180">
        <f t="shared" ca="1" si="61"/>
        <v>46653</v>
      </c>
      <c r="B581" s="181">
        <v>549</v>
      </c>
      <c r="C581" s="182" t="e">
        <f t="shared" si="62"/>
        <v>#VALUE!</v>
      </c>
      <c r="D581" s="182" t="e">
        <f t="shared" si="58"/>
        <v>#VALUE!</v>
      </c>
      <c r="E581" s="182" t="e">
        <f t="shared" si="63"/>
        <v>#VALUE!</v>
      </c>
      <c r="F581" s="182" t="e">
        <f>SUM($D$33:D581)</f>
        <v>#VALUE!</v>
      </c>
      <c r="G581" s="182">
        <f t="shared" ca="1" si="64"/>
        <v>0</v>
      </c>
      <c r="H581" s="182" t="e">
        <f t="shared" si="60"/>
        <v>#VALUE!</v>
      </c>
      <c r="I581" s="183" t="e">
        <f t="shared" si="59"/>
        <v>#VALUE!</v>
      </c>
    </row>
    <row r="582" spans="1:9" x14ac:dyDescent="0.25">
      <c r="A582" s="180">
        <f t="shared" ca="1" si="61"/>
        <v>46654</v>
      </c>
      <c r="B582" s="181">
        <v>550</v>
      </c>
      <c r="C582" s="182" t="e">
        <f t="shared" si="62"/>
        <v>#VALUE!</v>
      </c>
      <c r="D582" s="182" t="e">
        <f t="shared" si="58"/>
        <v>#VALUE!</v>
      </c>
      <c r="E582" s="182" t="e">
        <f t="shared" si="63"/>
        <v>#VALUE!</v>
      </c>
      <c r="F582" s="182" t="e">
        <f>SUM($D$33:D582)</f>
        <v>#VALUE!</v>
      </c>
      <c r="G582" s="182">
        <f t="shared" ca="1" si="64"/>
        <v>0</v>
      </c>
      <c r="H582" s="182" t="e">
        <f t="shared" si="60"/>
        <v>#VALUE!</v>
      </c>
      <c r="I582" s="183" t="e">
        <f t="shared" si="59"/>
        <v>#VALUE!</v>
      </c>
    </row>
    <row r="583" spans="1:9" x14ac:dyDescent="0.25">
      <c r="A583" s="180">
        <f t="shared" ca="1" si="61"/>
        <v>46655</v>
      </c>
      <c r="B583" s="181">
        <v>551</v>
      </c>
      <c r="C583" s="182" t="e">
        <f t="shared" si="62"/>
        <v>#VALUE!</v>
      </c>
      <c r="D583" s="182" t="e">
        <f t="shared" si="58"/>
        <v>#VALUE!</v>
      </c>
      <c r="E583" s="182" t="e">
        <f t="shared" si="63"/>
        <v>#VALUE!</v>
      </c>
      <c r="F583" s="182" t="e">
        <f>SUM($D$33:D583)</f>
        <v>#VALUE!</v>
      </c>
      <c r="G583" s="182">
        <f t="shared" ca="1" si="64"/>
        <v>0</v>
      </c>
      <c r="H583" s="182" t="e">
        <f t="shared" si="60"/>
        <v>#VALUE!</v>
      </c>
      <c r="I583" s="183" t="e">
        <f t="shared" si="59"/>
        <v>#VALUE!</v>
      </c>
    </row>
    <row r="584" spans="1:9" x14ac:dyDescent="0.25">
      <c r="A584" s="180">
        <f t="shared" ca="1" si="61"/>
        <v>46656</v>
      </c>
      <c r="B584" s="181">
        <v>552</v>
      </c>
      <c r="C584" s="182" t="e">
        <f t="shared" si="62"/>
        <v>#VALUE!</v>
      </c>
      <c r="D584" s="182" t="e">
        <f t="shared" si="58"/>
        <v>#VALUE!</v>
      </c>
      <c r="E584" s="182" t="e">
        <f t="shared" si="63"/>
        <v>#VALUE!</v>
      </c>
      <c r="F584" s="182" t="e">
        <f>SUM($D$33:D584)</f>
        <v>#VALUE!</v>
      </c>
      <c r="G584" s="182">
        <f t="shared" ca="1" si="64"/>
        <v>0</v>
      </c>
      <c r="H584" s="182" t="e">
        <f t="shared" si="60"/>
        <v>#VALUE!</v>
      </c>
      <c r="I584" s="183" t="e">
        <f t="shared" si="59"/>
        <v>#VALUE!</v>
      </c>
    </row>
    <row r="585" spans="1:9" x14ac:dyDescent="0.25">
      <c r="A585" s="180">
        <f t="shared" ca="1" si="61"/>
        <v>46657</v>
      </c>
      <c r="B585" s="181">
        <v>553</v>
      </c>
      <c r="C585" s="182" t="e">
        <f t="shared" si="62"/>
        <v>#VALUE!</v>
      </c>
      <c r="D585" s="182" t="e">
        <f t="shared" si="58"/>
        <v>#VALUE!</v>
      </c>
      <c r="E585" s="182" t="e">
        <f t="shared" si="63"/>
        <v>#VALUE!</v>
      </c>
      <c r="F585" s="182" t="e">
        <f>SUM($D$33:D585)</f>
        <v>#VALUE!</v>
      </c>
      <c r="G585" s="182">
        <f t="shared" ca="1" si="64"/>
        <v>0</v>
      </c>
      <c r="H585" s="182" t="e">
        <f t="shared" si="60"/>
        <v>#VALUE!</v>
      </c>
      <c r="I585" s="183" t="e">
        <f t="shared" si="59"/>
        <v>#VALUE!</v>
      </c>
    </row>
    <row r="586" spans="1:9" x14ac:dyDescent="0.25">
      <c r="A586" s="180">
        <f t="shared" ca="1" si="61"/>
        <v>46658</v>
      </c>
      <c r="B586" s="181">
        <v>554</v>
      </c>
      <c r="C586" s="182" t="e">
        <f t="shared" si="62"/>
        <v>#VALUE!</v>
      </c>
      <c r="D586" s="182" t="e">
        <f t="shared" si="58"/>
        <v>#VALUE!</v>
      </c>
      <c r="E586" s="182" t="e">
        <f t="shared" si="63"/>
        <v>#VALUE!</v>
      </c>
      <c r="F586" s="182" t="e">
        <f>SUM($D$33:D586)</f>
        <v>#VALUE!</v>
      </c>
      <c r="G586" s="182">
        <f t="shared" ca="1" si="64"/>
        <v>0</v>
      </c>
      <c r="H586" s="182" t="e">
        <f t="shared" si="60"/>
        <v>#VALUE!</v>
      </c>
      <c r="I586" s="183" t="e">
        <f t="shared" si="59"/>
        <v>#VALUE!</v>
      </c>
    </row>
    <row r="587" spans="1:9" x14ac:dyDescent="0.25">
      <c r="A587" s="180">
        <f t="shared" ca="1" si="61"/>
        <v>46659</v>
      </c>
      <c r="B587" s="181">
        <v>555</v>
      </c>
      <c r="C587" s="182" t="e">
        <f t="shared" si="62"/>
        <v>#VALUE!</v>
      </c>
      <c r="D587" s="182" t="e">
        <f t="shared" si="58"/>
        <v>#VALUE!</v>
      </c>
      <c r="E587" s="182" t="e">
        <f t="shared" si="63"/>
        <v>#VALUE!</v>
      </c>
      <c r="F587" s="182" t="e">
        <f>SUM($D$33:D587)</f>
        <v>#VALUE!</v>
      </c>
      <c r="G587" s="182">
        <f t="shared" ca="1" si="64"/>
        <v>0</v>
      </c>
      <c r="H587" s="182" t="e">
        <f t="shared" si="60"/>
        <v>#VALUE!</v>
      </c>
      <c r="I587" s="183" t="e">
        <f t="shared" si="59"/>
        <v>#VALUE!</v>
      </c>
    </row>
    <row r="588" spans="1:9" x14ac:dyDescent="0.25">
      <c r="A588" s="180">
        <f t="shared" ca="1" si="61"/>
        <v>46660</v>
      </c>
      <c r="B588" s="181">
        <v>556</v>
      </c>
      <c r="C588" s="182" t="e">
        <f t="shared" si="62"/>
        <v>#VALUE!</v>
      </c>
      <c r="D588" s="182" t="e">
        <f t="shared" si="58"/>
        <v>#VALUE!</v>
      </c>
      <c r="E588" s="182" t="e">
        <f t="shared" si="63"/>
        <v>#VALUE!</v>
      </c>
      <c r="F588" s="182" t="e">
        <f>SUM($D$33:D588)</f>
        <v>#VALUE!</v>
      </c>
      <c r="G588" s="182">
        <f t="shared" ca="1" si="64"/>
        <v>0</v>
      </c>
      <c r="H588" s="182" t="e">
        <f t="shared" si="60"/>
        <v>#VALUE!</v>
      </c>
      <c r="I588" s="183" t="e">
        <f t="shared" si="59"/>
        <v>#VALUE!</v>
      </c>
    </row>
    <row r="589" spans="1:9" x14ac:dyDescent="0.25">
      <c r="A589" s="180">
        <f t="shared" ca="1" si="61"/>
        <v>46661</v>
      </c>
      <c r="B589" s="181">
        <v>557</v>
      </c>
      <c r="C589" s="182" t="e">
        <f t="shared" si="62"/>
        <v>#VALUE!</v>
      </c>
      <c r="D589" s="182" t="e">
        <f t="shared" ref="D589:D652" si="65">IF(C589&gt;$H$21,C589*($L$16/360),$H$21*($L$16/360))</f>
        <v>#VALUE!</v>
      </c>
      <c r="E589" s="182" t="e">
        <f t="shared" si="63"/>
        <v>#VALUE!</v>
      </c>
      <c r="F589" s="182" t="e">
        <f>SUM($D$33:D589)</f>
        <v>#VALUE!</v>
      </c>
      <c r="G589" s="182">
        <f t="shared" ca="1" si="64"/>
        <v>0</v>
      </c>
      <c r="H589" s="182" t="e">
        <f t="shared" si="60"/>
        <v>#VALUE!</v>
      </c>
      <c r="I589" s="183" t="e">
        <f t="shared" ref="I589:I652" si="66">(C589+D589-E589)</f>
        <v>#VALUE!</v>
      </c>
    </row>
    <row r="590" spans="1:9" x14ac:dyDescent="0.25">
      <c r="A590" s="180">
        <f t="shared" ca="1" si="61"/>
        <v>46662</v>
      </c>
      <c r="B590" s="181">
        <v>558</v>
      </c>
      <c r="C590" s="182" t="e">
        <f t="shared" si="62"/>
        <v>#VALUE!</v>
      </c>
      <c r="D590" s="182" t="e">
        <f t="shared" si="65"/>
        <v>#VALUE!</v>
      </c>
      <c r="E590" s="182" t="e">
        <f t="shared" si="63"/>
        <v>#VALUE!</v>
      </c>
      <c r="F590" s="182" t="e">
        <f>SUM($D$33:D590)</f>
        <v>#VALUE!</v>
      </c>
      <c r="G590" s="182">
        <f t="shared" ca="1" si="64"/>
        <v>0</v>
      </c>
      <c r="H590" s="182" t="e">
        <f t="shared" si="60"/>
        <v>#VALUE!</v>
      </c>
      <c r="I590" s="183" t="e">
        <f t="shared" si="66"/>
        <v>#VALUE!</v>
      </c>
    </row>
    <row r="591" spans="1:9" x14ac:dyDescent="0.25">
      <c r="A591" s="180">
        <f t="shared" ca="1" si="61"/>
        <v>46663</v>
      </c>
      <c r="B591" s="181">
        <v>559</v>
      </c>
      <c r="C591" s="182" t="e">
        <f t="shared" si="62"/>
        <v>#VALUE!</v>
      </c>
      <c r="D591" s="182" t="e">
        <f t="shared" si="65"/>
        <v>#VALUE!</v>
      </c>
      <c r="E591" s="182" t="e">
        <f t="shared" si="63"/>
        <v>#VALUE!</v>
      </c>
      <c r="F591" s="182" t="e">
        <f>SUM($D$33:D591)</f>
        <v>#VALUE!</v>
      </c>
      <c r="G591" s="182">
        <f t="shared" ca="1" si="64"/>
        <v>0</v>
      </c>
      <c r="H591" s="182" t="e">
        <f t="shared" si="60"/>
        <v>#VALUE!</v>
      </c>
      <c r="I591" s="183" t="e">
        <f t="shared" si="66"/>
        <v>#VALUE!</v>
      </c>
    </row>
    <row r="592" spans="1:9" x14ac:dyDescent="0.25">
      <c r="A592" s="180">
        <f t="shared" ca="1" si="61"/>
        <v>46664</v>
      </c>
      <c r="B592" s="181">
        <v>560</v>
      </c>
      <c r="C592" s="182" t="e">
        <f t="shared" si="62"/>
        <v>#VALUE!</v>
      </c>
      <c r="D592" s="182" t="e">
        <f t="shared" si="65"/>
        <v>#VALUE!</v>
      </c>
      <c r="E592" s="182" t="e">
        <f t="shared" si="63"/>
        <v>#VALUE!</v>
      </c>
      <c r="F592" s="182" t="e">
        <f>SUM($D$33:D592)</f>
        <v>#VALUE!</v>
      </c>
      <c r="G592" s="182">
        <f t="shared" ca="1" si="64"/>
        <v>0</v>
      </c>
      <c r="H592" s="182" t="e">
        <f t="shared" si="60"/>
        <v>#VALUE!</v>
      </c>
      <c r="I592" s="183" t="e">
        <f t="shared" si="66"/>
        <v>#VALUE!</v>
      </c>
    </row>
    <row r="593" spans="1:9" x14ac:dyDescent="0.25">
      <c r="A593" s="180">
        <f t="shared" ca="1" si="61"/>
        <v>46665</v>
      </c>
      <c r="B593" s="181">
        <v>561</v>
      </c>
      <c r="C593" s="182" t="e">
        <f t="shared" si="62"/>
        <v>#VALUE!</v>
      </c>
      <c r="D593" s="182" t="e">
        <f t="shared" si="65"/>
        <v>#VALUE!</v>
      </c>
      <c r="E593" s="182" t="e">
        <f t="shared" si="63"/>
        <v>#VALUE!</v>
      </c>
      <c r="F593" s="182" t="e">
        <f>SUM($D$33:D593)</f>
        <v>#VALUE!</v>
      </c>
      <c r="G593" s="182">
        <f t="shared" ca="1" si="64"/>
        <v>0</v>
      </c>
      <c r="H593" s="182" t="e">
        <f t="shared" si="60"/>
        <v>#VALUE!</v>
      </c>
      <c r="I593" s="183" t="e">
        <f t="shared" si="66"/>
        <v>#VALUE!</v>
      </c>
    </row>
    <row r="594" spans="1:9" x14ac:dyDescent="0.25">
      <c r="A594" s="180">
        <f t="shared" ca="1" si="61"/>
        <v>46666</v>
      </c>
      <c r="B594" s="181">
        <v>562</v>
      </c>
      <c r="C594" s="182" t="e">
        <f t="shared" si="62"/>
        <v>#VALUE!</v>
      </c>
      <c r="D594" s="182" t="e">
        <f t="shared" si="65"/>
        <v>#VALUE!</v>
      </c>
      <c r="E594" s="182" t="e">
        <f t="shared" si="63"/>
        <v>#VALUE!</v>
      </c>
      <c r="F594" s="182" t="e">
        <f>SUM($D$33:D594)</f>
        <v>#VALUE!</v>
      </c>
      <c r="G594" s="182">
        <f t="shared" ca="1" si="64"/>
        <v>0</v>
      </c>
      <c r="H594" s="182" t="e">
        <f t="shared" si="60"/>
        <v>#VALUE!</v>
      </c>
      <c r="I594" s="183" t="e">
        <f t="shared" si="66"/>
        <v>#VALUE!</v>
      </c>
    </row>
    <row r="595" spans="1:9" x14ac:dyDescent="0.25">
      <c r="A595" s="180">
        <f t="shared" ca="1" si="61"/>
        <v>46667</v>
      </c>
      <c r="B595" s="181">
        <v>563</v>
      </c>
      <c r="C595" s="182" t="e">
        <f t="shared" si="62"/>
        <v>#VALUE!</v>
      </c>
      <c r="D595" s="182" t="e">
        <f t="shared" si="65"/>
        <v>#VALUE!</v>
      </c>
      <c r="E595" s="182" t="e">
        <f t="shared" si="63"/>
        <v>#VALUE!</v>
      </c>
      <c r="F595" s="182" t="e">
        <f>SUM($D$33:D595)</f>
        <v>#VALUE!</v>
      </c>
      <c r="G595" s="182">
        <f t="shared" ca="1" si="64"/>
        <v>0</v>
      </c>
      <c r="H595" s="182" t="e">
        <f t="shared" si="60"/>
        <v>#VALUE!</v>
      </c>
      <c r="I595" s="183" t="e">
        <f t="shared" si="66"/>
        <v>#VALUE!</v>
      </c>
    </row>
    <row r="596" spans="1:9" x14ac:dyDescent="0.25">
      <c r="A596" s="180">
        <f t="shared" ca="1" si="61"/>
        <v>46668</v>
      </c>
      <c r="B596" s="181">
        <v>564</v>
      </c>
      <c r="C596" s="182" t="e">
        <f t="shared" si="62"/>
        <v>#VALUE!</v>
      </c>
      <c r="D596" s="182" t="e">
        <f t="shared" si="65"/>
        <v>#VALUE!</v>
      </c>
      <c r="E596" s="182" t="e">
        <f t="shared" si="63"/>
        <v>#VALUE!</v>
      </c>
      <c r="F596" s="182" t="e">
        <f>SUM($D$33:D596)</f>
        <v>#VALUE!</v>
      </c>
      <c r="G596" s="182">
        <f t="shared" ca="1" si="64"/>
        <v>0</v>
      </c>
      <c r="H596" s="182" t="e">
        <f t="shared" si="60"/>
        <v>#VALUE!</v>
      </c>
      <c r="I596" s="183" t="e">
        <f t="shared" si="66"/>
        <v>#VALUE!</v>
      </c>
    </row>
    <row r="597" spans="1:9" x14ac:dyDescent="0.25">
      <c r="A597" s="180">
        <f t="shared" ca="1" si="61"/>
        <v>46669</v>
      </c>
      <c r="B597" s="181">
        <v>565</v>
      </c>
      <c r="C597" s="182" t="e">
        <f t="shared" si="62"/>
        <v>#VALUE!</v>
      </c>
      <c r="D597" s="182" t="e">
        <f t="shared" si="65"/>
        <v>#VALUE!</v>
      </c>
      <c r="E597" s="182" t="e">
        <f t="shared" si="63"/>
        <v>#VALUE!</v>
      </c>
      <c r="F597" s="182" t="e">
        <f>SUM($D$33:D597)</f>
        <v>#VALUE!</v>
      </c>
      <c r="G597" s="182">
        <f t="shared" ca="1" si="64"/>
        <v>0</v>
      </c>
      <c r="H597" s="182" t="e">
        <f t="shared" si="60"/>
        <v>#VALUE!</v>
      </c>
      <c r="I597" s="183" t="e">
        <f t="shared" si="66"/>
        <v>#VALUE!</v>
      </c>
    </row>
    <row r="598" spans="1:9" x14ac:dyDescent="0.25">
      <c r="A598" s="180">
        <f t="shared" ca="1" si="61"/>
        <v>46670</v>
      </c>
      <c r="B598" s="181">
        <v>566</v>
      </c>
      <c r="C598" s="182" t="e">
        <f t="shared" si="62"/>
        <v>#VALUE!</v>
      </c>
      <c r="D598" s="182" t="e">
        <f t="shared" si="65"/>
        <v>#VALUE!</v>
      </c>
      <c r="E598" s="182" t="e">
        <f t="shared" si="63"/>
        <v>#VALUE!</v>
      </c>
      <c r="F598" s="182" t="e">
        <f>SUM($D$33:D598)</f>
        <v>#VALUE!</v>
      </c>
      <c r="G598" s="182">
        <f t="shared" ca="1" si="64"/>
        <v>0</v>
      </c>
      <c r="H598" s="182" t="e">
        <f t="shared" si="60"/>
        <v>#VALUE!</v>
      </c>
      <c r="I598" s="183" t="e">
        <f t="shared" si="66"/>
        <v>#VALUE!</v>
      </c>
    </row>
    <row r="599" spans="1:9" x14ac:dyDescent="0.25">
      <c r="A599" s="180">
        <f t="shared" ca="1" si="61"/>
        <v>46671</v>
      </c>
      <c r="B599" s="181">
        <v>567</v>
      </c>
      <c r="C599" s="182" t="e">
        <f t="shared" si="62"/>
        <v>#VALUE!</v>
      </c>
      <c r="D599" s="182" t="e">
        <f t="shared" si="65"/>
        <v>#VALUE!</v>
      </c>
      <c r="E599" s="182" t="e">
        <f t="shared" si="63"/>
        <v>#VALUE!</v>
      </c>
      <c r="F599" s="182" t="e">
        <f>SUM($D$33:D599)</f>
        <v>#VALUE!</v>
      </c>
      <c r="G599" s="182">
        <f t="shared" ca="1" si="64"/>
        <v>0</v>
      </c>
      <c r="H599" s="182" t="e">
        <f t="shared" si="60"/>
        <v>#VALUE!</v>
      </c>
      <c r="I599" s="183" t="e">
        <f t="shared" si="66"/>
        <v>#VALUE!</v>
      </c>
    </row>
    <row r="600" spans="1:9" x14ac:dyDescent="0.25">
      <c r="A600" s="180">
        <f t="shared" ca="1" si="61"/>
        <v>46672</v>
      </c>
      <c r="B600" s="181">
        <v>568</v>
      </c>
      <c r="C600" s="182" t="e">
        <f t="shared" si="62"/>
        <v>#VALUE!</v>
      </c>
      <c r="D600" s="182" t="e">
        <f t="shared" si="65"/>
        <v>#VALUE!</v>
      </c>
      <c r="E600" s="182" t="e">
        <f t="shared" si="63"/>
        <v>#VALUE!</v>
      </c>
      <c r="F600" s="182" t="e">
        <f>SUM($D$33:D600)</f>
        <v>#VALUE!</v>
      </c>
      <c r="G600" s="182">
        <f t="shared" ca="1" si="64"/>
        <v>0</v>
      </c>
      <c r="H600" s="182" t="e">
        <f t="shared" si="60"/>
        <v>#VALUE!</v>
      </c>
      <c r="I600" s="183" t="e">
        <f t="shared" si="66"/>
        <v>#VALUE!</v>
      </c>
    </row>
    <row r="601" spans="1:9" x14ac:dyDescent="0.25">
      <c r="A601" s="180">
        <f t="shared" ca="1" si="61"/>
        <v>46673</v>
      </c>
      <c r="B601" s="181">
        <v>569</v>
      </c>
      <c r="C601" s="182" t="e">
        <f t="shared" si="62"/>
        <v>#VALUE!</v>
      </c>
      <c r="D601" s="182" t="e">
        <f t="shared" si="65"/>
        <v>#VALUE!</v>
      </c>
      <c r="E601" s="182" t="e">
        <f t="shared" si="63"/>
        <v>#VALUE!</v>
      </c>
      <c r="F601" s="182" t="e">
        <f>SUM($D$33:D601)</f>
        <v>#VALUE!</v>
      </c>
      <c r="G601" s="182">
        <f t="shared" ca="1" si="64"/>
        <v>0</v>
      </c>
      <c r="H601" s="182" t="e">
        <f t="shared" si="60"/>
        <v>#VALUE!</v>
      </c>
      <c r="I601" s="183" t="e">
        <f t="shared" si="66"/>
        <v>#VALUE!</v>
      </c>
    </row>
    <row r="602" spans="1:9" x14ac:dyDescent="0.25">
      <c r="A602" s="180">
        <f t="shared" ca="1" si="61"/>
        <v>46674</v>
      </c>
      <c r="B602" s="181">
        <v>570</v>
      </c>
      <c r="C602" s="182" t="e">
        <f t="shared" si="62"/>
        <v>#VALUE!</v>
      </c>
      <c r="D602" s="182" t="e">
        <f t="shared" si="65"/>
        <v>#VALUE!</v>
      </c>
      <c r="E602" s="182" t="e">
        <f t="shared" si="63"/>
        <v>#VALUE!</v>
      </c>
      <c r="F602" s="182" t="e">
        <f>SUM($D$33:D602)</f>
        <v>#VALUE!</v>
      </c>
      <c r="G602" s="182">
        <f t="shared" ca="1" si="64"/>
        <v>0</v>
      </c>
      <c r="H602" s="182" t="e">
        <f t="shared" si="60"/>
        <v>#VALUE!</v>
      </c>
      <c r="I602" s="183" t="e">
        <f t="shared" si="66"/>
        <v>#VALUE!</v>
      </c>
    </row>
    <row r="603" spans="1:9" x14ac:dyDescent="0.25">
      <c r="A603" s="180">
        <f t="shared" ca="1" si="61"/>
        <v>46675</v>
      </c>
      <c r="B603" s="181">
        <v>571</v>
      </c>
      <c r="C603" s="182" t="e">
        <f t="shared" si="62"/>
        <v>#VALUE!</v>
      </c>
      <c r="D603" s="182" t="e">
        <f t="shared" si="65"/>
        <v>#VALUE!</v>
      </c>
      <c r="E603" s="182" t="e">
        <f t="shared" si="63"/>
        <v>#VALUE!</v>
      </c>
      <c r="F603" s="182" t="e">
        <f>SUM($D$33:D603)</f>
        <v>#VALUE!</v>
      </c>
      <c r="G603" s="182">
        <f t="shared" ca="1" si="64"/>
        <v>0</v>
      </c>
      <c r="H603" s="182" t="e">
        <f t="shared" si="60"/>
        <v>#VALUE!</v>
      </c>
      <c r="I603" s="183" t="e">
        <f t="shared" si="66"/>
        <v>#VALUE!</v>
      </c>
    </row>
    <row r="604" spans="1:9" x14ac:dyDescent="0.25">
      <c r="A604" s="180">
        <f t="shared" ca="1" si="61"/>
        <v>46676</v>
      </c>
      <c r="B604" s="181">
        <v>572</v>
      </c>
      <c r="C604" s="182" t="e">
        <f t="shared" si="62"/>
        <v>#VALUE!</v>
      </c>
      <c r="D604" s="182" t="e">
        <f t="shared" si="65"/>
        <v>#VALUE!</v>
      </c>
      <c r="E604" s="182" t="e">
        <f t="shared" si="63"/>
        <v>#VALUE!</v>
      </c>
      <c r="F604" s="182" t="e">
        <f>SUM($D$33:D604)</f>
        <v>#VALUE!</v>
      </c>
      <c r="G604" s="182">
        <f t="shared" ca="1" si="64"/>
        <v>0</v>
      </c>
      <c r="H604" s="182" t="e">
        <f t="shared" si="60"/>
        <v>#VALUE!</v>
      </c>
      <c r="I604" s="183" t="e">
        <f t="shared" si="66"/>
        <v>#VALUE!</v>
      </c>
    </row>
    <row r="605" spans="1:9" x14ac:dyDescent="0.25">
      <c r="A605" s="180">
        <f t="shared" ca="1" si="61"/>
        <v>46677</v>
      </c>
      <c r="B605" s="181">
        <v>573</v>
      </c>
      <c r="C605" s="182" t="e">
        <f t="shared" si="62"/>
        <v>#VALUE!</v>
      </c>
      <c r="D605" s="182" t="e">
        <f t="shared" si="65"/>
        <v>#VALUE!</v>
      </c>
      <c r="E605" s="182" t="e">
        <f t="shared" si="63"/>
        <v>#VALUE!</v>
      </c>
      <c r="F605" s="182" t="e">
        <f>SUM($D$33:D605)</f>
        <v>#VALUE!</v>
      </c>
      <c r="G605" s="182">
        <f t="shared" ca="1" si="64"/>
        <v>0</v>
      </c>
      <c r="H605" s="182" t="e">
        <f t="shared" si="60"/>
        <v>#VALUE!</v>
      </c>
      <c r="I605" s="183" t="e">
        <f t="shared" si="66"/>
        <v>#VALUE!</v>
      </c>
    </row>
    <row r="606" spans="1:9" x14ac:dyDescent="0.25">
      <c r="A606" s="180">
        <f t="shared" ca="1" si="61"/>
        <v>46678</v>
      </c>
      <c r="B606" s="181">
        <v>574</v>
      </c>
      <c r="C606" s="182" t="e">
        <f t="shared" si="62"/>
        <v>#VALUE!</v>
      </c>
      <c r="D606" s="182" t="e">
        <f t="shared" si="65"/>
        <v>#VALUE!</v>
      </c>
      <c r="E606" s="182" t="e">
        <f t="shared" si="63"/>
        <v>#VALUE!</v>
      </c>
      <c r="F606" s="182" t="e">
        <f>SUM($D$33:D606)</f>
        <v>#VALUE!</v>
      </c>
      <c r="G606" s="182">
        <f t="shared" ca="1" si="64"/>
        <v>0</v>
      </c>
      <c r="H606" s="182" t="e">
        <f t="shared" si="60"/>
        <v>#VALUE!</v>
      </c>
      <c r="I606" s="183" t="e">
        <f t="shared" si="66"/>
        <v>#VALUE!</v>
      </c>
    </row>
    <row r="607" spans="1:9" x14ac:dyDescent="0.25">
      <c r="A607" s="180">
        <f t="shared" ca="1" si="61"/>
        <v>46679</v>
      </c>
      <c r="B607" s="181">
        <v>575</v>
      </c>
      <c r="C607" s="182" t="e">
        <f t="shared" si="62"/>
        <v>#VALUE!</v>
      </c>
      <c r="D607" s="182" t="e">
        <f t="shared" si="65"/>
        <v>#VALUE!</v>
      </c>
      <c r="E607" s="182" t="e">
        <f t="shared" si="63"/>
        <v>#VALUE!</v>
      </c>
      <c r="F607" s="182" t="e">
        <f>SUM($D$33:D607)</f>
        <v>#VALUE!</v>
      </c>
      <c r="G607" s="182">
        <f t="shared" ca="1" si="64"/>
        <v>0</v>
      </c>
      <c r="H607" s="182" t="e">
        <f t="shared" si="60"/>
        <v>#VALUE!</v>
      </c>
      <c r="I607" s="183" t="e">
        <f t="shared" si="66"/>
        <v>#VALUE!</v>
      </c>
    </row>
    <row r="608" spans="1:9" x14ac:dyDescent="0.25">
      <c r="A608" s="180">
        <f t="shared" ca="1" si="61"/>
        <v>46680</v>
      </c>
      <c r="B608" s="181">
        <v>576</v>
      </c>
      <c r="C608" s="182" t="e">
        <f t="shared" si="62"/>
        <v>#VALUE!</v>
      </c>
      <c r="D608" s="182" t="e">
        <f t="shared" si="65"/>
        <v>#VALUE!</v>
      </c>
      <c r="E608" s="182" t="e">
        <f t="shared" si="63"/>
        <v>#VALUE!</v>
      </c>
      <c r="F608" s="182" t="e">
        <f>SUM($D$33:D608)</f>
        <v>#VALUE!</v>
      </c>
      <c r="G608" s="182">
        <f t="shared" ca="1" si="64"/>
        <v>0</v>
      </c>
      <c r="H608" s="182" t="e">
        <f t="shared" si="60"/>
        <v>#VALUE!</v>
      </c>
      <c r="I608" s="183" t="e">
        <f t="shared" si="66"/>
        <v>#VALUE!</v>
      </c>
    </row>
    <row r="609" spans="1:9" x14ac:dyDescent="0.25">
      <c r="A609" s="180">
        <f t="shared" ca="1" si="61"/>
        <v>46681</v>
      </c>
      <c r="B609" s="181">
        <v>577</v>
      </c>
      <c r="C609" s="182" t="e">
        <f t="shared" si="62"/>
        <v>#VALUE!</v>
      </c>
      <c r="D609" s="182" t="e">
        <f t="shared" si="65"/>
        <v>#VALUE!</v>
      </c>
      <c r="E609" s="182" t="e">
        <f t="shared" si="63"/>
        <v>#VALUE!</v>
      </c>
      <c r="F609" s="182" t="e">
        <f>SUM($D$33:D609)</f>
        <v>#VALUE!</v>
      </c>
      <c r="G609" s="182">
        <f t="shared" ca="1" si="64"/>
        <v>0</v>
      </c>
      <c r="H609" s="182" t="e">
        <f t="shared" ref="H609:H672" si="67">IF(E609&gt;0,C609+G609,IF(E609&lt;0,C609+G609+D609-E608,C609+D609+G609))</f>
        <v>#VALUE!</v>
      </c>
      <c r="I609" s="183" t="e">
        <f t="shared" si="66"/>
        <v>#VALUE!</v>
      </c>
    </row>
    <row r="610" spans="1:9" x14ac:dyDescent="0.25">
      <c r="A610" s="180">
        <f t="shared" ref="A610:A673" ca="1" si="68">A609+1</f>
        <v>46682</v>
      </c>
      <c r="B610" s="181">
        <v>578</v>
      </c>
      <c r="C610" s="182" t="e">
        <f t="shared" ref="C610:C673" si="69">H609</f>
        <v>#VALUE!</v>
      </c>
      <c r="D610" s="182" t="e">
        <f t="shared" si="65"/>
        <v>#VALUE!</v>
      </c>
      <c r="E610" s="182" t="e">
        <f t="shared" ref="E610:E673" si="70">IF(E609&gt;0,E609-D610,0)</f>
        <v>#VALUE!</v>
      </c>
      <c r="F610" s="182" t="e">
        <f>SUM($D$33:D610)</f>
        <v>#VALUE!</v>
      </c>
      <c r="G610" s="182">
        <f t="shared" ref="G610:G673" ca="1" si="71">IFERROR(-VLOOKUP(A610,$K$30:$M$36,2,FALSE),0)</f>
        <v>0</v>
      </c>
      <c r="H610" s="182" t="e">
        <f t="shared" si="67"/>
        <v>#VALUE!</v>
      </c>
      <c r="I610" s="183" t="e">
        <f t="shared" si="66"/>
        <v>#VALUE!</v>
      </c>
    </row>
    <row r="611" spans="1:9" x14ac:dyDescent="0.25">
      <c r="A611" s="180">
        <f t="shared" ca="1" si="68"/>
        <v>46683</v>
      </c>
      <c r="B611" s="181">
        <v>579</v>
      </c>
      <c r="C611" s="182" t="e">
        <f t="shared" si="69"/>
        <v>#VALUE!</v>
      </c>
      <c r="D611" s="182" t="e">
        <f t="shared" si="65"/>
        <v>#VALUE!</v>
      </c>
      <c r="E611" s="182" t="e">
        <f t="shared" si="70"/>
        <v>#VALUE!</v>
      </c>
      <c r="F611" s="182" t="e">
        <f>SUM($D$33:D611)</f>
        <v>#VALUE!</v>
      </c>
      <c r="G611" s="182">
        <f t="shared" ca="1" si="71"/>
        <v>0</v>
      </c>
      <c r="H611" s="182" t="e">
        <f t="shared" si="67"/>
        <v>#VALUE!</v>
      </c>
      <c r="I611" s="183" t="e">
        <f t="shared" si="66"/>
        <v>#VALUE!</v>
      </c>
    </row>
    <row r="612" spans="1:9" x14ac:dyDescent="0.25">
      <c r="A612" s="180">
        <f t="shared" ca="1" si="68"/>
        <v>46684</v>
      </c>
      <c r="B612" s="181">
        <v>580</v>
      </c>
      <c r="C612" s="182" t="e">
        <f t="shared" si="69"/>
        <v>#VALUE!</v>
      </c>
      <c r="D612" s="182" t="e">
        <f t="shared" si="65"/>
        <v>#VALUE!</v>
      </c>
      <c r="E612" s="182" t="e">
        <f t="shared" si="70"/>
        <v>#VALUE!</v>
      </c>
      <c r="F612" s="182" t="e">
        <f>SUM($D$33:D612)</f>
        <v>#VALUE!</v>
      </c>
      <c r="G612" s="182">
        <f t="shared" ca="1" si="71"/>
        <v>0</v>
      </c>
      <c r="H612" s="182" t="e">
        <f t="shared" si="67"/>
        <v>#VALUE!</v>
      </c>
      <c r="I612" s="183" t="e">
        <f t="shared" si="66"/>
        <v>#VALUE!</v>
      </c>
    </row>
    <row r="613" spans="1:9" x14ac:dyDescent="0.25">
      <c r="A613" s="180">
        <f t="shared" ca="1" si="68"/>
        <v>46685</v>
      </c>
      <c r="B613" s="181">
        <v>581</v>
      </c>
      <c r="C613" s="182" t="e">
        <f t="shared" si="69"/>
        <v>#VALUE!</v>
      </c>
      <c r="D613" s="182" t="e">
        <f t="shared" si="65"/>
        <v>#VALUE!</v>
      </c>
      <c r="E613" s="182" t="e">
        <f t="shared" si="70"/>
        <v>#VALUE!</v>
      </c>
      <c r="F613" s="182" t="e">
        <f>SUM($D$33:D613)</f>
        <v>#VALUE!</v>
      </c>
      <c r="G613" s="182">
        <f t="shared" ca="1" si="71"/>
        <v>0</v>
      </c>
      <c r="H613" s="182" t="e">
        <f t="shared" si="67"/>
        <v>#VALUE!</v>
      </c>
      <c r="I613" s="183" t="e">
        <f t="shared" si="66"/>
        <v>#VALUE!</v>
      </c>
    </row>
    <row r="614" spans="1:9" x14ac:dyDescent="0.25">
      <c r="A614" s="180">
        <f t="shared" ca="1" si="68"/>
        <v>46686</v>
      </c>
      <c r="B614" s="181">
        <v>582</v>
      </c>
      <c r="C614" s="182" t="e">
        <f t="shared" si="69"/>
        <v>#VALUE!</v>
      </c>
      <c r="D614" s="182" t="e">
        <f t="shared" si="65"/>
        <v>#VALUE!</v>
      </c>
      <c r="E614" s="182" t="e">
        <f t="shared" si="70"/>
        <v>#VALUE!</v>
      </c>
      <c r="F614" s="182" t="e">
        <f>SUM($D$33:D614)</f>
        <v>#VALUE!</v>
      </c>
      <c r="G614" s="182">
        <f t="shared" ca="1" si="71"/>
        <v>0</v>
      </c>
      <c r="H614" s="182" t="e">
        <f t="shared" si="67"/>
        <v>#VALUE!</v>
      </c>
      <c r="I614" s="183" t="e">
        <f t="shared" si="66"/>
        <v>#VALUE!</v>
      </c>
    </row>
    <row r="615" spans="1:9" x14ac:dyDescent="0.25">
      <c r="A615" s="180">
        <f t="shared" ca="1" si="68"/>
        <v>46687</v>
      </c>
      <c r="B615" s="181">
        <v>583</v>
      </c>
      <c r="C615" s="182" t="e">
        <f t="shared" si="69"/>
        <v>#VALUE!</v>
      </c>
      <c r="D615" s="182" t="e">
        <f t="shared" si="65"/>
        <v>#VALUE!</v>
      </c>
      <c r="E615" s="182" t="e">
        <f t="shared" si="70"/>
        <v>#VALUE!</v>
      </c>
      <c r="F615" s="182" t="e">
        <f>SUM($D$33:D615)</f>
        <v>#VALUE!</v>
      </c>
      <c r="G615" s="182">
        <f t="shared" ca="1" si="71"/>
        <v>0</v>
      </c>
      <c r="H615" s="182" t="e">
        <f t="shared" si="67"/>
        <v>#VALUE!</v>
      </c>
      <c r="I615" s="183" t="e">
        <f t="shared" si="66"/>
        <v>#VALUE!</v>
      </c>
    </row>
    <row r="616" spans="1:9" x14ac:dyDescent="0.25">
      <c r="A616" s="180">
        <f t="shared" ca="1" si="68"/>
        <v>46688</v>
      </c>
      <c r="B616" s="181">
        <v>584</v>
      </c>
      <c r="C616" s="182" t="e">
        <f t="shared" si="69"/>
        <v>#VALUE!</v>
      </c>
      <c r="D616" s="182" t="e">
        <f t="shared" si="65"/>
        <v>#VALUE!</v>
      </c>
      <c r="E616" s="182" t="e">
        <f t="shared" si="70"/>
        <v>#VALUE!</v>
      </c>
      <c r="F616" s="182" t="e">
        <f>SUM($D$33:D616)</f>
        <v>#VALUE!</v>
      </c>
      <c r="G616" s="182">
        <f t="shared" ca="1" si="71"/>
        <v>0</v>
      </c>
      <c r="H616" s="182" t="e">
        <f t="shared" si="67"/>
        <v>#VALUE!</v>
      </c>
      <c r="I616" s="183" t="e">
        <f t="shared" si="66"/>
        <v>#VALUE!</v>
      </c>
    </row>
    <row r="617" spans="1:9" x14ac:dyDescent="0.25">
      <c r="A617" s="180">
        <f t="shared" ca="1" si="68"/>
        <v>46689</v>
      </c>
      <c r="B617" s="181">
        <v>585</v>
      </c>
      <c r="C617" s="182" t="e">
        <f t="shared" si="69"/>
        <v>#VALUE!</v>
      </c>
      <c r="D617" s="182" t="e">
        <f t="shared" si="65"/>
        <v>#VALUE!</v>
      </c>
      <c r="E617" s="182" t="e">
        <f t="shared" si="70"/>
        <v>#VALUE!</v>
      </c>
      <c r="F617" s="182" t="e">
        <f>SUM($D$33:D617)</f>
        <v>#VALUE!</v>
      </c>
      <c r="G617" s="182">
        <f t="shared" ca="1" si="71"/>
        <v>0</v>
      </c>
      <c r="H617" s="182" t="e">
        <f t="shared" si="67"/>
        <v>#VALUE!</v>
      </c>
      <c r="I617" s="183" t="e">
        <f t="shared" si="66"/>
        <v>#VALUE!</v>
      </c>
    </row>
    <row r="618" spans="1:9" x14ac:dyDescent="0.25">
      <c r="A618" s="180">
        <f t="shared" ca="1" si="68"/>
        <v>46690</v>
      </c>
      <c r="B618" s="181">
        <v>586</v>
      </c>
      <c r="C618" s="182" t="e">
        <f t="shared" si="69"/>
        <v>#VALUE!</v>
      </c>
      <c r="D618" s="182" t="e">
        <f t="shared" si="65"/>
        <v>#VALUE!</v>
      </c>
      <c r="E618" s="182" t="e">
        <f t="shared" si="70"/>
        <v>#VALUE!</v>
      </c>
      <c r="F618" s="182" t="e">
        <f>SUM($D$33:D618)</f>
        <v>#VALUE!</v>
      </c>
      <c r="G618" s="182">
        <f t="shared" ca="1" si="71"/>
        <v>0</v>
      </c>
      <c r="H618" s="182" t="e">
        <f t="shared" si="67"/>
        <v>#VALUE!</v>
      </c>
      <c r="I618" s="183" t="e">
        <f t="shared" si="66"/>
        <v>#VALUE!</v>
      </c>
    </row>
    <row r="619" spans="1:9" x14ac:dyDescent="0.25">
      <c r="A619" s="180">
        <f t="shared" ca="1" si="68"/>
        <v>46691</v>
      </c>
      <c r="B619" s="181">
        <v>587</v>
      </c>
      <c r="C619" s="182" t="e">
        <f t="shared" si="69"/>
        <v>#VALUE!</v>
      </c>
      <c r="D619" s="182" t="e">
        <f t="shared" si="65"/>
        <v>#VALUE!</v>
      </c>
      <c r="E619" s="182" t="e">
        <f t="shared" si="70"/>
        <v>#VALUE!</v>
      </c>
      <c r="F619" s="182" t="e">
        <f>SUM($D$33:D619)</f>
        <v>#VALUE!</v>
      </c>
      <c r="G619" s="182">
        <f t="shared" ca="1" si="71"/>
        <v>0</v>
      </c>
      <c r="H619" s="182" t="e">
        <f t="shared" si="67"/>
        <v>#VALUE!</v>
      </c>
      <c r="I619" s="183" t="e">
        <f t="shared" si="66"/>
        <v>#VALUE!</v>
      </c>
    </row>
    <row r="620" spans="1:9" x14ac:dyDescent="0.25">
      <c r="A620" s="180">
        <f t="shared" ca="1" si="68"/>
        <v>46692</v>
      </c>
      <c r="B620" s="181">
        <v>588</v>
      </c>
      <c r="C620" s="182" t="e">
        <f t="shared" si="69"/>
        <v>#VALUE!</v>
      </c>
      <c r="D620" s="182" t="e">
        <f t="shared" si="65"/>
        <v>#VALUE!</v>
      </c>
      <c r="E620" s="182" t="e">
        <f t="shared" si="70"/>
        <v>#VALUE!</v>
      </c>
      <c r="F620" s="182" t="e">
        <f>SUM($D$33:D620)</f>
        <v>#VALUE!</v>
      </c>
      <c r="G620" s="182">
        <f t="shared" ca="1" si="71"/>
        <v>0</v>
      </c>
      <c r="H620" s="182" t="e">
        <f t="shared" si="67"/>
        <v>#VALUE!</v>
      </c>
      <c r="I620" s="183" t="e">
        <f t="shared" si="66"/>
        <v>#VALUE!</v>
      </c>
    </row>
    <row r="621" spans="1:9" x14ac:dyDescent="0.25">
      <c r="A621" s="180">
        <f t="shared" ca="1" si="68"/>
        <v>46693</v>
      </c>
      <c r="B621" s="181">
        <v>589</v>
      </c>
      <c r="C621" s="182" t="e">
        <f t="shared" si="69"/>
        <v>#VALUE!</v>
      </c>
      <c r="D621" s="182" t="e">
        <f t="shared" si="65"/>
        <v>#VALUE!</v>
      </c>
      <c r="E621" s="182" t="e">
        <f t="shared" si="70"/>
        <v>#VALUE!</v>
      </c>
      <c r="F621" s="182" t="e">
        <f>SUM($D$33:D621)</f>
        <v>#VALUE!</v>
      </c>
      <c r="G621" s="182">
        <f t="shared" ca="1" si="71"/>
        <v>0</v>
      </c>
      <c r="H621" s="182" t="e">
        <f t="shared" si="67"/>
        <v>#VALUE!</v>
      </c>
      <c r="I621" s="183" t="e">
        <f t="shared" si="66"/>
        <v>#VALUE!</v>
      </c>
    </row>
    <row r="622" spans="1:9" x14ac:dyDescent="0.25">
      <c r="A622" s="180">
        <f t="shared" ca="1" si="68"/>
        <v>46694</v>
      </c>
      <c r="B622" s="181">
        <v>590</v>
      </c>
      <c r="C622" s="182" t="e">
        <f t="shared" si="69"/>
        <v>#VALUE!</v>
      </c>
      <c r="D622" s="182" t="e">
        <f t="shared" si="65"/>
        <v>#VALUE!</v>
      </c>
      <c r="E622" s="182" t="e">
        <f t="shared" si="70"/>
        <v>#VALUE!</v>
      </c>
      <c r="F622" s="182" t="e">
        <f>SUM($D$33:D622)</f>
        <v>#VALUE!</v>
      </c>
      <c r="G622" s="182">
        <f t="shared" ca="1" si="71"/>
        <v>0</v>
      </c>
      <c r="H622" s="182" t="e">
        <f t="shared" si="67"/>
        <v>#VALUE!</v>
      </c>
      <c r="I622" s="183" t="e">
        <f t="shared" si="66"/>
        <v>#VALUE!</v>
      </c>
    </row>
    <row r="623" spans="1:9" x14ac:dyDescent="0.25">
      <c r="A623" s="180">
        <f t="shared" ca="1" si="68"/>
        <v>46695</v>
      </c>
      <c r="B623" s="181">
        <v>591</v>
      </c>
      <c r="C623" s="182" t="e">
        <f t="shared" si="69"/>
        <v>#VALUE!</v>
      </c>
      <c r="D623" s="182" t="e">
        <f t="shared" si="65"/>
        <v>#VALUE!</v>
      </c>
      <c r="E623" s="182" t="e">
        <f t="shared" si="70"/>
        <v>#VALUE!</v>
      </c>
      <c r="F623" s="182" t="e">
        <f>SUM($D$33:D623)</f>
        <v>#VALUE!</v>
      </c>
      <c r="G623" s="182">
        <f t="shared" ca="1" si="71"/>
        <v>0</v>
      </c>
      <c r="H623" s="182" t="e">
        <f t="shared" si="67"/>
        <v>#VALUE!</v>
      </c>
      <c r="I623" s="183" t="e">
        <f t="shared" si="66"/>
        <v>#VALUE!</v>
      </c>
    </row>
    <row r="624" spans="1:9" x14ac:dyDescent="0.25">
      <c r="A624" s="180">
        <f t="shared" ca="1" si="68"/>
        <v>46696</v>
      </c>
      <c r="B624" s="181">
        <v>592</v>
      </c>
      <c r="C624" s="182" t="e">
        <f t="shared" si="69"/>
        <v>#VALUE!</v>
      </c>
      <c r="D624" s="182" t="e">
        <f t="shared" si="65"/>
        <v>#VALUE!</v>
      </c>
      <c r="E624" s="182" t="e">
        <f t="shared" si="70"/>
        <v>#VALUE!</v>
      </c>
      <c r="F624" s="182" t="e">
        <f>SUM($D$33:D624)</f>
        <v>#VALUE!</v>
      </c>
      <c r="G624" s="182">
        <f t="shared" ca="1" si="71"/>
        <v>0</v>
      </c>
      <c r="H624" s="182" t="e">
        <f t="shared" si="67"/>
        <v>#VALUE!</v>
      </c>
      <c r="I624" s="183" t="e">
        <f t="shared" si="66"/>
        <v>#VALUE!</v>
      </c>
    </row>
    <row r="625" spans="1:9" x14ac:dyDescent="0.25">
      <c r="A625" s="180">
        <f t="shared" ca="1" si="68"/>
        <v>46697</v>
      </c>
      <c r="B625" s="181">
        <v>593</v>
      </c>
      <c r="C625" s="182" t="e">
        <f t="shared" si="69"/>
        <v>#VALUE!</v>
      </c>
      <c r="D625" s="182" t="e">
        <f t="shared" si="65"/>
        <v>#VALUE!</v>
      </c>
      <c r="E625" s="182" t="e">
        <f t="shared" si="70"/>
        <v>#VALUE!</v>
      </c>
      <c r="F625" s="182" t="e">
        <f>SUM($D$33:D625)</f>
        <v>#VALUE!</v>
      </c>
      <c r="G625" s="182">
        <f t="shared" ca="1" si="71"/>
        <v>0</v>
      </c>
      <c r="H625" s="182" t="e">
        <f t="shared" si="67"/>
        <v>#VALUE!</v>
      </c>
      <c r="I625" s="183" t="e">
        <f t="shared" si="66"/>
        <v>#VALUE!</v>
      </c>
    </row>
    <row r="626" spans="1:9" x14ac:dyDescent="0.25">
      <c r="A626" s="180">
        <f t="shared" ca="1" si="68"/>
        <v>46698</v>
      </c>
      <c r="B626" s="181">
        <v>594</v>
      </c>
      <c r="C626" s="182" t="e">
        <f t="shared" si="69"/>
        <v>#VALUE!</v>
      </c>
      <c r="D626" s="182" t="e">
        <f t="shared" si="65"/>
        <v>#VALUE!</v>
      </c>
      <c r="E626" s="182" t="e">
        <f t="shared" si="70"/>
        <v>#VALUE!</v>
      </c>
      <c r="F626" s="182" t="e">
        <f>SUM($D$33:D626)</f>
        <v>#VALUE!</v>
      </c>
      <c r="G626" s="182">
        <f t="shared" ca="1" si="71"/>
        <v>0</v>
      </c>
      <c r="H626" s="182" t="e">
        <f t="shared" si="67"/>
        <v>#VALUE!</v>
      </c>
      <c r="I626" s="183" t="e">
        <f t="shared" si="66"/>
        <v>#VALUE!</v>
      </c>
    </row>
    <row r="627" spans="1:9" x14ac:dyDescent="0.25">
      <c r="A627" s="180">
        <f t="shared" ca="1" si="68"/>
        <v>46699</v>
      </c>
      <c r="B627" s="181">
        <v>595</v>
      </c>
      <c r="C627" s="182" t="e">
        <f t="shared" si="69"/>
        <v>#VALUE!</v>
      </c>
      <c r="D627" s="182" t="e">
        <f t="shared" si="65"/>
        <v>#VALUE!</v>
      </c>
      <c r="E627" s="182" t="e">
        <f t="shared" si="70"/>
        <v>#VALUE!</v>
      </c>
      <c r="F627" s="182" t="e">
        <f>SUM($D$33:D627)</f>
        <v>#VALUE!</v>
      </c>
      <c r="G627" s="182">
        <f t="shared" ca="1" si="71"/>
        <v>0</v>
      </c>
      <c r="H627" s="182" t="e">
        <f t="shared" si="67"/>
        <v>#VALUE!</v>
      </c>
      <c r="I627" s="183" t="e">
        <f t="shared" si="66"/>
        <v>#VALUE!</v>
      </c>
    </row>
    <row r="628" spans="1:9" x14ac:dyDescent="0.25">
      <c r="A628" s="180">
        <f t="shared" ca="1" si="68"/>
        <v>46700</v>
      </c>
      <c r="B628" s="181">
        <v>596</v>
      </c>
      <c r="C628" s="182" t="e">
        <f t="shared" si="69"/>
        <v>#VALUE!</v>
      </c>
      <c r="D628" s="182" t="e">
        <f t="shared" si="65"/>
        <v>#VALUE!</v>
      </c>
      <c r="E628" s="182" t="e">
        <f t="shared" si="70"/>
        <v>#VALUE!</v>
      </c>
      <c r="F628" s="182" t="e">
        <f>SUM($D$33:D628)</f>
        <v>#VALUE!</v>
      </c>
      <c r="G628" s="182">
        <f t="shared" ca="1" si="71"/>
        <v>0</v>
      </c>
      <c r="H628" s="182" t="e">
        <f t="shared" si="67"/>
        <v>#VALUE!</v>
      </c>
      <c r="I628" s="183" t="e">
        <f t="shared" si="66"/>
        <v>#VALUE!</v>
      </c>
    </row>
    <row r="629" spans="1:9" x14ac:dyDescent="0.25">
      <c r="A629" s="180">
        <f t="shared" ca="1" si="68"/>
        <v>46701</v>
      </c>
      <c r="B629" s="181">
        <v>597</v>
      </c>
      <c r="C629" s="182" t="e">
        <f t="shared" si="69"/>
        <v>#VALUE!</v>
      </c>
      <c r="D629" s="182" t="e">
        <f t="shared" si="65"/>
        <v>#VALUE!</v>
      </c>
      <c r="E629" s="182" t="e">
        <f t="shared" si="70"/>
        <v>#VALUE!</v>
      </c>
      <c r="F629" s="182" t="e">
        <f>SUM($D$33:D629)</f>
        <v>#VALUE!</v>
      </c>
      <c r="G629" s="182">
        <f t="shared" ca="1" si="71"/>
        <v>0</v>
      </c>
      <c r="H629" s="182" t="e">
        <f t="shared" si="67"/>
        <v>#VALUE!</v>
      </c>
      <c r="I629" s="183" t="e">
        <f t="shared" si="66"/>
        <v>#VALUE!</v>
      </c>
    </row>
    <row r="630" spans="1:9" x14ac:dyDescent="0.25">
      <c r="A630" s="180">
        <f t="shared" ca="1" si="68"/>
        <v>46702</v>
      </c>
      <c r="B630" s="181">
        <v>598</v>
      </c>
      <c r="C630" s="182" t="e">
        <f t="shared" si="69"/>
        <v>#VALUE!</v>
      </c>
      <c r="D630" s="182" t="e">
        <f t="shared" si="65"/>
        <v>#VALUE!</v>
      </c>
      <c r="E630" s="182" t="e">
        <f t="shared" si="70"/>
        <v>#VALUE!</v>
      </c>
      <c r="F630" s="182" t="e">
        <f>SUM($D$33:D630)</f>
        <v>#VALUE!</v>
      </c>
      <c r="G630" s="182">
        <f t="shared" ca="1" si="71"/>
        <v>0</v>
      </c>
      <c r="H630" s="182" t="e">
        <f t="shared" si="67"/>
        <v>#VALUE!</v>
      </c>
      <c r="I630" s="183" t="e">
        <f t="shared" si="66"/>
        <v>#VALUE!</v>
      </c>
    </row>
    <row r="631" spans="1:9" x14ac:dyDescent="0.25">
      <c r="A631" s="180">
        <f t="shared" ca="1" si="68"/>
        <v>46703</v>
      </c>
      <c r="B631" s="181">
        <v>599</v>
      </c>
      <c r="C631" s="182" t="e">
        <f t="shared" si="69"/>
        <v>#VALUE!</v>
      </c>
      <c r="D631" s="182" t="e">
        <f t="shared" si="65"/>
        <v>#VALUE!</v>
      </c>
      <c r="E631" s="182" t="e">
        <f t="shared" si="70"/>
        <v>#VALUE!</v>
      </c>
      <c r="F631" s="182" t="e">
        <f>SUM($D$33:D631)</f>
        <v>#VALUE!</v>
      </c>
      <c r="G631" s="182">
        <f t="shared" ca="1" si="71"/>
        <v>0</v>
      </c>
      <c r="H631" s="182" t="e">
        <f t="shared" si="67"/>
        <v>#VALUE!</v>
      </c>
      <c r="I631" s="183" t="e">
        <f t="shared" si="66"/>
        <v>#VALUE!</v>
      </c>
    </row>
    <row r="632" spans="1:9" x14ac:dyDescent="0.25">
      <c r="A632" s="180">
        <f t="shared" ca="1" si="68"/>
        <v>46704</v>
      </c>
      <c r="B632" s="181">
        <v>600</v>
      </c>
      <c r="C632" s="182" t="e">
        <f t="shared" si="69"/>
        <v>#VALUE!</v>
      </c>
      <c r="D632" s="182" t="e">
        <f t="shared" si="65"/>
        <v>#VALUE!</v>
      </c>
      <c r="E632" s="182" t="e">
        <f t="shared" si="70"/>
        <v>#VALUE!</v>
      </c>
      <c r="F632" s="182" t="e">
        <f>SUM($D$33:D632)</f>
        <v>#VALUE!</v>
      </c>
      <c r="G632" s="182">
        <f t="shared" ca="1" si="71"/>
        <v>0</v>
      </c>
      <c r="H632" s="182" t="e">
        <f t="shared" si="67"/>
        <v>#VALUE!</v>
      </c>
      <c r="I632" s="183" t="e">
        <f t="shared" si="66"/>
        <v>#VALUE!</v>
      </c>
    </row>
    <row r="633" spans="1:9" x14ac:dyDescent="0.25">
      <c r="A633" s="180">
        <f t="shared" ca="1" si="68"/>
        <v>46705</v>
      </c>
      <c r="B633" s="181">
        <v>601</v>
      </c>
      <c r="C633" s="182" t="e">
        <f t="shared" si="69"/>
        <v>#VALUE!</v>
      </c>
      <c r="D633" s="182" t="e">
        <f t="shared" si="65"/>
        <v>#VALUE!</v>
      </c>
      <c r="E633" s="182" t="e">
        <f t="shared" si="70"/>
        <v>#VALUE!</v>
      </c>
      <c r="F633" s="182" t="e">
        <f>SUM($D$33:D633)</f>
        <v>#VALUE!</v>
      </c>
      <c r="G633" s="182">
        <f t="shared" ca="1" si="71"/>
        <v>0</v>
      </c>
      <c r="H633" s="182" t="e">
        <f t="shared" si="67"/>
        <v>#VALUE!</v>
      </c>
      <c r="I633" s="183" t="e">
        <f t="shared" si="66"/>
        <v>#VALUE!</v>
      </c>
    </row>
    <row r="634" spans="1:9" x14ac:dyDescent="0.25">
      <c r="A634" s="180">
        <f t="shared" ca="1" si="68"/>
        <v>46706</v>
      </c>
      <c r="B634" s="181">
        <v>602</v>
      </c>
      <c r="C634" s="182" t="e">
        <f t="shared" si="69"/>
        <v>#VALUE!</v>
      </c>
      <c r="D634" s="182" t="e">
        <f t="shared" si="65"/>
        <v>#VALUE!</v>
      </c>
      <c r="E634" s="182" t="e">
        <f t="shared" si="70"/>
        <v>#VALUE!</v>
      </c>
      <c r="F634" s="182" t="e">
        <f>SUM($D$33:D634)</f>
        <v>#VALUE!</v>
      </c>
      <c r="G634" s="182">
        <f t="shared" ca="1" si="71"/>
        <v>0</v>
      </c>
      <c r="H634" s="182" t="e">
        <f t="shared" si="67"/>
        <v>#VALUE!</v>
      </c>
      <c r="I634" s="183" t="e">
        <f t="shared" si="66"/>
        <v>#VALUE!</v>
      </c>
    </row>
    <row r="635" spans="1:9" x14ac:dyDescent="0.25">
      <c r="A635" s="180">
        <f t="shared" ca="1" si="68"/>
        <v>46707</v>
      </c>
      <c r="B635" s="181">
        <v>603</v>
      </c>
      <c r="C635" s="182" t="e">
        <f t="shared" si="69"/>
        <v>#VALUE!</v>
      </c>
      <c r="D635" s="182" t="e">
        <f t="shared" si="65"/>
        <v>#VALUE!</v>
      </c>
      <c r="E635" s="182" t="e">
        <f t="shared" si="70"/>
        <v>#VALUE!</v>
      </c>
      <c r="F635" s="182" t="e">
        <f>SUM($D$33:D635)</f>
        <v>#VALUE!</v>
      </c>
      <c r="G635" s="182">
        <f t="shared" ca="1" si="71"/>
        <v>0</v>
      </c>
      <c r="H635" s="182" t="e">
        <f t="shared" si="67"/>
        <v>#VALUE!</v>
      </c>
      <c r="I635" s="183" t="e">
        <f t="shared" si="66"/>
        <v>#VALUE!</v>
      </c>
    </row>
    <row r="636" spans="1:9" x14ac:dyDescent="0.25">
      <c r="A636" s="180">
        <f t="shared" ca="1" si="68"/>
        <v>46708</v>
      </c>
      <c r="B636" s="181">
        <v>604</v>
      </c>
      <c r="C636" s="182" t="e">
        <f t="shared" si="69"/>
        <v>#VALUE!</v>
      </c>
      <c r="D636" s="182" t="e">
        <f t="shared" si="65"/>
        <v>#VALUE!</v>
      </c>
      <c r="E636" s="182" t="e">
        <f t="shared" si="70"/>
        <v>#VALUE!</v>
      </c>
      <c r="F636" s="182" t="e">
        <f>SUM($D$33:D636)</f>
        <v>#VALUE!</v>
      </c>
      <c r="G636" s="182">
        <f t="shared" ca="1" si="71"/>
        <v>0</v>
      </c>
      <c r="H636" s="182" t="e">
        <f t="shared" si="67"/>
        <v>#VALUE!</v>
      </c>
      <c r="I636" s="183" t="e">
        <f t="shared" si="66"/>
        <v>#VALUE!</v>
      </c>
    </row>
    <row r="637" spans="1:9" x14ac:dyDescent="0.25">
      <c r="A637" s="180">
        <f t="shared" ca="1" si="68"/>
        <v>46709</v>
      </c>
      <c r="B637" s="181">
        <v>605</v>
      </c>
      <c r="C637" s="182" t="e">
        <f t="shared" si="69"/>
        <v>#VALUE!</v>
      </c>
      <c r="D637" s="182" t="e">
        <f t="shared" si="65"/>
        <v>#VALUE!</v>
      </c>
      <c r="E637" s="182" t="e">
        <f t="shared" si="70"/>
        <v>#VALUE!</v>
      </c>
      <c r="F637" s="182" t="e">
        <f>SUM($D$33:D637)</f>
        <v>#VALUE!</v>
      </c>
      <c r="G637" s="182">
        <f t="shared" ca="1" si="71"/>
        <v>0</v>
      </c>
      <c r="H637" s="182" t="e">
        <f t="shared" si="67"/>
        <v>#VALUE!</v>
      </c>
      <c r="I637" s="183" t="e">
        <f t="shared" si="66"/>
        <v>#VALUE!</v>
      </c>
    </row>
    <row r="638" spans="1:9" x14ac:dyDescent="0.25">
      <c r="A638" s="180">
        <f t="shared" ca="1" si="68"/>
        <v>46710</v>
      </c>
      <c r="B638" s="181">
        <v>606</v>
      </c>
      <c r="C638" s="182" t="e">
        <f t="shared" si="69"/>
        <v>#VALUE!</v>
      </c>
      <c r="D638" s="182" t="e">
        <f t="shared" si="65"/>
        <v>#VALUE!</v>
      </c>
      <c r="E638" s="182" t="e">
        <f t="shared" si="70"/>
        <v>#VALUE!</v>
      </c>
      <c r="F638" s="182" t="e">
        <f>SUM($D$33:D638)</f>
        <v>#VALUE!</v>
      </c>
      <c r="G638" s="182">
        <f t="shared" ca="1" si="71"/>
        <v>0</v>
      </c>
      <c r="H638" s="182" t="e">
        <f t="shared" si="67"/>
        <v>#VALUE!</v>
      </c>
      <c r="I638" s="183" t="e">
        <f t="shared" si="66"/>
        <v>#VALUE!</v>
      </c>
    </row>
    <row r="639" spans="1:9" x14ac:dyDescent="0.25">
      <c r="A639" s="180">
        <f t="shared" ca="1" si="68"/>
        <v>46711</v>
      </c>
      <c r="B639" s="181">
        <v>607</v>
      </c>
      <c r="C639" s="182" t="e">
        <f t="shared" si="69"/>
        <v>#VALUE!</v>
      </c>
      <c r="D639" s="182" t="e">
        <f t="shared" si="65"/>
        <v>#VALUE!</v>
      </c>
      <c r="E639" s="182" t="e">
        <f t="shared" si="70"/>
        <v>#VALUE!</v>
      </c>
      <c r="F639" s="182" t="e">
        <f>SUM($D$33:D639)</f>
        <v>#VALUE!</v>
      </c>
      <c r="G639" s="182">
        <f t="shared" ca="1" si="71"/>
        <v>0</v>
      </c>
      <c r="H639" s="182" t="e">
        <f t="shared" si="67"/>
        <v>#VALUE!</v>
      </c>
      <c r="I639" s="183" t="e">
        <f t="shared" si="66"/>
        <v>#VALUE!</v>
      </c>
    </row>
    <row r="640" spans="1:9" x14ac:dyDescent="0.25">
      <c r="A640" s="180">
        <f t="shared" ca="1" si="68"/>
        <v>46712</v>
      </c>
      <c r="B640" s="181">
        <v>608</v>
      </c>
      <c r="C640" s="182" t="e">
        <f t="shared" si="69"/>
        <v>#VALUE!</v>
      </c>
      <c r="D640" s="182" t="e">
        <f t="shared" si="65"/>
        <v>#VALUE!</v>
      </c>
      <c r="E640" s="182" t="e">
        <f t="shared" si="70"/>
        <v>#VALUE!</v>
      </c>
      <c r="F640" s="182" t="e">
        <f>SUM($D$33:D640)</f>
        <v>#VALUE!</v>
      </c>
      <c r="G640" s="182">
        <f t="shared" ca="1" si="71"/>
        <v>0</v>
      </c>
      <c r="H640" s="182" t="e">
        <f t="shared" si="67"/>
        <v>#VALUE!</v>
      </c>
      <c r="I640" s="183" t="e">
        <f t="shared" si="66"/>
        <v>#VALUE!</v>
      </c>
    </row>
    <row r="641" spans="1:9" x14ac:dyDescent="0.25">
      <c r="A641" s="180">
        <f t="shared" ca="1" si="68"/>
        <v>46713</v>
      </c>
      <c r="B641" s="181">
        <v>609</v>
      </c>
      <c r="C641" s="182" t="e">
        <f t="shared" si="69"/>
        <v>#VALUE!</v>
      </c>
      <c r="D641" s="182" t="e">
        <f t="shared" si="65"/>
        <v>#VALUE!</v>
      </c>
      <c r="E641" s="182" t="e">
        <f t="shared" si="70"/>
        <v>#VALUE!</v>
      </c>
      <c r="F641" s="182" t="e">
        <f>SUM($D$33:D641)</f>
        <v>#VALUE!</v>
      </c>
      <c r="G641" s="182">
        <f t="shared" ca="1" si="71"/>
        <v>0</v>
      </c>
      <c r="H641" s="182" t="e">
        <f t="shared" si="67"/>
        <v>#VALUE!</v>
      </c>
      <c r="I641" s="183" t="e">
        <f t="shared" si="66"/>
        <v>#VALUE!</v>
      </c>
    </row>
    <row r="642" spans="1:9" x14ac:dyDescent="0.25">
      <c r="A642" s="180">
        <f t="shared" ca="1" si="68"/>
        <v>46714</v>
      </c>
      <c r="B642" s="181">
        <v>610</v>
      </c>
      <c r="C642" s="182" t="e">
        <f t="shared" si="69"/>
        <v>#VALUE!</v>
      </c>
      <c r="D642" s="182" t="e">
        <f t="shared" si="65"/>
        <v>#VALUE!</v>
      </c>
      <c r="E642" s="182" t="e">
        <f t="shared" si="70"/>
        <v>#VALUE!</v>
      </c>
      <c r="F642" s="182" t="e">
        <f>SUM($D$33:D642)</f>
        <v>#VALUE!</v>
      </c>
      <c r="G642" s="182">
        <f t="shared" ca="1" si="71"/>
        <v>0</v>
      </c>
      <c r="H642" s="182" t="e">
        <f t="shared" si="67"/>
        <v>#VALUE!</v>
      </c>
      <c r="I642" s="183" t="e">
        <f t="shared" si="66"/>
        <v>#VALUE!</v>
      </c>
    </row>
    <row r="643" spans="1:9" x14ac:dyDescent="0.25">
      <c r="A643" s="180">
        <f t="shared" ca="1" si="68"/>
        <v>46715</v>
      </c>
      <c r="B643" s="181">
        <v>611</v>
      </c>
      <c r="C643" s="182" t="e">
        <f t="shared" si="69"/>
        <v>#VALUE!</v>
      </c>
      <c r="D643" s="182" t="e">
        <f t="shared" si="65"/>
        <v>#VALUE!</v>
      </c>
      <c r="E643" s="182" t="e">
        <f t="shared" si="70"/>
        <v>#VALUE!</v>
      </c>
      <c r="F643" s="182" t="e">
        <f>SUM($D$33:D643)</f>
        <v>#VALUE!</v>
      </c>
      <c r="G643" s="182">
        <f t="shared" ca="1" si="71"/>
        <v>0</v>
      </c>
      <c r="H643" s="182" t="e">
        <f t="shared" si="67"/>
        <v>#VALUE!</v>
      </c>
      <c r="I643" s="183" t="e">
        <f t="shared" si="66"/>
        <v>#VALUE!</v>
      </c>
    </row>
    <row r="644" spans="1:9" x14ac:dyDescent="0.25">
      <c r="A644" s="180">
        <f t="shared" ca="1" si="68"/>
        <v>46716</v>
      </c>
      <c r="B644" s="181">
        <v>612</v>
      </c>
      <c r="C644" s="182" t="e">
        <f t="shared" si="69"/>
        <v>#VALUE!</v>
      </c>
      <c r="D644" s="182" t="e">
        <f t="shared" si="65"/>
        <v>#VALUE!</v>
      </c>
      <c r="E644" s="182" t="e">
        <f t="shared" si="70"/>
        <v>#VALUE!</v>
      </c>
      <c r="F644" s="182" t="e">
        <f>SUM($D$33:D644)</f>
        <v>#VALUE!</v>
      </c>
      <c r="G644" s="182">
        <f t="shared" ca="1" si="71"/>
        <v>0</v>
      </c>
      <c r="H644" s="182" t="e">
        <f t="shared" si="67"/>
        <v>#VALUE!</v>
      </c>
      <c r="I644" s="183" t="e">
        <f t="shared" si="66"/>
        <v>#VALUE!</v>
      </c>
    </row>
    <row r="645" spans="1:9" x14ac:dyDescent="0.25">
      <c r="A645" s="180">
        <f t="shared" ca="1" si="68"/>
        <v>46717</v>
      </c>
      <c r="B645" s="181">
        <v>613</v>
      </c>
      <c r="C645" s="182" t="e">
        <f t="shared" si="69"/>
        <v>#VALUE!</v>
      </c>
      <c r="D645" s="182" t="e">
        <f t="shared" si="65"/>
        <v>#VALUE!</v>
      </c>
      <c r="E645" s="182" t="e">
        <f t="shared" si="70"/>
        <v>#VALUE!</v>
      </c>
      <c r="F645" s="182" t="e">
        <f>SUM($D$33:D645)</f>
        <v>#VALUE!</v>
      </c>
      <c r="G645" s="182">
        <f t="shared" ca="1" si="71"/>
        <v>0</v>
      </c>
      <c r="H645" s="182" t="e">
        <f t="shared" si="67"/>
        <v>#VALUE!</v>
      </c>
      <c r="I645" s="183" t="e">
        <f t="shared" si="66"/>
        <v>#VALUE!</v>
      </c>
    </row>
    <row r="646" spans="1:9" x14ac:dyDescent="0.25">
      <c r="A646" s="180">
        <f t="shared" ca="1" si="68"/>
        <v>46718</v>
      </c>
      <c r="B646" s="181">
        <v>614</v>
      </c>
      <c r="C646" s="182" t="e">
        <f t="shared" si="69"/>
        <v>#VALUE!</v>
      </c>
      <c r="D646" s="182" t="e">
        <f t="shared" si="65"/>
        <v>#VALUE!</v>
      </c>
      <c r="E646" s="182" t="e">
        <f t="shared" si="70"/>
        <v>#VALUE!</v>
      </c>
      <c r="F646" s="182" t="e">
        <f>SUM($D$33:D646)</f>
        <v>#VALUE!</v>
      </c>
      <c r="G646" s="182">
        <f t="shared" ca="1" si="71"/>
        <v>0</v>
      </c>
      <c r="H646" s="182" t="e">
        <f t="shared" si="67"/>
        <v>#VALUE!</v>
      </c>
      <c r="I646" s="183" t="e">
        <f t="shared" si="66"/>
        <v>#VALUE!</v>
      </c>
    </row>
    <row r="647" spans="1:9" x14ac:dyDescent="0.25">
      <c r="A647" s="180">
        <f t="shared" ca="1" si="68"/>
        <v>46719</v>
      </c>
      <c r="B647" s="181">
        <v>615</v>
      </c>
      <c r="C647" s="182" t="e">
        <f t="shared" si="69"/>
        <v>#VALUE!</v>
      </c>
      <c r="D647" s="182" t="e">
        <f t="shared" si="65"/>
        <v>#VALUE!</v>
      </c>
      <c r="E647" s="182" t="e">
        <f t="shared" si="70"/>
        <v>#VALUE!</v>
      </c>
      <c r="F647" s="182" t="e">
        <f>SUM($D$33:D647)</f>
        <v>#VALUE!</v>
      </c>
      <c r="G647" s="182">
        <f t="shared" ca="1" si="71"/>
        <v>0</v>
      </c>
      <c r="H647" s="182" t="e">
        <f t="shared" si="67"/>
        <v>#VALUE!</v>
      </c>
      <c r="I647" s="183" t="e">
        <f t="shared" si="66"/>
        <v>#VALUE!</v>
      </c>
    </row>
    <row r="648" spans="1:9" x14ac:dyDescent="0.25">
      <c r="A648" s="180">
        <f t="shared" ca="1" si="68"/>
        <v>46720</v>
      </c>
      <c r="B648" s="181">
        <v>616</v>
      </c>
      <c r="C648" s="182" t="e">
        <f t="shared" si="69"/>
        <v>#VALUE!</v>
      </c>
      <c r="D648" s="182" t="e">
        <f t="shared" si="65"/>
        <v>#VALUE!</v>
      </c>
      <c r="E648" s="182" t="e">
        <f t="shared" si="70"/>
        <v>#VALUE!</v>
      </c>
      <c r="F648" s="182" t="e">
        <f>SUM($D$33:D648)</f>
        <v>#VALUE!</v>
      </c>
      <c r="G648" s="182">
        <f t="shared" ca="1" si="71"/>
        <v>0</v>
      </c>
      <c r="H648" s="182" t="e">
        <f t="shared" si="67"/>
        <v>#VALUE!</v>
      </c>
      <c r="I648" s="183" t="e">
        <f t="shared" si="66"/>
        <v>#VALUE!</v>
      </c>
    </row>
    <row r="649" spans="1:9" x14ac:dyDescent="0.25">
      <c r="A649" s="180">
        <f t="shared" ca="1" si="68"/>
        <v>46721</v>
      </c>
      <c r="B649" s="181">
        <v>617</v>
      </c>
      <c r="C649" s="182" t="e">
        <f t="shared" si="69"/>
        <v>#VALUE!</v>
      </c>
      <c r="D649" s="182" t="e">
        <f t="shared" si="65"/>
        <v>#VALUE!</v>
      </c>
      <c r="E649" s="182" t="e">
        <f t="shared" si="70"/>
        <v>#VALUE!</v>
      </c>
      <c r="F649" s="182" t="e">
        <f>SUM($D$33:D649)</f>
        <v>#VALUE!</v>
      </c>
      <c r="G649" s="182">
        <f t="shared" ca="1" si="71"/>
        <v>0</v>
      </c>
      <c r="H649" s="182" t="e">
        <f t="shared" si="67"/>
        <v>#VALUE!</v>
      </c>
      <c r="I649" s="183" t="e">
        <f t="shared" si="66"/>
        <v>#VALUE!</v>
      </c>
    </row>
    <row r="650" spans="1:9" x14ac:dyDescent="0.25">
      <c r="A650" s="180">
        <f t="shared" ca="1" si="68"/>
        <v>46722</v>
      </c>
      <c r="B650" s="181">
        <v>618</v>
      </c>
      <c r="C650" s="182" t="e">
        <f t="shared" si="69"/>
        <v>#VALUE!</v>
      </c>
      <c r="D650" s="182" t="e">
        <f t="shared" si="65"/>
        <v>#VALUE!</v>
      </c>
      <c r="E650" s="182" t="e">
        <f t="shared" si="70"/>
        <v>#VALUE!</v>
      </c>
      <c r="F650" s="182" t="e">
        <f>SUM($D$33:D650)</f>
        <v>#VALUE!</v>
      </c>
      <c r="G650" s="182">
        <f t="shared" ca="1" si="71"/>
        <v>0</v>
      </c>
      <c r="H650" s="182" t="e">
        <f t="shared" si="67"/>
        <v>#VALUE!</v>
      </c>
      <c r="I650" s="183" t="e">
        <f t="shared" si="66"/>
        <v>#VALUE!</v>
      </c>
    </row>
    <row r="651" spans="1:9" x14ac:dyDescent="0.25">
      <c r="A651" s="180">
        <f t="shared" ca="1" si="68"/>
        <v>46723</v>
      </c>
      <c r="B651" s="181">
        <v>619</v>
      </c>
      <c r="C651" s="182" t="e">
        <f t="shared" si="69"/>
        <v>#VALUE!</v>
      </c>
      <c r="D651" s="182" t="e">
        <f t="shared" si="65"/>
        <v>#VALUE!</v>
      </c>
      <c r="E651" s="182" t="e">
        <f t="shared" si="70"/>
        <v>#VALUE!</v>
      </c>
      <c r="F651" s="182" t="e">
        <f>SUM($D$33:D651)</f>
        <v>#VALUE!</v>
      </c>
      <c r="G651" s="182">
        <f t="shared" ca="1" si="71"/>
        <v>0</v>
      </c>
      <c r="H651" s="182" t="e">
        <f t="shared" si="67"/>
        <v>#VALUE!</v>
      </c>
      <c r="I651" s="183" t="e">
        <f t="shared" si="66"/>
        <v>#VALUE!</v>
      </c>
    </row>
    <row r="652" spans="1:9" x14ac:dyDescent="0.25">
      <c r="A652" s="180">
        <f t="shared" ca="1" si="68"/>
        <v>46724</v>
      </c>
      <c r="B652" s="181">
        <v>620</v>
      </c>
      <c r="C652" s="182" t="e">
        <f t="shared" si="69"/>
        <v>#VALUE!</v>
      </c>
      <c r="D652" s="182" t="e">
        <f t="shared" si="65"/>
        <v>#VALUE!</v>
      </c>
      <c r="E652" s="182" t="e">
        <f t="shared" si="70"/>
        <v>#VALUE!</v>
      </c>
      <c r="F652" s="182" t="e">
        <f>SUM($D$33:D652)</f>
        <v>#VALUE!</v>
      </c>
      <c r="G652" s="182">
        <f t="shared" ca="1" si="71"/>
        <v>0</v>
      </c>
      <c r="H652" s="182" t="e">
        <f t="shared" si="67"/>
        <v>#VALUE!</v>
      </c>
      <c r="I652" s="183" t="e">
        <f t="shared" si="66"/>
        <v>#VALUE!</v>
      </c>
    </row>
    <row r="653" spans="1:9" x14ac:dyDescent="0.25">
      <c r="A653" s="180">
        <f t="shared" ca="1" si="68"/>
        <v>46725</v>
      </c>
      <c r="B653" s="181">
        <v>621</v>
      </c>
      <c r="C653" s="182" t="e">
        <f t="shared" si="69"/>
        <v>#VALUE!</v>
      </c>
      <c r="D653" s="182" t="e">
        <f t="shared" ref="D653:D716" si="72">IF(C653&gt;$H$21,C653*($L$16/360),$H$21*($L$16/360))</f>
        <v>#VALUE!</v>
      </c>
      <c r="E653" s="182" t="e">
        <f t="shared" si="70"/>
        <v>#VALUE!</v>
      </c>
      <c r="F653" s="182" t="e">
        <f>SUM($D$33:D653)</f>
        <v>#VALUE!</v>
      </c>
      <c r="G653" s="182">
        <f t="shared" ca="1" si="71"/>
        <v>0</v>
      </c>
      <c r="H653" s="182" t="e">
        <f t="shared" si="67"/>
        <v>#VALUE!</v>
      </c>
      <c r="I653" s="183" t="e">
        <f t="shared" ref="I653:I716" si="73">(C653+D653-E653)</f>
        <v>#VALUE!</v>
      </c>
    </row>
    <row r="654" spans="1:9" x14ac:dyDescent="0.25">
      <c r="A654" s="180">
        <f t="shared" ca="1" si="68"/>
        <v>46726</v>
      </c>
      <c r="B654" s="181">
        <v>622</v>
      </c>
      <c r="C654" s="182" t="e">
        <f t="shared" si="69"/>
        <v>#VALUE!</v>
      </c>
      <c r="D654" s="182" t="e">
        <f t="shared" si="72"/>
        <v>#VALUE!</v>
      </c>
      <c r="E654" s="182" t="e">
        <f t="shared" si="70"/>
        <v>#VALUE!</v>
      </c>
      <c r="F654" s="182" t="e">
        <f>SUM($D$33:D654)</f>
        <v>#VALUE!</v>
      </c>
      <c r="G654" s="182">
        <f t="shared" ca="1" si="71"/>
        <v>0</v>
      </c>
      <c r="H654" s="182" t="e">
        <f t="shared" si="67"/>
        <v>#VALUE!</v>
      </c>
      <c r="I654" s="183" t="e">
        <f t="shared" si="73"/>
        <v>#VALUE!</v>
      </c>
    </row>
    <row r="655" spans="1:9" x14ac:dyDescent="0.25">
      <c r="A655" s="180">
        <f t="shared" ca="1" si="68"/>
        <v>46727</v>
      </c>
      <c r="B655" s="181">
        <v>623</v>
      </c>
      <c r="C655" s="182" t="e">
        <f t="shared" si="69"/>
        <v>#VALUE!</v>
      </c>
      <c r="D655" s="182" t="e">
        <f t="shared" si="72"/>
        <v>#VALUE!</v>
      </c>
      <c r="E655" s="182" t="e">
        <f t="shared" si="70"/>
        <v>#VALUE!</v>
      </c>
      <c r="F655" s="182" t="e">
        <f>SUM($D$33:D655)</f>
        <v>#VALUE!</v>
      </c>
      <c r="G655" s="182">
        <f t="shared" ca="1" si="71"/>
        <v>0</v>
      </c>
      <c r="H655" s="182" t="e">
        <f t="shared" si="67"/>
        <v>#VALUE!</v>
      </c>
      <c r="I655" s="183" t="e">
        <f t="shared" si="73"/>
        <v>#VALUE!</v>
      </c>
    </row>
    <row r="656" spans="1:9" x14ac:dyDescent="0.25">
      <c r="A656" s="180">
        <f t="shared" ca="1" si="68"/>
        <v>46728</v>
      </c>
      <c r="B656" s="181">
        <v>624</v>
      </c>
      <c r="C656" s="182" t="e">
        <f t="shared" si="69"/>
        <v>#VALUE!</v>
      </c>
      <c r="D656" s="182" t="e">
        <f t="shared" si="72"/>
        <v>#VALUE!</v>
      </c>
      <c r="E656" s="182" t="e">
        <f t="shared" si="70"/>
        <v>#VALUE!</v>
      </c>
      <c r="F656" s="182" t="e">
        <f>SUM($D$33:D656)</f>
        <v>#VALUE!</v>
      </c>
      <c r="G656" s="182">
        <f t="shared" ca="1" si="71"/>
        <v>0</v>
      </c>
      <c r="H656" s="182" t="e">
        <f t="shared" si="67"/>
        <v>#VALUE!</v>
      </c>
      <c r="I656" s="183" t="e">
        <f t="shared" si="73"/>
        <v>#VALUE!</v>
      </c>
    </row>
    <row r="657" spans="1:9" x14ac:dyDescent="0.25">
      <c r="A657" s="180">
        <f t="shared" ca="1" si="68"/>
        <v>46729</v>
      </c>
      <c r="B657" s="181">
        <v>625</v>
      </c>
      <c r="C657" s="182" t="e">
        <f t="shared" si="69"/>
        <v>#VALUE!</v>
      </c>
      <c r="D657" s="182" t="e">
        <f t="shared" si="72"/>
        <v>#VALUE!</v>
      </c>
      <c r="E657" s="182" t="e">
        <f t="shared" si="70"/>
        <v>#VALUE!</v>
      </c>
      <c r="F657" s="182" t="e">
        <f>SUM($D$33:D657)</f>
        <v>#VALUE!</v>
      </c>
      <c r="G657" s="182">
        <f t="shared" ca="1" si="71"/>
        <v>0</v>
      </c>
      <c r="H657" s="182" t="e">
        <f t="shared" si="67"/>
        <v>#VALUE!</v>
      </c>
      <c r="I657" s="183" t="e">
        <f t="shared" si="73"/>
        <v>#VALUE!</v>
      </c>
    </row>
    <row r="658" spans="1:9" x14ac:dyDescent="0.25">
      <c r="A658" s="180">
        <f t="shared" ca="1" si="68"/>
        <v>46730</v>
      </c>
      <c r="B658" s="181">
        <v>626</v>
      </c>
      <c r="C658" s="182" t="e">
        <f t="shared" si="69"/>
        <v>#VALUE!</v>
      </c>
      <c r="D658" s="182" t="e">
        <f t="shared" si="72"/>
        <v>#VALUE!</v>
      </c>
      <c r="E658" s="182" t="e">
        <f t="shared" si="70"/>
        <v>#VALUE!</v>
      </c>
      <c r="F658" s="182" t="e">
        <f>SUM($D$33:D658)</f>
        <v>#VALUE!</v>
      </c>
      <c r="G658" s="182">
        <f t="shared" ca="1" si="71"/>
        <v>0</v>
      </c>
      <c r="H658" s="182" t="e">
        <f t="shared" si="67"/>
        <v>#VALUE!</v>
      </c>
      <c r="I658" s="183" t="e">
        <f t="shared" si="73"/>
        <v>#VALUE!</v>
      </c>
    </row>
    <row r="659" spans="1:9" x14ac:dyDescent="0.25">
      <c r="A659" s="180">
        <f t="shared" ca="1" si="68"/>
        <v>46731</v>
      </c>
      <c r="B659" s="181">
        <v>627</v>
      </c>
      <c r="C659" s="182" t="e">
        <f t="shared" si="69"/>
        <v>#VALUE!</v>
      </c>
      <c r="D659" s="182" t="e">
        <f t="shared" si="72"/>
        <v>#VALUE!</v>
      </c>
      <c r="E659" s="182" t="e">
        <f t="shared" si="70"/>
        <v>#VALUE!</v>
      </c>
      <c r="F659" s="182" t="e">
        <f>SUM($D$33:D659)</f>
        <v>#VALUE!</v>
      </c>
      <c r="G659" s="182">
        <f t="shared" ca="1" si="71"/>
        <v>0</v>
      </c>
      <c r="H659" s="182" t="e">
        <f t="shared" si="67"/>
        <v>#VALUE!</v>
      </c>
      <c r="I659" s="183" t="e">
        <f t="shared" si="73"/>
        <v>#VALUE!</v>
      </c>
    </row>
    <row r="660" spans="1:9" x14ac:dyDescent="0.25">
      <c r="A660" s="180">
        <f t="shared" ca="1" si="68"/>
        <v>46732</v>
      </c>
      <c r="B660" s="181">
        <v>628</v>
      </c>
      <c r="C660" s="182" t="e">
        <f t="shared" si="69"/>
        <v>#VALUE!</v>
      </c>
      <c r="D660" s="182" t="e">
        <f t="shared" si="72"/>
        <v>#VALUE!</v>
      </c>
      <c r="E660" s="182" t="e">
        <f t="shared" si="70"/>
        <v>#VALUE!</v>
      </c>
      <c r="F660" s="182" t="e">
        <f>SUM($D$33:D660)</f>
        <v>#VALUE!</v>
      </c>
      <c r="G660" s="182">
        <f t="shared" ca="1" si="71"/>
        <v>0</v>
      </c>
      <c r="H660" s="182" t="e">
        <f t="shared" si="67"/>
        <v>#VALUE!</v>
      </c>
      <c r="I660" s="183" t="e">
        <f t="shared" si="73"/>
        <v>#VALUE!</v>
      </c>
    </row>
    <row r="661" spans="1:9" x14ac:dyDescent="0.25">
      <c r="A661" s="180">
        <f t="shared" ca="1" si="68"/>
        <v>46733</v>
      </c>
      <c r="B661" s="181">
        <v>629</v>
      </c>
      <c r="C661" s="182" t="e">
        <f t="shared" si="69"/>
        <v>#VALUE!</v>
      </c>
      <c r="D661" s="182" t="e">
        <f t="shared" si="72"/>
        <v>#VALUE!</v>
      </c>
      <c r="E661" s="182" t="e">
        <f t="shared" si="70"/>
        <v>#VALUE!</v>
      </c>
      <c r="F661" s="182" t="e">
        <f>SUM($D$33:D661)</f>
        <v>#VALUE!</v>
      </c>
      <c r="G661" s="182">
        <f t="shared" ca="1" si="71"/>
        <v>0</v>
      </c>
      <c r="H661" s="182" t="e">
        <f t="shared" si="67"/>
        <v>#VALUE!</v>
      </c>
      <c r="I661" s="183" t="e">
        <f t="shared" si="73"/>
        <v>#VALUE!</v>
      </c>
    </row>
    <row r="662" spans="1:9" x14ac:dyDescent="0.25">
      <c r="A662" s="180">
        <f t="shared" ca="1" si="68"/>
        <v>46734</v>
      </c>
      <c r="B662" s="181">
        <v>630</v>
      </c>
      <c r="C662" s="182" t="e">
        <f t="shared" si="69"/>
        <v>#VALUE!</v>
      </c>
      <c r="D662" s="182" t="e">
        <f t="shared" si="72"/>
        <v>#VALUE!</v>
      </c>
      <c r="E662" s="182" t="e">
        <f t="shared" si="70"/>
        <v>#VALUE!</v>
      </c>
      <c r="F662" s="182" t="e">
        <f>SUM($D$33:D662)</f>
        <v>#VALUE!</v>
      </c>
      <c r="G662" s="182">
        <f t="shared" ca="1" si="71"/>
        <v>0</v>
      </c>
      <c r="H662" s="182" t="e">
        <f t="shared" si="67"/>
        <v>#VALUE!</v>
      </c>
      <c r="I662" s="183" t="e">
        <f t="shared" si="73"/>
        <v>#VALUE!</v>
      </c>
    </row>
    <row r="663" spans="1:9" x14ac:dyDescent="0.25">
      <c r="A663" s="180">
        <f t="shared" ca="1" si="68"/>
        <v>46735</v>
      </c>
      <c r="B663" s="181">
        <v>631</v>
      </c>
      <c r="C663" s="182" t="e">
        <f t="shared" si="69"/>
        <v>#VALUE!</v>
      </c>
      <c r="D663" s="182" t="e">
        <f t="shared" si="72"/>
        <v>#VALUE!</v>
      </c>
      <c r="E663" s="182" t="e">
        <f t="shared" si="70"/>
        <v>#VALUE!</v>
      </c>
      <c r="F663" s="182" t="e">
        <f>SUM($D$33:D663)</f>
        <v>#VALUE!</v>
      </c>
      <c r="G663" s="182">
        <f t="shared" ca="1" si="71"/>
        <v>0</v>
      </c>
      <c r="H663" s="182" t="e">
        <f t="shared" si="67"/>
        <v>#VALUE!</v>
      </c>
      <c r="I663" s="183" t="e">
        <f t="shared" si="73"/>
        <v>#VALUE!</v>
      </c>
    </row>
    <row r="664" spans="1:9" x14ac:dyDescent="0.25">
      <c r="A664" s="180">
        <f t="shared" ca="1" si="68"/>
        <v>46736</v>
      </c>
      <c r="B664" s="181">
        <v>632</v>
      </c>
      <c r="C664" s="182" t="e">
        <f t="shared" si="69"/>
        <v>#VALUE!</v>
      </c>
      <c r="D664" s="182" t="e">
        <f t="shared" si="72"/>
        <v>#VALUE!</v>
      </c>
      <c r="E664" s="182" t="e">
        <f t="shared" si="70"/>
        <v>#VALUE!</v>
      </c>
      <c r="F664" s="182" t="e">
        <f>SUM($D$33:D664)</f>
        <v>#VALUE!</v>
      </c>
      <c r="G664" s="182">
        <f t="shared" ca="1" si="71"/>
        <v>0</v>
      </c>
      <c r="H664" s="182" t="e">
        <f t="shared" si="67"/>
        <v>#VALUE!</v>
      </c>
      <c r="I664" s="183" t="e">
        <f t="shared" si="73"/>
        <v>#VALUE!</v>
      </c>
    </row>
    <row r="665" spans="1:9" x14ac:dyDescent="0.25">
      <c r="A665" s="180">
        <f t="shared" ca="1" si="68"/>
        <v>46737</v>
      </c>
      <c r="B665" s="181">
        <v>633</v>
      </c>
      <c r="C665" s="182" t="e">
        <f t="shared" si="69"/>
        <v>#VALUE!</v>
      </c>
      <c r="D665" s="182" t="e">
        <f t="shared" si="72"/>
        <v>#VALUE!</v>
      </c>
      <c r="E665" s="182" t="e">
        <f t="shared" si="70"/>
        <v>#VALUE!</v>
      </c>
      <c r="F665" s="182" t="e">
        <f>SUM($D$33:D665)</f>
        <v>#VALUE!</v>
      </c>
      <c r="G665" s="182">
        <f t="shared" ca="1" si="71"/>
        <v>0</v>
      </c>
      <c r="H665" s="182" t="e">
        <f t="shared" si="67"/>
        <v>#VALUE!</v>
      </c>
      <c r="I665" s="183" t="e">
        <f t="shared" si="73"/>
        <v>#VALUE!</v>
      </c>
    </row>
    <row r="666" spans="1:9" x14ac:dyDescent="0.25">
      <c r="A666" s="180">
        <f t="shared" ca="1" si="68"/>
        <v>46738</v>
      </c>
      <c r="B666" s="181">
        <v>634</v>
      </c>
      <c r="C666" s="182" t="e">
        <f t="shared" si="69"/>
        <v>#VALUE!</v>
      </c>
      <c r="D666" s="182" t="e">
        <f t="shared" si="72"/>
        <v>#VALUE!</v>
      </c>
      <c r="E666" s="182" t="e">
        <f t="shared" si="70"/>
        <v>#VALUE!</v>
      </c>
      <c r="F666" s="182" t="e">
        <f>SUM($D$33:D666)</f>
        <v>#VALUE!</v>
      </c>
      <c r="G666" s="182">
        <f t="shared" ca="1" si="71"/>
        <v>0</v>
      </c>
      <c r="H666" s="182" t="e">
        <f t="shared" si="67"/>
        <v>#VALUE!</v>
      </c>
      <c r="I666" s="183" t="e">
        <f t="shared" si="73"/>
        <v>#VALUE!</v>
      </c>
    </row>
    <row r="667" spans="1:9" x14ac:dyDescent="0.25">
      <c r="A667" s="180">
        <f t="shared" ca="1" si="68"/>
        <v>46739</v>
      </c>
      <c r="B667" s="181">
        <v>635</v>
      </c>
      <c r="C667" s="182" t="e">
        <f t="shared" si="69"/>
        <v>#VALUE!</v>
      </c>
      <c r="D667" s="182" t="e">
        <f t="shared" si="72"/>
        <v>#VALUE!</v>
      </c>
      <c r="E667" s="182" t="e">
        <f t="shared" si="70"/>
        <v>#VALUE!</v>
      </c>
      <c r="F667" s="182" t="e">
        <f>SUM($D$33:D667)</f>
        <v>#VALUE!</v>
      </c>
      <c r="G667" s="182">
        <f t="shared" ca="1" si="71"/>
        <v>0</v>
      </c>
      <c r="H667" s="182" t="e">
        <f t="shared" si="67"/>
        <v>#VALUE!</v>
      </c>
      <c r="I667" s="183" t="e">
        <f t="shared" si="73"/>
        <v>#VALUE!</v>
      </c>
    </row>
    <row r="668" spans="1:9" x14ac:dyDescent="0.25">
      <c r="A668" s="180">
        <f t="shared" ca="1" si="68"/>
        <v>46740</v>
      </c>
      <c r="B668" s="181">
        <v>636</v>
      </c>
      <c r="C668" s="182" t="e">
        <f t="shared" si="69"/>
        <v>#VALUE!</v>
      </c>
      <c r="D668" s="182" t="e">
        <f t="shared" si="72"/>
        <v>#VALUE!</v>
      </c>
      <c r="E668" s="182" t="e">
        <f t="shared" si="70"/>
        <v>#VALUE!</v>
      </c>
      <c r="F668" s="182" t="e">
        <f>SUM($D$33:D668)</f>
        <v>#VALUE!</v>
      </c>
      <c r="G668" s="182">
        <f t="shared" ca="1" si="71"/>
        <v>0</v>
      </c>
      <c r="H668" s="182" t="e">
        <f t="shared" si="67"/>
        <v>#VALUE!</v>
      </c>
      <c r="I668" s="183" t="e">
        <f t="shared" si="73"/>
        <v>#VALUE!</v>
      </c>
    </row>
    <row r="669" spans="1:9" x14ac:dyDescent="0.25">
      <c r="A669" s="180">
        <f t="shared" ca="1" si="68"/>
        <v>46741</v>
      </c>
      <c r="B669" s="181">
        <v>637</v>
      </c>
      <c r="C669" s="182" t="e">
        <f t="shared" si="69"/>
        <v>#VALUE!</v>
      </c>
      <c r="D669" s="182" t="e">
        <f t="shared" si="72"/>
        <v>#VALUE!</v>
      </c>
      <c r="E669" s="182" t="e">
        <f t="shared" si="70"/>
        <v>#VALUE!</v>
      </c>
      <c r="F669" s="182" t="e">
        <f>SUM($D$33:D669)</f>
        <v>#VALUE!</v>
      </c>
      <c r="G669" s="182">
        <f t="shared" ca="1" si="71"/>
        <v>0</v>
      </c>
      <c r="H669" s="182" t="e">
        <f t="shared" si="67"/>
        <v>#VALUE!</v>
      </c>
      <c r="I669" s="183" t="e">
        <f t="shared" si="73"/>
        <v>#VALUE!</v>
      </c>
    </row>
    <row r="670" spans="1:9" x14ac:dyDescent="0.25">
      <c r="A670" s="180">
        <f t="shared" ca="1" si="68"/>
        <v>46742</v>
      </c>
      <c r="B670" s="181">
        <v>638</v>
      </c>
      <c r="C670" s="182" t="e">
        <f t="shared" si="69"/>
        <v>#VALUE!</v>
      </c>
      <c r="D670" s="182" t="e">
        <f t="shared" si="72"/>
        <v>#VALUE!</v>
      </c>
      <c r="E670" s="182" t="e">
        <f t="shared" si="70"/>
        <v>#VALUE!</v>
      </c>
      <c r="F670" s="182" t="e">
        <f>SUM($D$33:D670)</f>
        <v>#VALUE!</v>
      </c>
      <c r="G670" s="182">
        <f t="shared" ca="1" si="71"/>
        <v>0</v>
      </c>
      <c r="H670" s="182" t="e">
        <f t="shared" si="67"/>
        <v>#VALUE!</v>
      </c>
      <c r="I670" s="183" t="e">
        <f t="shared" si="73"/>
        <v>#VALUE!</v>
      </c>
    </row>
    <row r="671" spans="1:9" x14ac:dyDescent="0.25">
      <c r="A671" s="180">
        <f t="shared" ca="1" si="68"/>
        <v>46743</v>
      </c>
      <c r="B671" s="181">
        <v>639</v>
      </c>
      <c r="C671" s="182" t="e">
        <f t="shared" si="69"/>
        <v>#VALUE!</v>
      </c>
      <c r="D671" s="182" t="e">
        <f t="shared" si="72"/>
        <v>#VALUE!</v>
      </c>
      <c r="E671" s="182" t="e">
        <f t="shared" si="70"/>
        <v>#VALUE!</v>
      </c>
      <c r="F671" s="182" t="e">
        <f>SUM($D$33:D671)</f>
        <v>#VALUE!</v>
      </c>
      <c r="G671" s="182">
        <f t="shared" ca="1" si="71"/>
        <v>0</v>
      </c>
      <c r="H671" s="182" t="e">
        <f t="shared" si="67"/>
        <v>#VALUE!</v>
      </c>
      <c r="I671" s="183" t="e">
        <f t="shared" si="73"/>
        <v>#VALUE!</v>
      </c>
    </row>
    <row r="672" spans="1:9" x14ac:dyDescent="0.25">
      <c r="A672" s="180">
        <f t="shared" ca="1" si="68"/>
        <v>46744</v>
      </c>
      <c r="B672" s="181">
        <v>640</v>
      </c>
      <c r="C672" s="182" t="e">
        <f t="shared" si="69"/>
        <v>#VALUE!</v>
      </c>
      <c r="D672" s="182" t="e">
        <f t="shared" si="72"/>
        <v>#VALUE!</v>
      </c>
      <c r="E672" s="182" t="e">
        <f t="shared" si="70"/>
        <v>#VALUE!</v>
      </c>
      <c r="F672" s="182" t="e">
        <f>SUM($D$33:D672)</f>
        <v>#VALUE!</v>
      </c>
      <c r="G672" s="182">
        <f t="shared" ca="1" si="71"/>
        <v>0</v>
      </c>
      <c r="H672" s="182" t="e">
        <f t="shared" si="67"/>
        <v>#VALUE!</v>
      </c>
      <c r="I672" s="183" t="e">
        <f t="shared" si="73"/>
        <v>#VALUE!</v>
      </c>
    </row>
    <row r="673" spans="1:9" x14ac:dyDescent="0.25">
      <c r="A673" s="180">
        <f t="shared" ca="1" si="68"/>
        <v>46745</v>
      </c>
      <c r="B673" s="181">
        <v>641</v>
      </c>
      <c r="C673" s="182" t="e">
        <f t="shared" si="69"/>
        <v>#VALUE!</v>
      </c>
      <c r="D673" s="182" t="e">
        <f t="shared" si="72"/>
        <v>#VALUE!</v>
      </c>
      <c r="E673" s="182" t="e">
        <f t="shared" si="70"/>
        <v>#VALUE!</v>
      </c>
      <c r="F673" s="182" t="e">
        <f>SUM($D$33:D673)</f>
        <v>#VALUE!</v>
      </c>
      <c r="G673" s="182">
        <f t="shared" ca="1" si="71"/>
        <v>0</v>
      </c>
      <c r="H673" s="182" t="e">
        <f t="shared" ref="H673:H736" si="74">IF(E673&gt;0,C673+G673,IF(E673&lt;0,C673+G673+D673-E672,C673+D673+G673))</f>
        <v>#VALUE!</v>
      </c>
      <c r="I673" s="183" t="e">
        <f t="shared" si="73"/>
        <v>#VALUE!</v>
      </c>
    </row>
    <row r="674" spans="1:9" x14ac:dyDescent="0.25">
      <c r="A674" s="180">
        <f t="shared" ref="A674:A737" ca="1" si="75">A673+1</f>
        <v>46746</v>
      </c>
      <c r="B674" s="181">
        <v>642</v>
      </c>
      <c r="C674" s="182" t="e">
        <f t="shared" ref="C674:C737" si="76">H673</f>
        <v>#VALUE!</v>
      </c>
      <c r="D674" s="182" t="e">
        <f t="shared" si="72"/>
        <v>#VALUE!</v>
      </c>
      <c r="E674" s="182" t="e">
        <f t="shared" ref="E674:E737" si="77">IF(E673&gt;0,E673-D674,0)</f>
        <v>#VALUE!</v>
      </c>
      <c r="F674" s="182" t="e">
        <f>SUM($D$33:D674)</f>
        <v>#VALUE!</v>
      </c>
      <c r="G674" s="182">
        <f t="shared" ref="G674:G737" ca="1" si="78">IFERROR(-VLOOKUP(A674,$K$30:$M$36,2,FALSE),0)</f>
        <v>0</v>
      </c>
      <c r="H674" s="182" t="e">
        <f t="shared" si="74"/>
        <v>#VALUE!</v>
      </c>
      <c r="I674" s="183" t="e">
        <f t="shared" si="73"/>
        <v>#VALUE!</v>
      </c>
    </row>
    <row r="675" spans="1:9" x14ac:dyDescent="0.25">
      <c r="A675" s="180">
        <f t="shared" ca="1" si="75"/>
        <v>46747</v>
      </c>
      <c r="B675" s="181">
        <v>643</v>
      </c>
      <c r="C675" s="182" t="e">
        <f t="shared" si="76"/>
        <v>#VALUE!</v>
      </c>
      <c r="D675" s="182" t="e">
        <f t="shared" si="72"/>
        <v>#VALUE!</v>
      </c>
      <c r="E675" s="182" t="e">
        <f t="shared" si="77"/>
        <v>#VALUE!</v>
      </c>
      <c r="F675" s="182" t="e">
        <f>SUM($D$33:D675)</f>
        <v>#VALUE!</v>
      </c>
      <c r="G675" s="182">
        <f t="shared" ca="1" si="78"/>
        <v>0</v>
      </c>
      <c r="H675" s="182" t="e">
        <f t="shared" si="74"/>
        <v>#VALUE!</v>
      </c>
      <c r="I675" s="183" t="e">
        <f t="shared" si="73"/>
        <v>#VALUE!</v>
      </c>
    </row>
    <row r="676" spans="1:9" x14ac:dyDescent="0.25">
      <c r="A676" s="180">
        <f t="shared" ca="1" si="75"/>
        <v>46748</v>
      </c>
      <c r="B676" s="181">
        <v>644</v>
      </c>
      <c r="C676" s="182" t="e">
        <f t="shared" si="76"/>
        <v>#VALUE!</v>
      </c>
      <c r="D676" s="182" t="e">
        <f t="shared" si="72"/>
        <v>#VALUE!</v>
      </c>
      <c r="E676" s="182" t="e">
        <f t="shared" si="77"/>
        <v>#VALUE!</v>
      </c>
      <c r="F676" s="182" t="e">
        <f>SUM($D$33:D676)</f>
        <v>#VALUE!</v>
      </c>
      <c r="G676" s="182">
        <f t="shared" ca="1" si="78"/>
        <v>0</v>
      </c>
      <c r="H676" s="182" t="e">
        <f t="shared" si="74"/>
        <v>#VALUE!</v>
      </c>
      <c r="I676" s="183" t="e">
        <f t="shared" si="73"/>
        <v>#VALUE!</v>
      </c>
    </row>
    <row r="677" spans="1:9" x14ac:dyDescent="0.25">
      <c r="A677" s="180">
        <f t="shared" ca="1" si="75"/>
        <v>46749</v>
      </c>
      <c r="B677" s="181">
        <v>645</v>
      </c>
      <c r="C677" s="182" t="e">
        <f t="shared" si="76"/>
        <v>#VALUE!</v>
      </c>
      <c r="D677" s="182" t="e">
        <f t="shared" si="72"/>
        <v>#VALUE!</v>
      </c>
      <c r="E677" s="182" t="e">
        <f t="shared" si="77"/>
        <v>#VALUE!</v>
      </c>
      <c r="F677" s="182" t="e">
        <f>SUM($D$33:D677)</f>
        <v>#VALUE!</v>
      </c>
      <c r="G677" s="182">
        <f t="shared" ca="1" si="78"/>
        <v>0</v>
      </c>
      <c r="H677" s="182" t="e">
        <f t="shared" si="74"/>
        <v>#VALUE!</v>
      </c>
      <c r="I677" s="183" t="e">
        <f t="shared" si="73"/>
        <v>#VALUE!</v>
      </c>
    </row>
    <row r="678" spans="1:9" x14ac:dyDescent="0.25">
      <c r="A678" s="180">
        <f t="shared" ca="1" si="75"/>
        <v>46750</v>
      </c>
      <c r="B678" s="181">
        <v>646</v>
      </c>
      <c r="C678" s="182" t="e">
        <f t="shared" si="76"/>
        <v>#VALUE!</v>
      </c>
      <c r="D678" s="182" t="e">
        <f t="shared" si="72"/>
        <v>#VALUE!</v>
      </c>
      <c r="E678" s="182" t="e">
        <f t="shared" si="77"/>
        <v>#VALUE!</v>
      </c>
      <c r="F678" s="182" t="e">
        <f>SUM($D$33:D678)</f>
        <v>#VALUE!</v>
      </c>
      <c r="G678" s="182">
        <f t="shared" ca="1" si="78"/>
        <v>0</v>
      </c>
      <c r="H678" s="182" t="e">
        <f t="shared" si="74"/>
        <v>#VALUE!</v>
      </c>
      <c r="I678" s="183" t="e">
        <f t="shared" si="73"/>
        <v>#VALUE!</v>
      </c>
    </row>
    <row r="679" spans="1:9" x14ac:dyDescent="0.25">
      <c r="A679" s="180">
        <f t="shared" ca="1" si="75"/>
        <v>46751</v>
      </c>
      <c r="B679" s="181">
        <v>647</v>
      </c>
      <c r="C679" s="182" t="e">
        <f t="shared" si="76"/>
        <v>#VALUE!</v>
      </c>
      <c r="D679" s="182" t="e">
        <f t="shared" si="72"/>
        <v>#VALUE!</v>
      </c>
      <c r="E679" s="182" t="e">
        <f t="shared" si="77"/>
        <v>#VALUE!</v>
      </c>
      <c r="F679" s="182" t="e">
        <f>SUM($D$33:D679)</f>
        <v>#VALUE!</v>
      </c>
      <c r="G679" s="182">
        <f t="shared" ca="1" si="78"/>
        <v>0</v>
      </c>
      <c r="H679" s="182" t="e">
        <f t="shared" si="74"/>
        <v>#VALUE!</v>
      </c>
      <c r="I679" s="183" t="e">
        <f t="shared" si="73"/>
        <v>#VALUE!</v>
      </c>
    </row>
    <row r="680" spans="1:9" x14ac:dyDescent="0.25">
      <c r="A680" s="180">
        <f t="shared" ca="1" si="75"/>
        <v>46752</v>
      </c>
      <c r="B680" s="181">
        <v>648</v>
      </c>
      <c r="C680" s="182" t="e">
        <f t="shared" si="76"/>
        <v>#VALUE!</v>
      </c>
      <c r="D680" s="182" t="e">
        <f t="shared" si="72"/>
        <v>#VALUE!</v>
      </c>
      <c r="E680" s="182" t="e">
        <f t="shared" si="77"/>
        <v>#VALUE!</v>
      </c>
      <c r="F680" s="182" t="e">
        <f>SUM($D$33:D680)</f>
        <v>#VALUE!</v>
      </c>
      <c r="G680" s="182">
        <f t="shared" ca="1" si="78"/>
        <v>0</v>
      </c>
      <c r="H680" s="182" t="e">
        <f t="shared" si="74"/>
        <v>#VALUE!</v>
      </c>
      <c r="I680" s="183" t="e">
        <f t="shared" si="73"/>
        <v>#VALUE!</v>
      </c>
    </row>
    <row r="681" spans="1:9" x14ac:dyDescent="0.25">
      <c r="A681" s="180">
        <f t="shared" ca="1" si="75"/>
        <v>46753</v>
      </c>
      <c r="B681" s="181">
        <v>649</v>
      </c>
      <c r="C681" s="182" t="e">
        <f t="shared" si="76"/>
        <v>#VALUE!</v>
      </c>
      <c r="D681" s="182" t="e">
        <f t="shared" si="72"/>
        <v>#VALUE!</v>
      </c>
      <c r="E681" s="182" t="e">
        <f t="shared" si="77"/>
        <v>#VALUE!</v>
      </c>
      <c r="F681" s="182" t="e">
        <f>SUM($D$33:D681)</f>
        <v>#VALUE!</v>
      </c>
      <c r="G681" s="182">
        <f t="shared" ca="1" si="78"/>
        <v>0</v>
      </c>
      <c r="H681" s="182" t="e">
        <f t="shared" si="74"/>
        <v>#VALUE!</v>
      </c>
      <c r="I681" s="183" t="e">
        <f t="shared" si="73"/>
        <v>#VALUE!</v>
      </c>
    </row>
    <row r="682" spans="1:9" x14ac:dyDescent="0.25">
      <c r="A682" s="180">
        <f t="shared" ca="1" si="75"/>
        <v>46754</v>
      </c>
      <c r="B682" s="181">
        <v>650</v>
      </c>
      <c r="C682" s="182" t="e">
        <f t="shared" si="76"/>
        <v>#VALUE!</v>
      </c>
      <c r="D682" s="182" t="e">
        <f t="shared" si="72"/>
        <v>#VALUE!</v>
      </c>
      <c r="E682" s="182" t="e">
        <f t="shared" si="77"/>
        <v>#VALUE!</v>
      </c>
      <c r="F682" s="182" t="e">
        <f>SUM($D$33:D682)</f>
        <v>#VALUE!</v>
      </c>
      <c r="G682" s="182">
        <f t="shared" ca="1" si="78"/>
        <v>0</v>
      </c>
      <c r="H682" s="182" t="e">
        <f t="shared" si="74"/>
        <v>#VALUE!</v>
      </c>
      <c r="I682" s="183" t="e">
        <f t="shared" si="73"/>
        <v>#VALUE!</v>
      </c>
    </row>
    <row r="683" spans="1:9" x14ac:dyDescent="0.25">
      <c r="A683" s="180">
        <f t="shared" ca="1" si="75"/>
        <v>46755</v>
      </c>
      <c r="B683" s="181">
        <v>651</v>
      </c>
      <c r="C683" s="182" t="e">
        <f t="shared" si="76"/>
        <v>#VALUE!</v>
      </c>
      <c r="D683" s="182" t="e">
        <f t="shared" si="72"/>
        <v>#VALUE!</v>
      </c>
      <c r="E683" s="182" t="e">
        <f t="shared" si="77"/>
        <v>#VALUE!</v>
      </c>
      <c r="F683" s="182" t="e">
        <f>SUM($D$33:D683)</f>
        <v>#VALUE!</v>
      </c>
      <c r="G683" s="182">
        <f t="shared" ca="1" si="78"/>
        <v>0</v>
      </c>
      <c r="H683" s="182" t="e">
        <f t="shared" si="74"/>
        <v>#VALUE!</v>
      </c>
      <c r="I683" s="183" t="e">
        <f t="shared" si="73"/>
        <v>#VALUE!</v>
      </c>
    </row>
    <row r="684" spans="1:9" x14ac:dyDescent="0.25">
      <c r="A684" s="180">
        <f t="shared" ca="1" si="75"/>
        <v>46756</v>
      </c>
      <c r="B684" s="181">
        <v>652</v>
      </c>
      <c r="C684" s="182" t="e">
        <f t="shared" si="76"/>
        <v>#VALUE!</v>
      </c>
      <c r="D684" s="182" t="e">
        <f t="shared" si="72"/>
        <v>#VALUE!</v>
      </c>
      <c r="E684" s="182" t="e">
        <f t="shared" si="77"/>
        <v>#VALUE!</v>
      </c>
      <c r="F684" s="182" t="e">
        <f>SUM($D$33:D684)</f>
        <v>#VALUE!</v>
      </c>
      <c r="G684" s="182">
        <f t="shared" ca="1" si="78"/>
        <v>0</v>
      </c>
      <c r="H684" s="182" t="e">
        <f t="shared" si="74"/>
        <v>#VALUE!</v>
      </c>
      <c r="I684" s="183" t="e">
        <f t="shared" si="73"/>
        <v>#VALUE!</v>
      </c>
    </row>
    <row r="685" spans="1:9" x14ac:dyDescent="0.25">
      <c r="A685" s="180">
        <f t="shared" ca="1" si="75"/>
        <v>46757</v>
      </c>
      <c r="B685" s="181">
        <v>653</v>
      </c>
      <c r="C685" s="182" t="e">
        <f t="shared" si="76"/>
        <v>#VALUE!</v>
      </c>
      <c r="D685" s="182" t="e">
        <f t="shared" si="72"/>
        <v>#VALUE!</v>
      </c>
      <c r="E685" s="182" t="e">
        <f t="shared" si="77"/>
        <v>#VALUE!</v>
      </c>
      <c r="F685" s="182" t="e">
        <f>SUM($D$33:D685)</f>
        <v>#VALUE!</v>
      </c>
      <c r="G685" s="182">
        <f t="shared" ca="1" si="78"/>
        <v>0</v>
      </c>
      <c r="H685" s="182" t="e">
        <f t="shared" si="74"/>
        <v>#VALUE!</v>
      </c>
      <c r="I685" s="183" t="e">
        <f t="shared" si="73"/>
        <v>#VALUE!</v>
      </c>
    </row>
    <row r="686" spans="1:9" x14ac:dyDescent="0.25">
      <c r="A686" s="180">
        <f t="shared" ca="1" si="75"/>
        <v>46758</v>
      </c>
      <c r="B686" s="181">
        <v>654</v>
      </c>
      <c r="C686" s="182" t="e">
        <f t="shared" si="76"/>
        <v>#VALUE!</v>
      </c>
      <c r="D686" s="182" t="e">
        <f t="shared" si="72"/>
        <v>#VALUE!</v>
      </c>
      <c r="E686" s="182" t="e">
        <f t="shared" si="77"/>
        <v>#VALUE!</v>
      </c>
      <c r="F686" s="182" t="e">
        <f>SUM($D$33:D686)</f>
        <v>#VALUE!</v>
      </c>
      <c r="G686" s="182">
        <f t="shared" ca="1" si="78"/>
        <v>0</v>
      </c>
      <c r="H686" s="182" t="e">
        <f t="shared" si="74"/>
        <v>#VALUE!</v>
      </c>
      <c r="I686" s="183" t="e">
        <f t="shared" si="73"/>
        <v>#VALUE!</v>
      </c>
    </row>
    <row r="687" spans="1:9" x14ac:dyDescent="0.25">
      <c r="A687" s="180">
        <f t="shared" ca="1" si="75"/>
        <v>46759</v>
      </c>
      <c r="B687" s="181">
        <v>655</v>
      </c>
      <c r="C687" s="182" t="e">
        <f t="shared" si="76"/>
        <v>#VALUE!</v>
      </c>
      <c r="D687" s="182" t="e">
        <f t="shared" si="72"/>
        <v>#VALUE!</v>
      </c>
      <c r="E687" s="182" t="e">
        <f t="shared" si="77"/>
        <v>#VALUE!</v>
      </c>
      <c r="F687" s="182" t="e">
        <f>SUM($D$33:D687)</f>
        <v>#VALUE!</v>
      </c>
      <c r="G687" s="182">
        <f t="shared" ca="1" si="78"/>
        <v>0</v>
      </c>
      <c r="H687" s="182" t="e">
        <f t="shared" si="74"/>
        <v>#VALUE!</v>
      </c>
      <c r="I687" s="183" t="e">
        <f t="shared" si="73"/>
        <v>#VALUE!</v>
      </c>
    </row>
    <row r="688" spans="1:9" x14ac:dyDescent="0.25">
      <c r="A688" s="180">
        <f t="shared" ca="1" si="75"/>
        <v>46760</v>
      </c>
      <c r="B688" s="181">
        <v>656</v>
      </c>
      <c r="C688" s="182" t="e">
        <f t="shared" si="76"/>
        <v>#VALUE!</v>
      </c>
      <c r="D688" s="182" t="e">
        <f t="shared" si="72"/>
        <v>#VALUE!</v>
      </c>
      <c r="E688" s="182" t="e">
        <f t="shared" si="77"/>
        <v>#VALUE!</v>
      </c>
      <c r="F688" s="182" t="e">
        <f>SUM($D$33:D688)</f>
        <v>#VALUE!</v>
      </c>
      <c r="G688" s="182">
        <f t="shared" ca="1" si="78"/>
        <v>0</v>
      </c>
      <c r="H688" s="182" t="e">
        <f t="shared" si="74"/>
        <v>#VALUE!</v>
      </c>
      <c r="I688" s="183" t="e">
        <f t="shared" si="73"/>
        <v>#VALUE!</v>
      </c>
    </row>
    <row r="689" spans="1:9" x14ac:dyDescent="0.25">
      <c r="A689" s="180">
        <f t="shared" ca="1" si="75"/>
        <v>46761</v>
      </c>
      <c r="B689" s="181">
        <v>657</v>
      </c>
      <c r="C689" s="182" t="e">
        <f t="shared" si="76"/>
        <v>#VALUE!</v>
      </c>
      <c r="D689" s="182" t="e">
        <f t="shared" si="72"/>
        <v>#VALUE!</v>
      </c>
      <c r="E689" s="182" t="e">
        <f t="shared" si="77"/>
        <v>#VALUE!</v>
      </c>
      <c r="F689" s="182" t="e">
        <f>SUM($D$33:D689)</f>
        <v>#VALUE!</v>
      </c>
      <c r="G689" s="182">
        <f t="shared" ca="1" si="78"/>
        <v>0</v>
      </c>
      <c r="H689" s="182" t="e">
        <f t="shared" si="74"/>
        <v>#VALUE!</v>
      </c>
      <c r="I689" s="183" t="e">
        <f t="shared" si="73"/>
        <v>#VALUE!</v>
      </c>
    </row>
    <row r="690" spans="1:9" x14ac:dyDescent="0.25">
      <c r="A690" s="180">
        <f t="shared" ca="1" si="75"/>
        <v>46762</v>
      </c>
      <c r="B690" s="181">
        <v>658</v>
      </c>
      <c r="C690" s="182" t="e">
        <f t="shared" si="76"/>
        <v>#VALUE!</v>
      </c>
      <c r="D690" s="182" t="e">
        <f t="shared" si="72"/>
        <v>#VALUE!</v>
      </c>
      <c r="E690" s="182" t="e">
        <f t="shared" si="77"/>
        <v>#VALUE!</v>
      </c>
      <c r="F690" s="182" t="e">
        <f>SUM($D$33:D690)</f>
        <v>#VALUE!</v>
      </c>
      <c r="G690" s="182">
        <f t="shared" ca="1" si="78"/>
        <v>0</v>
      </c>
      <c r="H690" s="182" t="e">
        <f t="shared" si="74"/>
        <v>#VALUE!</v>
      </c>
      <c r="I690" s="183" t="e">
        <f t="shared" si="73"/>
        <v>#VALUE!</v>
      </c>
    </row>
    <row r="691" spans="1:9" x14ac:dyDescent="0.25">
      <c r="A691" s="180">
        <f t="shared" ca="1" si="75"/>
        <v>46763</v>
      </c>
      <c r="B691" s="181">
        <v>659</v>
      </c>
      <c r="C691" s="182" t="e">
        <f t="shared" si="76"/>
        <v>#VALUE!</v>
      </c>
      <c r="D691" s="182" t="e">
        <f t="shared" si="72"/>
        <v>#VALUE!</v>
      </c>
      <c r="E691" s="182" t="e">
        <f t="shared" si="77"/>
        <v>#VALUE!</v>
      </c>
      <c r="F691" s="182" t="e">
        <f>SUM($D$33:D691)</f>
        <v>#VALUE!</v>
      </c>
      <c r="G691" s="182">
        <f t="shared" ca="1" si="78"/>
        <v>0</v>
      </c>
      <c r="H691" s="182" t="e">
        <f t="shared" si="74"/>
        <v>#VALUE!</v>
      </c>
      <c r="I691" s="183" t="e">
        <f t="shared" si="73"/>
        <v>#VALUE!</v>
      </c>
    </row>
    <row r="692" spans="1:9" x14ac:dyDescent="0.25">
      <c r="A692" s="180">
        <f t="shared" ca="1" si="75"/>
        <v>46764</v>
      </c>
      <c r="B692" s="181">
        <v>660</v>
      </c>
      <c r="C692" s="182" t="e">
        <f t="shared" si="76"/>
        <v>#VALUE!</v>
      </c>
      <c r="D692" s="182" t="e">
        <f t="shared" si="72"/>
        <v>#VALUE!</v>
      </c>
      <c r="E692" s="182" t="e">
        <f t="shared" si="77"/>
        <v>#VALUE!</v>
      </c>
      <c r="F692" s="182" t="e">
        <f>SUM($D$33:D692)</f>
        <v>#VALUE!</v>
      </c>
      <c r="G692" s="182">
        <f t="shared" ca="1" si="78"/>
        <v>0</v>
      </c>
      <c r="H692" s="182" t="e">
        <f t="shared" si="74"/>
        <v>#VALUE!</v>
      </c>
      <c r="I692" s="183" t="e">
        <f t="shared" si="73"/>
        <v>#VALUE!</v>
      </c>
    </row>
    <row r="693" spans="1:9" x14ac:dyDescent="0.25">
      <c r="A693" s="180">
        <f t="shared" ca="1" si="75"/>
        <v>46765</v>
      </c>
      <c r="B693" s="181">
        <v>661</v>
      </c>
      <c r="C693" s="182" t="e">
        <f t="shared" si="76"/>
        <v>#VALUE!</v>
      </c>
      <c r="D693" s="182" t="e">
        <f t="shared" si="72"/>
        <v>#VALUE!</v>
      </c>
      <c r="E693" s="182" t="e">
        <f t="shared" si="77"/>
        <v>#VALUE!</v>
      </c>
      <c r="F693" s="182" t="e">
        <f>SUM($D$33:D693)</f>
        <v>#VALUE!</v>
      </c>
      <c r="G693" s="182">
        <f t="shared" ca="1" si="78"/>
        <v>0</v>
      </c>
      <c r="H693" s="182" t="e">
        <f t="shared" si="74"/>
        <v>#VALUE!</v>
      </c>
      <c r="I693" s="183" t="e">
        <f t="shared" si="73"/>
        <v>#VALUE!</v>
      </c>
    </row>
    <row r="694" spans="1:9" x14ac:dyDescent="0.25">
      <c r="A694" s="180">
        <f t="shared" ca="1" si="75"/>
        <v>46766</v>
      </c>
      <c r="B694" s="181">
        <v>662</v>
      </c>
      <c r="C694" s="182" t="e">
        <f t="shared" si="76"/>
        <v>#VALUE!</v>
      </c>
      <c r="D694" s="182" t="e">
        <f t="shared" si="72"/>
        <v>#VALUE!</v>
      </c>
      <c r="E694" s="182" t="e">
        <f t="shared" si="77"/>
        <v>#VALUE!</v>
      </c>
      <c r="F694" s="182" t="e">
        <f>SUM($D$33:D694)</f>
        <v>#VALUE!</v>
      </c>
      <c r="G694" s="182">
        <f t="shared" ca="1" si="78"/>
        <v>0</v>
      </c>
      <c r="H694" s="182" t="e">
        <f t="shared" si="74"/>
        <v>#VALUE!</v>
      </c>
      <c r="I694" s="183" t="e">
        <f t="shared" si="73"/>
        <v>#VALUE!</v>
      </c>
    </row>
    <row r="695" spans="1:9" x14ac:dyDescent="0.25">
      <c r="A695" s="180">
        <f t="shared" ca="1" si="75"/>
        <v>46767</v>
      </c>
      <c r="B695" s="181">
        <v>663</v>
      </c>
      <c r="C695" s="182" t="e">
        <f t="shared" si="76"/>
        <v>#VALUE!</v>
      </c>
      <c r="D695" s="182" t="e">
        <f t="shared" si="72"/>
        <v>#VALUE!</v>
      </c>
      <c r="E695" s="182" t="e">
        <f t="shared" si="77"/>
        <v>#VALUE!</v>
      </c>
      <c r="F695" s="182" t="e">
        <f>SUM($D$33:D695)</f>
        <v>#VALUE!</v>
      </c>
      <c r="G695" s="182">
        <f t="shared" ca="1" si="78"/>
        <v>0</v>
      </c>
      <c r="H695" s="182" t="e">
        <f t="shared" si="74"/>
        <v>#VALUE!</v>
      </c>
      <c r="I695" s="183" t="e">
        <f t="shared" si="73"/>
        <v>#VALUE!</v>
      </c>
    </row>
    <row r="696" spans="1:9" x14ac:dyDescent="0.25">
      <c r="A696" s="180">
        <f t="shared" ca="1" si="75"/>
        <v>46768</v>
      </c>
      <c r="B696" s="181">
        <v>664</v>
      </c>
      <c r="C696" s="182" t="e">
        <f t="shared" si="76"/>
        <v>#VALUE!</v>
      </c>
      <c r="D696" s="182" t="e">
        <f t="shared" si="72"/>
        <v>#VALUE!</v>
      </c>
      <c r="E696" s="182" t="e">
        <f t="shared" si="77"/>
        <v>#VALUE!</v>
      </c>
      <c r="F696" s="182" t="e">
        <f>SUM($D$33:D696)</f>
        <v>#VALUE!</v>
      </c>
      <c r="G696" s="182">
        <f t="shared" ca="1" si="78"/>
        <v>0</v>
      </c>
      <c r="H696" s="182" t="e">
        <f t="shared" si="74"/>
        <v>#VALUE!</v>
      </c>
      <c r="I696" s="183" t="e">
        <f t="shared" si="73"/>
        <v>#VALUE!</v>
      </c>
    </row>
    <row r="697" spans="1:9" x14ac:dyDescent="0.25">
      <c r="A697" s="180">
        <f t="shared" ca="1" si="75"/>
        <v>46769</v>
      </c>
      <c r="B697" s="181">
        <v>665</v>
      </c>
      <c r="C697" s="182" t="e">
        <f t="shared" si="76"/>
        <v>#VALUE!</v>
      </c>
      <c r="D697" s="182" t="e">
        <f t="shared" si="72"/>
        <v>#VALUE!</v>
      </c>
      <c r="E697" s="182" t="e">
        <f t="shared" si="77"/>
        <v>#VALUE!</v>
      </c>
      <c r="F697" s="182" t="e">
        <f>SUM($D$33:D697)</f>
        <v>#VALUE!</v>
      </c>
      <c r="G697" s="182">
        <f t="shared" ca="1" si="78"/>
        <v>0</v>
      </c>
      <c r="H697" s="182" t="e">
        <f t="shared" si="74"/>
        <v>#VALUE!</v>
      </c>
      <c r="I697" s="183" t="e">
        <f t="shared" si="73"/>
        <v>#VALUE!</v>
      </c>
    </row>
    <row r="698" spans="1:9" x14ac:dyDescent="0.25">
      <c r="A698" s="180">
        <f t="shared" ca="1" si="75"/>
        <v>46770</v>
      </c>
      <c r="B698" s="181">
        <v>666</v>
      </c>
      <c r="C698" s="182" t="e">
        <f t="shared" si="76"/>
        <v>#VALUE!</v>
      </c>
      <c r="D698" s="182" t="e">
        <f t="shared" si="72"/>
        <v>#VALUE!</v>
      </c>
      <c r="E698" s="182" t="e">
        <f t="shared" si="77"/>
        <v>#VALUE!</v>
      </c>
      <c r="F698" s="182" t="e">
        <f>SUM($D$33:D698)</f>
        <v>#VALUE!</v>
      </c>
      <c r="G698" s="182">
        <f t="shared" ca="1" si="78"/>
        <v>0</v>
      </c>
      <c r="H698" s="182" t="e">
        <f t="shared" si="74"/>
        <v>#VALUE!</v>
      </c>
      <c r="I698" s="183" t="e">
        <f t="shared" si="73"/>
        <v>#VALUE!</v>
      </c>
    </row>
    <row r="699" spans="1:9" x14ac:dyDescent="0.25">
      <c r="A699" s="180">
        <f t="shared" ca="1" si="75"/>
        <v>46771</v>
      </c>
      <c r="B699" s="181">
        <v>667</v>
      </c>
      <c r="C699" s="182" t="e">
        <f t="shared" si="76"/>
        <v>#VALUE!</v>
      </c>
      <c r="D699" s="182" t="e">
        <f t="shared" si="72"/>
        <v>#VALUE!</v>
      </c>
      <c r="E699" s="182" t="e">
        <f t="shared" si="77"/>
        <v>#VALUE!</v>
      </c>
      <c r="F699" s="182" t="e">
        <f>SUM($D$33:D699)</f>
        <v>#VALUE!</v>
      </c>
      <c r="G699" s="182">
        <f t="shared" ca="1" si="78"/>
        <v>0</v>
      </c>
      <c r="H699" s="182" t="e">
        <f t="shared" si="74"/>
        <v>#VALUE!</v>
      </c>
      <c r="I699" s="183" t="e">
        <f t="shared" si="73"/>
        <v>#VALUE!</v>
      </c>
    </row>
    <row r="700" spans="1:9" x14ac:dyDescent="0.25">
      <c r="A700" s="180">
        <f t="shared" ca="1" si="75"/>
        <v>46772</v>
      </c>
      <c r="B700" s="181">
        <v>668</v>
      </c>
      <c r="C700" s="182" t="e">
        <f t="shared" si="76"/>
        <v>#VALUE!</v>
      </c>
      <c r="D700" s="182" t="e">
        <f t="shared" si="72"/>
        <v>#VALUE!</v>
      </c>
      <c r="E700" s="182" t="e">
        <f t="shared" si="77"/>
        <v>#VALUE!</v>
      </c>
      <c r="F700" s="182" t="e">
        <f>SUM($D$33:D700)</f>
        <v>#VALUE!</v>
      </c>
      <c r="G700" s="182">
        <f t="shared" ca="1" si="78"/>
        <v>0</v>
      </c>
      <c r="H700" s="182" t="e">
        <f t="shared" si="74"/>
        <v>#VALUE!</v>
      </c>
      <c r="I700" s="183" t="e">
        <f t="shared" si="73"/>
        <v>#VALUE!</v>
      </c>
    </row>
    <row r="701" spans="1:9" x14ac:dyDescent="0.25">
      <c r="A701" s="180">
        <f t="shared" ca="1" si="75"/>
        <v>46773</v>
      </c>
      <c r="B701" s="181">
        <v>669</v>
      </c>
      <c r="C701" s="182" t="e">
        <f t="shared" si="76"/>
        <v>#VALUE!</v>
      </c>
      <c r="D701" s="182" t="e">
        <f t="shared" si="72"/>
        <v>#VALUE!</v>
      </c>
      <c r="E701" s="182" t="e">
        <f t="shared" si="77"/>
        <v>#VALUE!</v>
      </c>
      <c r="F701" s="182" t="e">
        <f>SUM($D$33:D701)</f>
        <v>#VALUE!</v>
      </c>
      <c r="G701" s="182">
        <f t="shared" ca="1" si="78"/>
        <v>0</v>
      </c>
      <c r="H701" s="182" t="e">
        <f t="shared" si="74"/>
        <v>#VALUE!</v>
      </c>
      <c r="I701" s="183" t="e">
        <f t="shared" si="73"/>
        <v>#VALUE!</v>
      </c>
    </row>
    <row r="702" spans="1:9" x14ac:dyDescent="0.25">
      <c r="A702" s="180">
        <f t="shared" ca="1" si="75"/>
        <v>46774</v>
      </c>
      <c r="B702" s="181">
        <v>670</v>
      </c>
      <c r="C702" s="182" t="e">
        <f t="shared" si="76"/>
        <v>#VALUE!</v>
      </c>
      <c r="D702" s="182" t="e">
        <f t="shared" si="72"/>
        <v>#VALUE!</v>
      </c>
      <c r="E702" s="182" t="e">
        <f t="shared" si="77"/>
        <v>#VALUE!</v>
      </c>
      <c r="F702" s="182" t="e">
        <f>SUM($D$33:D702)</f>
        <v>#VALUE!</v>
      </c>
      <c r="G702" s="182">
        <f t="shared" ca="1" si="78"/>
        <v>0</v>
      </c>
      <c r="H702" s="182" t="e">
        <f t="shared" si="74"/>
        <v>#VALUE!</v>
      </c>
      <c r="I702" s="183" t="e">
        <f t="shared" si="73"/>
        <v>#VALUE!</v>
      </c>
    </row>
    <row r="703" spans="1:9" x14ac:dyDescent="0.25">
      <c r="A703" s="180">
        <f t="shared" ca="1" si="75"/>
        <v>46775</v>
      </c>
      <c r="B703" s="181">
        <v>671</v>
      </c>
      <c r="C703" s="182" t="e">
        <f t="shared" si="76"/>
        <v>#VALUE!</v>
      </c>
      <c r="D703" s="182" t="e">
        <f t="shared" si="72"/>
        <v>#VALUE!</v>
      </c>
      <c r="E703" s="182" t="e">
        <f t="shared" si="77"/>
        <v>#VALUE!</v>
      </c>
      <c r="F703" s="182" t="e">
        <f>SUM($D$33:D703)</f>
        <v>#VALUE!</v>
      </c>
      <c r="G703" s="182">
        <f t="shared" ca="1" si="78"/>
        <v>0</v>
      </c>
      <c r="H703" s="182" t="e">
        <f t="shared" si="74"/>
        <v>#VALUE!</v>
      </c>
      <c r="I703" s="183" t="e">
        <f t="shared" si="73"/>
        <v>#VALUE!</v>
      </c>
    </row>
    <row r="704" spans="1:9" x14ac:dyDescent="0.25">
      <c r="A704" s="180">
        <f t="shared" ca="1" si="75"/>
        <v>46776</v>
      </c>
      <c r="B704" s="181">
        <v>672</v>
      </c>
      <c r="C704" s="182" t="e">
        <f t="shared" si="76"/>
        <v>#VALUE!</v>
      </c>
      <c r="D704" s="182" t="e">
        <f t="shared" si="72"/>
        <v>#VALUE!</v>
      </c>
      <c r="E704" s="182" t="e">
        <f t="shared" si="77"/>
        <v>#VALUE!</v>
      </c>
      <c r="F704" s="182" t="e">
        <f>SUM($D$33:D704)</f>
        <v>#VALUE!</v>
      </c>
      <c r="G704" s="182">
        <f t="shared" ca="1" si="78"/>
        <v>0</v>
      </c>
      <c r="H704" s="182" t="e">
        <f t="shared" si="74"/>
        <v>#VALUE!</v>
      </c>
      <c r="I704" s="183" t="e">
        <f t="shared" si="73"/>
        <v>#VALUE!</v>
      </c>
    </row>
    <row r="705" spans="1:9" x14ac:dyDescent="0.25">
      <c r="A705" s="180">
        <f t="shared" ca="1" si="75"/>
        <v>46777</v>
      </c>
      <c r="B705" s="181">
        <v>673</v>
      </c>
      <c r="C705" s="182" t="e">
        <f t="shared" si="76"/>
        <v>#VALUE!</v>
      </c>
      <c r="D705" s="182" t="e">
        <f t="shared" si="72"/>
        <v>#VALUE!</v>
      </c>
      <c r="E705" s="182" t="e">
        <f t="shared" si="77"/>
        <v>#VALUE!</v>
      </c>
      <c r="F705" s="182" t="e">
        <f>SUM($D$33:D705)</f>
        <v>#VALUE!</v>
      </c>
      <c r="G705" s="182">
        <f t="shared" ca="1" si="78"/>
        <v>0</v>
      </c>
      <c r="H705" s="182" t="e">
        <f t="shared" si="74"/>
        <v>#VALUE!</v>
      </c>
      <c r="I705" s="183" t="e">
        <f t="shared" si="73"/>
        <v>#VALUE!</v>
      </c>
    </row>
    <row r="706" spans="1:9" x14ac:dyDescent="0.25">
      <c r="A706" s="180">
        <f t="shared" ca="1" si="75"/>
        <v>46778</v>
      </c>
      <c r="B706" s="181">
        <v>674</v>
      </c>
      <c r="C706" s="182" t="e">
        <f t="shared" si="76"/>
        <v>#VALUE!</v>
      </c>
      <c r="D706" s="182" t="e">
        <f t="shared" si="72"/>
        <v>#VALUE!</v>
      </c>
      <c r="E706" s="182" t="e">
        <f t="shared" si="77"/>
        <v>#VALUE!</v>
      </c>
      <c r="F706" s="182" t="e">
        <f>SUM($D$33:D706)</f>
        <v>#VALUE!</v>
      </c>
      <c r="G706" s="182">
        <f t="shared" ca="1" si="78"/>
        <v>0</v>
      </c>
      <c r="H706" s="182" t="e">
        <f t="shared" si="74"/>
        <v>#VALUE!</v>
      </c>
      <c r="I706" s="183" t="e">
        <f t="shared" si="73"/>
        <v>#VALUE!</v>
      </c>
    </row>
    <row r="707" spans="1:9" x14ac:dyDescent="0.25">
      <c r="A707" s="180">
        <f t="shared" ca="1" si="75"/>
        <v>46779</v>
      </c>
      <c r="B707" s="181">
        <v>675</v>
      </c>
      <c r="C707" s="182" t="e">
        <f t="shared" si="76"/>
        <v>#VALUE!</v>
      </c>
      <c r="D707" s="182" t="e">
        <f t="shared" si="72"/>
        <v>#VALUE!</v>
      </c>
      <c r="E707" s="182" t="e">
        <f t="shared" si="77"/>
        <v>#VALUE!</v>
      </c>
      <c r="F707" s="182" t="e">
        <f>SUM($D$33:D707)</f>
        <v>#VALUE!</v>
      </c>
      <c r="G707" s="182">
        <f t="shared" ca="1" si="78"/>
        <v>0</v>
      </c>
      <c r="H707" s="182" t="e">
        <f t="shared" si="74"/>
        <v>#VALUE!</v>
      </c>
      <c r="I707" s="183" t="e">
        <f t="shared" si="73"/>
        <v>#VALUE!</v>
      </c>
    </row>
    <row r="708" spans="1:9" x14ac:dyDescent="0.25">
      <c r="A708" s="180">
        <f t="shared" ca="1" si="75"/>
        <v>46780</v>
      </c>
      <c r="B708" s="181">
        <v>676</v>
      </c>
      <c r="C708" s="182" t="e">
        <f t="shared" si="76"/>
        <v>#VALUE!</v>
      </c>
      <c r="D708" s="182" t="e">
        <f t="shared" si="72"/>
        <v>#VALUE!</v>
      </c>
      <c r="E708" s="182" t="e">
        <f t="shared" si="77"/>
        <v>#VALUE!</v>
      </c>
      <c r="F708" s="182" t="e">
        <f>SUM($D$33:D708)</f>
        <v>#VALUE!</v>
      </c>
      <c r="G708" s="182">
        <f t="shared" ca="1" si="78"/>
        <v>0</v>
      </c>
      <c r="H708" s="182" t="e">
        <f t="shared" si="74"/>
        <v>#VALUE!</v>
      </c>
      <c r="I708" s="183" t="e">
        <f t="shared" si="73"/>
        <v>#VALUE!</v>
      </c>
    </row>
    <row r="709" spans="1:9" x14ac:dyDescent="0.25">
      <c r="A709" s="180">
        <f t="shared" ca="1" si="75"/>
        <v>46781</v>
      </c>
      <c r="B709" s="181">
        <v>677</v>
      </c>
      <c r="C709" s="182" t="e">
        <f t="shared" si="76"/>
        <v>#VALUE!</v>
      </c>
      <c r="D709" s="182" t="e">
        <f t="shared" si="72"/>
        <v>#VALUE!</v>
      </c>
      <c r="E709" s="182" t="e">
        <f t="shared" si="77"/>
        <v>#VALUE!</v>
      </c>
      <c r="F709" s="182" t="e">
        <f>SUM($D$33:D709)</f>
        <v>#VALUE!</v>
      </c>
      <c r="G709" s="182">
        <f t="shared" ca="1" si="78"/>
        <v>0</v>
      </c>
      <c r="H709" s="182" t="e">
        <f t="shared" si="74"/>
        <v>#VALUE!</v>
      </c>
      <c r="I709" s="183" t="e">
        <f t="shared" si="73"/>
        <v>#VALUE!</v>
      </c>
    </row>
    <row r="710" spans="1:9" x14ac:dyDescent="0.25">
      <c r="A710" s="180">
        <f t="shared" ca="1" si="75"/>
        <v>46782</v>
      </c>
      <c r="B710" s="181">
        <v>678</v>
      </c>
      <c r="C710" s="182" t="e">
        <f t="shared" si="76"/>
        <v>#VALUE!</v>
      </c>
      <c r="D710" s="182" t="e">
        <f t="shared" si="72"/>
        <v>#VALUE!</v>
      </c>
      <c r="E710" s="182" t="e">
        <f t="shared" si="77"/>
        <v>#VALUE!</v>
      </c>
      <c r="F710" s="182" t="e">
        <f>SUM($D$33:D710)</f>
        <v>#VALUE!</v>
      </c>
      <c r="G710" s="182">
        <f t="shared" ca="1" si="78"/>
        <v>0</v>
      </c>
      <c r="H710" s="182" t="e">
        <f t="shared" si="74"/>
        <v>#VALUE!</v>
      </c>
      <c r="I710" s="183" t="e">
        <f t="shared" si="73"/>
        <v>#VALUE!</v>
      </c>
    </row>
    <row r="711" spans="1:9" x14ac:dyDescent="0.25">
      <c r="A711" s="180">
        <f t="shared" ca="1" si="75"/>
        <v>46783</v>
      </c>
      <c r="B711" s="181">
        <v>679</v>
      </c>
      <c r="C711" s="182" t="e">
        <f t="shared" si="76"/>
        <v>#VALUE!</v>
      </c>
      <c r="D711" s="182" t="e">
        <f t="shared" si="72"/>
        <v>#VALUE!</v>
      </c>
      <c r="E711" s="182" t="e">
        <f t="shared" si="77"/>
        <v>#VALUE!</v>
      </c>
      <c r="F711" s="182" t="e">
        <f>SUM($D$33:D711)</f>
        <v>#VALUE!</v>
      </c>
      <c r="G711" s="182">
        <f t="shared" ca="1" si="78"/>
        <v>0</v>
      </c>
      <c r="H711" s="182" t="e">
        <f t="shared" si="74"/>
        <v>#VALUE!</v>
      </c>
      <c r="I711" s="183" t="e">
        <f t="shared" si="73"/>
        <v>#VALUE!</v>
      </c>
    </row>
    <row r="712" spans="1:9" x14ac:dyDescent="0.25">
      <c r="A712" s="180">
        <f t="shared" ca="1" si="75"/>
        <v>46784</v>
      </c>
      <c r="B712" s="181">
        <v>680</v>
      </c>
      <c r="C712" s="182" t="e">
        <f t="shared" si="76"/>
        <v>#VALUE!</v>
      </c>
      <c r="D712" s="182" t="e">
        <f t="shared" si="72"/>
        <v>#VALUE!</v>
      </c>
      <c r="E712" s="182" t="e">
        <f t="shared" si="77"/>
        <v>#VALUE!</v>
      </c>
      <c r="F712" s="182" t="e">
        <f>SUM($D$33:D712)</f>
        <v>#VALUE!</v>
      </c>
      <c r="G712" s="182">
        <f t="shared" ca="1" si="78"/>
        <v>0</v>
      </c>
      <c r="H712" s="182" t="e">
        <f t="shared" si="74"/>
        <v>#VALUE!</v>
      </c>
      <c r="I712" s="183" t="e">
        <f t="shared" si="73"/>
        <v>#VALUE!</v>
      </c>
    </row>
    <row r="713" spans="1:9" x14ac:dyDescent="0.25">
      <c r="A713" s="180">
        <f t="shared" ca="1" si="75"/>
        <v>46785</v>
      </c>
      <c r="B713" s="181">
        <v>681</v>
      </c>
      <c r="C713" s="182" t="e">
        <f t="shared" si="76"/>
        <v>#VALUE!</v>
      </c>
      <c r="D713" s="182" t="e">
        <f t="shared" si="72"/>
        <v>#VALUE!</v>
      </c>
      <c r="E713" s="182" t="e">
        <f t="shared" si="77"/>
        <v>#VALUE!</v>
      </c>
      <c r="F713" s="182" t="e">
        <f>SUM($D$33:D713)</f>
        <v>#VALUE!</v>
      </c>
      <c r="G713" s="182">
        <f t="shared" ca="1" si="78"/>
        <v>0</v>
      </c>
      <c r="H713" s="182" t="e">
        <f t="shared" si="74"/>
        <v>#VALUE!</v>
      </c>
      <c r="I713" s="183" t="e">
        <f t="shared" si="73"/>
        <v>#VALUE!</v>
      </c>
    </row>
    <row r="714" spans="1:9" x14ac:dyDescent="0.25">
      <c r="A714" s="180">
        <f t="shared" ca="1" si="75"/>
        <v>46786</v>
      </c>
      <c r="B714" s="181">
        <v>682</v>
      </c>
      <c r="C714" s="182" t="e">
        <f t="shared" si="76"/>
        <v>#VALUE!</v>
      </c>
      <c r="D714" s="182" t="e">
        <f t="shared" si="72"/>
        <v>#VALUE!</v>
      </c>
      <c r="E714" s="182" t="e">
        <f t="shared" si="77"/>
        <v>#VALUE!</v>
      </c>
      <c r="F714" s="182" t="e">
        <f>SUM($D$33:D714)</f>
        <v>#VALUE!</v>
      </c>
      <c r="G714" s="182">
        <f t="shared" ca="1" si="78"/>
        <v>0</v>
      </c>
      <c r="H714" s="182" t="e">
        <f t="shared" si="74"/>
        <v>#VALUE!</v>
      </c>
      <c r="I714" s="183" t="e">
        <f t="shared" si="73"/>
        <v>#VALUE!</v>
      </c>
    </row>
    <row r="715" spans="1:9" x14ac:dyDescent="0.25">
      <c r="A715" s="180">
        <f t="shared" ca="1" si="75"/>
        <v>46787</v>
      </c>
      <c r="B715" s="181">
        <v>683</v>
      </c>
      <c r="C715" s="182" t="e">
        <f t="shared" si="76"/>
        <v>#VALUE!</v>
      </c>
      <c r="D715" s="182" t="e">
        <f t="shared" si="72"/>
        <v>#VALUE!</v>
      </c>
      <c r="E715" s="182" t="e">
        <f t="shared" si="77"/>
        <v>#VALUE!</v>
      </c>
      <c r="F715" s="182" t="e">
        <f>SUM($D$33:D715)</f>
        <v>#VALUE!</v>
      </c>
      <c r="G715" s="182">
        <f t="shared" ca="1" si="78"/>
        <v>0</v>
      </c>
      <c r="H715" s="182" t="e">
        <f t="shared" si="74"/>
        <v>#VALUE!</v>
      </c>
      <c r="I715" s="183" t="e">
        <f t="shared" si="73"/>
        <v>#VALUE!</v>
      </c>
    </row>
    <row r="716" spans="1:9" x14ac:dyDescent="0.25">
      <c r="A716" s="180">
        <f t="shared" ca="1" si="75"/>
        <v>46788</v>
      </c>
      <c r="B716" s="181">
        <v>684</v>
      </c>
      <c r="C716" s="182" t="e">
        <f t="shared" si="76"/>
        <v>#VALUE!</v>
      </c>
      <c r="D716" s="182" t="e">
        <f t="shared" si="72"/>
        <v>#VALUE!</v>
      </c>
      <c r="E716" s="182" t="e">
        <f t="shared" si="77"/>
        <v>#VALUE!</v>
      </c>
      <c r="F716" s="182" t="e">
        <f>SUM($D$33:D716)</f>
        <v>#VALUE!</v>
      </c>
      <c r="G716" s="182">
        <f t="shared" ca="1" si="78"/>
        <v>0</v>
      </c>
      <c r="H716" s="182" t="e">
        <f t="shared" si="74"/>
        <v>#VALUE!</v>
      </c>
      <c r="I716" s="183" t="e">
        <f t="shared" si="73"/>
        <v>#VALUE!</v>
      </c>
    </row>
    <row r="717" spans="1:9" x14ac:dyDescent="0.25">
      <c r="A717" s="180">
        <f t="shared" ca="1" si="75"/>
        <v>46789</v>
      </c>
      <c r="B717" s="181">
        <v>685</v>
      </c>
      <c r="C717" s="182" t="e">
        <f t="shared" si="76"/>
        <v>#VALUE!</v>
      </c>
      <c r="D717" s="182" t="e">
        <f t="shared" ref="D717:D780" si="79">IF(C717&gt;$H$21,C717*($L$16/360),$H$21*($L$16/360))</f>
        <v>#VALUE!</v>
      </c>
      <c r="E717" s="182" t="e">
        <f t="shared" si="77"/>
        <v>#VALUE!</v>
      </c>
      <c r="F717" s="182" t="e">
        <f>SUM($D$33:D717)</f>
        <v>#VALUE!</v>
      </c>
      <c r="G717" s="182">
        <f t="shared" ca="1" si="78"/>
        <v>0</v>
      </c>
      <c r="H717" s="182" t="e">
        <f t="shared" si="74"/>
        <v>#VALUE!</v>
      </c>
      <c r="I717" s="183" t="e">
        <f t="shared" ref="I717:I780" si="80">(C717+D717-E717)</f>
        <v>#VALUE!</v>
      </c>
    </row>
    <row r="718" spans="1:9" x14ac:dyDescent="0.25">
      <c r="A718" s="180">
        <f t="shared" ca="1" si="75"/>
        <v>46790</v>
      </c>
      <c r="B718" s="181">
        <v>686</v>
      </c>
      <c r="C718" s="182" t="e">
        <f t="shared" si="76"/>
        <v>#VALUE!</v>
      </c>
      <c r="D718" s="182" t="e">
        <f t="shared" si="79"/>
        <v>#VALUE!</v>
      </c>
      <c r="E718" s="182" t="e">
        <f t="shared" si="77"/>
        <v>#VALUE!</v>
      </c>
      <c r="F718" s="182" t="e">
        <f>SUM($D$33:D718)</f>
        <v>#VALUE!</v>
      </c>
      <c r="G718" s="182">
        <f t="shared" ca="1" si="78"/>
        <v>0</v>
      </c>
      <c r="H718" s="182" t="e">
        <f t="shared" si="74"/>
        <v>#VALUE!</v>
      </c>
      <c r="I718" s="183" t="e">
        <f t="shared" si="80"/>
        <v>#VALUE!</v>
      </c>
    </row>
    <row r="719" spans="1:9" x14ac:dyDescent="0.25">
      <c r="A719" s="180">
        <f t="shared" ca="1" si="75"/>
        <v>46791</v>
      </c>
      <c r="B719" s="181">
        <v>687</v>
      </c>
      <c r="C719" s="182" t="e">
        <f t="shared" si="76"/>
        <v>#VALUE!</v>
      </c>
      <c r="D719" s="182" t="e">
        <f t="shared" si="79"/>
        <v>#VALUE!</v>
      </c>
      <c r="E719" s="182" t="e">
        <f t="shared" si="77"/>
        <v>#VALUE!</v>
      </c>
      <c r="F719" s="182" t="e">
        <f>SUM($D$33:D719)</f>
        <v>#VALUE!</v>
      </c>
      <c r="G719" s="182">
        <f t="shared" ca="1" si="78"/>
        <v>0</v>
      </c>
      <c r="H719" s="182" t="e">
        <f t="shared" si="74"/>
        <v>#VALUE!</v>
      </c>
      <c r="I719" s="183" t="e">
        <f t="shared" si="80"/>
        <v>#VALUE!</v>
      </c>
    </row>
    <row r="720" spans="1:9" x14ac:dyDescent="0.25">
      <c r="A720" s="180">
        <f t="shared" ca="1" si="75"/>
        <v>46792</v>
      </c>
      <c r="B720" s="181">
        <v>688</v>
      </c>
      <c r="C720" s="182" t="e">
        <f t="shared" si="76"/>
        <v>#VALUE!</v>
      </c>
      <c r="D720" s="182" t="e">
        <f t="shared" si="79"/>
        <v>#VALUE!</v>
      </c>
      <c r="E720" s="182" t="e">
        <f t="shared" si="77"/>
        <v>#VALUE!</v>
      </c>
      <c r="F720" s="182" t="e">
        <f>SUM($D$33:D720)</f>
        <v>#VALUE!</v>
      </c>
      <c r="G720" s="182">
        <f t="shared" ca="1" si="78"/>
        <v>0</v>
      </c>
      <c r="H720" s="182" t="e">
        <f t="shared" si="74"/>
        <v>#VALUE!</v>
      </c>
      <c r="I720" s="183" t="e">
        <f t="shared" si="80"/>
        <v>#VALUE!</v>
      </c>
    </row>
    <row r="721" spans="1:9" x14ac:dyDescent="0.25">
      <c r="A721" s="180">
        <f t="shared" ca="1" si="75"/>
        <v>46793</v>
      </c>
      <c r="B721" s="181">
        <v>689</v>
      </c>
      <c r="C721" s="182" t="e">
        <f t="shared" si="76"/>
        <v>#VALUE!</v>
      </c>
      <c r="D721" s="182" t="e">
        <f t="shared" si="79"/>
        <v>#VALUE!</v>
      </c>
      <c r="E721" s="182" t="e">
        <f t="shared" si="77"/>
        <v>#VALUE!</v>
      </c>
      <c r="F721" s="182" t="e">
        <f>SUM($D$33:D721)</f>
        <v>#VALUE!</v>
      </c>
      <c r="G721" s="182">
        <f t="shared" ca="1" si="78"/>
        <v>0</v>
      </c>
      <c r="H721" s="182" t="e">
        <f t="shared" si="74"/>
        <v>#VALUE!</v>
      </c>
      <c r="I721" s="183" t="e">
        <f t="shared" si="80"/>
        <v>#VALUE!</v>
      </c>
    </row>
    <row r="722" spans="1:9" x14ac:dyDescent="0.25">
      <c r="A722" s="180">
        <f t="shared" ca="1" si="75"/>
        <v>46794</v>
      </c>
      <c r="B722" s="181">
        <v>690</v>
      </c>
      <c r="C722" s="182" t="e">
        <f t="shared" si="76"/>
        <v>#VALUE!</v>
      </c>
      <c r="D722" s="182" t="e">
        <f t="shared" si="79"/>
        <v>#VALUE!</v>
      </c>
      <c r="E722" s="182" t="e">
        <f t="shared" si="77"/>
        <v>#VALUE!</v>
      </c>
      <c r="F722" s="182" t="e">
        <f>SUM($D$33:D722)</f>
        <v>#VALUE!</v>
      </c>
      <c r="G722" s="182">
        <f t="shared" ca="1" si="78"/>
        <v>0</v>
      </c>
      <c r="H722" s="182" t="e">
        <f t="shared" si="74"/>
        <v>#VALUE!</v>
      </c>
      <c r="I722" s="183" t="e">
        <f t="shared" si="80"/>
        <v>#VALUE!</v>
      </c>
    </row>
    <row r="723" spans="1:9" x14ac:dyDescent="0.25">
      <c r="A723" s="180">
        <f t="shared" ca="1" si="75"/>
        <v>46795</v>
      </c>
      <c r="B723" s="181">
        <v>691</v>
      </c>
      <c r="C723" s="182" t="e">
        <f t="shared" si="76"/>
        <v>#VALUE!</v>
      </c>
      <c r="D723" s="182" t="e">
        <f t="shared" si="79"/>
        <v>#VALUE!</v>
      </c>
      <c r="E723" s="182" t="e">
        <f t="shared" si="77"/>
        <v>#VALUE!</v>
      </c>
      <c r="F723" s="182" t="e">
        <f>SUM($D$33:D723)</f>
        <v>#VALUE!</v>
      </c>
      <c r="G723" s="182">
        <f t="shared" ca="1" si="78"/>
        <v>0</v>
      </c>
      <c r="H723" s="182" t="e">
        <f t="shared" si="74"/>
        <v>#VALUE!</v>
      </c>
      <c r="I723" s="183" t="e">
        <f t="shared" si="80"/>
        <v>#VALUE!</v>
      </c>
    </row>
    <row r="724" spans="1:9" x14ac:dyDescent="0.25">
      <c r="A724" s="180">
        <f t="shared" ca="1" si="75"/>
        <v>46796</v>
      </c>
      <c r="B724" s="181">
        <v>692</v>
      </c>
      <c r="C724" s="182" t="e">
        <f t="shared" si="76"/>
        <v>#VALUE!</v>
      </c>
      <c r="D724" s="182" t="e">
        <f t="shared" si="79"/>
        <v>#VALUE!</v>
      </c>
      <c r="E724" s="182" t="e">
        <f t="shared" si="77"/>
        <v>#VALUE!</v>
      </c>
      <c r="F724" s="182" t="e">
        <f>SUM($D$33:D724)</f>
        <v>#VALUE!</v>
      </c>
      <c r="G724" s="182">
        <f t="shared" ca="1" si="78"/>
        <v>0</v>
      </c>
      <c r="H724" s="182" t="e">
        <f t="shared" si="74"/>
        <v>#VALUE!</v>
      </c>
      <c r="I724" s="183" t="e">
        <f t="shared" si="80"/>
        <v>#VALUE!</v>
      </c>
    </row>
    <row r="725" spans="1:9" x14ac:dyDescent="0.25">
      <c r="A725" s="180">
        <f t="shared" ca="1" si="75"/>
        <v>46797</v>
      </c>
      <c r="B725" s="181">
        <v>693</v>
      </c>
      <c r="C725" s="182" t="e">
        <f t="shared" si="76"/>
        <v>#VALUE!</v>
      </c>
      <c r="D725" s="182" t="e">
        <f t="shared" si="79"/>
        <v>#VALUE!</v>
      </c>
      <c r="E725" s="182" t="e">
        <f t="shared" si="77"/>
        <v>#VALUE!</v>
      </c>
      <c r="F725" s="182" t="e">
        <f>SUM($D$33:D725)</f>
        <v>#VALUE!</v>
      </c>
      <c r="G725" s="182">
        <f t="shared" ca="1" si="78"/>
        <v>0</v>
      </c>
      <c r="H725" s="182" t="e">
        <f t="shared" si="74"/>
        <v>#VALUE!</v>
      </c>
      <c r="I725" s="183" t="e">
        <f t="shared" si="80"/>
        <v>#VALUE!</v>
      </c>
    </row>
    <row r="726" spans="1:9" x14ac:dyDescent="0.25">
      <c r="A726" s="180">
        <f t="shared" ca="1" si="75"/>
        <v>46798</v>
      </c>
      <c r="B726" s="181">
        <v>694</v>
      </c>
      <c r="C726" s="182" t="e">
        <f t="shared" si="76"/>
        <v>#VALUE!</v>
      </c>
      <c r="D726" s="182" t="e">
        <f t="shared" si="79"/>
        <v>#VALUE!</v>
      </c>
      <c r="E726" s="182" t="e">
        <f t="shared" si="77"/>
        <v>#VALUE!</v>
      </c>
      <c r="F726" s="182" t="e">
        <f>SUM($D$33:D726)</f>
        <v>#VALUE!</v>
      </c>
      <c r="G726" s="182">
        <f t="shared" ca="1" si="78"/>
        <v>0</v>
      </c>
      <c r="H726" s="182" t="e">
        <f t="shared" si="74"/>
        <v>#VALUE!</v>
      </c>
      <c r="I726" s="183" t="e">
        <f t="shared" si="80"/>
        <v>#VALUE!</v>
      </c>
    </row>
    <row r="727" spans="1:9" x14ac:dyDescent="0.25">
      <c r="A727" s="180">
        <f t="shared" ca="1" si="75"/>
        <v>46799</v>
      </c>
      <c r="B727" s="181">
        <v>695</v>
      </c>
      <c r="C727" s="182" t="e">
        <f t="shared" si="76"/>
        <v>#VALUE!</v>
      </c>
      <c r="D727" s="182" t="e">
        <f t="shared" si="79"/>
        <v>#VALUE!</v>
      </c>
      <c r="E727" s="182" t="e">
        <f t="shared" si="77"/>
        <v>#VALUE!</v>
      </c>
      <c r="F727" s="182" t="e">
        <f>SUM($D$33:D727)</f>
        <v>#VALUE!</v>
      </c>
      <c r="G727" s="182">
        <f t="shared" ca="1" si="78"/>
        <v>0</v>
      </c>
      <c r="H727" s="182" t="e">
        <f t="shared" si="74"/>
        <v>#VALUE!</v>
      </c>
      <c r="I727" s="183" t="e">
        <f t="shared" si="80"/>
        <v>#VALUE!</v>
      </c>
    </row>
    <row r="728" spans="1:9" x14ac:dyDescent="0.25">
      <c r="A728" s="180">
        <f t="shared" ca="1" si="75"/>
        <v>46800</v>
      </c>
      <c r="B728" s="181">
        <v>696</v>
      </c>
      <c r="C728" s="182" t="e">
        <f t="shared" si="76"/>
        <v>#VALUE!</v>
      </c>
      <c r="D728" s="182" t="e">
        <f t="shared" si="79"/>
        <v>#VALUE!</v>
      </c>
      <c r="E728" s="182" t="e">
        <f t="shared" si="77"/>
        <v>#VALUE!</v>
      </c>
      <c r="F728" s="182" t="e">
        <f>SUM($D$33:D728)</f>
        <v>#VALUE!</v>
      </c>
      <c r="G728" s="182">
        <f t="shared" ca="1" si="78"/>
        <v>0</v>
      </c>
      <c r="H728" s="182" t="e">
        <f t="shared" si="74"/>
        <v>#VALUE!</v>
      </c>
      <c r="I728" s="183" t="e">
        <f t="shared" si="80"/>
        <v>#VALUE!</v>
      </c>
    </row>
    <row r="729" spans="1:9" x14ac:dyDescent="0.25">
      <c r="A729" s="180">
        <f t="shared" ca="1" si="75"/>
        <v>46801</v>
      </c>
      <c r="B729" s="181">
        <v>697</v>
      </c>
      <c r="C729" s="182" t="e">
        <f t="shared" si="76"/>
        <v>#VALUE!</v>
      </c>
      <c r="D729" s="182" t="e">
        <f t="shared" si="79"/>
        <v>#VALUE!</v>
      </c>
      <c r="E729" s="182" t="e">
        <f t="shared" si="77"/>
        <v>#VALUE!</v>
      </c>
      <c r="F729" s="182" t="e">
        <f>SUM($D$33:D729)</f>
        <v>#VALUE!</v>
      </c>
      <c r="G729" s="182">
        <f t="shared" ca="1" si="78"/>
        <v>0</v>
      </c>
      <c r="H729" s="182" t="e">
        <f t="shared" si="74"/>
        <v>#VALUE!</v>
      </c>
      <c r="I729" s="183" t="e">
        <f t="shared" si="80"/>
        <v>#VALUE!</v>
      </c>
    </row>
    <row r="730" spans="1:9" x14ac:dyDescent="0.25">
      <c r="A730" s="180">
        <f t="shared" ca="1" si="75"/>
        <v>46802</v>
      </c>
      <c r="B730" s="181">
        <v>698</v>
      </c>
      <c r="C730" s="182" t="e">
        <f t="shared" si="76"/>
        <v>#VALUE!</v>
      </c>
      <c r="D730" s="182" t="e">
        <f t="shared" si="79"/>
        <v>#VALUE!</v>
      </c>
      <c r="E730" s="182" t="e">
        <f t="shared" si="77"/>
        <v>#VALUE!</v>
      </c>
      <c r="F730" s="182" t="e">
        <f>SUM($D$33:D730)</f>
        <v>#VALUE!</v>
      </c>
      <c r="G730" s="182">
        <f t="shared" ca="1" si="78"/>
        <v>0</v>
      </c>
      <c r="H730" s="182" t="e">
        <f t="shared" si="74"/>
        <v>#VALUE!</v>
      </c>
      <c r="I730" s="183" t="e">
        <f t="shared" si="80"/>
        <v>#VALUE!</v>
      </c>
    </row>
    <row r="731" spans="1:9" x14ac:dyDescent="0.25">
      <c r="A731" s="180">
        <f t="shared" ca="1" si="75"/>
        <v>46803</v>
      </c>
      <c r="B731" s="181">
        <v>699</v>
      </c>
      <c r="C731" s="182" t="e">
        <f t="shared" si="76"/>
        <v>#VALUE!</v>
      </c>
      <c r="D731" s="182" t="e">
        <f t="shared" si="79"/>
        <v>#VALUE!</v>
      </c>
      <c r="E731" s="182" t="e">
        <f t="shared" si="77"/>
        <v>#VALUE!</v>
      </c>
      <c r="F731" s="182" t="e">
        <f>SUM($D$33:D731)</f>
        <v>#VALUE!</v>
      </c>
      <c r="G731" s="182">
        <f t="shared" ca="1" si="78"/>
        <v>0</v>
      </c>
      <c r="H731" s="182" t="e">
        <f t="shared" si="74"/>
        <v>#VALUE!</v>
      </c>
      <c r="I731" s="183" t="e">
        <f t="shared" si="80"/>
        <v>#VALUE!</v>
      </c>
    </row>
    <row r="732" spans="1:9" x14ac:dyDescent="0.25">
      <c r="A732" s="180">
        <f t="shared" ca="1" si="75"/>
        <v>46804</v>
      </c>
      <c r="B732" s="181">
        <v>700</v>
      </c>
      <c r="C732" s="182" t="e">
        <f t="shared" si="76"/>
        <v>#VALUE!</v>
      </c>
      <c r="D732" s="182" t="e">
        <f t="shared" si="79"/>
        <v>#VALUE!</v>
      </c>
      <c r="E732" s="182" t="e">
        <f t="shared" si="77"/>
        <v>#VALUE!</v>
      </c>
      <c r="F732" s="182" t="e">
        <f>SUM($D$33:D732)</f>
        <v>#VALUE!</v>
      </c>
      <c r="G732" s="182">
        <f t="shared" ca="1" si="78"/>
        <v>0</v>
      </c>
      <c r="H732" s="182" t="e">
        <f t="shared" si="74"/>
        <v>#VALUE!</v>
      </c>
      <c r="I732" s="183" t="e">
        <f t="shared" si="80"/>
        <v>#VALUE!</v>
      </c>
    </row>
    <row r="733" spans="1:9" x14ac:dyDescent="0.25">
      <c r="A733" s="180">
        <f t="shared" ca="1" si="75"/>
        <v>46805</v>
      </c>
      <c r="B733" s="181">
        <v>701</v>
      </c>
      <c r="C733" s="182" t="e">
        <f t="shared" si="76"/>
        <v>#VALUE!</v>
      </c>
      <c r="D733" s="182" t="e">
        <f t="shared" si="79"/>
        <v>#VALUE!</v>
      </c>
      <c r="E733" s="182" t="e">
        <f t="shared" si="77"/>
        <v>#VALUE!</v>
      </c>
      <c r="F733" s="182" t="e">
        <f>SUM($D$33:D733)</f>
        <v>#VALUE!</v>
      </c>
      <c r="G733" s="182">
        <f t="shared" ca="1" si="78"/>
        <v>0</v>
      </c>
      <c r="H733" s="182" t="e">
        <f t="shared" si="74"/>
        <v>#VALUE!</v>
      </c>
      <c r="I733" s="183" t="e">
        <f t="shared" si="80"/>
        <v>#VALUE!</v>
      </c>
    </row>
    <row r="734" spans="1:9" x14ac:dyDescent="0.25">
      <c r="A734" s="180">
        <f t="shared" ca="1" si="75"/>
        <v>46806</v>
      </c>
      <c r="B734" s="181">
        <v>702</v>
      </c>
      <c r="C734" s="182" t="e">
        <f t="shared" si="76"/>
        <v>#VALUE!</v>
      </c>
      <c r="D734" s="182" t="e">
        <f t="shared" si="79"/>
        <v>#VALUE!</v>
      </c>
      <c r="E734" s="182" t="e">
        <f t="shared" si="77"/>
        <v>#VALUE!</v>
      </c>
      <c r="F734" s="182" t="e">
        <f>SUM($D$33:D734)</f>
        <v>#VALUE!</v>
      </c>
      <c r="G734" s="182">
        <f t="shared" ca="1" si="78"/>
        <v>0</v>
      </c>
      <c r="H734" s="182" t="e">
        <f t="shared" si="74"/>
        <v>#VALUE!</v>
      </c>
      <c r="I734" s="183" t="e">
        <f t="shared" si="80"/>
        <v>#VALUE!</v>
      </c>
    </row>
    <row r="735" spans="1:9" x14ac:dyDescent="0.25">
      <c r="A735" s="180">
        <f t="shared" ca="1" si="75"/>
        <v>46807</v>
      </c>
      <c r="B735" s="181">
        <v>703</v>
      </c>
      <c r="C735" s="182" t="e">
        <f t="shared" si="76"/>
        <v>#VALUE!</v>
      </c>
      <c r="D735" s="182" t="e">
        <f t="shared" si="79"/>
        <v>#VALUE!</v>
      </c>
      <c r="E735" s="182" t="e">
        <f t="shared" si="77"/>
        <v>#VALUE!</v>
      </c>
      <c r="F735" s="182" t="e">
        <f>SUM($D$33:D735)</f>
        <v>#VALUE!</v>
      </c>
      <c r="G735" s="182">
        <f t="shared" ca="1" si="78"/>
        <v>0</v>
      </c>
      <c r="H735" s="182" t="e">
        <f t="shared" si="74"/>
        <v>#VALUE!</v>
      </c>
      <c r="I735" s="183" t="e">
        <f t="shared" si="80"/>
        <v>#VALUE!</v>
      </c>
    </row>
    <row r="736" spans="1:9" x14ac:dyDescent="0.25">
      <c r="A736" s="180">
        <f t="shared" ca="1" si="75"/>
        <v>46808</v>
      </c>
      <c r="B736" s="181">
        <v>704</v>
      </c>
      <c r="C736" s="182" t="e">
        <f t="shared" si="76"/>
        <v>#VALUE!</v>
      </c>
      <c r="D736" s="182" t="e">
        <f t="shared" si="79"/>
        <v>#VALUE!</v>
      </c>
      <c r="E736" s="182" t="e">
        <f t="shared" si="77"/>
        <v>#VALUE!</v>
      </c>
      <c r="F736" s="182" t="e">
        <f>SUM($D$33:D736)</f>
        <v>#VALUE!</v>
      </c>
      <c r="G736" s="182">
        <f t="shared" ca="1" si="78"/>
        <v>0</v>
      </c>
      <c r="H736" s="182" t="e">
        <f t="shared" si="74"/>
        <v>#VALUE!</v>
      </c>
      <c r="I736" s="183" t="e">
        <f t="shared" si="80"/>
        <v>#VALUE!</v>
      </c>
    </row>
    <row r="737" spans="1:9" x14ac:dyDescent="0.25">
      <c r="A737" s="180">
        <f t="shared" ca="1" si="75"/>
        <v>46809</v>
      </c>
      <c r="B737" s="181">
        <v>705</v>
      </c>
      <c r="C737" s="182" t="e">
        <f t="shared" si="76"/>
        <v>#VALUE!</v>
      </c>
      <c r="D737" s="182" t="e">
        <f t="shared" si="79"/>
        <v>#VALUE!</v>
      </c>
      <c r="E737" s="182" t="e">
        <f t="shared" si="77"/>
        <v>#VALUE!</v>
      </c>
      <c r="F737" s="182" t="e">
        <f>SUM($D$33:D737)</f>
        <v>#VALUE!</v>
      </c>
      <c r="G737" s="182">
        <f t="shared" ca="1" si="78"/>
        <v>0</v>
      </c>
      <c r="H737" s="182" t="e">
        <f t="shared" ref="H737:H800" si="81">IF(E737&gt;0,C737+G737,IF(E737&lt;0,C737+G737+D737-E736,C737+D737+G737))</f>
        <v>#VALUE!</v>
      </c>
      <c r="I737" s="183" t="e">
        <f t="shared" si="80"/>
        <v>#VALUE!</v>
      </c>
    </row>
    <row r="738" spans="1:9" x14ac:dyDescent="0.25">
      <c r="A738" s="180">
        <f t="shared" ref="A738:A801" ca="1" si="82">A737+1</f>
        <v>46810</v>
      </c>
      <c r="B738" s="181">
        <v>706</v>
      </c>
      <c r="C738" s="182" t="e">
        <f t="shared" ref="C738:C801" si="83">H737</f>
        <v>#VALUE!</v>
      </c>
      <c r="D738" s="182" t="e">
        <f t="shared" si="79"/>
        <v>#VALUE!</v>
      </c>
      <c r="E738" s="182" t="e">
        <f t="shared" ref="E738:E801" si="84">IF(E737&gt;0,E737-D738,0)</f>
        <v>#VALUE!</v>
      </c>
      <c r="F738" s="182" t="e">
        <f>SUM($D$33:D738)</f>
        <v>#VALUE!</v>
      </c>
      <c r="G738" s="182">
        <f t="shared" ref="G738:G801" ca="1" si="85">IFERROR(-VLOOKUP(A738,$K$30:$M$36,2,FALSE),0)</f>
        <v>0</v>
      </c>
      <c r="H738" s="182" t="e">
        <f t="shared" si="81"/>
        <v>#VALUE!</v>
      </c>
      <c r="I738" s="183" t="e">
        <f t="shared" si="80"/>
        <v>#VALUE!</v>
      </c>
    </row>
    <row r="739" spans="1:9" x14ac:dyDescent="0.25">
      <c r="A739" s="180">
        <f t="shared" ca="1" si="82"/>
        <v>46811</v>
      </c>
      <c r="B739" s="181">
        <v>707</v>
      </c>
      <c r="C739" s="182" t="e">
        <f t="shared" si="83"/>
        <v>#VALUE!</v>
      </c>
      <c r="D739" s="182" t="e">
        <f t="shared" si="79"/>
        <v>#VALUE!</v>
      </c>
      <c r="E739" s="182" t="e">
        <f t="shared" si="84"/>
        <v>#VALUE!</v>
      </c>
      <c r="F739" s="182" t="e">
        <f>SUM($D$33:D739)</f>
        <v>#VALUE!</v>
      </c>
      <c r="G739" s="182">
        <f t="shared" ca="1" si="85"/>
        <v>0</v>
      </c>
      <c r="H739" s="182" t="e">
        <f t="shared" si="81"/>
        <v>#VALUE!</v>
      </c>
      <c r="I739" s="183" t="e">
        <f t="shared" si="80"/>
        <v>#VALUE!</v>
      </c>
    </row>
    <row r="740" spans="1:9" x14ac:dyDescent="0.25">
      <c r="A740" s="180">
        <f t="shared" ca="1" si="82"/>
        <v>46812</v>
      </c>
      <c r="B740" s="181">
        <v>708</v>
      </c>
      <c r="C740" s="182" t="e">
        <f t="shared" si="83"/>
        <v>#VALUE!</v>
      </c>
      <c r="D740" s="182" t="e">
        <f t="shared" si="79"/>
        <v>#VALUE!</v>
      </c>
      <c r="E740" s="182" t="e">
        <f t="shared" si="84"/>
        <v>#VALUE!</v>
      </c>
      <c r="F740" s="182" t="e">
        <f>SUM($D$33:D740)</f>
        <v>#VALUE!</v>
      </c>
      <c r="G740" s="182">
        <f t="shared" ca="1" si="85"/>
        <v>0</v>
      </c>
      <c r="H740" s="182" t="e">
        <f t="shared" si="81"/>
        <v>#VALUE!</v>
      </c>
      <c r="I740" s="183" t="e">
        <f t="shared" si="80"/>
        <v>#VALUE!</v>
      </c>
    </row>
    <row r="741" spans="1:9" x14ac:dyDescent="0.25">
      <c r="A741" s="180">
        <f t="shared" ca="1" si="82"/>
        <v>46813</v>
      </c>
      <c r="B741" s="181">
        <v>709</v>
      </c>
      <c r="C741" s="182" t="e">
        <f t="shared" si="83"/>
        <v>#VALUE!</v>
      </c>
      <c r="D741" s="182" t="e">
        <f t="shared" si="79"/>
        <v>#VALUE!</v>
      </c>
      <c r="E741" s="182" t="e">
        <f t="shared" si="84"/>
        <v>#VALUE!</v>
      </c>
      <c r="F741" s="182" t="e">
        <f>SUM($D$33:D741)</f>
        <v>#VALUE!</v>
      </c>
      <c r="G741" s="182">
        <f t="shared" ca="1" si="85"/>
        <v>0</v>
      </c>
      <c r="H741" s="182" t="e">
        <f t="shared" si="81"/>
        <v>#VALUE!</v>
      </c>
      <c r="I741" s="183" t="e">
        <f t="shared" si="80"/>
        <v>#VALUE!</v>
      </c>
    </row>
    <row r="742" spans="1:9" x14ac:dyDescent="0.25">
      <c r="A742" s="180">
        <f t="shared" ca="1" si="82"/>
        <v>46814</v>
      </c>
      <c r="B742" s="181">
        <v>710</v>
      </c>
      <c r="C742" s="182" t="e">
        <f t="shared" si="83"/>
        <v>#VALUE!</v>
      </c>
      <c r="D742" s="182" t="e">
        <f t="shared" si="79"/>
        <v>#VALUE!</v>
      </c>
      <c r="E742" s="182" t="e">
        <f t="shared" si="84"/>
        <v>#VALUE!</v>
      </c>
      <c r="F742" s="182" t="e">
        <f>SUM($D$33:D742)</f>
        <v>#VALUE!</v>
      </c>
      <c r="G742" s="182">
        <f t="shared" ca="1" si="85"/>
        <v>0</v>
      </c>
      <c r="H742" s="182" t="e">
        <f t="shared" si="81"/>
        <v>#VALUE!</v>
      </c>
      <c r="I742" s="183" t="e">
        <f t="shared" si="80"/>
        <v>#VALUE!</v>
      </c>
    </row>
    <row r="743" spans="1:9" x14ac:dyDescent="0.25">
      <c r="A743" s="180">
        <f t="shared" ca="1" si="82"/>
        <v>46815</v>
      </c>
      <c r="B743" s="181">
        <v>711</v>
      </c>
      <c r="C743" s="182" t="e">
        <f t="shared" si="83"/>
        <v>#VALUE!</v>
      </c>
      <c r="D743" s="182" t="e">
        <f t="shared" si="79"/>
        <v>#VALUE!</v>
      </c>
      <c r="E743" s="182" t="e">
        <f t="shared" si="84"/>
        <v>#VALUE!</v>
      </c>
      <c r="F743" s="182" t="e">
        <f>SUM($D$33:D743)</f>
        <v>#VALUE!</v>
      </c>
      <c r="G743" s="182">
        <f t="shared" ca="1" si="85"/>
        <v>0</v>
      </c>
      <c r="H743" s="182" t="e">
        <f t="shared" si="81"/>
        <v>#VALUE!</v>
      </c>
      <c r="I743" s="183" t="e">
        <f t="shared" si="80"/>
        <v>#VALUE!</v>
      </c>
    </row>
    <row r="744" spans="1:9" x14ac:dyDescent="0.25">
      <c r="A744" s="180">
        <f t="shared" ca="1" si="82"/>
        <v>46816</v>
      </c>
      <c r="B744" s="181">
        <v>712</v>
      </c>
      <c r="C744" s="182" t="e">
        <f t="shared" si="83"/>
        <v>#VALUE!</v>
      </c>
      <c r="D744" s="182" t="e">
        <f t="shared" si="79"/>
        <v>#VALUE!</v>
      </c>
      <c r="E744" s="182" t="e">
        <f t="shared" si="84"/>
        <v>#VALUE!</v>
      </c>
      <c r="F744" s="182" t="e">
        <f>SUM($D$33:D744)</f>
        <v>#VALUE!</v>
      </c>
      <c r="G744" s="182">
        <f t="shared" ca="1" si="85"/>
        <v>0</v>
      </c>
      <c r="H744" s="182" t="e">
        <f t="shared" si="81"/>
        <v>#VALUE!</v>
      </c>
      <c r="I744" s="183" t="e">
        <f t="shared" si="80"/>
        <v>#VALUE!</v>
      </c>
    </row>
    <row r="745" spans="1:9" x14ac:dyDescent="0.25">
      <c r="A745" s="180">
        <f t="shared" ca="1" si="82"/>
        <v>46817</v>
      </c>
      <c r="B745" s="181">
        <v>713</v>
      </c>
      <c r="C745" s="182" t="e">
        <f t="shared" si="83"/>
        <v>#VALUE!</v>
      </c>
      <c r="D745" s="182" t="e">
        <f t="shared" si="79"/>
        <v>#VALUE!</v>
      </c>
      <c r="E745" s="182" t="e">
        <f t="shared" si="84"/>
        <v>#VALUE!</v>
      </c>
      <c r="F745" s="182" t="e">
        <f>SUM($D$33:D745)</f>
        <v>#VALUE!</v>
      </c>
      <c r="G745" s="182">
        <f t="shared" ca="1" si="85"/>
        <v>0</v>
      </c>
      <c r="H745" s="182" t="e">
        <f t="shared" si="81"/>
        <v>#VALUE!</v>
      </c>
      <c r="I745" s="183" t="e">
        <f t="shared" si="80"/>
        <v>#VALUE!</v>
      </c>
    </row>
    <row r="746" spans="1:9" x14ac:dyDescent="0.25">
      <c r="A746" s="180">
        <f t="shared" ca="1" si="82"/>
        <v>46818</v>
      </c>
      <c r="B746" s="181">
        <v>714</v>
      </c>
      <c r="C746" s="182" t="e">
        <f t="shared" si="83"/>
        <v>#VALUE!</v>
      </c>
      <c r="D746" s="182" t="e">
        <f t="shared" si="79"/>
        <v>#VALUE!</v>
      </c>
      <c r="E746" s="182" t="e">
        <f t="shared" si="84"/>
        <v>#VALUE!</v>
      </c>
      <c r="F746" s="182" t="e">
        <f>SUM($D$33:D746)</f>
        <v>#VALUE!</v>
      </c>
      <c r="G746" s="182">
        <f t="shared" ca="1" si="85"/>
        <v>0</v>
      </c>
      <c r="H746" s="182" t="e">
        <f t="shared" si="81"/>
        <v>#VALUE!</v>
      </c>
      <c r="I746" s="183" t="e">
        <f t="shared" si="80"/>
        <v>#VALUE!</v>
      </c>
    </row>
    <row r="747" spans="1:9" x14ac:dyDescent="0.25">
      <c r="A747" s="180">
        <f t="shared" ca="1" si="82"/>
        <v>46819</v>
      </c>
      <c r="B747" s="181">
        <v>715</v>
      </c>
      <c r="C747" s="182" t="e">
        <f t="shared" si="83"/>
        <v>#VALUE!</v>
      </c>
      <c r="D747" s="182" t="e">
        <f t="shared" si="79"/>
        <v>#VALUE!</v>
      </c>
      <c r="E747" s="182" t="e">
        <f t="shared" si="84"/>
        <v>#VALUE!</v>
      </c>
      <c r="F747" s="182" t="e">
        <f>SUM($D$33:D747)</f>
        <v>#VALUE!</v>
      </c>
      <c r="G747" s="182">
        <f t="shared" ca="1" si="85"/>
        <v>0</v>
      </c>
      <c r="H747" s="182" t="e">
        <f t="shared" si="81"/>
        <v>#VALUE!</v>
      </c>
      <c r="I747" s="183" t="e">
        <f t="shared" si="80"/>
        <v>#VALUE!</v>
      </c>
    </row>
    <row r="748" spans="1:9" x14ac:dyDescent="0.25">
      <c r="A748" s="180">
        <f t="shared" ca="1" si="82"/>
        <v>46820</v>
      </c>
      <c r="B748" s="181">
        <v>716</v>
      </c>
      <c r="C748" s="182" t="e">
        <f t="shared" si="83"/>
        <v>#VALUE!</v>
      </c>
      <c r="D748" s="182" t="e">
        <f t="shared" si="79"/>
        <v>#VALUE!</v>
      </c>
      <c r="E748" s="182" t="e">
        <f t="shared" si="84"/>
        <v>#VALUE!</v>
      </c>
      <c r="F748" s="182" t="e">
        <f>SUM($D$33:D748)</f>
        <v>#VALUE!</v>
      </c>
      <c r="G748" s="182">
        <f t="shared" ca="1" si="85"/>
        <v>0</v>
      </c>
      <c r="H748" s="182" t="e">
        <f t="shared" si="81"/>
        <v>#VALUE!</v>
      </c>
      <c r="I748" s="183" t="e">
        <f t="shared" si="80"/>
        <v>#VALUE!</v>
      </c>
    </row>
    <row r="749" spans="1:9" x14ac:dyDescent="0.25">
      <c r="A749" s="180">
        <f t="shared" ca="1" si="82"/>
        <v>46821</v>
      </c>
      <c r="B749" s="181">
        <v>717</v>
      </c>
      <c r="C749" s="182" t="e">
        <f t="shared" si="83"/>
        <v>#VALUE!</v>
      </c>
      <c r="D749" s="182" t="e">
        <f t="shared" si="79"/>
        <v>#VALUE!</v>
      </c>
      <c r="E749" s="182" t="e">
        <f t="shared" si="84"/>
        <v>#VALUE!</v>
      </c>
      <c r="F749" s="182" t="e">
        <f>SUM($D$33:D749)</f>
        <v>#VALUE!</v>
      </c>
      <c r="G749" s="182">
        <f t="shared" ca="1" si="85"/>
        <v>0</v>
      </c>
      <c r="H749" s="182" t="e">
        <f t="shared" si="81"/>
        <v>#VALUE!</v>
      </c>
      <c r="I749" s="183" t="e">
        <f t="shared" si="80"/>
        <v>#VALUE!</v>
      </c>
    </row>
    <row r="750" spans="1:9" x14ac:dyDescent="0.25">
      <c r="A750" s="180">
        <f t="shared" ca="1" si="82"/>
        <v>46822</v>
      </c>
      <c r="B750" s="181">
        <v>718</v>
      </c>
      <c r="C750" s="182" t="e">
        <f t="shared" si="83"/>
        <v>#VALUE!</v>
      </c>
      <c r="D750" s="182" t="e">
        <f t="shared" si="79"/>
        <v>#VALUE!</v>
      </c>
      <c r="E750" s="182" t="e">
        <f t="shared" si="84"/>
        <v>#VALUE!</v>
      </c>
      <c r="F750" s="182" t="e">
        <f>SUM($D$33:D750)</f>
        <v>#VALUE!</v>
      </c>
      <c r="G750" s="182">
        <f t="shared" ca="1" si="85"/>
        <v>0</v>
      </c>
      <c r="H750" s="182" t="e">
        <f t="shared" si="81"/>
        <v>#VALUE!</v>
      </c>
      <c r="I750" s="183" t="e">
        <f t="shared" si="80"/>
        <v>#VALUE!</v>
      </c>
    </row>
    <row r="751" spans="1:9" x14ac:dyDescent="0.25">
      <c r="A751" s="180">
        <f t="shared" ca="1" si="82"/>
        <v>46823</v>
      </c>
      <c r="B751" s="181">
        <v>719</v>
      </c>
      <c r="C751" s="182" t="e">
        <f t="shared" si="83"/>
        <v>#VALUE!</v>
      </c>
      <c r="D751" s="182" t="e">
        <f t="shared" si="79"/>
        <v>#VALUE!</v>
      </c>
      <c r="E751" s="182" t="e">
        <f t="shared" si="84"/>
        <v>#VALUE!</v>
      </c>
      <c r="F751" s="182" t="e">
        <f>SUM($D$33:D751)</f>
        <v>#VALUE!</v>
      </c>
      <c r="G751" s="182">
        <f t="shared" ca="1" si="85"/>
        <v>0</v>
      </c>
      <c r="H751" s="182" t="e">
        <f t="shared" si="81"/>
        <v>#VALUE!</v>
      </c>
      <c r="I751" s="183" t="e">
        <f t="shared" si="80"/>
        <v>#VALUE!</v>
      </c>
    </row>
    <row r="752" spans="1:9" x14ac:dyDescent="0.25">
      <c r="A752" s="180">
        <f t="shared" ca="1" si="82"/>
        <v>46824</v>
      </c>
      <c r="B752" s="181">
        <v>720</v>
      </c>
      <c r="C752" s="182" t="e">
        <f t="shared" si="83"/>
        <v>#VALUE!</v>
      </c>
      <c r="D752" s="182" t="e">
        <f t="shared" si="79"/>
        <v>#VALUE!</v>
      </c>
      <c r="E752" s="182" t="e">
        <f t="shared" si="84"/>
        <v>#VALUE!</v>
      </c>
      <c r="F752" s="182" t="e">
        <f>SUM($D$33:D752)</f>
        <v>#VALUE!</v>
      </c>
      <c r="G752" s="182">
        <f t="shared" ca="1" si="85"/>
        <v>0</v>
      </c>
      <c r="H752" s="182" t="e">
        <f t="shared" si="81"/>
        <v>#VALUE!</v>
      </c>
      <c r="I752" s="183" t="e">
        <f t="shared" si="80"/>
        <v>#VALUE!</v>
      </c>
    </row>
    <row r="753" spans="1:9" x14ac:dyDescent="0.25">
      <c r="A753" s="180">
        <f t="shared" ca="1" si="82"/>
        <v>46825</v>
      </c>
      <c r="B753" s="181">
        <v>721</v>
      </c>
      <c r="C753" s="182" t="e">
        <f t="shared" si="83"/>
        <v>#VALUE!</v>
      </c>
      <c r="D753" s="182" t="e">
        <f t="shared" si="79"/>
        <v>#VALUE!</v>
      </c>
      <c r="E753" s="182" t="e">
        <f t="shared" si="84"/>
        <v>#VALUE!</v>
      </c>
      <c r="F753" s="182" t="e">
        <f>SUM($D$33:D753)</f>
        <v>#VALUE!</v>
      </c>
      <c r="G753" s="182">
        <f t="shared" ca="1" si="85"/>
        <v>0</v>
      </c>
      <c r="H753" s="182" t="e">
        <f t="shared" si="81"/>
        <v>#VALUE!</v>
      </c>
      <c r="I753" s="183" t="e">
        <f t="shared" si="80"/>
        <v>#VALUE!</v>
      </c>
    </row>
    <row r="754" spans="1:9" x14ac:dyDescent="0.25">
      <c r="A754" s="180">
        <f t="shared" ca="1" si="82"/>
        <v>46826</v>
      </c>
      <c r="B754" s="181">
        <v>722</v>
      </c>
      <c r="C754" s="182" t="e">
        <f t="shared" si="83"/>
        <v>#VALUE!</v>
      </c>
      <c r="D754" s="182" t="e">
        <f t="shared" si="79"/>
        <v>#VALUE!</v>
      </c>
      <c r="E754" s="182" t="e">
        <f t="shared" si="84"/>
        <v>#VALUE!</v>
      </c>
      <c r="F754" s="182" t="e">
        <f>SUM($D$33:D754)</f>
        <v>#VALUE!</v>
      </c>
      <c r="G754" s="182">
        <f t="shared" ca="1" si="85"/>
        <v>0</v>
      </c>
      <c r="H754" s="182" t="e">
        <f t="shared" si="81"/>
        <v>#VALUE!</v>
      </c>
      <c r="I754" s="183" t="e">
        <f t="shared" si="80"/>
        <v>#VALUE!</v>
      </c>
    </row>
    <row r="755" spans="1:9" x14ac:dyDescent="0.25">
      <c r="A755" s="180">
        <f t="shared" ca="1" si="82"/>
        <v>46827</v>
      </c>
      <c r="B755" s="181">
        <v>723</v>
      </c>
      <c r="C755" s="182" t="e">
        <f t="shared" si="83"/>
        <v>#VALUE!</v>
      </c>
      <c r="D755" s="182" t="e">
        <f t="shared" si="79"/>
        <v>#VALUE!</v>
      </c>
      <c r="E755" s="182" t="e">
        <f t="shared" si="84"/>
        <v>#VALUE!</v>
      </c>
      <c r="F755" s="182" t="e">
        <f>SUM($D$33:D755)</f>
        <v>#VALUE!</v>
      </c>
      <c r="G755" s="182">
        <f t="shared" ca="1" si="85"/>
        <v>0</v>
      </c>
      <c r="H755" s="182" t="e">
        <f t="shared" si="81"/>
        <v>#VALUE!</v>
      </c>
      <c r="I755" s="183" t="e">
        <f t="shared" si="80"/>
        <v>#VALUE!</v>
      </c>
    </row>
    <row r="756" spans="1:9" x14ac:dyDescent="0.25">
      <c r="A756" s="180">
        <f t="shared" ca="1" si="82"/>
        <v>46828</v>
      </c>
      <c r="B756" s="181">
        <v>724</v>
      </c>
      <c r="C756" s="182" t="e">
        <f t="shared" si="83"/>
        <v>#VALUE!</v>
      </c>
      <c r="D756" s="182" t="e">
        <f t="shared" si="79"/>
        <v>#VALUE!</v>
      </c>
      <c r="E756" s="182" t="e">
        <f t="shared" si="84"/>
        <v>#VALUE!</v>
      </c>
      <c r="F756" s="182" t="e">
        <f>SUM($D$33:D756)</f>
        <v>#VALUE!</v>
      </c>
      <c r="G756" s="182">
        <f t="shared" ca="1" si="85"/>
        <v>0</v>
      </c>
      <c r="H756" s="182" t="e">
        <f t="shared" si="81"/>
        <v>#VALUE!</v>
      </c>
      <c r="I756" s="183" t="e">
        <f t="shared" si="80"/>
        <v>#VALUE!</v>
      </c>
    </row>
    <row r="757" spans="1:9" x14ac:dyDescent="0.25">
      <c r="A757" s="180">
        <f t="shared" ca="1" si="82"/>
        <v>46829</v>
      </c>
      <c r="B757" s="181">
        <v>725</v>
      </c>
      <c r="C757" s="182" t="e">
        <f t="shared" si="83"/>
        <v>#VALUE!</v>
      </c>
      <c r="D757" s="182" t="e">
        <f t="shared" si="79"/>
        <v>#VALUE!</v>
      </c>
      <c r="E757" s="182" t="e">
        <f t="shared" si="84"/>
        <v>#VALUE!</v>
      </c>
      <c r="F757" s="182" t="e">
        <f>SUM($D$33:D757)</f>
        <v>#VALUE!</v>
      </c>
      <c r="G757" s="182">
        <f t="shared" ca="1" si="85"/>
        <v>0</v>
      </c>
      <c r="H757" s="182" t="e">
        <f t="shared" si="81"/>
        <v>#VALUE!</v>
      </c>
      <c r="I757" s="183" t="e">
        <f t="shared" si="80"/>
        <v>#VALUE!</v>
      </c>
    </row>
    <row r="758" spans="1:9" x14ac:dyDescent="0.25">
      <c r="A758" s="180">
        <f t="shared" ca="1" si="82"/>
        <v>46830</v>
      </c>
      <c r="B758" s="181">
        <v>726</v>
      </c>
      <c r="C758" s="182" t="e">
        <f t="shared" si="83"/>
        <v>#VALUE!</v>
      </c>
      <c r="D758" s="182" t="e">
        <f t="shared" si="79"/>
        <v>#VALUE!</v>
      </c>
      <c r="E758" s="182" t="e">
        <f t="shared" si="84"/>
        <v>#VALUE!</v>
      </c>
      <c r="F758" s="182" t="e">
        <f>SUM($D$33:D758)</f>
        <v>#VALUE!</v>
      </c>
      <c r="G758" s="182">
        <f t="shared" ca="1" si="85"/>
        <v>0</v>
      </c>
      <c r="H758" s="182" t="e">
        <f t="shared" si="81"/>
        <v>#VALUE!</v>
      </c>
      <c r="I758" s="183" t="e">
        <f t="shared" si="80"/>
        <v>#VALUE!</v>
      </c>
    </row>
    <row r="759" spans="1:9" x14ac:dyDescent="0.25">
      <c r="A759" s="180">
        <f t="shared" ca="1" si="82"/>
        <v>46831</v>
      </c>
      <c r="B759" s="181">
        <v>727</v>
      </c>
      <c r="C759" s="182" t="e">
        <f t="shared" si="83"/>
        <v>#VALUE!</v>
      </c>
      <c r="D759" s="182" t="e">
        <f t="shared" si="79"/>
        <v>#VALUE!</v>
      </c>
      <c r="E759" s="182" t="e">
        <f t="shared" si="84"/>
        <v>#VALUE!</v>
      </c>
      <c r="F759" s="182" t="e">
        <f>SUM($D$33:D759)</f>
        <v>#VALUE!</v>
      </c>
      <c r="G759" s="182">
        <f t="shared" ca="1" si="85"/>
        <v>0</v>
      </c>
      <c r="H759" s="182" t="e">
        <f t="shared" si="81"/>
        <v>#VALUE!</v>
      </c>
      <c r="I759" s="183" t="e">
        <f t="shared" si="80"/>
        <v>#VALUE!</v>
      </c>
    </row>
    <row r="760" spans="1:9" x14ac:dyDescent="0.25">
      <c r="A760" s="180">
        <f t="shared" ca="1" si="82"/>
        <v>46832</v>
      </c>
      <c r="B760" s="181">
        <v>728</v>
      </c>
      <c r="C760" s="182" t="e">
        <f t="shared" si="83"/>
        <v>#VALUE!</v>
      </c>
      <c r="D760" s="182" t="e">
        <f t="shared" si="79"/>
        <v>#VALUE!</v>
      </c>
      <c r="E760" s="182" t="e">
        <f t="shared" si="84"/>
        <v>#VALUE!</v>
      </c>
      <c r="F760" s="182" t="e">
        <f>SUM($D$33:D760)</f>
        <v>#VALUE!</v>
      </c>
      <c r="G760" s="182">
        <f t="shared" ca="1" si="85"/>
        <v>0</v>
      </c>
      <c r="H760" s="182" t="e">
        <f t="shared" si="81"/>
        <v>#VALUE!</v>
      </c>
      <c r="I760" s="183" t="e">
        <f t="shared" si="80"/>
        <v>#VALUE!</v>
      </c>
    </row>
    <row r="761" spans="1:9" x14ac:dyDescent="0.25">
      <c r="A761" s="180">
        <f t="shared" ca="1" si="82"/>
        <v>46833</v>
      </c>
      <c r="B761" s="181">
        <v>729</v>
      </c>
      <c r="C761" s="182" t="e">
        <f t="shared" si="83"/>
        <v>#VALUE!</v>
      </c>
      <c r="D761" s="182" t="e">
        <f t="shared" si="79"/>
        <v>#VALUE!</v>
      </c>
      <c r="E761" s="182" t="e">
        <f t="shared" si="84"/>
        <v>#VALUE!</v>
      </c>
      <c r="F761" s="182" t="e">
        <f>SUM($D$33:D761)</f>
        <v>#VALUE!</v>
      </c>
      <c r="G761" s="182">
        <f t="shared" ca="1" si="85"/>
        <v>0</v>
      </c>
      <c r="H761" s="182" t="e">
        <f t="shared" si="81"/>
        <v>#VALUE!</v>
      </c>
      <c r="I761" s="183" t="e">
        <f t="shared" si="80"/>
        <v>#VALUE!</v>
      </c>
    </row>
    <row r="762" spans="1:9" x14ac:dyDescent="0.25">
      <c r="A762" s="180">
        <f t="shared" ca="1" si="82"/>
        <v>46834</v>
      </c>
      <c r="B762" s="181">
        <v>730</v>
      </c>
      <c r="C762" s="182" t="e">
        <f t="shared" si="83"/>
        <v>#VALUE!</v>
      </c>
      <c r="D762" s="182" t="e">
        <f t="shared" si="79"/>
        <v>#VALUE!</v>
      </c>
      <c r="E762" s="182" t="e">
        <f t="shared" si="84"/>
        <v>#VALUE!</v>
      </c>
      <c r="F762" s="182" t="e">
        <f>SUM($D$33:D762)</f>
        <v>#VALUE!</v>
      </c>
      <c r="G762" s="182">
        <f t="shared" ca="1" si="85"/>
        <v>0</v>
      </c>
      <c r="H762" s="182" t="e">
        <f t="shared" si="81"/>
        <v>#VALUE!</v>
      </c>
      <c r="I762" s="183" t="e">
        <f t="shared" si="80"/>
        <v>#VALUE!</v>
      </c>
    </row>
    <row r="763" spans="1:9" x14ac:dyDescent="0.25">
      <c r="A763" s="180">
        <f t="shared" ca="1" si="82"/>
        <v>46835</v>
      </c>
      <c r="B763" s="181">
        <v>731</v>
      </c>
      <c r="C763" s="182" t="e">
        <f t="shared" si="83"/>
        <v>#VALUE!</v>
      </c>
      <c r="D763" s="182" t="e">
        <f t="shared" si="79"/>
        <v>#VALUE!</v>
      </c>
      <c r="E763" s="182" t="e">
        <f t="shared" si="84"/>
        <v>#VALUE!</v>
      </c>
      <c r="F763" s="182" t="e">
        <f>SUM($D$33:D763)</f>
        <v>#VALUE!</v>
      </c>
      <c r="G763" s="182">
        <f t="shared" ca="1" si="85"/>
        <v>0</v>
      </c>
      <c r="H763" s="182" t="e">
        <f t="shared" si="81"/>
        <v>#VALUE!</v>
      </c>
      <c r="I763" s="183" t="e">
        <f t="shared" si="80"/>
        <v>#VALUE!</v>
      </c>
    </row>
    <row r="764" spans="1:9" x14ac:dyDescent="0.25">
      <c r="A764" s="180">
        <f t="shared" ca="1" si="82"/>
        <v>46836</v>
      </c>
      <c r="B764" s="181">
        <v>732</v>
      </c>
      <c r="C764" s="182" t="e">
        <f t="shared" si="83"/>
        <v>#VALUE!</v>
      </c>
      <c r="D764" s="182" t="e">
        <f t="shared" si="79"/>
        <v>#VALUE!</v>
      </c>
      <c r="E764" s="182" t="e">
        <f t="shared" si="84"/>
        <v>#VALUE!</v>
      </c>
      <c r="F764" s="182" t="e">
        <f>SUM($D$33:D764)</f>
        <v>#VALUE!</v>
      </c>
      <c r="G764" s="182">
        <f t="shared" ca="1" si="85"/>
        <v>0</v>
      </c>
      <c r="H764" s="182" t="e">
        <f t="shared" si="81"/>
        <v>#VALUE!</v>
      </c>
      <c r="I764" s="183" t="e">
        <f t="shared" si="80"/>
        <v>#VALUE!</v>
      </c>
    </row>
    <row r="765" spans="1:9" x14ac:dyDescent="0.25">
      <c r="A765" s="180">
        <f t="shared" ca="1" si="82"/>
        <v>46837</v>
      </c>
      <c r="B765" s="181">
        <v>733</v>
      </c>
      <c r="C765" s="182" t="e">
        <f t="shared" si="83"/>
        <v>#VALUE!</v>
      </c>
      <c r="D765" s="182" t="e">
        <f t="shared" si="79"/>
        <v>#VALUE!</v>
      </c>
      <c r="E765" s="182" t="e">
        <f t="shared" si="84"/>
        <v>#VALUE!</v>
      </c>
      <c r="F765" s="182" t="e">
        <f>SUM($D$33:D765)</f>
        <v>#VALUE!</v>
      </c>
      <c r="G765" s="182">
        <f t="shared" ca="1" si="85"/>
        <v>0</v>
      </c>
      <c r="H765" s="182" t="e">
        <f t="shared" si="81"/>
        <v>#VALUE!</v>
      </c>
      <c r="I765" s="183" t="e">
        <f t="shared" si="80"/>
        <v>#VALUE!</v>
      </c>
    </row>
    <row r="766" spans="1:9" x14ac:dyDescent="0.25">
      <c r="A766" s="180">
        <f t="shared" ca="1" si="82"/>
        <v>46838</v>
      </c>
      <c r="B766" s="181">
        <v>734</v>
      </c>
      <c r="C766" s="182" t="e">
        <f t="shared" si="83"/>
        <v>#VALUE!</v>
      </c>
      <c r="D766" s="182" t="e">
        <f t="shared" si="79"/>
        <v>#VALUE!</v>
      </c>
      <c r="E766" s="182" t="e">
        <f t="shared" si="84"/>
        <v>#VALUE!</v>
      </c>
      <c r="F766" s="182" t="e">
        <f>SUM($D$33:D766)</f>
        <v>#VALUE!</v>
      </c>
      <c r="G766" s="182">
        <f t="shared" ca="1" si="85"/>
        <v>0</v>
      </c>
      <c r="H766" s="182" t="e">
        <f t="shared" si="81"/>
        <v>#VALUE!</v>
      </c>
      <c r="I766" s="183" t="e">
        <f t="shared" si="80"/>
        <v>#VALUE!</v>
      </c>
    </row>
    <row r="767" spans="1:9" x14ac:dyDescent="0.25">
      <c r="A767" s="180">
        <f t="shared" ca="1" si="82"/>
        <v>46839</v>
      </c>
      <c r="B767" s="181">
        <v>735</v>
      </c>
      <c r="C767" s="182" t="e">
        <f t="shared" si="83"/>
        <v>#VALUE!</v>
      </c>
      <c r="D767" s="182" t="e">
        <f t="shared" si="79"/>
        <v>#VALUE!</v>
      </c>
      <c r="E767" s="182" t="e">
        <f t="shared" si="84"/>
        <v>#VALUE!</v>
      </c>
      <c r="F767" s="182" t="e">
        <f>SUM($D$33:D767)</f>
        <v>#VALUE!</v>
      </c>
      <c r="G767" s="182">
        <f t="shared" ca="1" si="85"/>
        <v>0</v>
      </c>
      <c r="H767" s="182" t="e">
        <f t="shared" si="81"/>
        <v>#VALUE!</v>
      </c>
      <c r="I767" s="183" t="e">
        <f t="shared" si="80"/>
        <v>#VALUE!</v>
      </c>
    </row>
    <row r="768" spans="1:9" x14ac:dyDescent="0.25">
      <c r="A768" s="180">
        <f t="shared" ca="1" si="82"/>
        <v>46840</v>
      </c>
      <c r="B768" s="181">
        <v>736</v>
      </c>
      <c r="C768" s="182" t="e">
        <f t="shared" si="83"/>
        <v>#VALUE!</v>
      </c>
      <c r="D768" s="182" t="e">
        <f t="shared" si="79"/>
        <v>#VALUE!</v>
      </c>
      <c r="E768" s="182" t="e">
        <f t="shared" si="84"/>
        <v>#VALUE!</v>
      </c>
      <c r="F768" s="182" t="e">
        <f>SUM($D$33:D768)</f>
        <v>#VALUE!</v>
      </c>
      <c r="G768" s="182">
        <f t="shared" ca="1" si="85"/>
        <v>0</v>
      </c>
      <c r="H768" s="182" t="e">
        <f t="shared" si="81"/>
        <v>#VALUE!</v>
      </c>
      <c r="I768" s="183" t="e">
        <f t="shared" si="80"/>
        <v>#VALUE!</v>
      </c>
    </row>
    <row r="769" spans="1:9" x14ac:dyDescent="0.25">
      <c r="A769" s="180">
        <f t="shared" ca="1" si="82"/>
        <v>46841</v>
      </c>
      <c r="B769" s="181">
        <v>737</v>
      </c>
      <c r="C769" s="182" t="e">
        <f t="shared" si="83"/>
        <v>#VALUE!</v>
      </c>
      <c r="D769" s="182" t="e">
        <f t="shared" si="79"/>
        <v>#VALUE!</v>
      </c>
      <c r="E769" s="182" t="e">
        <f t="shared" si="84"/>
        <v>#VALUE!</v>
      </c>
      <c r="F769" s="182" t="e">
        <f>SUM($D$33:D769)</f>
        <v>#VALUE!</v>
      </c>
      <c r="G769" s="182">
        <f t="shared" ca="1" si="85"/>
        <v>0</v>
      </c>
      <c r="H769" s="182" t="e">
        <f t="shared" si="81"/>
        <v>#VALUE!</v>
      </c>
      <c r="I769" s="183" t="e">
        <f t="shared" si="80"/>
        <v>#VALUE!</v>
      </c>
    </row>
    <row r="770" spans="1:9" x14ac:dyDescent="0.25">
      <c r="A770" s="180">
        <f t="shared" ca="1" si="82"/>
        <v>46842</v>
      </c>
      <c r="B770" s="181">
        <v>738</v>
      </c>
      <c r="C770" s="182" t="e">
        <f t="shared" si="83"/>
        <v>#VALUE!</v>
      </c>
      <c r="D770" s="182" t="e">
        <f t="shared" si="79"/>
        <v>#VALUE!</v>
      </c>
      <c r="E770" s="182" t="e">
        <f t="shared" si="84"/>
        <v>#VALUE!</v>
      </c>
      <c r="F770" s="182" t="e">
        <f>SUM($D$33:D770)</f>
        <v>#VALUE!</v>
      </c>
      <c r="G770" s="182">
        <f t="shared" ca="1" si="85"/>
        <v>0</v>
      </c>
      <c r="H770" s="182" t="e">
        <f t="shared" si="81"/>
        <v>#VALUE!</v>
      </c>
      <c r="I770" s="183" t="e">
        <f t="shared" si="80"/>
        <v>#VALUE!</v>
      </c>
    </row>
    <row r="771" spans="1:9" x14ac:dyDescent="0.25">
      <c r="A771" s="180">
        <f t="shared" ca="1" si="82"/>
        <v>46843</v>
      </c>
      <c r="B771" s="181">
        <v>739</v>
      </c>
      <c r="C771" s="182" t="e">
        <f t="shared" si="83"/>
        <v>#VALUE!</v>
      </c>
      <c r="D771" s="182" t="e">
        <f t="shared" si="79"/>
        <v>#VALUE!</v>
      </c>
      <c r="E771" s="182" t="e">
        <f t="shared" si="84"/>
        <v>#VALUE!</v>
      </c>
      <c r="F771" s="182" t="e">
        <f>SUM($D$33:D771)</f>
        <v>#VALUE!</v>
      </c>
      <c r="G771" s="182">
        <f t="shared" ca="1" si="85"/>
        <v>0</v>
      </c>
      <c r="H771" s="182" t="e">
        <f t="shared" si="81"/>
        <v>#VALUE!</v>
      </c>
      <c r="I771" s="183" t="e">
        <f t="shared" si="80"/>
        <v>#VALUE!</v>
      </c>
    </row>
    <row r="772" spans="1:9" x14ac:dyDescent="0.25">
      <c r="A772" s="180">
        <f t="shared" ca="1" si="82"/>
        <v>46844</v>
      </c>
      <c r="B772" s="181">
        <v>740</v>
      </c>
      <c r="C772" s="182" t="e">
        <f t="shared" si="83"/>
        <v>#VALUE!</v>
      </c>
      <c r="D772" s="182" t="e">
        <f t="shared" si="79"/>
        <v>#VALUE!</v>
      </c>
      <c r="E772" s="182" t="e">
        <f t="shared" si="84"/>
        <v>#VALUE!</v>
      </c>
      <c r="F772" s="182" t="e">
        <f>SUM($D$33:D772)</f>
        <v>#VALUE!</v>
      </c>
      <c r="G772" s="182">
        <f t="shared" ca="1" si="85"/>
        <v>0</v>
      </c>
      <c r="H772" s="182" t="e">
        <f t="shared" si="81"/>
        <v>#VALUE!</v>
      </c>
      <c r="I772" s="183" t="e">
        <f t="shared" si="80"/>
        <v>#VALUE!</v>
      </c>
    </row>
    <row r="773" spans="1:9" x14ac:dyDescent="0.25">
      <c r="A773" s="180">
        <f t="shared" ca="1" si="82"/>
        <v>46845</v>
      </c>
      <c r="B773" s="181">
        <v>741</v>
      </c>
      <c r="C773" s="182" t="e">
        <f t="shared" si="83"/>
        <v>#VALUE!</v>
      </c>
      <c r="D773" s="182" t="e">
        <f t="shared" si="79"/>
        <v>#VALUE!</v>
      </c>
      <c r="E773" s="182" t="e">
        <f t="shared" si="84"/>
        <v>#VALUE!</v>
      </c>
      <c r="F773" s="182" t="e">
        <f>SUM($D$33:D773)</f>
        <v>#VALUE!</v>
      </c>
      <c r="G773" s="182">
        <f t="shared" ca="1" si="85"/>
        <v>0</v>
      </c>
      <c r="H773" s="182" t="e">
        <f t="shared" si="81"/>
        <v>#VALUE!</v>
      </c>
      <c r="I773" s="183" t="e">
        <f t="shared" si="80"/>
        <v>#VALUE!</v>
      </c>
    </row>
    <row r="774" spans="1:9" x14ac:dyDescent="0.25">
      <c r="A774" s="180">
        <f t="shared" ca="1" si="82"/>
        <v>46846</v>
      </c>
      <c r="B774" s="181">
        <v>742</v>
      </c>
      <c r="C774" s="182" t="e">
        <f t="shared" si="83"/>
        <v>#VALUE!</v>
      </c>
      <c r="D774" s="182" t="e">
        <f t="shared" si="79"/>
        <v>#VALUE!</v>
      </c>
      <c r="E774" s="182" t="e">
        <f t="shared" si="84"/>
        <v>#VALUE!</v>
      </c>
      <c r="F774" s="182" t="e">
        <f>SUM($D$33:D774)</f>
        <v>#VALUE!</v>
      </c>
      <c r="G774" s="182">
        <f t="shared" ca="1" si="85"/>
        <v>0</v>
      </c>
      <c r="H774" s="182" t="e">
        <f t="shared" si="81"/>
        <v>#VALUE!</v>
      </c>
      <c r="I774" s="183" t="e">
        <f t="shared" si="80"/>
        <v>#VALUE!</v>
      </c>
    </row>
    <row r="775" spans="1:9" x14ac:dyDescent="0.25">
      <c r="A775" s="180">
        <f t="shared" ca="1" si="82"/>
        <v>46847</v>
      </c>
      <c r="B775" s="181">
        <v>743</v>
      </c>
      <c r="C775" s="182" t="e">
        <f t="shared" si="83"/>
        <v>#VALUE!</v>
      </c>
      <c r="D775" s="182" t="e">
        <f t="shared" si="79"/>
        <v>#VALUE!</v>
      </c>
      <c r="E775" s="182" t="e">
        <f t="shared" si="84"/>
        <v>#VALUE!</v>
      </c>
      <c r="F775" s="182" t="e">
        <f>SUM($D$33:D775)</f>
        <v>#VALUE!</v>
      </c>
      <c r="G775" s="182">
        <f t="shared" ca="1" si="85"/>
        <v>0</v>
      </c>
      <c r="H775" s="182" t="e">
        <f t="shared" si="81"/>
        <v>#VALUE!</v>
      </c>
      <c r="I775" s="183" t="e">
        <f t="shared" si="80"/>
        <v>#VALUE!</v>
      </c>
    </row>
    <row r="776" spans="1:9" x14ac:dyDescent="0.25">
      <c r="A776" s="180">
        <f t="shared" ca="1" si="82"/>
        <v>46848</v>
      </c>
      <c r="B776" s="181">
        <v>744</v>
      </c>
      <c r="C776" s="182" t="e">
        <f t="shared" si="83"/>
        <v>#VALUE!</v>
      </c>
      <c r="D776" s="182" t="e">
        <f t="shared" si="79"/>
        <v>#VALUE!</v>
      </c>
      <c r="E776" s="182" t="e">
        <f t="shared" si="84"/>
        <v>#VALUE!</v>
      </c>
      <c r="F776" s="182" t="e">
        <f>SUM($D$33:D776)</f>
        <v>#VALUE!</v>
      </c>
      <c r="G776" s="182">
        <f t="shared" ca="1" si="85"/>
        <v>0</v>
      </c>
      <c r="H776" s="182" t="e">
        <f t="shared" si="81"/>
        <v>#VALUE!</v>
      </c>
      <c r="I776" s="183" t="e">
        <f t="shared" si="80"/>
        <v>#VALUE!</v>
      </c>
    </row>
    <row r="777" spans="1:9" x14ac:dyDescent="0.25">
      <c r="A777" s="180">
        <f t="shared" ca="1" si="82"/>
        <v>46849</v>
      </c>
      <c r="B777" s="181">
        <v>745</v>
      </c>
      <c r="C777" s="182" t="e">
        <f t="shared" si="83"/>
        <v>#VALUE!</v>
      </c>
      <c r="D777" s="182" t="e">
        <f t="shared" si="79"/>
        <v>#VALUE!</v>
      </c>
      <c r="E777" s="182" t="e">
        <f t="shared" si="84"/>
        <v>#VALUE!</v>
      </c>
      <c r="F777" s="182" t="e">
        <f>SUM($D$33:D777)</f>
        <v>#VALUE!</v>
      </c>
      <c r="G777" s="182">
        <f t="shared" ca="1" si="85"/>
        <v>0</v>
      </c>
      <c r="H777" s="182" t="e">
        <f t="shared" si="81"/>
        <v>#VALUE!</v>
      </c>
      <c r="I777" s="183" t="e">
        <f t="shared" si="80"/>
        <v>#VALUE!</v>
      </c>
    </row>
    <row r="778" spans="1:9" x14ac:dyDescent="0.25">
      <c r="A778" s="180">
        <f t="shared" ca="1" si="82"/>
        <v>46850</v>
      </c>
      <c r="B778" s="181">
        <v>746</v>
      </c>
      <c r="C778" s="182" t="e">
        <f t="shared" si="83"/>
        <v>#VALUE!</v>
      </c>
      <c r="D778" s="182" t="e">
        <f t="shared" si="79"/>
        <v>#VALUE!</v>
      </c>
      <c r="E778" s="182" t="e">
        <f t="shared" si="84"/>
        <v>#VALUE!</v>
      </c>
      <c r="F778" s="182" t="e">
        <f>SUM($D$33:D778)</f>
        <v>#VALUE!</v>
      </c>
      <c r="G778" s="182">
        <f t="shared" ca="1" si="85"/>
        <v>0</v>
      </c>
      <c r="H778" s="182" t="e">
        <f t="shared" si="81"/>
        <v>#VALUE!</v>
      </c>
      <c r="I778" s="183" t="e">
        <f t="shared" si="80"/>
        <v>#VALUE!</v>
      </c>
    </row>
    <row r="779" spans="1:9" x14ac:dyDescent="0.25">
      <c r="A779" s="180">
        <f t="shared" ca="1" si="82"/>
        <v>46851</v>
      </c>
      <c r="B779" s="181">
        <v>747</v>
      </c>
      <c r="C779" s="182" t="e">
        <f t="shared" si="83"/>
        <v>#VALUE!</v>
      </c>
      <c r="D779" s="182" t="e">
        <f t="shared" si="79"/>
        <v>#VALUE!</v>
      </c>
      <c r="E779" s="182" t="e">
        <f t="shared" si="84"/>
        <v>#VALUE!</v>
      </c>
      <c r="F779" s="182" t="e">
        <f>SUM($D$33:D779)</f>
        <v>#VALUE!</v>
      </c>
      <c r="G779" s="182">
        <f t="shared" ca="1" si="85"/>
        <v>0</v>
      </c>
      <c r="H779" s="182" t="e">
        <f t="shared" si="81"/>
        <v>#VALUE!</v>
      </c>
      <c r="I779" s="183" t="e">
        <f t="shared" si="80"/>
        <v>#VALUE!</v>
      </c>
    </row>
    <row r="780" spans="1:9" x14ac:dyDescent="0.25">
      <c r="A780" s="180">
        <f t="shared" ca="1" si="82"/>
        <v>46852</v>
      </c>
      <c r="B780" s="181">
        <v>748</v>
      </c>
      <c r="C780" s="182" t="e">
        <f t="shared" si="83"/>
        <v>#VALUE!</v>
      </c>
      <c r="D780" s="182" t="e">
        <f t="shared" si="79"/>
        <v>#VALUE!</v>
      </c>
      <c r="E780" s="182" t="e">
        <f t="shared" si="84"/>
        <v>#VALUE!</v>
      </c>
      <c r="F780" s="182" t="e">
        <f>SUM($D$33:D780)</f>
        <v>#VALUE!</v>
      </c>
      <c r="G780" s="182">
        <f t="shared" ca="1" si="85"/>
        <v>0</v>
      </c>
      <c r="H780" s="182" t="e">
        <f t="shared" si="81"/>
        <v>#VALUE!</v>
      </c>
      <c r="I780" s="183" t="e">
        <f t="shared" si="80"/>
        <v>#VALUE!</v>
      </c>
    </row>
    <row r="781" spans="1:9" x14ac:dyDescent="0.25">
      <c r="A781" s="180">
        <f t="shared" ca="1" si="82"/>
        <v>46853</v>
      </c>
      <c r="B781" s="181">
        <v>749</v>
      </c>
      <c r="C781" s="182" t="e">
        <f t="shared" si="83"/>
        <v>#VALUE!</v>
      </c>
      <c r="D781" s="182" t="e">
        <f t="shared" ref="D781:D835" si="86">IF(C781&gt;$H$21,C781*($L$16/360),$H$21*($L$16/360))</f>
        <v>#VALUE!</v>
      </c>
      <c r="E781" s="182" t="e">
        <f t="shared" si="84"/>
        <v>#VALUE!</v>
      </c>
      <c r="F781" s="182" t="e">
        <f>SUM($D$33:D781)</f>
        <v>#VALUE!</v>
      </c>
      <c r="G781" s="182">
        <f t="shared" ca="1" si="85"/>
        <v>0</v>
      </c>
      <c r="H781" s="182" t="e">
        <f t="shared" si="81"/>
        <v>#VALUE!</v>
      </c>
      <c r="I781" s="183" t="e">
        <f t="shared" ref="I781:I835" si="87">(C781+D781-E781)</f>
        <v>#VALUE!</v>
      </c>
    </row>
    <row r="782" spans="1:9" x14ac:dyDescent="0.25">
      <c r="A782" s="180">
        <f t="shared" ca="1" si="82"/>
        <v>46854</v>
      </c>
      <c r="B782" s="181">
        <v>750</v>
      </c>
      <c r="C782" s="182" t="e">
        <f t="shared" si="83"/>
        <v>#VALUE!</v>
      </c>
      <c r="D782" s="182" t="e">
        <f t="shared" si="86"/>
        <v>#VALUE!</v>
      </c>
      <c r="E782" s="182" t="e">
        <f t="shared" si="84"/>
        <v>#VALUE!</v>
      </c>
      <c r="F782" s="182" t="e">
        <f>SUM($D$33:D782)</f>
        <v>#VALUE!</v>
      </c>
      <c r="G782" s="182">
        <f t="shared" ca="1" si="85"/>
        <v>0</v>
      </c>
      <c r="H782" s="182" t="e">
        <f t="shared" si="81"/>
        <v>#VALUE!</v>
      </c>
      <c r="I782" s="183" t="e">
        <f t="shared" si="87"/>
        <v>#VALUE!</v>
      </c>
    </row>
    <row r="783" spans="1:9" x14ac:dyDescent="0.25">
      <c r="A783" s="180">
        <f t="shared" ca="1" si="82"/>
        <v>46855</v>
      </c>
      <c r="B783" s="181">
        <v>751</v>
      </c>
      <c r="C783" s="182" t="e">
        <f t="shared" si="83"/>
        <v>#VALUE!</v>
      </c>
      <c r="D783" s="182" t="e">
        <f t="shared" si="86"/>
        <v>#VALUE!</v>
      </c>
      <c r="E783" s="182" t="e">
        <f t="shared" si="84"/>
        <v>#VALUE!</v>
      </c>
      <c r="F783" s="182" t="e">
        <f>SUM($D$33:D783)</f>
        <v>#VALUE!</v>
      </c>
      <c r="G783" s="182">
        <f t="shared" ca="1" si="85"/>
        <v>0</v>
      </c>
      <c r="H783" s="182" t="e">
        <f t="shared" si="81"/>
        <v>#VALUE!</v>
      </c>
      <c r="I783" s="183" t="e">
        <f t="shared" si="87"/>
        <v>#VALUE!</v>
      </c>
    </row>
    <row r="784" spans="1:9" x14ac:dyDescent="0.25">
      <c r="A784" s="180">
        <f t="shared" ca="1" si="82"/>
        <v>46856</v>
      </c>
      <c r="B784" s="181">
        <v>752</v>
      </c>
      <c r="C784" s="182" t="e">
        <f t="shared" si="83"/>
        <v>#VALUE!</v>
      </c>
      <c r="D784" s="182" t="e">
        <f t="shared" si="86"/>
        <v>#VALUE!</v>
      </c>
      <c r="E784" s="182" t="e">
        <f t="shared" si="84"/>
        <v>#VALUE!</v>
      </c>
      <c r="F784" s="182" t="e">
        <f>SUM($D$33:D784)</f>
        <v>#VALUE!</v>
      </c>
      <c r="G784" s="182">
        <f t="shared" ca="1" si="85"/>
        <v>0</v>
      </c>
      <c r="H784" s="182" t="e">
        <f t="shared" si="81"/>
        <v>#VALUE!</v>
      </c>
      <c r="I784" s="183" t="e">
        <f t="shared" si="87"/>
        <v>#VALUE!</v>
      </c>
    </row>
    <row r="785" spans="1:9" x14ac:dyDescent="0.25">
      <c r="A785" s="180">
        <f t="shared" ca="1" si="82"/>
        <v>46857</v>
      </c>
      <c r="B785" s="181">
        <v>753</v>
      </c>
      <c r="C785" s="182" t="e">
        <f t="shared" si="83"/>
        <v>#VALUE!</v>
      </c>
      <c r="D785" s="182" t="e">
        <f t="shared" si="86"/>
        <v>#VALUE!</v>
      </c>
      <c r="E785" s="182" t="e">
        <f t="shared" si="84"/>
        <v>#VALUE!</v>
      </c>
      <c r="F785" s="182" t="e">
        <f>SUM($D$33:D785)</f>
        <v>#VALUE!</v>
      </c>
      <c r="G785" s="182">
        <f t="shared" ca="1" si="85"/>
        <v>0</v>
      </c>
      <c r="H785" s="182" t="e">
        <f t="shared" si="81"/>
        <v>#VALUE!</v>
      </c>
      <c r="I785" s="183" t="e">
        <f t="shared" si="87"/>
        <v>#VALUE!</v>
      </c>
    </row>
    <row r="786" spans="1:9" x14ac:dyDescent="0.25">
      <c r="A786" s="180">
        <f t="shared" ca="1" si="82"/>
        <v>46858</v>
      </c>
      <c r="B786" s="181">
        <v>754</v>
      </c>
      <c r="C786" s="182" t="e">
        <f t="shared" si="83"/>
        <v>#VALUE!</v>
      </c>
      <c r="D786" s="182" t="e">
        <f t="shared" si="86"/>
        <v>#VALUE!</v>
      </c>
      <c r="E786" s="182" t="e">
        <f t="shared" si="84"/>
        <v>#VALUE!</v>
      </c>
      <c r="F786" s="182" t="e">
        <f>SUM($D$33:D786)</f>
        <v>#VALUE!</v>
      </c>
      <c r="G786" s="182">
        <f t="shared" ca="1" si="85"/>
        <v>0</v>
      </c>
      <c r="H786" s="182" t="e">
        <f t="shared" si="81"/>
        <v>#VALUE!</v>
      </c>
      <c r="I786" s="183" t="e">
        <f t="shared" si="87"/>
        <v>#VALUE!</v>
      </c>
    </row>
    <row r="787" spans="1:9" x14ac:dyDescent="0.25">
      <c r="A787" s="180">
        <f t="shared" ca="1" si="82"/>
        <v>46859</v>
      </c>
      <c r="B787" s="181">
        <v>755</v>
      </c>
      <c r="C787" s="182" t="e">
        <f t="shared" si="83"/>
        <v>#VALUE!</v>
      </c>
      <c r="D787" s="182" t="e">
        <f t="shared" si="86"/>
        <v>#VALUE!</v>
      </c>
      <c r="E787" s="182" t="e">
        <f t="shared" si="84"/>
        <v>#VALUE!</v>
      </c>
      <c r="F787" s="182" t="e">
        <f>SUM($D$33:D787)</f>
        <v>#VALUE!</v>
      </c>
      <c r="G787" s="182">
        <f t="shared" ca="1" si="85"/>
        <v>0</v>
      </c>
      <c r="H787" s="182" t="e">
        <f t="shared" si="81"/>
        <v>#VALUE!</v>
      </c>
      <c r="I787" s="183" t="e">
        <f t="shared" si="87"/>
        <v>#VALUE!</v>
      </c>
    </row>
    <row r="788" spans="1:9" x14ac:dyDescent="0.25">
      <c r="A788" s="180">
        <f t="shared" ca="1" si="82"/>
        <v>46860</v>
      </c>
      <c r="B788" s="181">
        <v>756</v>
      </c>
      <c r="C788" s="182" t="e">
        <f t="shared" si="83"/>
        <v>#VALUE!</v>
      </c>
      <c r="D788" s="182" t="e">
        <f t="shared" si="86"/>
        <v>#VALUE!</v>
      </c>
      <c r="E788" s="182" t="e">
        <f t="shared" si="84"/>
        <v>#VALUE!</v>
      </c>
      <c r="F788" s="182" t="e">
        <f>SUM($D$33:D788)</f>
        <v>#VALUE!</v>
      </c>
      <c r="G788" s="182">
        <f t="shared" ca="1" si="85"/>
        <v>0</v>
      </c>
      <c r="H788" s="182" t="e">
        <f t="shared" si="81"/>
        <v>#VALUE!</v>
      </c>
      <c r="I788" s="183" t="e">
        <f t="shared" si="87"/>
        <v>#VALUE!</v>
      </c>
    </row>
    <row r="789" spans="1:9" x14ac:dyDescent="0.25">
      <c r="A789" s="180">
        <f t="shared" ca="1" si="82"/>
        <v>46861</v>
      </c>
      <c r="B789" s="181">
        <v>757</v>
      </c>
      <c r="C789" s="182" t="e">
        <f t="shared" si="83"/>
        <v>#VALUE!</v>
      </c>
      <c r="D789" s="182" t="e">
        <f t="shared" si="86"/>
        <v>#VALUE!</v>
      </c>
      <c r="E789" s="182" t="e">
        <f t="shared" si="84"/>
        <v>#VALUE!</v>
      </c>
      <c r="F789" s="182" t="e">
        <f>SUM($D$33:D789)</f>
        <v>#VALUE!</v>
      </c>
      <c r="G789" s="182">
        <f t="shared" ca="1" si="85"/>
        <v>0</v>
      </c>
      <c r="H789" s="182" t="e">
        <f t="shared" si="81"/>
        <v>#VALUE!</v>
      </c>
      <c r="I789" s="183" t="e">
        <f t="shared" si="87"/>
        <v>#VALUE!</v>
      </c>
    </row>
    <row r="790" spans="1:9" x14ac:dyDescent="0.25">
      <c r="A790" s="180">
        <f t="shared" ca="1" si="82"/>
        <v>46862</v>
      </c>
      <c r="B790" s="181">
        <v>758</v>
      </c>
      <c r="C790" s="182" t="e">
        <f t="shared" si="83"/>
        <v>#VALUE!</v>
      </c>
      <c r="D790" s="182" t="e">
        <f t="shared" si="86"/>
        <v>#VALUE!</v>
      </c>
      <c r="E790" s="182" t="e">
        <f t="shared" si="84"/>
        <v>#VALUE!</v>
      </c>
      <c r="F790" s="182" t="e">
        <f>SUM($D$33:D790)</f>
        <v>#VALUE!</v>
      </c>
      <c r="G790" s="182">
        <f t="shared" ca="1" si="85"/>
        <v>0</v>
      </c>
      <c r="H790" s="182" t="e">
        <f t="shared" si="81"/>
        <v>#VALUE!</v>
      </c>
      <c r="I790" s="183" t="e">
        <f t="shared" si="87"/>
        <v>#VALUE!</v>
      </c>
    </row>
    <row r="791" spans="1:9" x14ac:dyDescent="0.25">
      <c r="A791" s="180">
        <f t="shared" ca="1" si="82"/>
        <v>46863</v>
      </c>
      <c r="B791" s="181">
        <v>759</v>
      </c>
      <c r="C791" s="182" t="e">
        <f t="shared" si="83"/>
        <v>#VALUE!</v>
      </c>
      <c r="D791" s="182" t="e">
        <f t="shared" si="86"/>
        <v>#VALUE!</v>
      </c>
      <c r="E791" s="182" t="e">
        <f t="shared" si="84"/>
        <v>#VALUE!</v>
      </c>
      <c r="F791" s="182" t="e">
        <f>SUM($D$33:D791)</f>
        <v>#VALUE!</v>
      </c>
      <c r="G791" s="182">
        <f t="shared" ca="1" si="85"/>
        <v>0</v>
      </c>
      <c r="H791" s="182" t="e">
        <f t="shared" si="81"/>
        <v>#VALUE!</v>
      </c>
      <c r="I791" s="183" t="e">
        <f t="shared" si="87"/>
        <v>#VALUE!</v>
      </c>
    </row>
    <row r="792" spans="1:9" x14ac:dyDescent="0.25">
      <c r="A792" s="180">
        <f t="shared" ca="1" si="82"/>
        <v>46864</v>
      </c>
      <c r="B792" s="181">
        <v>760</v>
      </c>
      <c r="C792" s="182" t="e">
        <f t="shared" si="83"/>
        <v>#VALUE!</v>
      </c>
      <c r="D792" s="182" t="e">
        <f t="shared" si="86"/>
        <v>#VALUE!</v>
      </c>
      <c r="E792" s="182" t="e">
        <f t="shared" si="84"/>
        <v>#VALUE!</v>
      </c>
      <c r="F792" s="182" t="e">
        <f>SUM($D$33:D792)</f>
        <v>#VALUE!</v>
      </c>
      <c r="G792" s="182">
        <f t="shared" ca="1" si="85"/>
        <v>0</v>
      </c>
      <c r="H792" s="182" t="e">
        <f t="shared" si="81"/>
        <v>#VALUE!</v>
      </c>
      <c r="I792" s="183" t="e">
        <f t="shared" si="87"/>
        <v>#VALUE!</v>
      </c>
    </row>
    <row r="793" spans="1:9" x14ac:dyDescent="0.25">
      <c r="A793" s="180">
        <f t="shared" ca="1" si="82"/>
        <v>46865</v>
      </c>
      <c r="B793" s="181">
        <v>761</v>
      </c>
      <c r="C793" s="182" t="e">
        <f t="shared" si="83"/>
        <v>#VALUE!</v>
      </c>
      <c r="D793" s="182" t="e">
        <f t="shared" si="86"/>
        <v>#VALUE!</v>
      </c>
      <c r="E793" s="182" t="e">
        <f t="shared" si="84"/>
        <v>#VALUE!</v>
      </c>
      <c r="F793" s="182" t="e">
        <f>SUM($D$33:D793)</f>
        <v>#VALUE!</v>
      </c>
      <c r="G793" s="182">
        <f t="shared" ca="1" si="85"/>
        <v>0</v>
      </c>
      <c r="H793" s="182" t="e">
        <f t="shared" si="81"/>
        <v>#VALUE!</v>
      </c>
      <c r="I793" s="183" t="e">
        <f t="shared" si="87"/>
        <v>#VALUE!</v>
      </c>
    </row>
    <row r="794" spans="1:9" x14ac:dyDescent="0.25">
      <c r="A794" s="180">
        <f t="shared" ca="1" si="82"/>
        <v>46866</v>
      </c>
      <c r="B794" s="181">
        <v>762</v>
      </c>
      <c r="C794" s="182" t="e">
        <f t="shared" si="83"/>
        <v>#VALUE!</v>
      </c>
      <c r="D794" s="182" t="e">
        <f t="shared" si="86"/>
        <v>#VALUE!</v>
      </c>
      <c r="E794" s="182" t="e">
        <f t="shared" si="84"/>
        <v>#VALUE!</v>
      </c>
      <c r="F794" s="182" t="e">
        <f>SUM($D$33:D794)</f>
        <v>#VALUE!</v>
      </c>
      <c r="G794" s="182">
        <f t="shared" ca="1" si="85"/>
        <v>0</v>
      </c>
      <c r="H794" s="182" t="e">
        <f t="shared" si="81"/>
        <v>#VALUE!</v>
      </c>
      <c r="I794" s="183" t="e">
        <f t="shared" si="87"/>
        <v>#VALUE!</v>
      </c>
    </row>
    <row r="795" spans="1:9" x14ac:dyDescent="0.25">
      <c r="A795" s="180">
        <f t="shared" ca="1" si="82"/>
        <v>46867</v>
      </c>
      <c r="B795" s="181">
        <v>763</v>
      </c>
      <c r="C795" s="182" t="e">
        <f t="shared" si="83"/>
        <v>#VALUE!</v>
      </c>
      <c r="D795" s="182" t="e">
        <f t="shared" si="86"/>
        <v>#VALUE!</v>
      </c>
      <c r="E795" s="182" t="e">
        <f t="shared" si="84"/>
        <v>#VALUE!</v>
      </c>
      <c r="F795" s="182" t="e">
        <f>SUM($D$33:D795)</f>
        <v>#VALUE!</v>
      </c>
      <c r="G795" s="182">
        <f t="shared" ca="1" si="85"/>
        <v>0</v>
      </c>
      <c r="H795" s="182" t="e">
        <f t="shared" si="81"/>
        <v>#VALUE!</v>
      </c>
      <c r="I795" s="183" t="e">
        <f t="shared" si="87"/>
        <v>#VALUE!</v>
      </c>
    </row>
    <row r="796" spans="1:9" x14ac:dyDescent="0.25">
      <c r="A796" s="180">
        <f t="shared" ca="1" si="82"/>
        <v>46868</v>
      </c>
      <c r="B796" s="181">
        <v>764</v>
      </c>
      <c r="C796" s="182" t="e">
        <f t="shared" si="83"/>
        <v>#VALUE!</v>
      </c>
      <c r="D796" s="182" t="e">
        <f t="shared" si="86"/>
        <v>#VALUE!</v>
      </c>
      <c r="E796" s="182" t="e">
        <f t="shared" si="84"/>
        <v>#VALUE!</v>
      </c>
      <c r="F796" s="182" t="e">
        <f>SUM($D$33:D796)</f>
        <v>#VALUE!</v>
      </c>
      <c r="G796" s="182">
        <f t="shared" ca="1" si="85"/>
        <v>0</v>
      </c>
      <c r="H796" s="182" t="e">
        <f t="shared" si="81"/>
        <v>#VALUE!</v>
      </c>
      <c r="I796" s="183" t="e">
        <f t="shared" si="87"/>
        <v>#VALUE!</v>
      </c>
    </row>
    <row r="797" spans="1:9" x14ac:dyDescent="0.25">
      <c r="A797" s="180">
        <f t="shared" ca="1" si="82"/>
        <v>46869</v>
      </c>
      <c r="B797" s="181">
        <v>765</v>
      </c>
      <c r="C797" s="182" t="e">
        <f t="shared" si="83"/>
        <v>#VALUE!</v>
      </c>
      <c r="D797" s="182" t="e">
        <f t="shared" si="86"/>
        <v>#VALUE!</v>
      </c>
      <c r="E797" s="182" t="e">
        <f t="shared" si="84"/>
        <v>#VALUE!</v>
      </c>
      <c r="F797" s="182" t="e">
        <f>SUM($D$33:D797)</f>
        <v>#VALUE!</v>
      </c>
      <c r="G797" s="182">
        <f t="shared" ca="1" si="85"/>
        <v>0</v>
      </c>
      <c r="H797" s="182" t="e">
        <f t="shared" si="81"/>
        <v>#VALUE!</v>
      </c>
      <c r="I797" s="183" t="e">
        <f t="shared" si="87"/>
        <v>#VALUE!</v>
      </c>
    </row>
    <row r="798" spans="1:9" x14ac:dyDescent="0.25">
      <c r="A798" s="180">
        <f t="shared" ca="1" si="82"/>
        <v>46870</v>
      </c>
      <c r="B798" s="181">
        <v>766</v>
      </c>
      <c r="C798" s="182" t="e">
        <f t="shared" si="83"/>
        <v>#VALUE!</v>
      </c>
      <c r="D798" s="182" t="e">
        <f t="shared" si="86"/>
        <v>#VALUE!</v>
      </c>
      <c r="E798" s="182" t="e">
        <f t="shared" si="84"/>
        <v>#VALUE!</v>
      </c>
      <c r="F798" s="182" t="e">
        <f>SUM($D$33:D798)</f>
        <v>#VALUE!</v>
      </c>
      <c r="G798" s="182">
        <f t="shared" ca="1" si="85"/>
        <v>0</v>
      </c>
      <c r="H798" s="182" t="e">
        <f t="shared" si="81"/>
        <v>#VALUE!</v>
      </c>
      <c r="I798" s="183" t="e">
        <f t="shared" si="87"/>
        <v>#VALUE!</v>
      </c>
    </row>
    <row r="799" spans="1:9" x14ac:dyDescent="0.25">
      <c r="A799" s="180">
        <f t="shared" ca="1" si="82"/>
        <v>46871</v>
      </c>
      <c r="B799" s="181">
        <v>767</v>
      </c>
      <c r="C799" s="182" t="e">
        <f t="shared" si="83"/>
        <v>#VALUE!</v>
      </c>
      <c r="D799" s="182" t="e">
        <f t="shared" si="86"/>
        <v>#VALUE!</v>
      </c>
      <c r="E799" s="182" t="e">
        <f t="shared" si="84"/>
        <v>#VALUE!</v>
      </c>
      <c r="F799" s="182" t="e">
        <f>SUM($D$33:D799)</f>
        <v>#VALUE!</v>
      </c>
      <c r="G799" s="182">
        <f t="shared" ca="1" si="85"/>
        <v>0</v>
      </c>
      <c r="H799" s="182" t="e">
        <f t="shared" si="81"/>
        <v>#VALUE!</v>
      </c>
      <c r="I799" s="183" t="e">
        <f t="shared" si="87"/>
        <v>#VALUE!</v>
      </c>
    </row>
    <row r="800" spans="1:9" x14ac:dyDescent="0.25">
      <c r="A800" s="180">
        <f t="shared" ca="1" si="82"/>
        <v>46872</v>
      </c>
      <c r="B800" s="181">
        <v>768</v>
      </c>
      <c r="C800" s="182" t="e">
        <f t="shared" si="83"/>
        <v>#VALUE!</v>
      </c>
      <c r="D800" s="182" t="e">
        <f t="shared" si="86"/>
        <v>#VALUE!</v>
      </c>
      <c r="E800" s="182" t="e">
        <f t="shared" si="84"/>
        <v>#VALUE!</v>
      </c>
      <c r="F800" s="182" t="e">
        <f>SUM($D$33:D800)</f>
        <v>#VALUE!</v>
      </c>
      <c r="G800" s="182">
        <f t="shared" ca="1" si="85"/>
        <v>0</v>
      </c>
      <c r="H800" s="182" t="e">
        <f t="shared" si="81"/>
        <v>#VALUE!</v>
      </c>
      <c r="I800" s="183" t="e">
        <f t="shared" si="87"/>
        <v>#VALUE!</v>
      </c>
    </row>
    <row r="801" spans="1:9" x14ac:dyDescent="0.25">
      <c r="A801" s="180">
        <f t="shared" ca="1" si="82"/>
        <v>46873</v>
      </c>
      <c r="B801" s="181">
        <v>769</v>
      </c>
      <c r="C801" s="182" t="e">
        <f t="shared" si="83"/>
        <v>#VALUE!</v>
      </c>
      <c r="D801" s="182" t="e">
        <f t="shared" si="86"/>
        <v>#VALUE!</v>
      </c>
      <c r="E801" s="182" t="e">
        <f t="shared" si="84"/>
        <v>#VALUE!</v>
      </c>
      <c r="F801" s="182" t="e">
        <f>SUM($D$33:D801)</f>
        <v>#VALUE!</v>
      </c>
      <c r="G801" s="182">
        <f t="shared" ca="1" si="85"/>
        <v>0</v>
      </c>
      <c r="H801" s="182" t="e">
        <f t="shared" ref="H801:H835" si="88">IF(E801&gt;0,C801+G801,IF(E801&lt;0,C801+G801+D801-E800,C801+D801+G801))</f>
        <v>#VALUE!</v>
      </c>
      <c r="I801" s="183" t="e">
        <f t="shared" si="87"/>
        <v>#VALUE!</v>
      </c>
    </row>
    <row r="802" spans="1:9" x14ac:dyDescent="0.25">
      <c r="A802" s="180">
        <f t="shared" ref="A802:A865" ca="1" si="89">A801+1</f>
        <v>46874</v>
      </c>
      <c r="B802" s="181">
        <v>770</v>
      </c>
      <c r="C802" s="182" t="e">
        <f t="shared" ref="C802:C835" si="90">H801</f>
        <v>#VALUE!</v>
      </c>
      <c r="D802" s="182" t="e">
        <f t="shared" si="86"/>
        <v>#VALUE!</v>
      </c>
      <c r="E802" s="182" t="e">
        <f t="shared" ref="E802:E835" si="91">IF(E801&gt;0,E801-D802,0)</f>
        <v>#VALUE!</v>
      </c>
      <c r="F802" s="182" t="e">
        <f>SUM($D$33:D802)</f>
        <v>#VALUE!</v>
      </c>
      <c r="G802" s="182">
        <f t="shared" ref="G802:G835" ca="1" si="92">IFERROR(-VLOOKUP(A802,$K$30:$M$36,2,FALSE),0)</f>
        <v>0</v>
      </c>
      <c r="H802" s="182" t="e">
        <f t="shared" si="88"/>
        <v>#VALUE!</v>
      </c>
      <c r="I802" s="183" t="e">
        <f t="shared" si="87"/>
        <v>#VALUE!</v>
      </c>
    </row>
    <row r="803" spans="1:9" x14ac:dyDescent="0.25">
      <c r="A803" s="180">
        <f t="shared" ca="1" si="89"/>
        <v>46875</v>
      </c>
      <c r="B803" s="181">
        <v>771</v>
      </c>
      <c r="C803" s="182" t="e">
        <f t="shared" si="90"/>
        <v>#VALUE!</v>
      </c>
      <c r="D803" s="182" t="e">
        <f t="shared" si="86"/>
        <v>#VALUE!</v>
      </c>
      <c r="E803" s="182" t="e">
        <f t="shared" si="91"/>
        <v>#VALUE!</v>
      </c>
      <c r="F803" s="182" t="e">
        <f>SUM($D$33:D803)</f>
        <v>#VALUE!</v>
      </c>
      <c r="G803" s="182">
        <f t="shared" ca="1" si="92"/>
        <v>0</v>
      </c>
      <c r="H803" s="182" t="e">
        <f t="shared" si="88"/>
        <v>#VALUE!</v>
      </c>
      <c r="I803" s="183" t="e">
        <f t="shared" si="87"/>
        <v>#VALUE!</v>
      </c>
    </row>
    <row r="804" spans="1:9" x14ac:dyDescent="0.25">
      <c r="A804" s="180">
        <f t="shared" ca="1" si="89"/>
        <v>46876</v>
      </c>
      <c r="B804" s="181">
        <v>772</v>
      </c>
      <c r="C804" s="182" t="e">
        <f t="shared" si="90"/>
        <v>#VALUE!</v>
      </c>
      <c r="D804" s="182" t="e">
        <f t="shared" si="86"/>
        <v>#VALUE!</v>
      </c>
      <c r="E804" s="182" t="e">
        <f t="shared" si="91"/>
        <v>#VALUE!</v>
      </c>
      <c r="F804" s="182" t="e">
        <f>SUM($D$33:D804)</f>
        <v>#VALUE!</v>
      </c>
      <c r="G804" s="182">
        <f t="shared" ca="1" si="92"/>
        <v>0</v>
      </c>
      <c r="H804" s="182" t="e">
        <f t="shared" si="88"/>
        <v>#VALUE!</v>
      </c>
      <c r="I804" s="183" t="e">
        <f t="shared" si="87"/>
        <v>#VALUE!</v>
      </c>
    </row>
    <row r="805" spans="1:9" x14ac:dyDescent="0.25">
      <c r="A805" s="180">
        <f t="shared" ca="1" si="89"/>
        <v>46877</v>
      </c>
      <c r="B805" s="181">
        <v>773</v>
      </c>
      <c r="C805" s="182" t="e">
        <f t="shared" si="90"/>
        <v>#VALUE!</v>
      </c>
      <c r="D805" s="182" t="e">
        <f t="shared" si="86"/>
        <v>#VALUE!</v>
      </c>
      <c r="E805" s="182" t="e">
        <f t="shared" si="91"/>
        <v>#VALUE!</v>
      </c>
      <c r="F805" s="182" t="e">
        <f>SUM($D$33:D805)</f>
        <v>#VALUE!</v>
      </c>
      <c r="G805" s="182">
        <f t="shared" ca="1" si="92"/>
        <v>0</v>
      </c>
      <c r="H805" s="182" t="e">
        <f t="shared" si="88"/>
        <v>#VALUE!</v>
      </c>
      <c r="I805" s="183" t="e">
        <f t="shared" si="87"/>
        <v>#VALUE!</v>
      </c>
    </row>
    <row r="806" spans="1:9" x14ac:dyDescent="0.25">
      <c r="A806" s="180">
        <f t="shared" ca="1" si="89"/>
        <v>46878</v>
      </c>
      <c r="B806" s="181">
        <v>774</v>
      </c>
      <c r="C806" s="182" t="e">
        <f t="shared" si="90"/>
        <v>#VALUE!</v>
      </c>
      <c r="D806" s="182" t="e">
        <f t="shared" si="86"/>
        <v>#VALUE!</v>
      </c>
      <c r="E806" s="182" t="e">
        <f t="shared" si="91"/>
        <v>#VALUE!</v>
      </c>
      <c r="F806" s="182" t="e">
        <f>SUM($D$33:D806)</f>
        <v>#VALUE!</v>
      </c>
      <c r="G806" s="182">
        <f t="shared" ca="1" si="92"/>
        <v>0</v>
      </c>
      <c r="H806" s="182" t="e">
        <f t="shared" si="88"/>
        <v>#VALUE!</v>
      </c>
      <c r="I806" s="183" t="e">
        <f t="shared" si="87"/>
        <v>#VALUE!</v>
      </c>
    </row>
    <row r="807" spans="1:9" x14ac:dyDescent="0.25">
      <c r="A807" s="180">
        <f t="shared" ca="1" si="89"/>
        <v>46879</v>
      </c>
      <c r="B807" s="181">
        <v>775</v>
      </c>
      <c r="C807" s="182" t="e">
        <f t="shared" si="90"/>
        <v>#VALUE!</v>
      </c>
      <c r="D807" s="182" t="e">
        <f t="shared" si="86"/>
        <v>#VALUE!</v>
      </c>
      <c r="E807" s="182" t="e">
        <f t="shared" si="91"/>
        <v>#VALUE!</v>
      </c>
      <c r="F807" s="182" t="e">
        <f>SUM($D$33:D807)</f>
        <v>#VALUE!</v>
      </c>
      <c r="G807" s="182">
        <f t="shared" ca="1" si="92"/>
        <v>0</v>
      </c>
      <c r="H807" s="182" t="e">
        <f t="shared" si="88"/>
        <v>#VALUE!</v>
      </c>
      <c r="I807" s="183" t="e">
        <f t="shared" si="87"/>
        <v>#VALUE!</v>
      </c>
    </row>
    <row r="808" spans="1:9" x14ac:dyDescent="0.25">
      <c r="A808" s="180">
        <f t="shared" ca="1" si="89"/>
        <v>46880</v>
      </c>
      <c r="B808" s="181">
        <v>776</v>
      </c>
      <c r="C808" s="182" t="e">
        <f t="shared" si="90"/>
        <v>#VALUE!</v>
      </c>
      <c r="D808" s="182" t="e">
        <f t="shared" si="86"/>
        <v>#VALUE!</v>
      </c>
      <c r="E808" s="182" t="e">
        <f t="shared" si="91"/>
        <v>#VALUE!</v>
      </c>
      <c r="F808" s="182" t="e">
        <f>SUM($D$33:D808)</f>
        <v>#VALUE!</v>
      </c>
      <c r="G808" s="182">
        <f t="shared" ca="1" si="92"/>
        <v>0</v>
      </c>
      <c r="H808" s="182" t="e">
        <f t="shared" si="88"/>
        <v>#VALUE!</v>
      </c>
      <c r="I808" s="183" t="e">
        <f t="shared" si="87"/>
        <v>#VALUE!</v>
      </c>
    </row>
    <row r="809" spans="1:9" x14ac:dyDescent="0.25">
      <c r="A809" s="180">
        <f t="shared" ca="1" si="89"/>
        <v>46881</v>
      </c>
      <c r="B809" s="181">
        <v>777</v>
      </c>
      <c r="C809" s="182" t="e">
        <f t="shared" si="90"/>
        <v>#VALUE!</v>
      </c>
      <c r="D809" s="182" t="e">
        <f t="shared" si="86"/>
        <v>#VALUE!</v>
      </c>
      <c r="E809" s="182" t="e">
        <f t="shared" si="91"/>
        <v>#VALUE!</v>
      </c>
      <c r="F809" s="182" t="e">
        <f>SUM($D$33:D809)</f>
        <v>#VALUE!</v>
      </c>
      <c r="G809" s="182">
        <f t="shared" ca="1" si="92"/>
        <v>0</v>
      </c>
      <c r="H809" s="182" t="e">
        <f t="shared" si="88"/>
        <v>#VALUE!</v>
      </c>
      <c r="I809" s="183" t="e">
        <f t="shared" si="87"/>
        <v>#VALUE!</v>
      </c>
    </row>
    <row r="810" spans="1:9" x14ac:dyDescent="0.25">
      <c r="A810" s="180">
        <f t="shared" ca="1" si="89"/>
        <v>46882</v>
      </c>
      <c r="B810" s="181">
        <v>778</v>
      </c>
      <c r="C810" s="182" t="e">
        <f t="shared" si="90"/>
        <v>#VALUE!</v>
      </c>
      <c r="D810" s="182" t="e">
        <f t="shared" si="86"/>
        <v>#VALUE!</v>
      </c>
      <c r="E810" s="182" t="e">
        <f t="shared" si="91"/>
        <v>#VALUE!</v>
      </c>
      <c r="F810" s="182" t="e">
        <f>SUM($D$33:D810)</f>
        <v>#VALUE!</v>
      </c>
      <c r="G810" s="182">
        <f t="shared" ca="1" si="92"/>
        <v>0</v>
      </c>
      <c r="H810" s="182" t="e">
        <f t="shared" si="88"/>
        <v>#VALUE!</v>
      </c>
      <c r="I810" s="183" t="e">
        <f t="shared" si="87"/>
        <v>#VALUE!</v>
      </c>
    </row>
    <row r="811" spans="1:9" x14ac:dyDescent="0.25">
      <c r="A811" s="180">
        <f t="shared" ca="1" si="89"/>
        <v>46883</v>
      </c>
      <c r="B811" s="181">
        <v>779</v>
      </c>
      <c r="C811" s="182" t="e">
        <f t="shared" si="90"/>
        <v>#VALUE!</v>
      </c>
      <c r="D811" s="182" t="e">
        <f t="shared" si="86"/>
        <v>#VALUE!</v>
      </c>
      <c r="E811" s="182" t="e">
        <f t="shared" si="91"/>
        <v>#VALUE!</v>
      </c>
      <c r="F811" s="182" t="e">
        <f>SUM($D$33:D811)</f>
        <v>#VALUE!</v>
      </c>
      <c r="G811" s="182">
        <f t="shared" ca="1" si="92"/>
        <v>0</v>
      </c>
      <c r="H811" s="182" t="e">
        <f t="shared" si="88"/>
        <v>#VALUE!</v>
      </c>
      <c r="I811" s="183" t="e">
        <f t="shared" si="87"/>
        <v>#VALUE!</v>
      </c>
    </row>
    <row r="812" spans="1:9" x14ac:dyDescent="0.25">
      <c r="A812" s="180">
        <f t="shared" ca="1" si="89"/>
        <v>46884</v>
      </c>
      <c r="B812" s="181">
        <v>780</v>
      </c>
      <c r="C812" s="182" t="e">
        <f t="shared" si="90"/>
        <v>#VALUE!</v>
      </c>
      <c r="D812" s="182" t="e">
        <f t="shared" si="86"/>
        <v>#VALUE!</v>
      </c>
      <c r="E812" s="182" t="e">
        <f t="shared" si="91"/>
        <v>#VALUE!</v>
      </c>
      <c r="F812" s="182" t="e">
        <f>SUM($D$33:D812)</f>
        <v>#VALUE!</v>
      </c>
      <c r="G812" s="182">
        <f t="shared" ca="1" si="92"/>
        <v>0</v>
      </c>
      <c r="H812" s="182" t="e">
        <f t="shared" si="88"/>
        <v>#VALUE!</v>
      </c>
      <c r="I812" s="183" t="e">
        <f t="shared" si="87"/>
        <v>#VALUE!</v>
      </c>
    </row>
    <row r="813" spans="1:9" x14ac:dyDescent="0.25">
      <c r="A813" s="180">
        <f t="shared" ca="1" si="89"/>
        <v>46885</v>
      </c>
      <c r="B813" s="181">
        <v>781</v>
      </c>
      <c r="C813" s="182" t="e">
        <f t="shared" si="90"/>
        <v>#VALUE!</v>
      </c>
      <c r="D813" s="182" t="e">
        <f t="shared" si="86"/>
        <v>#VALUE!</v>
      </c>
      <c r="E813" s="182" t="e">
        <f t="shared" si="91"/>
        <v>#VALUE!</v>
      </c>
      <c r="F813" s="182" t="e">
        <f>SUM($D$33:D813)</f>
        <v>#VALUE!</v>
      </c>
      <c r="G813" s="182">
        <f t="shared" ca="1" si="92"/>
        <v>0</v>
      </c>
      <c r="H813" s="182" t="e">
        <f t="shared" si="88"/>
        <v>#VALUE!</v>
      </c>
      <c r="I813" s="183" t="e">
        <f t="shared" si="87"/>
        <v>#VALUE!</v>
      </c>
    </row>
    <row r="814" spans="1:9" x14ac:dyDescent="0.25">
      <c r="A814" s="180">
        <f t="shared" ca="1" si="89"/>
        <v>46886</v>
      </c>
      <c r="B814" s="181">
        <v>782</v>
      </c>
      <c r="C814" s="182" t="e">
        <f t="shared" si="90"/>
        <v>#VALUE!</v>
      </c>
      <c r="D814" s="182" t="e">
        <f t="shared" si="86"/>
        <v>#VALUE!</v>
      </c>
      <c r="E814" s="182" t="e">
        <f t="shared" si="91"/>
        <v>#VALUE!</v>
      </c>
      <c r="F814" s="182" t="e">
        <f>SUM($D$33:D814)</f>
        <v>#VALUE!</v>
      </c>
      <c r="G814" s="182">
        <f t="shared" ca="1" si="92"/>
        <v>0</v>
      </c>
      <c r="H814" s="182" t="e">
        <f t="shared" si="88"/>
        <v>#VALUE!</v>
      </c>
      <c r="I814" s="183" t="e">
        <f t="shared" si="87"/>
        <v>#VALUE!</v>
      </c>
    </row>
    <row r="815" spans="1:9" x14ac:dyDescent="0.25">
      <c r="A815" s="180">
        <f t="shared" ca="1" si="89"/>
        <v>46887</v>
      </c>
      <c r="B815" s="181">
        <v>783</v>
      </c>
      <c r="C815" s="182" t="e">
        <f t="shared" si="90"/>
        <v>#VALUE!</v>
      </c>
      <c r="D815" s="182" t="e">
        <f t="shared" si="86"/>
        <v>#VALUE!</v>
      </c>
      <c r="E815" s="182" t="e">
        <f t="shared" si="91"/>
        <v>#VALUE!</v>
      </c>
      <c r="F815" s="182" t="e">
        <f>SUM($D$33:D815)</f>
        <v>#VALUE!</v>
      </c>
      <c r="G815" s="182">
        <f t="shared" ca="1" si="92"/>
        <v>0</v>
      </c>
      <c r="H815" s="182" t="e">
        <f t="shared" si="88"/>
        <v>#VALUE!</v>
      </c>
      <c r="I815" s="183" t="e">
        <f t="shared" si="87"/>
        <v>#VALUE!</v>
      </c>
    </row>
    <row r="816" spans="1:9" x14ac:dyDescent="0.25">
      <c r="A816" s="180">
        <f t="shared" ca="1" si="89"/>
        <v>46888</v>
      </c>
      <c r="B816" s="181">
        <v>784</v>
      </c>
      <c r="C816" s="182" t="e">
        <f t="shared" si="90"/>
        <v>#VALUE!</v>
      </c>
      <c r="D816" s="182" t="e">
        <f t="shared" si="86"/>
        <v>#VALUE!</v>
      </c>
      <c r="E816" s="182" t="e">
        <f t="shared" si="91"/>
        <v>#VALUE!</v>
      </c>
      <c r="F816" s="182" t="e">
        <f>SUM($D$33:D816)</f>
        <v>#VALUE!</v>
      </c>
      <c r="G816" s="182">
        <f t="shared" ca="1" si="92"/>
        <v>0</v>
      </c>
      <c r="H816" s="182" t="e">
        <f t="shared" si="88"/>
        <v>#VALUE!</v>
      </c>
      <c r="I816" s="183" t="e">
        <f t="shared" si="87"/>
        <v>#VALUE!</v>
      </c>
    </row>
    <row r="817" spans="1:9" x14ac:dyDescent="0.25">
      <c r="A817" s="180">
        <f t="shared" ca="1" si="89"/>
        <v>46889</v>
      </c>
      <c r="B817" s="181">
        <v>785</v>
      </c>
      <c r="C817" s="182" t="e">
        <f t="shared" si="90"/>
        <v>#VALUE!</v>
      </c>
      <c r="D817" s="182" t="e">
        <f t="shared" si="86"/>
        <v>#VALUE!</v>
      </c>
      <c r="E817" s="182" t="e">
        <f t="shared" si="91"/>
        <v>#VALUE!</v>
      </c>
      <c r="F817" s="182" t="e">
        <f>SUM($D$33:D817)</f>
        <v>#VALUE!</v>
      </c>
      <c r="G817" s="182">
        <f t="shared" ca="1" si="92"/>
        <v>0</v>
      </c>
      <c r="H817" s="182" t="e">
        <f t="shared" si="88"/>
        <v>#VALUE!</v>
      </c>
      <c r="I817" s="183" t="e">
        <f t="shared" si="87"/>
        <v>#VALUE!</v>
      </c>
    </row>
    <row r="818" spans="1:9" x14ac:dyDescent="0.25">
      <c r="A818" s="180">
        <f t="shared" ca="1" si="89"/>
        <v>46890</v>
      </c>
      <c r="B818" s="181">
        <v>786</v>
      </c>
      <c r="C818" s="182" t="e">
        <f t="shared" si="90"/>
        <v>#VALUE!</v>
      </c>
      <c r="D818" s="182" t="e">
        <f t="shared" si="86"/>
        <v>#VALUE!</v>
      </c>
      <c r="E818" s="182" t="e">
        <f t="shared" si="91"/>
        <v>#VALUE!</v>
      </c>
      <c r="F818" s="182" t="e">
        <f>SUM($D$33:D818)</f>
        <v>#VALUE!</v>
      </c>
      <c r="G818" s="182">
        <f t="shared" ca="1" si="92"/>
        <v>0</v>
      </c>
      <c r="H818" s="182" t="e">
        <f t="shared" si="88"/>
        <v>#VALUE!</v>
      </c>
      <c r="I818" s="183" t="e">
        <f t="shared" si="87"/>
        <v>#VALUE!</v>
      </c>
    </row>
    <row r="819" spans="1:9" x14ac:dyDescent="0.25">
      <c r="A819" s="180">
        <f t="shared" ca="1" si="89"/>
        <v>46891</v>
      </c>
      <c r="B819" s="181">
        <v>787</v>
      </c>
      <c r="C819" s="182" t="e">
        <f t="shared" si="90"/>
        <v>#VALUE!</v>
      </c>
      <c r="D819" s="182" t="e">
        <f t="shared" si="86"/>
        <v>#VALUE!</v>
      </c>
      <c r="E819" s="182" t="e">
        <f t="shared" si="91"/>
        <v>#VALUE!</v>
      </c>
      <c r="F819" s="182" t="e">
        <f>SUM($D$33:D819)</f>
        <v>#VALUE!</v>
      </c>
      <c r="G819" s="182">
        <f t="shared" ca="1" si="92"/>
        <v>0</v>
      </c>
      <c r="H819" s="182" t="e">
        <f t="shared" si="88"/>
        <v>#VALUE!</v>
      </c>
      <c r="I819" s="183" t="e">
        <f t="shared" si="87"/>
        <v>#VALUE!</v>
      </c>
    </row>
    <row r="820" spans="1:9" x14ac:dyDescent="0.25">
      <c r="A820" s="180">
        <f t="shared" ca="1" si="89"/>
        <v>46892</v>
      </c>
      <c r="B820" s="181">
        <v>788</v>
      </c>
      <c r="C820" s="182" t="e">
        <f t="shared" si="90"/>
        <v>#VALUE!</v>
      </c>
      <c r="D820" s="182" t="e">
        <f t="shared" si="86"/>
        <v>#VALUE!</v>
      </c>
      <c r="E820" s="182" t="e">
        <f t="shared" si="91"/>
        <v>#VALUE!</v>
      </c>
      <c r="F820" s="182" t="e">
        <f>SUM($D$33:D820)</f>
        <v>#VALUE!</v>
      </c>
      <c r="G820" s="182">
        <f t="shared" ca="1" si="92"/>
        <v>0</v>
      </c>
      <c r="H820" s="182" t="e">
        <f t="shared" si="88"/>
        <v>#VALUE!</v>
      </c>
      <c r="I820" s="183" t="e">
        <f t="shared" si="87"/>
        <v>#VALUE!</v>
      </c>
    </row>
    <row r="821" spans="1:9" x14ac:dyDescent="0.25">
      <c r="A821" s="180">
        <f t="shared" ca="1" si="89"/>
        <v>46893</v>
      </c>
      <c r="B821" s="181">
        <v>789</v>
      </c>
      <c r="C821" s="182" t="e">
        <f t="shared" si="90"/>
        <v>#VALUE!</v>
      </c>
      <c r="D821" s="182" t="e">
        <f t="shared" si="86"/>
        <v>#VALUE!</v>
      </c>
      <c r="E821" s="182" t="e">
        <f t="shared" si="91"/>
        <v>#VALUE!</v>
      </c>
      <c r="F821" s="182" t="e">
        <f>SUM($D$33:D821)</f>
        <v>#VALUE!</v>
      </c>
      <c r="G821" s="182">
        <f t="shared" ca="1" si="92"/>
        <v>0</v>
      </c>
      <c r="H821" s="182" t="e">
        <f t="shared" si="88"/>
        <v>#VALUE!</v>
      </c>
      <c r="I821" s="183" t="e">
        <f t="shared" si="87"/>
        <v>#VALUE!</v>
      </c>
    </row>
    <row r="822" spans="1:9" x14ac:dyDescent="0.25">
      <c r="A822" s="180">
        <f t="shared" ca="1" si="89"/>
        <v>46894</v>
      </c>
      <c r="B822" s="181">
        <v>790</v>
      </c>
      <c r="C822" s="182" t="e">
        <f t="shared" si="90"/>
        <v>#VALUE!</v>
      </c>
      <c r="D822" s="182" t="e">
        <f t="shared" si="86"/>
        <v>#VALUE!</v>
      </c>
      <c r="E822" s="182" t="e">
        <f t="shared" si="91"/>
        <v>#VALUE!</v>
      </c>
      <c r="F822" s="182" t="e">
        <f>SUM($D$33:D822)</f>
        <v>#VALUE!</v>
      </c>
      <c r="G822" s="182">
        <f t="shared" ca="1" si="92"/>
        <v>0</v>
      </c>
      <c r="H822" s="182" t="e">
        <f t="shared" si="88"/>
        <v>#VALUE!</v>
      </c>
      <c r="I822" s="183" t="e">
        <f t="shared" si="87"/>
        <v>#VALUE!</v>
      </c>
    </row>
    <row r="823" spans="1:9" x14ac:dyDescent="0.25">
      <c r="A823" s="180">
        <f t="shared" ca="1" si="89"/>
        <v>46895</v>
      </c>
      <c r="B823" s="181">
        <v>791</v>
      </c>
      <c r="C823" s="182" t="e">
        <f t="shared" si="90"/>
        <v>#VALUE!</v>
      </c>
      <c r="D823" s="182" t="e">
        <f t="shared" si="86"/>
        <v>#VALUE!</v>
      </c>
      <c r="E823" s="182" t="e">
        <f t="shared" si="91"/>
        <v>#VALUE!</v>
      </c>
      <c r="F823" s="182" t="e">
        <f>SUM($D$33:D823)</f>
        <v>#VALUE!</v>
      </c>
      <c r="G823" s="182">
        <f t="shared" ca="1" si="92"/>
        <v>0</v>
      </c>
      <c r="H823" s="182" t="e">
        <f t="shared" si="88"/>
        <v>#VALUE!</v>
      </c>
      <c r="I823" s="183" t="e">
        <f t="shared" si="87"/>
        <v>#VALUE!</v>
      </c>
    </row>
    <row r="824" spans="1:9" x14ac:dyDescent="0.25">
      <c r="A824" s="180">
        <f t="shared" ca="1" si="89"/>
        <v>46896</v>
      </c>
      <c r="B824" s="181">
        <v>792</v>
      </c>
      <c r="C824" s="182" t="e">
        <f t="shared" si="90"/>
        <v>#VALUE!</v>
      </c>
      <c r="D824" s="182" t="e">
        <f t="shared" si="86"/>
        <v>#VALUE!</v>
      </c>
      <c r="E824" s="182" t="e">
        <f t="shared" si="91"/>
        <v>#VALUE!</v>
      </c>
      <c r="F824" s="182" t="e">
        <f>SUM($D$33:D824)</f>
        <v>#VALUE!</v>
      </c>
      <c r="G824" s="182">
        <f t="shared" ca="1" si="92"/>
        <v>0</v>
      </c>
      <c r="H824" s="182" t="e">
        <f t="shared" si="88"/>
        <v>#VALUE!</v>
      </c>
      <c r="I824" s="183" t="e">
        <f t="shared" si="87"/>
        <v>#VALUE!</v>
      </c>
    </row>
    <row r="825" spans="1:9" x14ac:dyDescent="0.25">
      <c r="A825" s="180">
        <f t="shared" ca="1" si="89"/>
        <v>46897</v>
      </c>
      <c r="B825" s="181">
        <v>793</v>
      </c>
      <c r="C825" s="182" t="e">
        <f t="shared" si="90"/>
        <v>#VALUE!</v>
      </c>
      <c r="D825" s="182" t="e">
        <f t="shared" si="86"/>
        <v>#VALUE!</v>
      </c>
      <c r="E825" s="182" t="e">
        <f t="shared" si="91"/>
        <v>#VALUE!</v>
      </c>
      <c r="F825" s="182" t="e">
        <f>SUM($D$33:D825)</f>
        <v>#VALUE!</v>
      </c>
      <c r="G825" s="182">
        <f t="shared" ca="1" si="92"/>
        <v>0</v>
      </c>
      <c r="H825" s="182" t="e">
        <f t="shared" si="88"/>
        <v>#VALUE!</v>
      </c>
      <c r="I825" s="183" t="e">
        <f t="shared" si="87"/>
        <v>#VALUE!</v>
      </c>
    </row>
    <row r="826" spans="1:9" x14ac:dyDescent="0.25">
      <c r="A826" s="180">
        <f t="shared" ca="1" si="89"/>
        <v>46898</v>
      </c>
      <c r="B826" s="181">
        <v>794</v>
      </c>
      <c r="C826" s="182" t="e">
        <f t="shared" si="90"/>
        <v>#VALUE!</v>
      </c>
      <c r="D826" s="182" t="e">
        <f t="shared" si="86"/>
        <v>#VALUE!</v>
      </c>
      <c r="E826" s="182" t="e">
        <f t="shared" si="91"/>
        <v>#VALUE!</v>
      </c>
      <c r="F826" s="182" t="e">
        <f>SUM($D$33:D826)</f>
        <v>#VALUE!</v>
      </c>
      <c r="G826" s="182">
        <f t="shared" ca="1" si="92"/>
        <v>0</v>
      </c>
      <c r="H826" s="182" t="e">
        <f t="shared" si="88"/>
        <v>#VALUE!</v>
      </c>
      <c r="I826" s="183" t="e">
        <f t="shared" si="87"/>
        <v>#VALUE!</v>
      </c>
    </row>
    <row r="827" spans="1:9" x14ac:dyDescent="0.25">
      <c r="A827" s="180">
        <f t="shared" ca="1" si="89"/>
        <v>46899</v>
      </c>
      <c r="B827" s="181">
        <v>795</v>
      </c>
      <c r="C827" s="182" t="e">
        <f t="shared" si="90"/>
        <v>#VALUE!</v>
      </c>
      <c r="D827" s="182" t="e">
        <f t="shared" si="86"/>
        <v>#VALUE!</v>
      </c>
      <c r="E827" s="182" t="e">
        <f t="shared" si="91"/>
        <v>#VALUE!</v>
      </c>
      <c r="F827" s="182" t="e">
        <f>SUM($D$33:D827)</f>
        <v>#VALUE!</v>
      </c>
      <c r="G827" s="182">
        <f t="shared" ca="1" si="92"/>
        <v>0</v>
      </c>
      <c r="H827" s="182" t="e">
        <f t="shared" si="88"/>
        <v>#VALUE!</v>
      </c>
      <c r="I827" s="183" t="e">
        <f t="shared" si="87"/>
        <v>#VALUE!</v>
      </c>
    </row>
    <row r="828" spans="1:9" x14ac:dyDescent="0.25">
      <c r="A828" s="180">
        <f t="shared" ca="1" si="89"/>
        <v>46900</v>
      </c>
      <c r="B828" s="181">
        <v>796</v>
      </c>
      <c r="C828" s="182" t="e">
        <f t="shared" si="90"/>
        <v>#VALUE!</v>
      </c>
      <c r="D828" s="182" t="e">
        <f t="shared" si="86"/>
        <v>#VALUE!</v>
      </c>
      <c r="E828" s="182" t="e">
        <f t="shared" si="91"/>
        <v>#VALUE!</v>
      </c>
      <c r="F828" s="182" t="e">
        <f>SUM($D$33:D828)</f>
        <v>#VALUE!</v>
      </c>
      <c r="G828" s="182">
        <f t="shared" ca="1" si="92"/>
        <v>0</v>
      </c>
      <c r="H828" s="182" t="e">
        <f t="shared" si="88"/>
        <v>#VALUE!</v>
      </c>
      <c r="I828" s="183" t="e">
        <f t="shared" si="87"/>
        <v>#VALUE!</v>
      </c>
    </row>
    <row r="829" spans="1:9" x14ac:dyDescent="0.25">
      <c r="A829" s="180">
        <f t="shared" ca="1" si="89"/>
        <v>46901</v>
      </c>
      <c r="B829" s="181">
        <v>797</v>
      </c>
      <c r="C829" s="182" t="e">
        <f t="shared" si="90"/>
        <v>#VALUE!</v>
      </c>
      <c r="D829" s="182" t="e">
        <f t="shared" si="86"/>
        <v>#VALUE!</v>
      </c>
      <c r="E829" s="182" t="e">
        <f t="shared" si="91"/>
        <v>#VALUE!</v>
      </c>
      <c r="F829" s="182" t="e">
        <f>SUM($D$33:D829)</f>
        <v>#VALUE!</v>
      </c>
      <c r="G829" s="182">
        <f t="shared" ca="1" si="92"/>
        <v>0</v>
      </c>
      <c r="H829" s="182" t="e">
        <f t="shared" si="88"/>
        <v>#VALUE!</v>
      </c>
      <c r="I829" s="183" t="e">
        <f t="shared" si="87"/>
        <v>#VALUE!</v>
      </c>
    </row>
    <row r="830" spans="1:9" x14ac:dyDescent="0.25">
      <c r="A830" s="180">
        <f t="shared" ca="1" si="89"/>
        <v>46902</v>
      </c>
      <c r="B830" s="181">
        <v>798</v>
      </c>
      <c r="C830" s="182" t="e">
        <f t="shared" si="90"/>
        <v>#VALUE!</v>
      </c>
      <c r="D830" s="182" t="e">
        <f t="shared" si="86"/>
        <v>#VALUE!</v>
      </c>
      <c r="E830" s="182" t="e">
        <f t="shared" si="91"/>
        <v>#VALUE!</v>
      </c>
      <c r="F830" s="182" t="e">
        <f>SUM($D$33:D830)</f>
        <v>#VALUE!</v>
      </c>
      <c r="G830" s="182">
        <f t="shared" ca="1" si="92"/>
        <v>0</v>
      </c>
      <c r="H830" s="182" t="e">
        <f t="shared" si="88"/>
        <v>#VALUE!</v>
      </c>
      <c r="I830" s="183" t="e">
        <f t="shared" si="87"/>
        <v>#VALUE!</v>
      </c>
    </row>
    <row r="831" spans="1:9" x14ac:dyDescent="0.25">
      <c r="A831" s="180">
        <f t="shared" ca="1" si="89"/>
        <v>46903</v>
      </c>
      <c r="B831" s="181">
        <v>799</v>
      </c>
      <c r="C831" s="182" t="e">
        <f t="shared" si="90"/>
        <v>#VALUE!</v>
      </c>
      <c r="D831" s="182" t="e">
        <f t="shared" si="86"/>
        <v>#VALUE!</v>
      </c>
      <c r="E831" s="182" t="e">
        <f t="shared" si="91"/>
        <v>#VALUE!</v>
      </c>
      <c r="F831" s="182" t="e">
        <f>SUM($D$33:D831)</f>
        <v>#VALUE!</v>
      </c>
      <c r="G831" s="182">
        <f t="shared" ca="1" si="92"/>
        <v>0</v>
      </c>
      <c r="H831" s="182" t="e">
        <f t="shared" si="88"/>
        <v>#VALUE!</v>
      </c>
      <c r="I831" s="183" t="e">
        <f t="shared" si="87"/>
        <v>#VALUE!</v>
      </c>
    </row>
    <row r="832" spans="1:9" x14ac:dyDescent="0.25">
      <c r="A832" s="180">
        <f t="shared" ca="1" si="89"/>
        <v>46904</v>
      </c>
      <c r="B832" s="181">
        <v>800</v>
      </c>
      <c r="C832" s="182" t="e">
        <f t="shared" si="90"/>
        <v>#VALUE!</v>
      </c>
      <c r="D832" s="182" t="e">
        <f t="shared" si="86"/>
        <v>#VALUE!</v>
      </c>
      <c r="E832" s="182" t="e">
        <f t="shared" si="91"/>
        <v>#VALUE!</v>
      </c>
      <c r="F832" s="182" t="e">
        <f>SUM($D$33:D832)</f>
        <v>#VALUE!</v>
      </c>
      <c r="G832" s="182">
        <f t="shared" ca="1" si="92"/>
        <v>0</v>
      </c>
      <c r="H832" s="182" t="e">
        <f t="shared" si="88"/>
        <v>#VALUE!</v>
      </c>
      <c r="I832" s="183" t="e">
        <f t="shared" si="87"/>
        <v>#VALUE!</v>
      </c>
    </row>
    <row r="833" spans="1:9" x14ac:dyDescent="0.25">
      <c r="A833" s="180">
        <f t="shared" ca="1" si="89"/>
        <v>46905</v>
      </c>
      <c r="B833" s="181">
        <v>801</v>
      </c>
      <c r="C833" s="182" t="e">
        <f t="shared" si="90"/>
        <v>#VALUE!</v>
      </c>
      <c r="D833" s="182" t="e">
        <f t="shared" si="86"/>
        <v>#VALUE!</v>
      </c>
      <c r="E833" s="182" t="e">
        <f t="shared" si="91"/>
        <v>#VALUE!</v>
      </c>
      <c r="F833" s="182" t="e">
        <f>SUM($D$33:D833)</f>
        <v>#VALUE!</v>
      </c>
      <c r="G833" s="182">
        <f t="shared" ca="1" si="92"/>
        <v>0</v>
      </c>
      <c r="H833" s="182" t="e">
        <f t="shared" si="88"/>
        <v>#VALUE!</v>
      </c>
      <c r="I833" s="183" t="e">
        <f t="shared" si="87"/>
        <v>#VALUE!</v>
      </c>
    </row>
    <row r="834" spans="1:9" x14ac:dyDescent="0.25">
      <c r="A834" s="180">
        <f t="shared" ca="1" si="89"/>
        <v>46906</v>
      </c>
      <c r="B834" s="181">
        <v>802</v>
      </c>
      <c r="C834" s="182" t="e">
        <f t="shared" si="90"/>
        <v>#VALUE!</v>
      </c>
      <c r="D834" s="182" t="e">
        <f t="shared" si="86"/>
        <v>#VALUE!</v>
      </c>
      <c r="E834" s="182" t="e">
        <f t="shared" si="91"/>
        <v>#VALUE!</v>
      </c>
      <c r="F834" s="182" t="e">
        <f>SUM($D$33:D834)</f>
        <v>#VALUE!</v>
      </c>
      <c r="G834" s="182">
        <f t="shared" ca="1" si="92"/>
        <v>0</v>
      </c>
      <c r="H834" s="182" t="e">
        <f t="shared" si="88"/>
        <v>#VALUE!</v>
      </c>
      <c r="I834" s="183" t="e">
        <f t="shared" si="87"/>
        <v>#VALUE!</v>
      </c>
    </row>
    <row r="835" spans="1:9" x14ac:dyDescent="0.25">
      <c r="A835" s="180">
        <f t="shared" ca="1" si="89"/>
        <v>46907</v>
      </c>
      <c r="B835" s="181">
        <v>803</v>
      </c>
      <c r="C835" s="182" t="e">
        <f t="shared" si="90"/>
        <v>#VALUE!</v>
      </c>
      <c r="D835" s="182" t="e">
        <f t="shared" si="86"/>
        <v>#VALUE!</v>
      </c>
      <c r="E835" s="182" t="e">
        <f t="shared" si="91"/>
        <v>#VALUE!</v>
      </c>
      <c r="F835" s="182" t="e">
        <f>SUM($D$33:D835)</f>
        <v>#VALUE!</v>
      </c>
      <c r="G835" s="182">
        <f t="shared" ca="1" si="92"/>
        <v>0</v>
      </c>
      <c r="H835" s="182" t="e">
        <f t="shared" si="88"/>
        <v>#VALUE!</v>
      </c>
      <c r="I835" s="183" t="e">
        <f t="shared" si="87"/>
        <v>#VALUE!</v>
      </c>
    </row>
    <row r="836" spans="1:9" x14ac:dyDescent="0.25">
      <c r="A836" s="180">
        <f t="shared" ca="1" si="89"/>
        <v>46908</v>
      </c>
      <c r="B836" s="181">
        <v>804</v>
      </c>
      <c r="C836" s="182" t="e">
        <f t="shared" ref="C836:C899" si="93">H835</f>
        <v>#VALUE!</v>
      </c>
      <c r="D836" s="182" t="e">
        <f t="shared" ref="D836:D899" si="94">IF(C836&gt;$H$21,C836*($L$16/360),$H$21*($L$16/360))</f>
        <v>#VALUE!</v>
      </c>
      <c r="E836" s="182" t="e">
        <f t="shared" ref="E836:E899" si="95">IF(E835&gt;0,E835-D836,0)</f>
        <v>#VALUE!</v>
      </c>
      <c r="F836" s="182" t="e">
        <f>SUM($D$33:D836)</f>
        <v>#VALUE!</v>
      </c>
      <c r="G836" s="182">
        <f t="shared" ref="G836:G899" ca="1" si="96">IFERROR(-VLOOKUP(A836,$K$30:$M$36,2,FALSE),0)</f>
        <v>0</v>
      </c>
      <c r="H836" s="182" t="e">
        <f t="shared" ref="H836:H899" si="97">IF(E836&gt;0,C836+G836,IF(E836&lt;0,C836+G836+D836-E835,C836+D836+G836))</f>
        <v>#VALUE!</v>
      </c>
      <c r="I836" s="183" t="e">
        <f t="shared" ref="I836:I899" si="98">(C836+D836-E836)</f>
        <v>#VALUE!</v>
      </c>
    </row>
    <row r="837" spans="1:9" x14ac:dyDescent="0.25">
      <c r="A837" s="180">
        <f t="shared" ca="1" si="89"/>
        <v>46909</v>
      </c>
      <c r="B837" s="181">
        <v>805</v>
      </c>
      <c r="C837" s="182" t="e">
        <f t="shared" si="93"/>
        <v>#VALUE!</v>
      </c>
      <c r="D837" s="182" t="e">
        <f t="shared" si="94"/>
        <v>#VALUE!</v>
      </c>
      <c r="E837" s="182" t="e">
        <f t="shared" si="95"/>
        <v>#VALUE!</v>
      </c>
      <c r="F837" s="182" t="e">
        <f>SUM($D$33:D837)</f>
        <v>#VALUE!</v>
      </c>
      <c r="G837" s="182">
        <f t="shared" ca="1" si="96"/>
        <v>0</v>
      </c>
      <c r="H837" s="182" t="e">
        <f t="shared" si="97"/>
        <v>#VALUE!</v>
      </c>
      <c r="I837" s="183" t="e">
        <f t="shared" si="98"/>
        <v>#VALUE!</v>
      </c>
    </row>
    <row r="838" spans="1:9" x14ac:dyDescent="0.25">
      <c r="A838" s="180">
        <f t="shared" ca="1" si="89"/>
        <v>46910</v>
      </c>
      <c r="B838" s="181">
        <v>806</v>
      </c>
      <c r="C838" s="182" t="e">
        <f t="shared" si="93"/>
        <v>#VALUE!</v>
      </c>
      <c r="D838" s="182" t="e">
        <f t="shared" si="94"/>
        <v>#VALUE!</v>
      </c>
      <c r="E838" s="182" t="e">
        <f t="shared" si="95"/>
        <v>#VALUE!</v>
      </c>
      <c r="F838" s="182" t="e">
        <f>SUM($D$33:D838)</f>
        <v>#VALUE!</v>
      </c>
      <c r="G838" s="182">
        <f t="shared" ca="1" si="96"/>
        <v>0</v>
      </c>
      <c r="H838" s="182" t="e">
        <f t="shared" si="97"/>
        <v>#VALUE!</v>
      </c>
      <c r="I838" s="183" t="e">
        <f t="shared" si="98"/>
        <v>#VALUE!</v>
      </c>
    </row>
    <row r="839" spans="1:9" x14ac:dyDescent="0.25">
      <c r="A839" s="180">
        <f t="shared" ca="1" si="89"/>
        <v>46911</v>
      </c>
      <c r="B839" s="181">
        <v>807</v>
      </c>
      <c r="C839" s="182" t="e">
        <f t="shared" si="93"/>
        <v>#VALUE!</v>
      </c>
      <c r="D839" s="182" t="e">
        <f t="shared" si="94"/>
        <v>#VALUE!</v>
      </c>
      <c r="E839" s="182" t="e">
        <f t="shared" si="95"/>
        <v>#VALUE!</v>
      </c>
      <c r="F839" s="182" t="e">
        <f>SUM($D$33:D839)</f>
        <v>#VALUE!</v>
      </c>
      <c r="G839" s="182">
        <f t="shared" ca="1" si="96"/>
        <v>0</v>
      </c>
      <c r="H839" s="182" t="e">
        <f t="shared" si="97"/>
        <v>#VALUE!</v>
      </c>
      <c r="I839" s="183" t="e">
        <f t="shared" si="98"/>
        <v>#VALUE!</v>
      </c>
    </row>
    <row r="840" spans="1:9" x14ac:dyDescent="0.25">
      <c r="A840" s="180">
        <f t="shared" ca="1" si="89"/>
        <v>46912</v>
      </c>
      <c r="B840" s="181">
        <v>808</v>
      </c>
      <c r="C840" s="182" t="e">
        <f t="shared" si="93"/>
        <v>#VALUE!</v>
      </c>
      <c r="D840" s="182" t="e">
        <f t="shared" si="94"/>
        <v>#VALUE!</v>
      </c>
      <c r="E840" s="182" t="e">
        <f t="shared" si="95"/>
        <v>#VALUE!</v>
      </c>
      <c r="F840" s="182" t="e">
        <f>SUM($D$33:D840)</f>
        <v>#VALUE!</v>
      </c>
      <c r="G840" s="182">
        <f t="shared" ca="1" si="96"/>
        <v>0</v>
      </c>
      <c r="H840" s="182" t="e">
        <f t="shared" si="97"/>
        <v>#VALUE!</v>
      </c>
      <c r="I840" s="183" t="e">
        <f t="shared" si="98"/>
        <v>#VALUE!</v>
      </c>
    </row>
    <row r="841" spans="1:9" x14ac:dyDescent="0.25">
      <c r="A841" s="180">
        <f t="shared" ca="1" si="89"/>
        <v>46913</v>
      </c>
      <c r="B841" s="181">
        <v>809</v>
      </c>
      <c r="C841" s="182" t="e">
        <f t="shared" si="93"/>
        <v>#VALUE!</v>
      </c>
      <c r="D841" s="182" t="e">
        <f t="shared" si="94"/>
        <v>#VALUE!</v>
      </c>
      <c r="E841" s="182" t="e">
        <f t="shared" si="95"/>
        <v>#VALUE!</v>
      </c>
      <c r="F841" s="182" t="e">
        <f>SUM($D$33:D841)</f>
        <v>#VALUE!</v>
      </c>
      <c r="G841" s="182">
        <f t="shared" ca="1" si="96"/>
        <v>0</v>
      </c>
      <c r="H841" s="182" t="e">
        <f t="shared" si="97"/>
        <v>#VALUE!</v>
      </c>
      <c r="I841" s="183" t="e">
        <f t="shared" si="98"/>
        <v>#VALUE!</v>
      </c>
    </row>
    <row r="842" spans="1:9" x14ac:dyDescent="0.25">
      <c r="A842" s="180">
        <f t="shared" ca="1" si="89"/>
        <v>46914</v>
      </c>
      <c r="B842" s="181">
        <v>810</v>
      </c>
      <c r="C842" s="182" t="e">
        <f t="shared" si="93"/>
        <v>#VALUE!</v>
      </c>
      <c r="D842" s="182" t="e">
        <f t="shared" si="94"/>
        <v>#VALUE!</v>
      </c>
      <c r="E842" s="182" t="e">
        <f t="shared" si="95"/>
        <v>#VALUE!</v>
      </c>
      <c r="F842" s="182" t="e">
        <f>SUM($D$33:D842)</f>
        <v>#VALUE!</v>
      </c>
      <c r="G842" s="182">
        <f t="shared" ca="1" si="96"/>
        <v>0</v>
      </c>
      <c r="H842" s="182" t="e">
        <f t="shared" si="97"/>
        <v>#VALUE!</v>
      </c>
      <c r="I842" s="183" t="e">
        <f t="shared" si="98"/>
        <v>#VALUE!</v>
      </c>
    </row>
    <row r="843" spans="1:9" x14ac:dyDescent="0.25">
      <c r="A843" s="180">
        <f t="shared" ca="1" si="89"/>
        <v>46915</v>
      </c>
      <c r="B843" s="181">
        <v>811</v>
      </c>
      <c r="C843" s="182" t="e">
        <f t="shared" si="93"/>
        <v>#VALUE!</v>
      </c>
      <c r="D843" s="182" t="e">
        <f t="shared" si="94"/>
        <v>#VALUE!</v>
      </c>
      <c r="E843" s="182" t="e">
        <f t="shared" si="95"/>
        <v>#VALUE!</v>
      </c>
      <c r="F843" s="182" t="e">
        <f>SUM($D$33:D843)</f>
        <v>#VALUE!</v>
      </c>
      <c r="G843" s="182">
        <f t="shared" ca="1" si="96"/>
        <v>0</v>
      </c>
      <c r="H843" s="182" t="e">
        <f t="shared" si="97"/>
        <v>#VALUE!</v>
      </c>
      <c r="I843" s="183" t="e">
        <f t="shared" si="98"/>
        <v>#VALUE!</v>
      </c>
    </row>
    <row r="844" spans="1:9" x14ac:dyDescent="0.25">
      <c r="A844" s="180">
        <f t="shared" ca="1" si="89"/>
        <v>46916</v>
      </c>
      <c r="B844" s="181">
        <v>812</v>
      </c>
      <c r="C844" s="182" t="e">
        <f t="shared" si="93"/>
        <v>#VALUE!</v>
      </c>
      <c r="D844" s="182" t="e">
        <f t="shared" si="94"/>
        <v>#VALUE!</v>
      </c>
      <c r="E844" s="182" t="e">
        <f t="shared" si="95"/>
        <v>#VALUE!</v>
      </c>
      <c r="F844" s="182" t="e">
        <f>SUM($D$33:D844)</f>
        <v>#VALUE!</v>
      </c>
      <c r="G844" s="182">
        <f t="shared" ca="1" si="96"/>
        <v>0</v>
      </c>
      <c r="H844" s="182" t="e">
        <f t="shared" si="97"/>
        <v>#VALUE!</v>
      </c>
      <c r="I844" s="183" t="e">
        <f t="shared" si="98"/>
        <v>#VALUE!</v>
      </c>
    </row>
    <row r="845" spans="1:9" x14ac:dyDescent="0.25">
      <c r="A845" s="180">
        <f t="shared" ca="1" si="89"/>
        <v>46917</v>
      </c>
      <c r="B845" s="181">
        <v>813</v>
      </c>
      <c r="C845" s="182" t="e">
        <f t="shared" si="93"/>
        <v>#VALUE!</v>
      </c>
      <c r="D845" s="182" t="e">
        <f t="shared" si="94"/>
        <v>#VALUE!</v>
      </c>
      <c r="E845" s="182" t="e">
        <f t="shared" si="95"/>
        <v>#VALUE!</v>
      </c>
      <c r="F845" s="182" t="e">
        <f>SUM($D$33:D845)</f>
        <v>#VALUE!</v>
      </c>
      <c r="G845" s="182">
        <f t="shared" ca="1" si="96"/>
        <v>0</v>
      </c>
      <c r="H845" s="182" t="e">
        <f t="shared" si="97"/>
        <v>#VALUE!</v>
      </c>
      <c r="I845" s="183" t="e">
        <f t="shared" si="98"/>
        <v>#VALUE!</v>
      </c>
    </row>
    <row r="846" spans="1:9" x14ac:dyDescent="0.25">
      <c r="A846" s="180">
        <f t="shared" ca="1" si="89"/>
        <v>46918</v>
      </c>
      <c r="B846" s="181">
        <v>814</v>
      </c>
      <c r="C846" s="182" t="e">
        <f t="shared" si="93"/>
        <v>#VALUE!</v>
      </c>
      <c r="D846" s="182" t="e">
        <f t="shared" si="94"/>
        <v>#VALUE!</v>
      </c>
      <c r="E846" s="182" t="e">
        <f t="shared" si="95"/>
        <v>#VALUE!</v>
      </c>
      <c r="F846" s="182" t="e">
        <f>SUM($D$33:D846)</f>
        <v>#VALUE!</v>
      </c>
      <c r="G846" s="182">
        <f t="shared" ca="1" si="96"/>
        <v>0</v>
      </c>
      <c r="H846" s="182" t="e">
        <f t="shared" si="97"/>
        <v>#VALUE!</v>
      </c>
      <c r="I846" s="183" t="e">
        <f t="shared" si="98"/>
        <v>#VALUE!</v>
      </c>
    </row>
    <row r="847" spans="1:9" x14ac:dyDescent="0.25">
      <c r="A847" s="180">
        <f t="shared" ca="1" si="89"/>
        <v>46919</v>
      </c>
      <c r="B847" s="181">
        <v>815</v>
      </c>
      <c r="C847" s="182" t="e">
        <f t="shared" si="93"/>
        <v>#VALUE!</v>
      </c>
      <c r="D847" s="182" t="e">
        <f t="shared" si="94"/>
        <v>#VALUE!</v>
      </c>
      <c r="E847" s="182" t="e">
        <f t="shared" si="95"/>
        <v>#VALUE!</v>
      </c>
      <c r="F847" s="182" t="e">
        <f>SUM($D$33:D847)</f>
        <v>#VALUE!</v>
      </c>
      <c r="G847" s="182">
        <f t="shared" ca="1" si="96"/>
        <v>0</v>
      </c>
      <c r="H847" s="182" t="e">
        <f t="shared" si="97"/>
        <v>#VALUE!</v>
      </c>
      <c r="I847" s="183" t="e">
        <f t="shared" si="98"/>
        <v>#VALUE!</v>
      </c>
    </row>
    <row r="848" spans="1:9" x14ac:dyDescent="0.25">
      <c r="A848" s="180">
        <f t="shared" ca="1" si="89"/>
        <v>46920</v>
      </c>
      <c r="B848" s="181">
        <v>816</v>
      </c>
      <c r="C848" s="182" t="e">
        <f t="shared" si="93"/>
        <v>#VALUE!</v>
      </c>
      <c r="D848" s="182" t="e">
        <f t="shared" si="94"/>
        <v>#VALUE!</v>
      </c>
      <c r="E848" s="182" t="e">
        <f t="shared" si="95"/>
        <v>#VALUE!</v>
      </c>
      <c r="F848" s="182" t="e">
        <f>SUM($D$33:D848)</f>
        <v>#VALUE!</v>
      </c>
      <c r="G848" s="182">
        <f t="shared" ca="1" si="96"/>
        <v>0</v>
      </c>
      <c r="H848" s="182" t="e">
        <f t="shared" si="97"/>
        <v>#VALUE!</v>
      </c>
      <c r="I848" s="183" t="e">
        <f t="shared" si="98"/>
        <v>#VALUE!</v>
      </c>
    </row>
    <row r="849" spans="1:9" x14ac:dyDescent="0.25">
      <c r="A849" s="180">
        <f t="shared" ca="1" si="89"/>
        <v>46921</v>
      </c>
      <c r="B849" s="181">
        <v>817</v>
      </c>
      <c r="C849" s="182" t="e">
        <f t="shared" si="93"/>
        <v>#VALUE!</v>
      </c>
      <c r="D849" s="182" t="e">
        <f t="shared" si="94"/>
        <v>#VALUE!</v>
      </c>
      <c r="E849" s="182" t="e">
        <f t="shared" si="95"/>
        <v>#VALUE!</v>
      </c>
      <c r="F849" s="182" t="e">
        <f>SUM($D$33:D849)</f>
        <v>#VALUE!</v>
      </c>
      <c r="G849" s="182">
        <f t="shared" ca="1" si="96"/>
        <v>0</v>
      </c>
      <c r="H849" s="182" t="e">
        <f t="shared" si="97"/>
        <v>#VALUE!</v>
      </c>
      <c r="I849" s="183" t="e">
        <f t="shared" si="98"/>
        <v>#VALUE!</v>
      </c>
    </row>
    <row r="850" spans="1:9" x14ac:dyDescent="0.25">
      <c r="A850" s="180">
        <f t="shared" ca="1" si="89"/>
        <v>46922</v>
      </c>
      <c r="B850" s="181">
        <v>818</v>
      </c>
      <c r="C850" s="182" t="e">
        <f t="shared" si="93"/>
        <v>#VALUE!</v>
      </c>
      <c r="D850" s="182" t="e">
        <f t="shared" si="94"/>
        <v>#VALUE!</v>
      </c>
      <c r="E850" s="182" t="e">
        <f t="shared" si="95"/>
        <v>#VALUE!</v>
      </c>
      <c r="F850" s="182" t="e">
        <f>SUM($D$33:D850)</f>
        <v>#VALUE!</v>
      </c>
      <c r="G850" s="182">
        <f t="shared" ca="1" si="96"/>
        <v>0</v>
      </c>
      <c r="H850" s="182" t="e">
        <f t="shared" si="97"/>
        <v>#VALUE!</v>
      </c>
      <c r="I850" s="183" t="e">
        <f t="shared" si="98"/>
        <v>#VALUE!</v>
      </c>
    </row>
    <row r="851" spans="1:9" x14ac:dyDescent="0.25">
      <c r="A851" s="180">
        <f t="shared" ca="1" si="89"/>
        <v>46923</v>
      </c>
      <c r="B851" s="181">
        <v>819</v>
      </c>
      <c r="C851" s="182" t="e">
        <f t="shared" si="93"/>
        <v>#VALUE!</v>
      </c>
      <c r="D851" s="182" t="e">
        <f t="shared" si="94"/>
        <v>#VALUE!</v>
      </c>
      <c r="E851" s="182" t="e">
        <f t="shared" si="95"/>
        <v>#VALUE!</v>
      </c>
      <c r="F851" s="182" t="e">
        <f>SUM($D$33:D851)</f>
        <v>#VALUE!</v>
      </c>
      <c r="G851" s="182">
        <f t="shared" ca="1" si="96"/>
        <v>0</v>
      </c>
      <c r="H851" s="182" t="e">
        <f t="shared" si="97"/>
        <v>#VALUE!</v>
      </c>
      <c r="I851" s="183" t="e">
        <f t="shared" si="98"/>
        <v>#VALUE!</v>
      </c>
    </row>
    <row r="852" spans="1:9" x14ac:dyDescent="0.25">
      <c r="A852" s="180">
        <f t="shared" ca="1" si="89"/>
        <v>46924</v>
      </c>
      <c r="B852" s="181">
        <v>820</v>
      </c>
      <c r="C852" s="182" t="e">
        <f t="shared" si="93"/>
        <v>#VALUE!</v>
      </c>
      <c r="D852" s="182" t="e">
        <f t="shared" si="94"/>
        <v>#VALUE!</v>
      </c>
      <c r="E852" s="182" t="e">
        <f t="shared" si="95"/>
        <v>#VALUE!</v>
      </c>
      <c r="F852" s="182" t="e">
        <f>SUM($D$33:D852)</f>
        <v>#VALUE!</v>
      </c>
      <c r="G852" s="182">
        <f t="shared" ca="1" si="96"/>
        <v>0</v>
      </c>
      <c r="H852" s="182" t="e">
        <f t="shared" si="97"/>
        <v>#VALUE!</v>
      </c>
      <c r="I852" s="183" t="e">
        <f t="shared" si="98"/>
        <v>#VALUE!</v>
      </c>
    </row>
    <row r="853" spans="1:9" x14ac:dyDescent="0.25">
      <c r="A853" s="180">
        <f t="shared" ca="1" si="89"/>
        <v>46925</v>
      </c>
      <c r="B853" s="181">
        <v>821</v>
      </c>
      <c r="C853" s="182" t="e">
        <f t="shared" si="93"/>
        <v>#VALUE!</v>
      </c>
      <c r="D853" s="182" t="e">
        <f t="shared" si="94"/>
        <v>#VALUE!</v>
      </c>
      <c r="E853" s="182" t="e">
        <f t="shared" si="95"/>
        <v>#VALUE!</v>
      </c>
      <c r="F853" s="182" t="e">
        <f>SUM($D$33:D853)</f>
        <v>#VALUE!</v>
      </c>
      <c r="G853" s="182">
        <f t="shared" ca="1" si="96"/>
        <v>0</v>
      </c>
      <c r="H853" s="182" t="e">
        <f t="shared" si="97"/>
        <v>#VALUE!</v>
      </c>
      <c r="I853" s="183" t="e">
        <f t="shared" si="98"/>
        <v>#VALUE!</v>
      </c>
    </row>
    <row r="854" spans="1:9" x14ac:dyDescent="0.25">
      <c r="A854" s="180">
        <f t="shared" ca="1" si="89"/>
        <v>46926</v>
      </c>
      <c r="B854" s="181">
        <v>822</v>
      </c>
      <c r="C854" s="182" t="e">
        <f t="shared" si="93"/>
        <v>#VALUE!</v>
      </c>
      <c r="D854" s="182" t="e">
        <f t="shared" si="94"/>
        <v>#VALUE!</v>
      </c>
      <c r="E854" s="182" t="e">
        <f t="shared" si="95"/>
        <v>#VALUE!</v>
      </c>
      <c r="F854" s="182" t="e">
        <f>SUM($D$33:D854)</f>
        <v>#VALUE!</v>
      </c>
      <c r="G854" s="182">
        <f t="shared" ca="1" si="96"/>
        <v>0</v>
      </c>
      <c r="H854" s="182" t="e">
        <f t="shared" si="97"/>
        <v>#VALUE!</v>
      </c>
      <c r="I854" s="183" t="e">
        <f t="shared" si="98"/>
        <v>#VALUE!</v>
      </c>
    </row>
    <row r="855" spans="1:9" x14ac:dyDescent="0.25">
      <c r="A855" s="180">
        <f t="shared" ca="1" si="89"/>
        <v>46927</v>
      </c>
      <c r="B855" s="181">
        <v>823</v>
      </c>
      <c r="C855" s="182" t="e">
        <f t="shared" si="93"/>
        <v>#VALUE!</v>
      </c>
      <c r="D855" s="182" t="e">
        <f t="shared" si="94"/>
        <v>#VALUE!</v>
      </c>
      <c r="E855" s="182" t="e">
        <f t="shared" si="95"/>
        <v>#VALUE!</v>
      </c>
      <c r="F855" s="182" t="e">
        <f>SUM($D$33:D855)</f>
        <v>#VALUE!</v>
      </c>
      <c r="G855" s="182">
        <f t="shared" ca="1" si="96"/>
        <v>0</v>
      </c>
      <c r="H855" s="182" t="e">
        <f t="shared" si="97"/>
        <v>#VALUE!</v>
      </c>
      <c r="I855" s="183" t="e">
        <f t="shared" si="98"/>
        <v>#VALUE!</v>
      </c>
    </row>
    <row r="856" spans="1:9" x14ac:dyDescent="0.25">
      <c r="A856" s="180">
        <f t="shared" ca="1" si="89"/>
        <v>46928</v>
      </c>
      <c r="B856" s="181">
        <v>824</v>
      </c>
      <c r="C856" s="182" t="e">
        <f t="shared" si="93"/>
        <v>#VALUE!</v>
      </c>
      <c r="D856" s="182" t="e">
        <f t="shared" si="94"/>
        <v>#VALUE!</v>
      </c>
      <c r="E856" s="182" t="e">
        <f t="shared" si="95"/>
        <v>#VALUE!</v>
      </c>
      <c r="F856" s="182" t="e">
        <f>SUM($D$33:D856)</f>
        <v>#VALUE!</v>
      </c>
      <c r="G856" s="182">
        <f t="shared" ca="1" si="96"/>
        <v>0</v>
      </c>
      <c r="H856" s="182" t="e">
        <f t="shared" si="97"/>
        <v>#VALUE!</v>
      </c>
      <c r="I856" s="183" t="e">
        <f t="shared" si="98"/>
        <v>#VALUE!</v>
      </c>
    </row>
    <row r="857" spans="1:9" x14ac:dyDescent="0.25">
      <c r="A857" s="180">
        <f t="shared" ca="1" si="89"/>
        <v>46929</v>
      </c>
      <c r="B857" s="181">
        <v>825</v>
      </c>
      <c r="C857" s="182" t="e">
        <f t="shared" si="93"/>
        <v>#VALUE!</v>
      </c>
      <c r="D857" s="182" t="e">
        <f t="shared" si="94"/>
        <v>#VALUE!</v>
      </c>
      <c r="E857" s="182" t="e">
        <f t="shared" si="95"/>
        <v>#VALUE!</v>
      </c>
      <c r="F857" s="182" t="e">
        <f>SUM($D$33:D857)</f>
        <v>#VALUE!</v>
      </c>
      <c r="G857" s="182">
        <f t="shared" ca="1" si="96"/>
        <v>0</v>
      </c>
      <c r="H857" s="182" t="e">
        <f t="shared" si="97"/>
        <v>#VALUE!</v>
      </c>
      <c r="I857" s="183" t="e">
        <f t="shared" si="98"/>
        <v>#VALUE!</v>
      </c>
    </row>
    <row r="858" spans="1:9" x14ac:dyDescent="0.25">
      <c r="A858" s="180">
        <f t="shared" ca="1" si="89"/>
        <v>46930</v>
      </c>
      <c r="B858" s="181">
        <v>826</v>
      </c>
      <c r="C858" s="182" t="e">
        <f t="shared" si="93"/>
        <v>#VALUE!</v>
      </c>
      <c r="D858" s="182" t="e">
        <f t="shared" si="94"/>
        <v>#VALUE!</v>
      </c>
      <c r="E858" s="182" t="e">
        <f t="shared" si="95"/>
        <v>#VALUE!</v>
      </c>
      <c r="F858" s="182" t="e">
        <f>SUM($D$33:D858)</f>
        <v>#VALUE!</v>
      </c>
      <c r="G858" s="182">
        <f t="shared" ca="1" si="96"/>
        <v>0</v>
      </c>
      <c r="H858" s="182" t="e">
        <f t="shared" si="97"/>
        <v>#VALUE!</v>
      </c>
      <c r="I858" s="183" t="e">
        <f t="shared" si="98"/>
        <v>#VALUE!</v>
      </c>
    </row>
    <row r="859" spans="1:9" x14ac:dyDescent="0.25">
      <c r="A859" s="180">
        <f t="shared" ca="1" si="89"/>
        <v>46931</v>
      </c>
      <c r="B859" s="181">
        <v>827</v>
      </c>
      <c r="C859" s="182" t="e">
        <f t="shared" si="93"/>
        <v>#VALUE!</v>
      </c>
      <c r="D859" s="182" t="e">
        <f t="shared" si="94"/>
        <v>#VALUE!</v>
      </c>
      <c r="E859" s="182" t="e">
        <f t="shared" si="95"/>
        <v>#VALUE!</v>
      </c>
      <c r="F859" s="182" t="e">
        <f>SUM($D$33:D859)</f>
        <v>#VALUE!</v>
      </c>
      <c r="G859" s="182">
        <f t="shared" ca="1" si="96"/>
        <v>0</v>
      </c>
      <c r="H859" s="182" t="e">
        <f t="shared" si="97"/>
        <v>#VALUE!</v>
      </c>
      <c r="I859" s="183" t="e">
        <f t="shared" si="98"/>
        <v>#VALUE!</v>
      </c>
    </row>
    <row r="860" spans="1:9" x14ac:dyDescent="0.25">
      <c r="A860" s="180">
        <f t="shared" ca="1" si="89"/>
        <v>46932</v>
      </c>
      <c r="B860" s="181">
        <v>828</v>
      </c>
      <c r="C860" s="182" t="e">
        <f t="shared" si="93"/>
        <v>#VALUE!</v>
      </c>
      <c r="D860" s="182" t="e">
        <f t="shared" si="94"/>
        <v>#VALUE!</v>
      </c>
      <c r="E860" s="182" t="e">
        <f t="shared" si="95"/>
        <v>#VALUE!</v>
      </c>
      <c r="F860" s="182" t="e">
        <f>SUM($D$33:D860)</f>
        <v>#VALUE!</v>
      </c>
      <c r="G860" s="182">
        <f t="shared" ca="1" si="96"/>
        <v>0</v>
      </c>
      <c r="H860" s="182" t="e">
        <f t="shared" si="97"/>
        <v>#VALUE!</v>
      </c>
      <c r="I860" s="183" t="e">
        <f t="shared" si="98"/>
        <v>#VALUE!</v>
      </c>
    </row>
    <row r="861" spans="1:9" x14ac:dyDescent="0.25">
      <c r="A861" s="180">
        <f t="shared" ca="1" si="89"/>
        <v>46933</v>
      </c>
      <c r="B861" s="181">
        <v>829</v>
      </c>
      <c r="C861" s="182" t="e">
        <f t="shared" si="93"/>
        <v>#VALUE!</v>
      </c>
      <c r="D861" s="182" t="e">
        <f t="shared" si="94"/>
        <v>#VALUE!</v>
      </c>
      <c r="E861" s="182" t="e">
        <f t="shared" si="95"/>
        <v>#VALUE!</v>
      </c>
      <c r="F861" s="182" t="e">
        <f>SUM($D$33:D861)</f>
        <v>#VALUE!</v>
      </c>
      <c r="G861" s="182">
        <f t="shared" ca="1" si="96"/>
        <v>0</v>
      </c>
      <c r="H861" s="182" t="e">
        <f t="shared" si="97"/>
        <v>#VALUE!</v>
      </c>
      <c r="I861" s="183" t="e">
        <f t="shared" si="98"/>
        <v>#VALUE!</v>
      </c>
    </row>
    <row r="862" spans="1:9" x14ac:dyDescent="0.25">
      <c r="A862" s="180">
        <f t="shared" ca="1" si="89"/>
        <v>46934</v>
      </c>
      <c r="B862" s="181">
        <v>830</v>
      </c>
      <c r="C862" s="182" t="e">
        <f t="shared" si="93"/>
        <v>#VALUE!</v>
      </c>
      <c r="D862" s="182" t="e">
        <f t="shared" si="94"/>
        <v>#VALUE!</v>
      </c>
      <c r="E862" s="182" t="e">
        <f t="shared" si="95"/>
        <v>#VALUE!</v>
      </c>
      <c r="F862" s="182" t="e">
        <f>SUM($D$33:D862)</f>
        <v>#VALUE!</v>
      </c>
      <c r="G862" s="182">
        <f t="shared" ca="1" si="96"/>
        <v>0</v>
      </c>
      <c r="H862" s="182" t="e">
        <f t="shared" si="97"/>
        <v>#VALUE!</v>
      </c>
      <c r="I862" s="183" t="e">
        <f t="shared" si="98"/>
        <v>#VALUE!</v>
      </c>
    </row>
    <row r="863" spans="1:9" x14ac:dyDescent="0.25">
      <c r="A863" s="180">
        <f t="shared" ca="1" si="89"/>
        <v>46935</v>
      </c>
      <c r="B863" s="181">
        <v>831</v>
      </c>
      <c r="C863" s="182" t="e">
        <f t="shared" si="93"/>
        <v>#VALUE!</v>
      </c>
      <c r="D863" s="182" t="e">
        <f t="shared" si="94"/>
        <v>#VALUE!</v>
      </c>
      <c r="E863" s="182" t="e">
        <f t="shared" si="95"/>
        <v>#VALUE!</v>
      </c>
      <c r="F863" s="182" t="e">
        <f>SUM($D$33:D863)</f>
        <v>#VALUE!</v>
      </c>
      <c r="G863" s="182">
        <f t="shared" ca="1" si="96"/>
        <v>0</v>
      </c>
      <c r="H863" s="182" t="e">
        <f t="shared" si="97"/>
        <v>#VALUE!</v>
      </c>
      <c r="I863" s="183" t="e">
        <f t="shared" si="98"/>
        <v>#VALUE!</v>
      </c>
    </row>
    <row r="864" spans="1:9" x14ac:dyDescent="0.25">
      <c r="A864" s="180">
        <f t="shared" ca="1" si="89"/>
        <v>46936</v>
      </c>
      <c r="B864" s="181">
        <v>832</v>
      </c>
      <c r="C864" s="182" t="e">
        <f t="shared" si="93"/>
        <v>#VALUE!</v>
      </c>
      <c r="D864" s="182" t="e">
        <f t="shared" si="94"/>
        <v>#VALUE!</v>
      </c>
      <c r="E864" s="182" t="e">
        <f t="shared" si="95"/>
        <v>#VALUE!</v>
      </c>
      <c r="F864" s="182" t="e">
        <f>SUM($D$33:D864)</f>
        <v>#VALUE!</v>
      </c>
      <c r="G864" s="182">
        <f t="shared" ca="1" si="96"/>
        <v>0</v>
      </c>
      <c r="H864" s="182" t="e">
        <f t="shared" si="97"/>
        <v>#VALUE!</v>
      </c>
      <c r="I864" s="183" t="e">
        <f t="shared" si="98"/>
        <v>#VALUE!</v>
      </c>
    </row>
    <row r="865" spans="1:9" x14ac:dyDescent="0.25">
      <c r="A865" s="180">
        <f t="shared" ca="1" si="89"/>
        <v>46937</v>
      </c>
      <c r="B865" s="181">
        <v>833</v>
      </c>
      <c r="C865" s="182" t="e">
        <f t="shared" si="93"/>
        <v>#VALUE!</v>
      </c>
      <c r="D865" s="182" t="e">
        <f t="shared" si="94"/>
        <v>#VALUE!</v>
      </c>
      <c r="E865" s="182" t="e">
        <f t="shared" si="95"/>
        <v>#VALUE!</v>
      </c>
      <c r="F865" s="182" t="e">
        <f>SUM($D$33:D865)</f>
        <v>#VALUE!</v>
      </c>
      <c r="G865" s="182">
        <f t="shared" ca="1" si="96"/>
        <v>0</v>
      </c>
      <c r="H865" s="182" t="e">
        <f t="shared" si="97"/>
        <v>#VALUE!</v>
      </c>
      <c r="I865" s="183" t="e">
        <f t="shared" si="98"/>
        <v>#VALUE!</v>
      </c>
    </row>
    <row r="866" spans="1:9" x14ac:dyDescent="0.25">
      <c r="A866" s="180">
        <f t="shared" ref="A866:A929" ca="1" si="99">A865+1</f>
        <v>46938</v>
      </c>
      <c r="B866" s="181">
        <v>834</v>
      </c>
      <c r="C866" s="182" t="e">
        <f t="shared" si="93"/>
        <v>#VALUE!</v>
      </c>
      <c r="D866" s="182" t="e">
        <f t="shared" si="94"/>
        <v>#VALUE!</v>
      </c>
      <c r="E866" s="182" t="e">
        <f t="shared" si="95"/>
        <v>#VALUE!</v>
      </c>
      <c r="F866" s="182" t="e">
        <f>SUM($D$33:D866)</f>
        <v>#VALUE!</v>
      </c>
      <c r="G866" s="182">
        <f t="shared" ca="1" si="96"/>
        <v>0</v>
      </c>
      <c r="H866" s="182" t="e">
        <f t="shared" si="97"/>
        <v>#VALUE!</v>
      </c>
      <c r="I866" s="183" t="e">
        <f t="shared" si="98"/>
        <v>#VALUE!</v>
      </c>
    </row>
    <row r="867" spans="1:9" x14ac:dyDescent="0.25">
      <c r="A867" s="180">
        <f t="shared" ca="1" si="99"/>
        <v>46939</v>
      </c>
      <c r="B867" s="181">
        <v>835</v>
      </c>
      <c r="C867" s="182" t="e">
        <f t="shared" si="93"/>
        <v>#VALUE!</v>
      </c>
      <c r="D867" s="182" t="e">
        <f t="shared" si="94"/>
        <v>#VALUE!</v>
      </c>
      <c r="E867" s="182" t="e">
        <f t="shared" si="95"/>
        <v>#VALUE!</v>
      </c>
      <c r="F867" s="182" t="e">
        <f>SUM($D$33:D867)</f>
        <v>#VALUE!</v>
      </c>
      <c r="G867" s="182">
        <f t="shared" ca="1" si="96"/>
        <v>0</v>
      </c>
      <c r="H867" s="182" t="e">
        <f t="shared" si="97"/>
        <v>#VALUE!</v>
      </c>
      <c r="I867" s="183" t="e">
        <f t="shared" si="98"/>
        <v>#VALUE!</v>
      </c>
    </row>
    <row r="868" spans="1:9" x14ac:dyDescent="0.25">
      <c r="A868" s="180">
        <f t="shared" ca="1" si="99"/>
        <v>46940</v>
      </c>
      <c r="B868" s="181">
        <v>836</v>
      </c>
      <c r="C868" s="182" t="e">
        <f t="shared" si="93"/>
        <v>#VALUE!</v>
      </c>
      <c r="D868" s="182" t="e">
        <f t="shared" si="94"/>
        <v>#VALUE!</v>
      </c>
      <c r="E868" s="182" t="e">
        <f t="shared" si="95"/>
        <v>#VALUE!</v>
      </c>
      <c r="F868" s="182" t="e">
        <f>SUM($D$33:D868)</f>
        <v>#VALUE!</v>
      </c>
      <c r="G868" s="182">
        <f t="shared" ca="1" si="96"/>
        <v>0</v>
      </c>
      <c r="H868" s="182" t="e">
        <f t="shared" si="97"/>
        <v>#VALUE!</v>
      </c>
      <c r="I868" s="183" t="e">
        <f t="shared" si="98"/>
        <v>#VALUE!</v>
      </c>
    </row>
    <row r="869" spans="1:9" x14ac:dyDescent="0.25">
      <c r="A869" s="180">
        <f t="shared" ca="1" si="99"/>
        <v>46941</v>
      </c>
      <c r="B869" s="181">
        <v>837</v>
      </c>
      <c r="C869" s="182" t="e">
        <f t="shared" si="93"/>
        <v>#VALUE!</v>
      </c>
      <c r="D869" s="182" t="e">
        <f t="shared" si="94"/>
        <v>#VALUE!</v>
      </c>
      <c r="E869" s="182" t="e">
        <f t="shared" si="95"/>
        <v>#VALUE!</v>
      </c>
      <c r="F869" s="182" t="e">
        <f>SUM($D$33:D869)</f>
        <v>#VALUE!</v>
      </c>
      <c r="G869" s="182">
        <f t="shared" ca="1" si="96"/>
        <v>0</v>
      </c>
      <c r="H869" s="182" t="e">
        <f t="shared" si="97"/>
        <v>#VALUE!</v>
      </c>
      <c r="I869" s="183" t="e">
        <f t="shared" si="98"/>
        <v>#VALUE!</v>
      </c>
    </row>
    <row r="870" spans="1:9" x14ac:dyDescent="0.25">
      <c r="A870" s="180">
        <f t="shared" ca="1" si="99"/>
        <v>46942</v>
      </c>
      <c r="B870" s="181">
        <v>838</v>
      </c>
      <c r="C870" s="182" t="e">
        <f t="shared" si="93"/>
        <v>#VALUE!</v>
      </c>
      <c r="D870" s="182" t="e">
        <f t="shared" si="94"/>
        <v>#VALUE!</v>
      </c>
      <c r="E870" s="182" t="e">
        <f t="shared" si="95"/>
        <v>#VALUE!</v>
      </c>
      <c r="F870" s="182" t="e">
        <f>SUM($D$33:D870)</f>
        <v>#VALUE!</v>
      </c>
      <c r="G870" s="182">
        <f t="shared" ca="1" si="96"/>
        <v>0</v>
      </c>
      <c r="H870" s="182" t="e">
        <f t="shared" si="97"/>
        <v>#VALUE!</v>
      </c>
      <c r="I870" s="183" t="e">
        <f t="shared" si="98"/>
        <v>#VALUE!</v>
      </c>
    </row>
    <row r="871" spans="1:9" x14ac:dyDescent="0.25">
      <c r="A871" s="180">
        <f t="shared" ca="1" si="99"/>
        <v>46943</v>
      </c>
      <c r="B871" s="181">
        <v>839</v>
      </c>
      <c r="C871" s="182" t="e">
        <f t="shared" si="93"/>
        <v>#VALUE!</v>
      </c>
      <c r="D871" s="182" t="e">
        <f t="shared" si="94"/>
        <v>#VALUE!</v>
      </c>
      <c r="E871" s="182" t="e">
        <f t="shared" si="95"/>
        <v>#VALUE!</v>
      </c>
      <c r="F871" s="182" t="e">
        <f>SUM($D$33:D871)</f>
        <v>#VALUE!</v>
      </c>
      <c r="G871" s="182">
        <f t="shared" ca="1" si="96"/>
        <v>0</v>
      </c>
      <c r="H871" s="182" t="e">
        <f t="shared" si="97"/>
        <v>#VALUE!</v>
      </c>
      <c r="I871" s="183" t="e">
        <f t="shared" si="98"/>
        <v>#VALUE!</v>
      </c>
    </row>
    <row r="872" spans="1:9" x14ac:dyDescent="0.25">
      <c r="A872" s="180">
        <f t="shared" ca="1" si="99"/>
        <v>46944</v>
      </c>
      <c r="B872" s="181">
        <v>840</v>
      </c>
      <c r="C872" s="182" t="e">
        <f t="shared" si="93"/>
        <v>#VALUE!</v>
      </c>
      <c r="D872" s="182" t="e">
        <f t="shared" si="94"/>
        <v>#VALUE!</v>
      </c>
      <c r="E872" s="182" t="e">
        <f t="shared" si="95"/>
        <v>#VALUE!</v>
      </c>
      <c r="F872" s="182" t="e">
        <f>SUM($D$33:D872)</f>
        <v>#VALUE!</v>
      </c>
      <c r="G872" s="182">
        <f t="shared" ca="1" si="96"/>
        <v>0</v>
      </c>
      <c r="H872" s="182" t="e">
        <f t="shared" si="97"/>
        <v>#VALUE!</v>
      </c>
      <c r="I872" s="183" t="e">
        <f t="shared" si="98"/>
        <v>#VALUE!</v>
      </c>
    </row>
    <row r="873" spans="1:9" x14ac:dyDescent="0.25">
      <c r="A873" s="180">
        <f t="shared" ca="1" si="99"/>
        <v>46945</v>
      </c>
      <c r="B873" s="181">
        <v>841</v>
      </c>
      <c r="C873" s="182" t="e">
        <f t="shared" si="93"/>
        <v>#VALUE!</v>
      </c>
      <c r="D873" s="182" t="e">
        <f t="shared" si="94"/>
        <v>#VALUE!</v>
      </c>
      <c r="E873" s="182" t="e">
        <f t="shared" si="95"/>
        <v>#VALUE!</v>
      </c>
      <c r="F873" s="182" t="e">
        <f>SUM($D$33:D873)</f>
        <v>#VALUE!</v>
      </c>
      <c r="G873" s="182">
        <f t="shared" ca="1" si="96"/>
        <v>0</v>
      </c>
      <c r="H873" s="182" t="e">
        <f t="shared" si="97"/>
        <v>#VALUE!</v>
      </c>
      <c r="I873" s="183" t="e">
        <f t="shared" si="98"/>
        <v>#VALUE!</v>
      </c>
    </row>
    <row r="874" spans="1:9" x14ac:dyDescent="0.25">
      <c r="A874" s="180">
        <f t="shared" ca="1" si="99"/>
        <v>46946</v>
      </c>
      <c r="B874" s="181">
        <v>842</v>
      </c>
      <c r="C874" s="182" t="e">
        <f t="shared" si="93"/>
        <v>#VALUE!</v>
      </c>
      <c r="D874" s="182" t="e">
        <f t="shared" si="94"/>
        <v>#VALUE!</v>
      </c>
      <c r="E874" s="182" t="e">
        <f t="shared" si="95"/>
        <v>#VALUE!</v>
      </c>
      <c r="F874" s="182" t="e">
        <f>SUM($D$33:D874)</f>
        <v>#VALUE!</v>
      </c>
      <c r="G874" s="182">
        <f t="shared" ca="1" si="96"/>
        <v>0</v>
      </c>
      <c r="H874" s="182" t="e">
        <f t="shared" si="97"/>
        <v>#VALUE!</v>
      </c>
      <c r="I874" s="183" t="e">
        <f t="shared" si="98"/>
        <v>#VALUE!</v>
      </c>
    </row>
    <row r="875" spans="1:9" x14ac:dyDescent="0.25">
      <c r="A875" s="180">
        <f t="shared" ca="1" si="99"/>
        <v>46947</v>
      </c>
      <c r="B875" s="181">
        <v>843</v>
      </c>
      <c r="C875" s="182" t="e">
        <f t="shared" si="93"/>
        <v>#VALUE!</v>
      </c>
      <c r="D875" s="182" t="e">
        <f t="shared" si="94"/>
        <v>#VALUE!</v>
      </c>
      <c r="E875" s="182" t="e">
        <f t="shared" si="95"/>
        <v>#VALUE!</v>
      </c>
      <c r="F875" s="182" t="e">
        <f>SUM($D$33:D875)</f>
        <v>#VALUE!</v>
      </c>
      <c r="G875" s="182">
        <f t="shared" ca="1" si="96"/>
        <v>0</v>
      </c>
      <c r="H875" s="182" t="e">
        <f t="shared" si="97"/>
        <v>#VALUE!</v>
      </c>
      <c r="I875" s="183" t="e">
        <f t="shared" si="98"/>
        <v>#VALUE!</v>
      </c>
    </row>
    <row r="876" spans="1:9" x14ac:dyDescent="0.25">
      <c r="A876" s="180">
        <f t="shared" ca="1" si="99"/>
        <v>46948</v>
      </c>
      <c r="B876" s="181">
        <v>844</v>
      </c>
      <c r="C876" s="182" t="e">
        <f t="shared" si="93"/>
        <v>#VALUE!</v>
      </c>
      <c r="D876" s="182" t="e">
        <f t="shared" si="94"/>
        <v>#VALUE!</v>
      </c>
      <c r="E876" s="182" t="e">
        <f t="shared" si="95"/>
        <v>#VALUE!</v>
      </c>
      <c r="F876" s="182" t="e">
        <f>SUM($D$33:D876)</f>
        <v>#VALUE!</v>
      </c>
      <c r="G876" s="182">
        <f t="shared" ca="1" si="96"/>
        <v>0</v>
      </c>
      <c r="H876" s="182" t="e">
        <f t="shared" si="97"/>
        <v>#VALUE!</v>
      </c>
      <c r="I876" s="183" t="e">
        <f t="shared" si="98"/>
        <v>#VALUE!</v>
      </c>
    </row>
    <row r="877" spans="1:9" x14ac:dyDescent="0.25">
      <c r="A877" s="180">
        <f t="shared" ca="1" si="99"/>
        <v>46949</v>
      </c>
      <c r="B877" s="181">
        <v>845</v>
      </c>
      <c r="C877" s="182" t="e">
        <f t="shared" si="93"/>
        <v>#VALUE!</v>
      </c>
      <c r="D877" s="182" t="e">
        <f t="shared" si="94"/>
        <v>#VALUE!</v>
      </c>
      <c r="E877" s="182" t="e">
        <f t="shared" si="95"/>
        <v>#VALUE!</v>
      </c>
      <c r="F877" s="182" t="e">
        <f>SUM($D$33:D877)</f>
        <v>#VALUE!</v>
      </c>
      <c r="G877" s="182">
        <f t="shared" ca="1" si="96"/>
        <v>0</v>
      </c>
      <c r="H877" s="182" t="e">
        <f t="shared" si="97"/>
        <v>#VALUE!</v>
      </c>
      <c r="I877" s="183" t="e">
        <f t="shared" si="98"/>
        <v>#VALUE!</v>
      </c>
    </row>
    <row r="878" spans="1:9" x14ac:dyDescent="0.25">
      <c r="A878" s="180">
        <f t="shared" ca="1" si="99"/>
        <v>46950</v>
      </c>
      <c r="B878" s="181">
        <v>846</v>
      </c>
      <c r="C878" s="182" t="e">
        <f t="shared" si="93"/>
        <v>#VALUE!</v>
      </c>
      <c r="D878" s="182" t="e">
        <f t="shared" si="94"/>
        <v>#VALUE!</v>
      </c>
      <c r="E878" s="182" t="e">
        <f t="shared" si="95"/>
        <v>#VALUE!</v>
      </c>
      <c r="F878" s="182" t="e">
        <f>SUM($D$33:D878)</f>
        <v>#VALUE!</v>
      </c>
      <c r="G878" s="182">
        <f t="shared" ca="1" si="96"/>
        <v>0</v>
      </c>
      <c r="H878" s="182" t="e">
        <f t="shared" si="97"/>
        <v>#VALUE!</v>
      </c>
      <c r="I878" s="183" t="e">
        <f t="shared" si="98"/>
        <v>#VALUE!</v>
      </c>
    </row>
    <row r="879" spans="1:9" x14ac:dyDescent="0.25">
      <c r="A879" s="180">
        <f t="shared" ca="1" si="99"/>
        <v>46951</v>
      </c>
      <c r="B879" s="181">
        <v>847</v>
      </c>
      <c r="C879" s="182" t="e">
        <f t="shared" si="93"/>
        <v>#VALUE!</v>
      </c>
      <c r="D879" s="182" t="e">
        <f t="shared" si="94"/>
        <v>#VALUE!</v>
      </c>
      <c r="E879" s="182" t="e">
        <f t="shared" si="95"/>
        <v>#VALUE!</v>
      </c>
      <c r="F879" s="182" t="e">
        <f>SUM($D$33:D879)</f>
        <v>#VALUE!</v>
      </c>
      <c r="G879" s="182">
        <f t="shared" ca="1" si="96"/>
        <v>0</v>
      </c>
      <c r="H879" s="182" t="e">
        <f t="shared" si="97"/>
        <v>#VALUE!</v>
      </c>
      <c r="I879" s="183" t="e">
        <f t="shared" si="98"/>
        <v>#VALUE!</v>
      </c>
    </row>
    <row r="880" spans="1:9" x14ac:dyDescent="0.25">
      <c r="A880" s="180">
        <f t="shared" ca="1" si="99"/>
        <v>46952</v>
      </c>
      <c r="B880" s="181">
        <v>848</v>
      </c>
      <c r="C880" s="182" t="e">
        <f t="shared" si="93"/>
        <v>#VALUE!</v>
      </c>
      <c r="D880" s="182" t="e">
        <f t="shared" si="94"/>
        <v>#VALUE!</v>
      </c>
      <c r="E880" s="182" t="e">
        <f t="shared" si="95"/>
        <v>#VALUE!</v>
      </c>
      <c r="F880" s="182" t="e">
        <f>SUM($D$33:D880)</f>
        <v>#VALUE!</v>
      </c>
      <c r="G880" s="182">
        <f t="shared" ca="1" si="96"/>
        <v>0</v>
      </c>
      <c r="H880" s="182" t="e">
        <f t="shared" si="97"/>
        <v>#VALUE!</v>
      </c>
      <c r="I880" s="183" t="e">
        <f t="shared" si="98"/>
        <v>#VALUE!</v>
      </c>
    </row>
    <row r="881" spans="1:9" x14ac:dyDescent="0.25">
      <c r="A881" s="180">
        <f t="shared" ca="1" si="99"/>
        <v>46953</v>
      </c>
      <c r="B881" s="181">
        <v>849</v>
      </c>
      <c r="C881" s="182" t="e">
        <f t="shared" si="93"/>
        <v>#VALUE!</v>
      </c>
      <c r="D881" s="182" t="e">
        <f t="shared" si="94"/>
        <v>#VALUE!</v>
      </c>
      <c r="E881" s="182" t="e">
        <f t="shared" si="95"/>
        <v>#VALUE!</v>
      </c>
      <c r="F881" s="182" t="e">
        <f>SUM($D$33:D881)</f>
        <v>#VALUE!</v>
      </c>
      <c r="G881" s="182">
        <f t="shared" ca="1" si="96"/>
        <v>0</v>
      </c>
      <c r="H881" s="182" t="e">
        <f t="shared" si="97"/>
        <v>#VALUE!</v>
      </c>
      <c r="I881" s="183" t="e">
        <f t="shared" si="98"/>
        <v>#VALUE!</v>
      </c>
    </row>
    <row r="882" spans="1:9" x14ac:dyDescent="0.25">
      <c r="A882" s="180">
        <f t="shared" ca="1" si="99"/>
        <v>46954</v>
      </c>
      <c r="B882" s="181">
        <v>850</v>
      </c>
      <c r="C882" s="182" t="e">
        <f t="shared" si="93"/>
        <v>#VALUE!</v>
      </c>
      <c r="D882" s="182" t="e">
        <f t="shared" si="94"/>
        <v>#VALUE!</v>
      </c>
      <c r="E882" s="182" t="e">
        <f t="shared" si="95"/>
        <v>#VALUE!</v>
      </c>
      <c r="F882" s="182" t="e">
        <f>SUM($D$33:D882)</f>
        <v>#VALUE!</v>
      </c>
      <c r="G882" s="182">
        <f t="shared" ca="1" si="96"/>
        <v>0</v>
      </c>
      <c r="H882" s="182" t="e">
        <f t="shared" si="97"/>
        <v>#VALUE!</v>
      </c>
      <c r="I882" s="183" t="e">
        <f t="shared" si="98"/>
        <v>#VALUE!</v>
      </c>
    </row>
    <row r="883" spans="1:9" x14ac:dyDescent="0.25">
      <c r="A883" s="180">
        <f t="shared" ca="1" si="99"/>
        <v>46955</v>
      </c>
      <c r="B883" s="181">
        <v>851</v>
      </c>
      <c r="C883" s="182" t="e">
        <f t="shared" si="93"/>
        <v>#VALUE!</v>
      </c>
      <c r="D883" s="182" t="e">
        <f t="shared" si="94"/>
        <v>#VALUE!</v>
      </c>
      <c r="E883" s="182" t="e">
        <f t="shared" si="95"/>
        <v>#VALUE!</v>
      </c>
      <c r="F883" s="182" t="e">
        <f>SUM($D$33:D883)</f>
        <v>#VALUE!</v>
      </c>
      <c r="G883" s="182">
        <f t="shared" ca="1" si="96"/>
        <v>0</v>
      </c>
      <c r="H883" s="182" t="e">
        <f t="shared" si="97"/>
        <v>#VALUE!</v>
      </c>
      <c r="I883" s="183" t="e">
        <f t="shared" si="98"/>
        <v>#VALUE!</v>
      </c>
    </row>
    <row r="884" spans="1:9" x14ac:dyDescent="0.25">
      <c r="A884" s="180">
        <f t="shared" ca="1" si="99"/>
        <v>46956</v>
      </c>
      <c r="B884" s="181">
        <v>852</v>
      </c>
      <c r="C884" s="182" t="e">
        <f t="shared" si="93"/>
        <v>#VALUE!</v>
      </c>
      <c r="D884" s="182" t="e">
        <f t="shared" si="94"/>
        <v>#VALUE!</v>
      </c>
      <c r="E884" s="182" t="e">
        <f t="shared" si="95"/>
        <v>#VALUE!</v>
      </c>
      <c r="F884" s="182" t="e">
        <f>SUM($D$33:D884)</f>
        <v>#VALUE!</v>
      </c>
      <c r="G884" s="182">
        <f t="shared" ca="1" si="96"/>
        <v>0</v>
      </c>
      <c r="H884" s="182" t="e">
        <f t="shared" si="97"/>
        <v>#VALUE!</v>
      </c>
      <c r="I884" s="183" t="e">
        <f t="shared" si="98"/>
        <v>#VALUE!</v>
      </c>
    </row>
    <row r="885" spans="1:9" x14ac:dyDescent="0.25">
      <c r="A885" s="180">
        <f t="shared" ca="1" si="99"/>
        <v>46957</v>
      </c>
      <c r="B885" s="181">
        <v>853</v>
      </c>
      <c r="C885" s="182" t="e">
        <f t="shared" si="93"/>
        <v>#VALUE!</v>
      </c>
      <c r="D885" s="182" t="e">
        <f t="shared" si="94"/>
        <v>#VALUE!</v>
      </c>
      <c r="E885" s="182" t="e">
        <f t="shared" si="95"/>
        <v>#VALUE!</v>
      </c>
      <c r="F885" s="182" t="e">
        <f>SUM($D$33:D885)</f>
        <v>#VALUE!</v>
      </c>
      <c r="G885" s="182">
        <f t="shared" ca="1" si="96"/>
        <v>0</v>
      </c>
      <c r="H885" s="182" t="e">
        <f t="shared" si="97"/>
        <v>#VALUE!</v>
      </c>
      <c r="I885" s="183" t="e">
        <f t="shared" si="98"/>
        <v>#VALUE!</v>
      </c>
    </row>
    <row r="886" spans="1:9" x14ac:dyDescent="0.25">
      <c r="A886" s="180">
        <f t="shared" ca="1" si="99"/>
        <v>46958</v>
      </c>
      <c r="B886" s="181">
        <v>854</v>
      </c>
      <c r="C886" s="182" t="e">
        <f t="shared" si="93"/>
        <v>#VALUE!</v>
      </c>
      <c r="D886" s="182" t="e">
        <f t="shared" si="94"/>
        <v>#VALUE!</v>
      </c>
      <c r="E886" s="182" t="e">
        <f t="shared" si="95"/>
        <v>#VALUE!</v>
      </c>
      <c r="F886" s="182" t="e">
        <f>SUM($D$33:D886)</f>
        <v>#VALUE!</v>
      </c>
      <c r="G886" s="182">
        <f t="shared" ca="1" si="96"/>
        <v>0</v>
      </c>
      <c r="H886" s="182" t="e">
        <f t="shared" si="97"/>
        <v>#VALUE!</v>
      </c>
      <c r="I886" s="183" t="e">
        <f t="shared" si="98"/>
        <v>#VALUE!</v>
      </c>
    </row>
    <row r="887" spans="1:9" x14ac:dyDescent="0.25">
      <c r="A887" s="180">
        <f t="shared" ca="1" si="99"/>
        <v>46959</v>
      </c>
      <c r="B887" s="181">
        <v>855</v>
      </c>
      <c r="C887" s="182" t="e">
        <f t="shared" si="93"/>
        <v>#VALUE!</v>
      </c>
      <c r="D887" s="182" t="e">
        <f t="shared" si="94"/>
        <v>#VALUE!</v>
      </c>
      <c r="E887" s="182" t="e">
        <f t="shared" si="95"/>
        <v>#VALUE!</v>
      </c>
      <c r="F887" s="182" t="e">
        <f>SUM($D$33:D887)</f>
        <v>#VALUE!</v>
      </c>
      <c r="G887" s="182">
        <f t="shared" ca="1" si="96"/>
        <v>0</v>
      </c>
      <c r="H887" s="182" t="e">
        <f t="shared" si="97"/>
        <v>#VALUE!</v>
      </c>
      <c r="I887" s="183" t="e">
        <f t="shared" si="98"/>
        <v>#VALUE!</v>
      </c>
    </row>
    <row r="888" spans="1:9" x14ac:dyDescent="0.25">
      <c r="A888" s="180">
        <f t="shared" ca="1" si="99"/>
        <v>46960</v>
      </c>
      <c r="B888" s="181">
        <v>856</v>
      </c>
      <c r="C888" s="182" t="e">
        <f t="shared" si="93"/>
        <v>#VALUE!</v>
      </c>
      <c r="D888" s="182" t="e">
        <f t="shared" si="94"/>
        <v>#VALUE!</v>
      </c>
      <c r="E888" s="182" t="e">
        <f t="shared" si="95"/>
        <v>#VALUE!</v>
      </c>
      <c r="F888" s="182" t="e">
        <f>SUM($D$33:D888)</f>
        <v>#VALUE!</v>
      </c>
      <c r="G888" s="182">
        <f t="shared" ca="1" si="96"/>
        <v>0</v>
      </c>
      <c r="H888" s="182" t="e">
        <f t="shared" si="97"/>
        <v>#VALUE!</v>
      </c>
      <c r="I888" s="183" t="e">
        <f t="shared" si="98"/>
        <v>#VALUE!</v>
      </c>
    </row>
    <row r="889" spans="1:9" x14ac:dyDescent="0.25">
      <c r="A889" s="180">
        <f t="shared" ca="1" si="99"/>
        <v>46961</v>
      </c>
      <c r="B889" s="181">
        <v>857</v>
      </c>
      <c r="C889" s="182" t="e">
        <f t="shared" si="93"/>
        <v>#VALUE!</v>
      </c>
      <c r="D889" s="182" t="e">
        <f t="shared" si="94"/>
        <v>#VALUE!</v>
      </c>
      <c r="E889" s="182" t="e">
        <f t="shared" si="95"/>
        <v>#VALUE!</v>
      </c>
      <c r="F889" s="182" t="e">
        <f>SUM($D$33:D889)</f>
        <v>#VALUE!</v>
      </c>
      <c r="G889" s="182">
        <f t="shared" ca="1" si="96"/>
        <v>0</v>
      </c>
      <c r="H889" s="182" t="e">
        <f t="shared" si="97"/>
        <v>#VALUE!</v>
      </c>
      <c r="I889" s="183" t="e">
        <f t="shared" si="98"/>
        <v>#VALUE!</v>
      </c>
    </row>
    <row r="890" spans="1:9" x14ac:dyDescent="0.25">
      <c r="A890" s="180">
        <f t="shared" ca="1" si="99"/>
        <v>46962</v>
      </c>
      <c r="B890" s="181">
        <v>858</v>
      </c>
      <c r="C890" s="182" t="e">
        <f t="shared" si="93"/>
        <v>#VALUE!</v>
      </c>
      <c r="D890" s="182" t="e">
        <f t="shared" si="94"/>
        <v>#VALUE!</v>
      </c>
      <c r="E890" s="182" t="e">
        <f t="shared" si="95"/>
        <v>#VALUE!</v>
      </c>
      <c r="F890" s="182" t="e">
        <f>SUM($D$33:D890)</f>
        <v>#VALUE!</v>
      </c>
      <c r="G890" s="182">
        <f t="shared" ca="1" si="96"/>
        <v>0</v>
      </c>
      <c r="H890" s="182" t="e">
        <f t="shared" si="97"/>
        <v>#VALUE!</v>
      </c>
      <c r="I890" s="183" t="e">
        <f t="shared" si="98"/>
        <v>#VALUE!</v>
      </c>
    </row>
    <row r="891" spans="1:9" x14ac:dyDescent="0.25">
      <c r="A891" s="180">
        <f t="shared" ca="1" si="99"/>
        <v>46963</v>
      </c>
      <c r="B891" s="181">
        <v>859</v>
      </c>
      <c r="C891" s="182" t="e">
        <f t="shared" si="93"/>
        <v>#VALUE!</v>
      </c>
      <c r="D891" s="182" t="e">
        <f t="shared" si="94"/>
        <v>#VALUE!</v>
      </c>
      <c r="E891" s="182" t="e">
        <f t="shared" si="95"/>
        <v>#VALUE!</v>
      </c>
      <c r="F891" s="182" t="e">
        <f>SUM($D$33:D891)</f>
        <v>#VALUE!</v>
      </c>
      <c r="G891" s="182">
        <f t="shared" ca="1" si="96"/>
        <v>0</v>
      </c>
      <c r="H891" s="182" t="e">
        <f t="shared" si="97"/>
        <v>#VALUE!</v>
      </c>
      <c r="I891" s="183" t="e">
        <f t="shared" si="98"/>
        <v>#VALUE!</v>
      </c>
    </row>
    <row r="892" spans="1:9" x14ac:dyDescent="0.25">
      <c r="A892" s="180">
        <f t="shared" ca="1" si="99"/>
        <v>46964</v>
      </c>
      <c r="B892" s="181">
        <v>860</v>
      </c>
      <c r="C892" s="182" t="e">
        <f t="shared" si="93"/>
        <v>#VALUE!</v>
      </c>
      <c r="D892" s="182" t="e">
        <f t="shared" si="94"/>
        <v>#VALUE!</v>
      </c>
      <c r="E892" s="182" t="e">
        <f t="shared" si="95"/>
        <v>#VALUE!</v>
      </c>
      <c r="F892" s="182" t="e">
        <f>SUM($D$33:D892)</f>
        <v>#VALUE!</v>
      </c>
      <c r="G892" s="182">
        <f t="shared" ca="1" si="96"/>
        <v>0</v>
      </c>
      <c r="H892" s="182" t="e">
        <f t="shared" si="97"/>
        <v>#VALUE!</v>
      </c>
      <c r="I892" s="183" t="e">
        <f t="shared" si="98"/>
        <v>#VALUE!</v>
      </c>
    </row>
    <row r="893" spans="1:9" x14ac:dyDescent="0.25">
      <c r="A893" s="180">
        <f t="shared" ca="1" si="99"/>
        <v>46965</v>
      </c>
      <c r="B893" s="181">
        <v>861</v>
      </c>
      <c r="C893" s="182" t="e">
        <f t="shared" si="93"/>
        <v>#VALUE!</v>
      </c>
      <c r="D893" s="182" t="e">
        <f t="shared" si="94"/>
        <v>#VALUE!</v>
      </c>
      <c r="E893" s="182" t="e">
        <f t="shared" si="95"/>
        <v>#VALUE!</v>
      </c>
      <c r="F893" s="182" t="e">
        <f>SUM($D$33:D893)</f>
        <v>#VALUE!</v>
      </c>
      <c r="G893" s="182">
        <f t="shared" ca="1" si="96"/>
        <v>0</v>
      </c>
      <c r="H893" s="182" t="e">
        <f t="shared" si="97"/>
        <v>#VALUE!</v>
      </c>
      <c r="I893" s="183" t="e">
        <f t="shared" si="98"/>
        <v>#VALUE!</v>
      </c>
    </row>
    <row r="894" spans="1:9" x14ac:dyDescent="0.25">
      <c r="A894" s="180">
        <f t="shared" ca="1" si="99"/>
        <v>46966</v>
      </c>
      <c r="B894" s="181">
        <v>862</v>
      </c>
      <c r="C894" s="182" t="e">
        <f t="shared" si="93"/>
        <v>#VALUE!</v>
      </c>
      <c r="D894" s="182" t="e">
        <f t="shared" si="94"/>
        <v>#VALUE!</v>
      </c>
      <c r="E894" s="182" t="e">
        <f t="shared" si="95"/>
        <v>#VALUE!</v>
      </c>
      <c r="F894" s="182" t="e">
        <f>SUM($D$33:D894)</f>
        <v>#VALUE!</v>
      </c>
      <c r="G894" s="182">
        <f t="shared" ca="1" si="96"/>
        <v>0</v>
      </c>
      <c r="H894" s="182" t="e">
        <f t="shared" si="97"/>
        <v>#VALUE!</v>
      </c>
      <c r="I894" s="183" t="e">
        <f t="shared" si="98"/>
        <v>#VALUE!</v>
      </c>
    </row>
    <row r="895" spans="1:9" x14ac:dyDescent="0.25">
      <c r="A895" s="180">
        <f t="shared" ca="1" si="99"/>
        <v>46967</v>
      </c>
      <c r="B895" s="181">
        <v>863</v>
      </c>
      <c r="C895" s="182" t="e">
        <f t="shared" si="93"/>
        <v>#VALUE!</v>
      </c>
      <c r="D895" s="182" t="e">
        <f t="shared" si="94"/>
        <v>#VALUE!</v>
      </c>
      <c r="E895" s="182" t="e">
        <f t="shared" si="95"/>
        <v>#VALUE!</v>
      </c>
      <c r="F895" s="182" t="e">
        <f>SUM($D$33:D895)</f>
        <v>#VALUE!</v>
      </c>
      <c r="G895" s="182">
        <f t="shared" ca="1" si="96"/>
        <v>0</v>
      </c>
      <c r="H895" s="182" t="e">
        <f t="shared" si="97"/>
        <v>#VALUE!</v>
      </c>
      <c r="I895" s="183" t="e">
        <f t="shared" si="98"/>
        <v>#VALUE!</v>
      </c>
    </row>
    <row r="896" spans="1:9" x14ac:dyDescent="0.25">
      <c r="A896" s="180">
        <f t="shared" ca="1" si="99"/>
        <v>46968</v>
      </c>
      <c r="B896" s="181">
        <v>864</v>
      </c>
      <c r="C896" s="182" t="e">
        <f t="shared" si="93"/>
        <v>#VALUE!</v>
      </c>
      <c r="D896" s="182" t="e">
        <f t="shared" si="94"/>
        <v>#VALUE!</v>
      </c>
      <c r="E896" s="182" t="e">
        <f t="shared" si="95"/>
        <v>#VALUE!</v>
      </c>
      <c r="F896" s="182" t="e">
        <f>SUM($D$33:D896)</f>
        <v>#VALUE!</v>
      </c>
      <c r="G896" s="182">
        <f t="shared" ca="1" si="96"/>
        <v>0</v>
      </c>
      <c r="H896" s="182" t="e">
        <f t="shared" si="97"/>
        <v>#VALUE!</v>
      </c>
      <c r="I896" s="183" t="e">
        <f t="shared" si="98"/>
        <v>#VALUE!</v>
      </c>
    </row>
    <row r="897" spans="1:9" x14ac:dyDescent="0.25">
      <c r="A897" s="180">
        <f t="shared" ca="1" si="99"/>
        <v>46969</v>
      </c>
      <c r="B897" s="181">
        <v>865</v>
      </c>
      <c r="C897" s="182" t="e">
        <f t="shared" si="93"/>
        <v>#VALUE!</v>
      </c>
      <c r="D897" s="182" t="e">
        <f t="shared" si="94"/>
        <v>#VALUE!</v>
      </c>
      <c r="E897" s="182" t="e">
        <f t="shared" si="95"/>
        <v>#VALUE!</v>
      </c>
      <c r="F897" s="182" t="e">
        <f>SUM($D$33:D897)</f>
        <v>#VALUE!</v>
      </c>
      <c r="G897" s="182">
        <f t="shared" ca="1" si="96"/>
        <v>0</v>
      </c>
      <c r="H897" s="182" t="e">
        <f t="shared" si="97"/>
        <v>#VALUE!</v>
      </c>
      <c r="I897" s="183" t="e">
        <f t="shared" si="98"/>
        <v>#VALUE!</v>
      </c>
    </row>
    <row r="898" spans="1:9" x14ac:dyDescent="0.25">
      <c r="A898" s="180">
        <f t="shared" ca="1" si="99"/>
        <v>46970</v>
      </c>
      <c r="B898" s="181">
        <v>866</v>
      </c>
      <c r="C898" s="182" t="e">
        <f t="shared" si="93"/>
        <v>#VALUE!</v>
      </c>
      <c r="D898" s="182" t="e">
        <f t="shared" si="94"/>
        <v>#VALUE!</v>
      </c>
      <c r="E898" s="182" t="e">
        <f t="shared" si="95"/>
        <v>#VALUE!</v>
      </c>
      <c r="F898" s="182" t="e">
        <f>SUM($D$33:D898)</f>
        <v>#VALUE!</v>
      </c>
      <c r="G898" s="182">
        <f t="shared" ca="1" si="96"/>
        <v>0</v>
      </c>
      <c r="H898" s="182" t="e">
        <f t="shared" si="97"/>
        <v>#VALUE!</v>
      </c>
      <c r="I898" s="183" t="e">
        <f t="shared" si="98"/>
        <v>#VALUE!</v>
      </c>
    </row>
    <row r="899" spans="1:9" x14ac:dyDescent="0.25">
      <c r="A899" s="180">
        <f t="shared" ca="1" si="99"/>
        <v>46971</v>
      </c>
      <c r="B899" s="181">
        <v>867</v>
      </c>
      <c r="C899" s="182" t="e">
        <f t="shared" si="93"/>
        <v>#VALUE!</v>
      </c>
      <c r="D899" s="182" t="e">
        <f t="shared" si="94"/>
        <v>#VALUE!</v>
      </c>
      <c r="E899" s="182" t="e">
        <f t="shared" si="95"/>
        <v>#VALUE!</v>
      </c>
      <c r="F899" s="182" t="e">
        <f>SUM($D$33:D899)</f>
        <v>#VALUE!</v>
      </c>
      <c r="G899" s="182">
        <f t="shared" ca="1" si="96"/>
        <v>0</v>
      </c>
      <c r="H899" s="182" t="e">
        <f t="shared" si="97"/>
        <v>#VALUE!</v>
      </c>
      <c r="I899" s="183" t="e">
        <f t="shared" si="98"/>
        <v>#VALUE!</v>
      </c>
    </row>
    <row r="900" spans="1:9" x14ac:dyDescent="0.25">
      <c r="A900" s="180">
        <f t="shared" ca="1" si="99"/>
        <v>46972</v>
      </c>
      <c r="B900" s="181">
        <v>868</v>
      </c>
      <c r="C900" s="182" t="e">
        <f t="shared" ref="C900:C963" si="100">H899</f>
        <v>#VALUE!</v>
      </c>
      <c r="D900" s="182" t="e">
        <f t="shared" ref="D900:D963" si="101">IF(C900&gt;$H$21,C900*($L$16/360),$H$21*($L$16/360))</f>
        <v>#VALUE!</v>
      </c>
      <c r="E900" s="182" t="e">
        <f t="shared" ref="E900:E963" si="102">IF(E899&gt;0,E899-D900,0)</f>
        <v>#VALUE!</v>
      </c>
      <c r="F900" s="182" t="e">
        <f>SUM($D$33:D900)</f>
        <v>#VALUE!</v>
      </c>
      <c r="G900" s="182">
        <f t="shared" ref="G900:G963" ca="1" si="103">IFERROR(-VLOOKUP(A900,$K$30:$M$36,2,FALSE),0)</f>
        <v>0</v>
      </c>
      <c r="H900" s="182" t="e">
        <f t="shared" ref="H900:H963" si="104">IF(E900&gt;0,C900+G900,IF(E900&lt;0,C900+G900+D900-E899,C900+D900+G900))</f>
        <v>#VALUE!</v>
      </c>
      <c r="I900" s="183" t="e">
        <f t="shared" ref="I900:I963" si="105">(C900+D900-E900)</f>
        <v>#VALUE!</v>
      </c>
    </row>
    <row r="901" spans="1:9" x14ac:dyDescent="0.25">
      <c r="A901" s="180">
        <f t="shared" ca="1" si="99"/>
        <v>46973</v>
      </c>
      <c r="B901" s="181">
        <v>869</v>
      </c>
      <c r="C901" s="182" t="e">
        <f t="shared" si="100"/>
        <v>#VALUE!</v>
      </c>
      <c r="D901" s="182" t="e">
        <f t="shared" si="101"/>
        <v>#VALUE!</v>
      </c>
      <c r="E901" s="182" t="e">
        <f t="shared" si="102"/>
        <v>#VALUE!</v>
      </c>
      <c r="F901" s="182" t="e">
        <f>SUM($D$33:D901)</f>
        <v>#VALUE!</v>
      </c>
      <c r="G901" s="182">
        <f t="shared" ca="1" si="103"/>
        <v>0</v>
      </c>
      <c r="H901" s="182" t="e">
        <f t="shared" si="104"/>
        <v>#VALUE!</v>
      </c>
      <c r="I901" s="183" t="e">
        <f t="shared" si="105"/>
        <v>#VALUE!</v>
      </c>
    </row>
    <row r="902" spans="1:9" x14ac:dyDescent="0.25">
      <c r="A902" s="180">
        <f t="shared" ca="1" si="99"/>
        <v>46974</v>
      </c>
      <c r="B902" s="181">
        <v>870</v>
      </c>
      <c r="C902" s="182" t="e">
        <f t="shared" si="100"/>
        <v>#VALUE!</v>
      </c>
      <c r="D902" s="182" t="e">
        <f t="shared" si="101"/>
        <v>#VALUE!</v>
      </c>
      <c r="E902" s="182" t="e">
        <f t="shared" si="102"/>
        <v>#VALUE!</v>
      </c>
      <c r="F902" s="182" t="e">
        <f>SUM($D$33:D902)</f>
        <v>#VALUE!</v>
      </c>
      <c r="G902" s="182">
        <f t="shared" ca="1" si="103"/>
        <v>0</v>
      </c>
      <c r="H902" s="182" t="e">
        <f t="shared" si="104"/>
        <v>#VALUE!</v>
      </c>
      <c r="I902" s="183" t="e">
        <f t="shared" si="105"/>
        <v>#VALUE!</v>
      </c>
    </row>
    <row r="903" spans="1:9" x14ac:dyDescent="0.25">
      <c r="A903" s="180">
        <f t="shared" ca="1" si="99"/>
        <v>46975</v>
      </c>
      <c r="B903" s="181">
        <v>871</v>
      </c>
      <c r="C903" s="182" t="e">
        <f t="shared" si="100"/>
        <v>#VALUE!</v>
      </c>
      <c r="D903" s="182" t="e">
        <f t="shared" si="101"/>
        <v>#VALUE!</v>
      </c>
      <c r="E903" s="182" t="e">
        <f t="shared" si="102"/>
        <v>#VALUE!</v>
      </c>
      <c r="F903" s="182" t="e">
        <f>SUM($D$33:D903)</f>
        <v>#VALUE!</v>
      </c>
      <c r="G903" s="182">
        <f t="shared" ca="1" si="103"/>
        <v>0</v>
      </c>
      <c r="H903" s="182" t="e">
        <f t="shared" si="104"/>
        <v>#VALUE!</v>
      </c>
      <c r="I903" s="183" t="e">
        <f t="shared" si="105"/>
        <v>#VALUE!</v>
      </c>
    </row>
    <row r="904" spans="1:9" x14ac:dyDescent="0.25">
      <c r="A904" s="180">
        <f t="shared" ca="1" si="99"/>
        <v>46976</v>
      </c>
      <c r="B904" s="181">
        <v>872</v>
      </c>
      <c r="C904" s="182" t="e">
        <f t="shared" si="100"/>
        <v>#VALUE!</v>
      </c>
      <c r="D904" s="182" t="e">
        <f t="shared" si="101"/>
        <v>#VALUE!</v>
      </c>
      <c r="E904" s="182" t="e">
        <f t="shared" si="102"/>
        <v>#VALUE!</v>
      </c>
      <c r="F904" s="182" t="e">
        <f>SUM($D$33:D904)</f>
        <v>#VALUE!</v>
      </c>
      <c r="G904" s="182">
        <f t="shared" ca="1" si="103"/>
        <v>0</v>
      </c>
      <c r="H904" s="182" t="e">
        <f t="shared" si="104"/>
        <v>#VALUE!</v>
      </c>
      <c r="I904" s="183" t="e">
        <f t="shared" si="105"/>
        <v>#VALUE!</v>
      </c>
    </row>
    <row r="905" spans="1:9" x14ac:dyDescent="0.25">
      <c r="A905" s="180">
        <f t="shared" ca="1" si="99"/>
        <v>46977</v>
      </c>
      <c r="B905" s="181">
        <v>873</v>
      </c>
      <c r="C905" s="182" t="e">
        <f t="shared" si="100"/>
        <v>#VALUE!</v>
      </c>
      <c r="D905" s="182" t="e">
        <f t="shared" si="101"/>
        <v>#VALUE!</v>
      </c>
      <c r="E905" s="182" t="e">
        <f t="shared" si="102"/>
        <v>#VALUE!</v>
      </c>
      <c r="F905" s="182" t="e">
        <f>SUM($D$33:D905)</f>
        <v>#VALUE!</v>
      </c>
      <c r="G905" s="182">
        <f t="shared" ca="1" si="103"/>
        <v>0</v>
      </c>
      <c r="H905" s="182" t="e">
        <f t="shared" si="104"/>
        <v>#VALUE!</v>
      </c>
      <c r="I905" s="183" t="e">
        <f t="shared" si="105"/>
        <v>#VALUE!</v>
      </c>
    </row>
    <row r="906" spans="1:9" x14ac:dyDescent="0.25">
      <c r="A906" s="180">
        <f t="shared" ca="1" si="99"/>
        <v>46978</v>
      </c>
      <c r="B906" s="181">
        <v>874</v>
      </c>
      <c r="C906" s="182" t="e">
        <f t="shared" si="100"/>
        <v>#VALUE!</v>
      </c>
      <c r="D906" s="182" t="e">
        <f t="shared" si="101"/>
        <v>#VALUE!</v>
      </c>
      <c r="E906" s="182" t="e">
        <f t="shared" si="102"/>
        <v>#VALUE!</v>
      </c>
      <c r="F906" s="182" t="e">
        <f>SUM($D$33:D906)</f>
        <v>#VALUE!</v>
      </c>
      <c r="G906" s="182">
        <f t="shared" ca="1" si="103"/>
        <v>0</v>
      </c>
      <c r="H906" s="182" t="e">
        <f t="shared" si="104"/>
        <v>#VALUE!</v>
      </c>
      <c r="I906" s="183" t="e">
        <f t="shared" si="105"/>
        <v>#VALUE!</v>
      </c>
    </row>
    <row r="907" spans="1:9" x14ac:dyDescent="0.25">
      <c r="A907" s="180">
        <f t="shared" ca="1" si="99"/>
        <v>46979</v>
      </c>
      <c r="B907" s="181">
        <v>875</v>
      </c>
      <c r="C907" s="182" t="e">
        <f t="shared" si="100"/>
        <v>#VALUE!</v>
      </c>
      <c r="D907" s="182" t="e">
        <f t="shared" si="101"/>
        <v>#VALUE!</v>
      </c>
      <c r="E907" s="182" t="e">
        <f t="shared" si="102"/>
        <v>#VALUE!</v>
      </c>
      <c r="F907" s="182" t="e">
        <f>SUM($D$33:D907)</f>
        <v>#VALUE!</v>
      </c>
      <c r="G907" s="182">
        <f t="shared" ca="1" si="103"/>
        <v>0</v>
      </c>
      <c r="H907" s="182" t="e">
        <f t="shared" si="104"/>
        <v>#VALUE!</v>
      </c>
      <c r="I907" s="183" t="e">
        <f t="shared" si="105"/>
        <v>#VALUE!</v>
      </c>
    </row>
    <row r="908" spans="1:9" x14ac:dyDescent="0.25">
      <c r="A908" s="180">
        <f t="shared" ca="1" si="99"/>
        <v>46980</v>
      </c>
      <c r="B908" s="181">
        <v>876</v>
      </c>
      <c r="C908" s="182" t="e">
        <f t="shared" si="100"/>
        <v>#VALUE!</v>
      </c>
      <c r="D908" s="182" t="e">
        <f t="shared" si="101"/>
        <v>#VALUE!</v>
      </c>
      <c r="E908" s="182" t="e">
        <f t="shared" si="102"/>
        <v>#VALUE!</v>
      </c>
      <c r="F908" s="182" t="e">
        <f>SUM($D$33:D908)</f>
        <v>#VALUE!</v>
      </c>
      <c r="G908" s="182">
        <f t="shared" ca="1" si="103"/>
        <v>0</v>
      </c>
      <c r="H908" s="182" t="e">
        <f t="shared" si="104"/>
        <v>#VALUE!</v>
      </c>
      <c r="I908" s="183" t="e">
        <f t="shared" si="105"/>
        <v>#VALUE!</v>
      </c>
    </row>
    <row r="909" spans="1:9" x14ac:dyDescent="0.25">
      <c r="A909" s="180">
        <f t="shared" ca="1" si="99"/>
        <v>46981</v>
      </c>
      <c r="B909" s="181">
        <v>877</v>
      </c>
      <c r="C909" s="182" t="e">
        <f t="shared" si="100"/>
        <v>#VALUE!</v>
      </c>
      <c r="D909" s="182" t="e">
        <f t="shared" si="101"/>
        <v>#VALUE!</v>
      </c>
      <c r="E909" s="182" t="e">
        <f t="shared" si="102"/>
        <v>#VALUE!</v>
      </c>
      <c r="F909" s="182" t="e">
        <f>SUM($D$33:D909)</f>
        <v>#VALUE!</v>
      </c>
      <c r="G909" s="182">
        <f t="shared" ca="1" si="103"/>
        <v>0</v>
      </c>
      <c r="H909" s="182" t="e">
        <f t="shared" si="104"/>
        <v>#VALUE!</v>
      </c>
      <c r="I909" s="183" t="e">
        <f t="shared" si="105"/>
        <v>#VALUE!</v>
      </c>
    </row>
    <row r="910" spans="1:9" x14ac:dyDescent="0.25">
      <c r="A910" s="180">
        <f t="shared" ca="1" si="99"/>
        <v>46982</v>
      </c>
      <c r="B910" s="181">
        <v>878</v>
      </c>
      <c r="C910" s="182" t="e">
        <f t="shared" si="100"/>
        <v>#VALUE!</v>
      </c>
      <c r="D910" s="182" t="e">
        <f t="shared" si="101"/>
        <v>#VALUE!</v>
      </c>
      <c r="E910" s="182" t="e">
        <f t="shared" si="102"/>
        <v>#VALUE!</v>
      </c>
      <c r="F910" s="182" t="e">
        <f>SUM($D$33:D910)</f>
        <v>#VALUE!</v>
      </c>
      <c r="G910" s="182">
        <f t="shared" ca="1" si="103"/>
        <v>0</v>
      </c>
      <c r="H910" s="182" t="e">
        <f t="shared" si="104"/>
        <v>#VALUE!</v>
      </c>
      <c r="I910" s="183" t="e">
        <f t="shared" si="105"/>
        <v>#VALUE!</v>
      </c>
    </row>
    <row r="911" spans="1:9" x14ac:dyDescent="0.25">
      <c r="A911" s="180">
        <f t="shared" ca="1" si="99"/>
        <v>46983</v>
      </c>
      <c r="B911" s="181">
        <v>879</v>
      </c>
      <c r="C911" s="182" t="e">
        <f t="shared" si="100"/>
        <v>#VALUE!</v>
      </c>
      <c r="D911" s="182" t="e">
        <f t="shared" si="101"/>
        <v>#VALUE!</v>
      </c>
      <c r="E911" s="182" t="e">
        <f t="shared" si="102"/>
        <v>#VALUE!</v>
      </c>
      <c r="F911" s="182" t="e">
        <f>SUM($D$33:D911)</f>
        <v>#VALUE!</v>
      </c>
      <c r="G911" s="182">
        <f t="shared" ca="1" si="103"/>
        <v>0</v>
      </c>
      <c r="H911" s="182" t="e">
        <f t="shared" si="104"/>
        <v>#VALUE!</v>
      </c>
      <c r="I911" s="183" t="e">
        <f t="shared" si="105"/>
        <v>#VALUE!</v>
      </c>
    </row>
    <row r="912" spans="1:9" x14ac:dyDescent="0.25">
      <c r="A912" s="180">
        <f t="shared" ca="1" si="99"/>
        <v>46984</v>
      </c>
      <c r="B912" s="181">
        <v>880</v>
      </c>
      <c r="C912" s="182" t="e">
        <f t="shared" si="100"/>
        <v>#VALUE!</v>
      </c>
      <c r="D912" s="182" t="e">
        <f t="shared" si="101"/>
        <v>#VALUE!</v>
      </c>
      <c r="E912" s="182" t="e">
        <f t="shared" si="102"/>
        <v>#VALUE!</v>
      </c>
      <c r="F912" s="182" t="e">
        <f>SUM($D$33:D912)</f>
        <v>#VALUE!</v>
      </c>
      <c r="G912" s="182">
        <f t="shared" ca="1" si="103"/>
        <v>0</v>
      </c>
      <c r="H912" s="182" t="e">
        <f t="shared" si="104"/>
        <v>#VALUE!</v>
      </c>
      <c r="I912" s="183" t="e">
        <f t="shared" si="105"/>
        <v>#VALUE!</v>
      </c>
    </row>
    <row r="913" spans="1:9" x14ac:dyDescent="0.25">
      <c r="A913" s="180">
        <f t="shared" ca="1" si="99"/>
        <v>46985</v>
      </c>
      <c r="B913" s="181">
        <v>881</v>
      </c>
      <c r="C913" s="182" t="e">
        <f t="shared" si="100"/>
        <v>#VALUE!</v>
      </c>
      <c r="D913" s="182" t="e">
        <f t="shared" si="101"/>
        <v>#VALUE!</v>
      </c>
      <c r="E913" s="182" t="e">
        <f t="shared" si="102"/>
        <v>#VALUE!</v>
      </c>
      <c r="F913" s="182" t="e">
        <f>SUM($D$33:D913)</f>
        <v>#VALUE!</v>
      </c>
      <c r="G913" s="182">
        <f t="shared" ca="1" si="103"/>
        <v>0</v>
      </c>
      <c r="H913" s="182" t="e">
        <f t="shared" si="104"/>
        <v>#VALUE!</v>
      </c>
      <c r="I913" s="183" t="e">
        <f t="shared" si="105"/>
        <v>#VALUE!</v>
      </c>
    </row>
    <row r="914" spans="1:9" x14ac:dyDescent="0.25">
      <c r="A914" s="180">
        <f t="shared" ca="1" si="99"/>
        <v>46986</v>
      </c>
      <c r="B914" s="181">
        <v>882</v>
      </c>
      <c r="C914" s="182" t="e">
        <f t="shared" si="100"/>
        <v>#VALUE!</v>
      </c>
      <c r="D914" s="182" t="e">
        <f t="shared" si="101"/>
        <v>#VALUE!</v>
      </c>
      <c r="E914" s="182" t="e">
        <f t="shared" si="102"/>
        <v>#VALUE!</v>
      </c>
      <c r="F914" s="182" t="e">
        <f>SUM($D$33:D914)</f>
        <v>#VALUE!</v>
      </c>
      <c r="G914" s="182">
        <f t="shared" ca="1" si="103"/>
        <v>0</v>
      </c>
      <c r="H914" s="182" t="e">
        <f t="shared" si="104"/>
        <v>#VALUE!</v>
      </c>
      <c r="I914" s="183" t="e">
        <f t="shared" si="105"/>
        <v>#VALUE!</v>
      </c>
    </row>
    <row r="915" spans="1:9" x14ac:dyDescent="0.25">
      <c r="A915" s="180">
        <f t="shared" ca="1" si="99"/>
        <v>46987</v>
      </c>
      <c r="B915" s="181">
        <v>883</v>
      </c>
      <c r="C915" s="182" t="e">
        <f t="shared" si="100"/>
        <v>#VALUE!</v>
      </c>
      <c r="D915" s="182" t="e">
        <f t="shared" si="101"/>
        <v>#VALUE!</v>
      </c>
      <c r="E915" s="182" t="e">
        <f t="shared" si="102"/>
        <v>#VALUE!</v>
      </c>
      <c r="F915" s="182" t="e">
        <f>SUM($D$33:D915)</f>
        <v>#VALUE!</v>
      </c>
      <c r="G915" s="182">
        <f t="shared" ca="1" si="103"/>
        <v>0</v>
      </c>
      <c r="H915" s="182" t="e">
        <f t="shared" si="104"/>
        <v>#VALUE!</v>
      </c>
      <c r="I915" s="183" t="e">
        <f t="shared" si="105"/>
        <v>#VALUE!</v>
      </c>
    </row>
    <row r="916" spans="1:9" x14ac:dyDescent="0.25">
      <c r="A916" s="180">
        <f t="shared" ca="1" si="99"/>
        <v>46988</v>
      </c>
      <c r="B916" s="181">
        <v>884</v>
      </c>
      <c r="C916" s="182" t="e">
        <f t="shared" si="100"/>
        <v>#VALUE!</v>
      </c>
      <c r="D916" s="182" t="e">
        <f t="shared" si="101"/>
        <v>#VALUE!</v>
      </c>
      <c r="E916" s="182" t="e">
        <f t="shared" si="102"/>
        <v>#VALUE!</v>
      </c>
      <c r="F916" s="182" t="e">
        <f>SUM($D$33:D916)</f>
        <v>#VALUE!</v>
      </c>
      <c r="G916" s="182">
        <f t="shared" ca="1" si="103"/>
        <v>0</v>
      </c>
      <c r="H916" s="182" t="e">
        <f t="shared" si="104"/>
        <v>#VALUE!</v>
      </c>
      <c r="I916" s="183" t="e">
        <f t="shared" si="105"/>
        <v>#VALUE!</v>
      </c>
    </row>
    <row r="917" spans="1:9" x14ac:dyDescent="0.25">
      <c r="A917" s="180">
        <f t="shared" ca="1" si="99"/>
        <v>46989</v>
      </c>
      <c r="B917" s="181">
        <v>885</v>
      </c>
      <c r="C917" s="182" t="e">
        <f t="shared" si="100"/>
        <v>#VALUE!</v>
      </c>
      <c r="D917" s="182" t="e">
        <f t="shared" si="101"/>
        <v>#VALUE!</v>
      </c>
      <c r="E917" s="182" t="e">
        <f t="shared" si="102"/>
        <v>#VALUE!</v>
      </c>
      <c r="F917" s="182" t="e">
        <f>SUM($D$33:D917)</f>
        <v>#VALUE!</v>
      </c>
      <c r="G917" s="182">
        <f t="shared" ca="1" si="103"/>
        <v>0</v>
      </c>
      <c r="H917" s="182" t="e">
        <f t="shared" si="104"/>
        <v>#VALUE!</v>
      </c>
      <c r="I917" s="183" t="e">
        <f t="shared" si="105"/>
        <v>#VALUE!</v>
      </c>
    </row>
    <row r="918" spans="1:9" x14ac:dyDescent="0.25">
      <c r="A918" s="180">
        <f t="shared" ca="1" si="99"/>
        <v>46990</v>
      </c>
      <c r="B918" s="181">
        <v>886</v>
      </c>
      <c r="C918" s="182" t="e">
        <f t="shared" si="100"/>
        <v>#VALUE!</v>
      </c>
      <c r="D918" s="182" t="e">
        <f t="shared" si="101"/>
        <v>#VALUE!</v>
      </c>
      <c r="E918" s="182" t="e">
        <f t="shared" si="102"/>
        <v>#VALUE!</v>
      </c>
      <c r="F918" s="182" t="e">
        <f>SUM($D$33:D918)</f>
        <v>#VALUE!</v>
      </c>
      <c r="G918" s="182">
        <f t="shared" ca="1" si="103"/>
        <v>0</v>
      </c>
      <c r="H918" s="182" t="e">
        <f t="shared" si="104"/>
        <v>#VALUE!</v>
      </c>
      <c r="I918" s="183" t="e">
        <f t="shared" si="105"/>
        <v>#VALUE!</v>
      </c>
    </row>
    <row r="919" spans="1:9" x14ac:dyDescent="0.25">
      <c r="A919" s="180">
        <f t="shared" ca="1" si="99"/>
        <v>46991</v>
      </c>
      <c r="B919" s="181">
        <v>887</v>
      </c>
      <c r="C919" s="182" t="e">
        <f t="shared" si="100"/>
        <v>#VALUE!</v>
      </c>
      <c r="D919" s="182" t="e">
        <f t="shared" si="101"/>
        <v>#VALUE!</v>
      </c>
      <c r="E919" s="182" t="e">
        <f t="shared" si="102"/>
        <v>#VALUE!</v>
      </c>
      <c r="F919" s="182" t="e">
        <f>SUM($D$33:D919)</f>
        <v>#VALUE!</v>
      </c>
      <c r="G919" s="182">
        <f t="shared" ca="1" si="103"/>
        <v>0</v>
      </c>
      <c r="H919" s="182" t="e">
        <f t="shared" si="104"/>
        <v>#VALUE!</v>
      </c>
      <c r="I919" s="183" t="e">
        <f t="shared" si="105"/>
        <v>#VALUE!</v>
      </c>
    </row>
    <row r="920" spans="1:9" x14ac:dyDescent="0.25">
      <c r="A920" s="180">
        <f t="shared" ca="1" si="99"/>
        <v>46992</v>
      </c>
      <c r="B920" s="181">
        <v>888</v>
      </c>
      <c r="C920" s="182" t="e">
        <f t="shared" si="100"/>
        <v>#VALUE!</v>
      </c>
      <c r="D920" s="182" t="e">
        <f t="shared" si="101"/>
        <v>#VALUE!</v>
      </c>
      <c r="E920" s="182" t="e">
        <f t="shared" si="102"/>
        <v>#VALUE!</v>
      </c>
      <c r="F920" s="182" t="e">
        <f>SUM($D$33:D920)</f>
        <v>#VALUE!</v>
      </c>
      <c r="G920" s="182">
        <f t="shared" ca="1" si="103"/>
        <v>0</v>
      </c>
      <c r="H920" s="182" t="e">
        <f t="shared" si="104"/>
        <v>#VALUE!</v>
      </c>
      <c r="I920" s="183" t="e">
        <f t="shared" si="105"/>
        <v>#VALUE!</v>
      </c>
    </row>
    <row r="921" spans="1:9" x14ac:dyDescent="0.25">
      <c r="A921" s="180">
        <f t="shared" ca="1" si="99"/>
        <v>46993</v>
      </c>
      <c r="B921" s="181">
        <v>889</v>
      </c>
      <c r="C921" s="182" t="e">
        <f t="shared" si="100"/>
        <v>#VALUE!</v>
      </c>
      <c r="D921" s="182" t="e">
        <f t="shared" si="101"/>
        <v>#VALUE!</v>
      </c>
      <c r="E921" s="182" t="e">
        <f t="shared" si="102"/>
        <v>#VALUE!</v>
      </c>
      <c r="F921" s="182" t="e">
        <f>SUM($D$33:D921)</f>
        <v>#VALUE!</v>
      </c>
      <c r="G921" s="182">
        <f t="shared" ca="1" si="103"/>
        <v>0</v>
      </c>
      <c r="H921" s="182" t="e">
        <f t="shared" si="104"/>
        <v>#VALUE!</v>
      </c>
      <c r="I921" s="183" t="e">
        <f t="shared" si="105"/>
        <v>#VALUE!</v>
      </c>
    </row>
    <row r="922" spans="1:9" x14ac:dyDescent="0.25">
      <c r="A922" s="180">
        <f t="shared" ca="1" si="99"/>
        <v>46994</v>
      </c>
      <c r="B922" s="181">
        <v>890</v>
      </c>
      <c r="C922" s="182" t="e">
        <f t="shared" si="100"/>
        <v>#VALUE!</v>
      </c>
      <c r="D922" s="182" t="e">
        <f t="shared" si="101"/>
        <v>#VALUE!</v>
      </c>
      <c r="E922" s="182" t="e">
        <f t="shared" si="102"/>
        <v>#VALUE!</v>
      </c>
      <c r="F922" s="182" t="e">
        <f>SUM($D$33:D922)</f>
        <v>#VALUE!</v>
      </c>
      <c r="G922" s="182">
        <f t="shared" ca="1" si="103"/>
        <v>0</v>
      </c>
      <c r="H922" s="182" t="e">
        <f t="shared" si="104"/>
        <v>#VALUE!</v>
      </c>
      <c r="I922" s="183" t="e">
        <f t="shared" si="105"/>
        <v>#VALUE!</v>
      </c>
    </row>
    <row r="923" spans="1:9" x14ac:dyDescent="0.25">
      <c r="A923" s="180">
        <f t="shared" ca="1" si="99"/>
        <v>46995</v>
      </c>
      <c r="B923" s="181">
        <v>891</v>
      </c>
      <c r="C923" s="182" t="e">
        <f t="shared" si="100"/>
        <v>#VALUE!</v>
      </c>
      <c r="D923" s="182" t="e">
        <f t="shared" si="101"/>
        <v>#VALUE!</v>
      </c>
      <c r="E923" s="182" t="e">
        <f t="shared" si="102"/>
        <v>#VALUE!</v>
      </c>
      <c r="F923" s="182" t="e">
        <f>SUM($D$33:D923)</f>
        <v>#VALUE!</v>
      </c>
      <c r="G923" s="182">
        <f t="shared" ca="1" si="103"/>
        <v>0</v>
      </c>
      <c r="H923" s="182" t="e">
        <f t="shared" si="104"/>
        <v>#VALUE!</v>
      </c>
      <c r="I923" s="183" t="e">
        <f t="shared" si="105"/>
        <v>#VALUE!</v>
      </c>
    </row>
    <row r="924" spans="1:9" x14ac:dyDescent="0.25">
      <c r="A924" s="180">
        <f t="shared" ca="1" si="99"/>
        <v>46996</v>
      </c>
      <c r="B924" s="181">
        <v>892</v>
      </c>
      <c r="C924" s="182" t="e">
        <f t="shared" si="100"/>
        <v>#VALUE!</v>
      </c>
      <c r="D924" s="182" t="e">
        <f t="shared" si="101"/>
        <v>#VALUE!</v>
      </c>
      <c r="E924" s="182" t="e">
        <f t="shared" si="102"/>
        <v>#VALUE!</v>
      </c>
      <c r="F924" s="182" t="e">
        <f>SUM($D$33:D924)</f>
        <v>#VALUE!</v>
      </c>
      <c r="G924" s="182">
        <f t="shared" ca="1" si="103"/>
        <v>0</v>
      </c>
      <c r="H924" s="182" t="e">
        <f t="shared" si="104"/>
        <v>#VALUE!</v>
      </c>
      <c r="I924" s="183" t="e">
        <f t="shared" si="105"/>
        <v>#VALUE!</v>
      </c>
    </row>
    <row r="925" spans="1:9" x14ac:dyDescent="0.25">
      <c r="A925" s="180">
        <f t="shared" ca="1" si="99"/>
        <v>46997</v>
      </c>
      <c r="B925" s="181">
        <v>893</v>
      </c>
      <c r="C925" s="182" t="e">
        <f t="shared" si="100"/>
        <v>#VALUE!</v>
      </c>
      <c r="D925" s="182" t="e">
        <f t="shared" si="101"/>
        <v>#VALUE!</v>
      </c>
      <c r="E925" s="182" t="e">
        <f t="shared" si="102"/>
        <v>#VALUE!</v>
      </c>
      <c r="F925" s="182" t="e">
        <f>SUM($D$33:D925)</f>
        <v>#VALUE!</v>
      </c>
      <c r="G925" s="182">
        <f t="shared" ca="1" si="103"/>
        <v>0</v>
      </c>
      <c r="H925" s="182" t="e">
        <f t="shared" si="104"/>
        <v>#VALUE!</v>
      </c>
      <c r="I925" s="183" t="e">
        <f t="shared" si="105"/>
        <v>#VALUE!</v>
      </c>
    </row>
    <row r="926" spans="1:9" x14ac:dyDescent="0.25">
      <c r="A926" s="180">
        <f t="shared" ca="1" si="99"/>
        <v>46998</v>
      </c>
      <c r="B926" s="181">
        <v>894</v>
      </c>
      <c r="C926" s="182" t="e">
        <f t="shared" si="100"/>
        <v>#VALUE!</v>
      </c>
      <c r="D926" s="182" t="e">
        <f t="shared" si="101"/>
        <v>#VALUE!</v>
      </c>
      <c r="E926" s="182" t="e">
        <f t="shared" si="102"/>
        <v>#VALUE!</v>
      </c>
      <c r="F926" s="182" t="e">
        <f>SUM($D$33:D926)</f>
        <v>#VALUE!</v>
      </c>
      <c r="G926" s="182">
        <f t="shared" ca="1" si="103"/>
        <v>0</v>
      </c>
      <c r="H926" s="182" t="e">
        <f t="shared" si="104"/>
        <v>#VALUE!</v>
      </c>
      <c r="I926" s="183" t="e">
        <f t="shared" si="105"/>
        <v>#VALUE!</v>
      </c>
    </row>
    <row r="927" spans="1:9" x14ac:dyDescent="0.25">
      <c r="A927" s="180">
        <f t="shared" ca="1" si="99"/>
        <v>46999</v>
      </c>
      <c r="B927" s="181">
        <v>895</v>
      </c>
      <c r="C927" s="182" t="e">
        <f t="shared" si="100"/>
        <v>#VALUE!</v>
      </c>
      <c r="D927" s="182" t="e">
        <f t="shared" si="101"/>
        <v>#VALUE!</v>
      </c>
      <c r="E927" s="182" t="e">
        <f t="shared" si="102"/>
        <v>#VALUE!</v>
      </c>
      <c r="F927" s="182" t="e">
        <f>SUM($D$33:D927)</f>
        <v>#VALUE!</v>
      </c>
      <c r="G927" s="182">
        <f t="shared" ca="1" si="103"/>
        <v>0</v>
      </c>
      <c r="H927" s="182" t="e">
        <f t="shared" si="104"/>
        <v>#VALUE!</v>
      </c>
      <c r="I927" s="183" t="e">
        <f t="shared" si="105"/>
        <v>#VALUE!</v>
      </c>
    </row>
    <row r="928" spans="1:9" x14ac:dyDescent="0.25">
      <c r="A928" s="180">
        <f t="shared" ca="1" si="99"/>
        <v>47000</v>
      </c>
      <c r="B928" s="181">
        <v>896</v>
      </c>
      <c r="C928" s="182" t="e">
        <f t="shared" si="100"/>
        <v>#VALUE!</v>
      </c>
      <c r="D928" s="182" t="e">
        <f t="shared" si="101"/>
        <v>#VALUE!</v>
      </c>
      <c r="E928" s="182" t="e">
        <f t="shared" si="102"/>
        <v>#VALUE!</v>
      </c>
      <c r="F928" s="182" t="e">
        <f>SUM($D$33:D928)</f>
        <v>#VALUE!</v>
      </c>
      <c r="G928" s="182">
        <f t="shared" ca="1" si="103"/>
        <v>0</v>
      </c>
      <c r="H928" s="182" t="e">
        <f t="shared" si="104"/>
        <v>#VALUE!</v>
      </c>
      <c r="I928" s="183" t="e">
        <f t="shared" si="105"/>
        <v>#VALUE!</v>
      </c>
    </row>
    <row r="929" spans="1:9" x14ac:dyDescent="0.25">
      <c r="A929" s="180">
        <f t="shared" ca="1" si="99"/>
        <v>47001</v>
      </c>
      <c r="B929" s="181">
        <v>897</v>
      </c>
      <c r="C929" s="182" t="e">
        <f t="shared" si="100"/>
        <v>#VALUE!</v>
      </c>
      <c r="D929" s="182" t="e">
        <f t="shared" si="101"/>
        <v>#VALUE!</v>
      </c>
      <c r="E929" s="182" t="e">
        <f t="shared" si="102"/>
        <v>#VALUE!</v>
      </c>
      <c r="F929" s="182" t="e">
        <f>SUM($D$33:D929)</f>
        <v>#VALUE!</v>
      </c>
      <c r="G929" s="182">
        <f t="shared" ca="1" si="103"/>
        <v>0</v>
      </c>
      <c r="H929" s="182" t="e">
        <f t="shared" si="104"/>
        <v>#VALUE!</v>
      </c>
      <c r="I929" s="183" t="e">
        <f t="shared" si="105"/>
        <v>#VALUE!</v>
      </c>
    </row>
    <row r="930" spans="1:9" x14ac:dyDescent="0.25">
      <c r="A930" s="180">
        <f t="shared" ref="A930:A993" ca="1" si="106">A929+1</f>
        <v>47002</v>
      </c>
      <c r="B930" s="181">
        <v>898</v>
      </c>
      <c r="C930" s="182" t="e">
        <f t="shared" si="100"/>
        <v>#VALUE!</v>
      </c>
      <c r="D930" s="182" t="e">
        <f t="shared" si="101"/>
        <v>#VALUE!</v>
      </c>
      <c r="E930" s="182" t="e">
        <f t="shared" si="102"/>
        <v>#VALUE!</v>
      </c>
      <c r="F930" s="182" t="e">
        <f>SUM($D$33:D930)</f>
        <v>#VALUE!</v>
      </c>
      <c r="G930" s="182">
        <f t="shared" ca="1" si="103"/>
        <v>0</v>
      </c>
      <c r="H930" s="182" t="e">
        <f t="shared" si="104"/>
        <v>#VALUE!</v>
      </c>
      <c r="I930" s="183" t="e">
        <f t="shared" si="105"/>
        <v>#VALUE!</v>
      </c>
    </row>
    <row r="931" spans="1:9" x14ac:dyDescent="0.25">
      <c r="A931" s="180">
        <f t="shared" ca="1" si="106"/>
        <v>47003</v>
      </c>
      <c r="B931" s="181">
        <v>899</v>
      </c>
      <c r="C931" s="182" t="e">
        <f t="shared" si="100"/>
        <v>#VALUE!</v>
      </c>
      <c r="D931" s="182" t="e">
        <f t="shared" si="101"/>
        <v>#VALUE!</v>
      </c>
      <c r="E931" s="182" t="e">
        <f t="shared" si="102"/>
        <v>#VALUE!</v>
      </c>
      <c r="F931" s="182" t="e">
        <f>SUM($D$33:D931)</f>
        <v>#VALUE!</v>
      </c>
      <c r="G931" s="182">
        <f t="shared" ca="1" si="103"/>
        <v>0</v>
      </c>
      <c r="H931" s="182" t="e">
        <f t="shared" si="104"/>
        <v>#VALUE!</v>
      </c>
      <c r="I931" s="183" t="e">
        <f t="shared" si="105"/>
        <v>#VALUE!</v>
      </c>
    </row>
    <row r="932" spans="1:9" x14ac:dyDescent="0.25">
      <c r="A932" s="180">
        <f t="shared" ca="1" si="106"/>
        <v>47004</v>
      </c>
      <c r="B932" s="181">
        <v>900</v>
      </c>
      <c r="C932" s="182" t="e">
        <f t="shared" si="100"/>
        <v>#VALUE!</v>
      </c>
      <c r="D932" s="182" t="e">
        <f t="shared" si="101"/>
        <v>#VALUE!</v>
      </c>
      <c r="E932" s="182" t="e">
        <f t="shared" si="102"/>
        <v>#VALUE!</v>
      </c>
      <c r="F932" s="182" t="e">
        <f>SUM($D$33:D932)</f>
        <v>#VALUE!</v>
      </c>
      <c r="G932" s="182">
        <f t="shared" ca="1" si="103"/>
        <v>0</v>
      </c>
      <c r="H932" s="182" t="e">
        <f t="shared" si="104"/>
        <v>#VALUE!</v>
      </c>
      <c r="I932" s="183" t="e">
        <f t="shared" si="105"/>
        <v>#VALUE!</v>
      </c>
    </row>
    <row r="933" spans="1:9" x14ac:dyDescent="0.25">
      <c r="A933" s="180">
        <f t="shared" ca="1" si="106"/>
        <v>47005</v>
      </c>
      <c r="B933" s="181">
        <v>901</v>
      </c>
      <c r="C933" s="182" t="e">
        <f t="shared" si="100"/>
        <v>#VALUE!</v>
      </c>
      <c r="D933" s="182" t="e">
        <f t="shared" si="101"/>
        <v>#VALUE!</v>
      </c>
      <c r="E933" s="182" t="e">
        <f t="shared" si="102"/>
        <v>#VALUE!</v>
      </c>
      <c r="F933" s="182" t="e">
        <f>SUM($D$33:D933)</f>
        <v>#VALUE!</v>
      </c>
      <c r="G933" s="182">
        <f t="shared" ca="1" si="103"/>
        <v>0</v>
      </c>
      <c r="H933" s="182" t="e">
        <f t="shared" si="104"/>
        <v>#VALUE!</v>
      </c>
      <c r="I933" s="183" t="e">
        <f t="shared" si="105"/>
        <v>#VALUE!</v>
      </c>
    </row>
    <row r="934" spans="1:9" x14ac:dyDescent="0.25">
      <c r="A934" s="180">
        <f t="shared" ca="1" si="106"/>
        <v>47006</v>
      </c>
      <c r="B934" s="181">
        <v>902</v>
      </c>
      <c r="C934" s="182" t="e">
        <f t="shared" si="100"/>
        <v>#VALUE!</v>
      </c>
      <c r="D934" s="182" t="e">
        <f t="shared" si="101"/>
        <v>#VALUE!</v>
      </c>
      <c r="E934" s="182" t="e">
        <f t="shared" si="102"/>
        <v>#VALUE!</v>
      </c>
      <c r="F934" s="182" t="e">
        <f>SUM($D$33:D934)</f>
        <v>#VALUE!</v>
      </c>
      <c r="G934" s="182">
        <f t="shared" ca="1" si="103"/>
        <v>0</v>
      </c>
      <c r="H934" s="182" t="e">
        <f t="shared" si="104"/>
        <v>#VALUE!</v>
      </c>
      <c r="I934" s="183" t="e">
        <f t="shared" si="105"/>
        <v>#VALUE!</v>
      </c>
    </row>
    <row r="935" spans="1:9" x14ac:dyDescent="0.25">
      <c r="A935" s="180">
        <f t="shared" ca="1" si="106"/>
        <v>47007</v>
      </c>
      <c r="B935" s="181">
        <v>903</v>
      </c>
      <c r="C935" s="182" t="e">
        <f t="shared" si="100"/>
        <v>#VALUE!</v>
      </c>
      <c r="D935" s="182" t="e">
        <f t="shared" si="101"/>
        <v>#VALUE!</v>
      </c>
      <c r="E935" s="182" t="e">
        <f t="shared" si="102"/>
        <v>#VALUE!</v>
      </c>
      <c r="F935" s="182" t="e">
        <f>SUM($D$33:D935)</f>
        <v>#VALUE!</v>
      </c>
      <c r="G935" s="182">
        <f t="shared" ca="1" si="103"/>
        <v>0</v>
      </c>
      <c r="H935" s="182" t="e">
        <f t="shared" si="104"/>
        <v>#VALUE!</v>
      </c>
      <c r="I935" s="183" t="e">
        <f t="shared" si="105"/>
        <v>#VALUE!</v>
      </c>
    </row>
    <row r="936" spans="1:9" x14ac:dyDescent="0.25">
      <c r="A936" s="180">
        <f t="shared" ca="1" si="106"/>
        <v>47008</v>
      </c>
      <c r="B936" s="181">
        <v>904</v>
      </c>
      <c r="C936" s="182" t="e">
        <f t="shared" si="100"/>
        <v>#VALUE!</v>
      </c>
      <c r="D936" s="182" t="e">
        <f t="shared" si="101"/>
        <v>#VALUE!</v>
      </c>
      <c r="E936" s="182" t="e">
        <f t="shared" si="102"/>
        <v>#VALUE!</v>
      </c>
      <c r="F936" s="182" t="e">
        <f>SUM($D$33:D936)</f>
        <v>#VALUE!</v>
      </c>
      <c r="G936" s="182">
        <f t="shared" ca="1" si="103"/>
        <v>0</v>
      </c>
      <c r="H936" s="182" t="e">
        <f t="shared" si="104"/>
        <v>#VALUE!</v>
      </c>
      <c r="I936" s="183" t="e">
        <f t="shared" si="105"/>
        <v>#VALUE!</v>
      </c>
    </row>
    <row r="937" spans="1:9" x14ac:dyDescent="0.25">
      <c r="A937" s="180">
        <f t="shared" ca="1" si="106"/>
        <v>47009</v>
      </c>
      <c r="B937" s="181">
        <v>905</v>
      </c>
      <c r="C937" s="182" t="e">
        <f t="shared" si="100"/>
        <v>#VALUE!</v>
      </c>
      <c r="D937" s="182" t="e">
        <f t="shared" si="101"/>
        <v>#VALUE!</v>
      </c>
      <c r="E937" s="182" t="e">
        <f t="shared" si="102"/>
        <v>#VALUE!</v>
      </c>
      <c r="F937" s="182" t="e">
        <f>SUM($D$33:D937)</f>
        <v>#VALUE!</v>
      </c>
      <c r="G937" s="182">
        <f t="shared" ca="1" si="103"/>
        <v>0</v>
      </c>
      <c r="H937" s="182" t="e">
        <f t="shared" si="104"/>
        <v>#VALUE!</v>
      </c>
      <c r="I937" s="183" t="e">
        <f t="shared" si="105"/>
        <v>#VALUE!</v>
      </c>
    </row>
    <row r="938" spans="1:9" x14ac:dyDescent="0.25">
      <c r="A938" s="180">
        <f t="shared" ca="1" si="106"/>
        <v>47010</v>
      </c>
      <c r="B938" s="181">
        <v>906</v>
      </c>
      <c r="C938" s="182" t="e">
        <f t="shared" si="100"/>
        <v>#VALUE!</v>
      </c>
      <c r="D938" s="182" t="e">
        <f t="shared" si="101"/>
        <v>#VALUE!</v>
      </c>
      <c r="E938" s="182" t="e">
        <f t="shared" si="102"/>
        <v>#VALUE!</v>
      </c>
      <c r="F938" s="182" t="e">
        <f>SUM($D$33:D938)</f>
        <v>#VALUE!</v>
      </c>
      <c r="G938" s="182">
        <f t="shared" ca="1" si="103"/>
        <v>0</v>
      </c>
      <c r="H938" s="182" t="e">
        <f t="shared" si="104"/>
        <v>#VALUE!</v>
      </c>
      <c r="I938" s="183" t="e">
        <f t="shared" si="105"/>
        <v>#VALUE!</v>
      </c>
    </row>
    <row r="939" spans="1:9" x14ac:dyDescent="0.25">
      <c r="A939" s="180">
        <f t="shared" ca="1" si="106"/>
        <v>47011</v>
      </c>
      <c r="B939" s="181">
        <v>907</v>
      </c>
      <c r="C939" s="182" t="e">
        <f t="shared" si="100"/>
        <v>#VALUE!</v>
      </c>
      <c r="D939" s="182" t="e">
        <f t="shared" si="101"/>
        <v>#VALUE!</v>
      </c>
      <c r="E939" s="182" t="e">
        <f t="shared" si="102"/>
        <v>#VALUE!</v>
      </c>
      <c r="F939" s="182" t="e">
        <f>SUM($D$33:D939)</f>
        <v>#VALUE!</v>
      </c>
      <c r="G939" s="182">
        <f t="shared" ca="1" si="103"/>
        <v>0</v>
      </c>
      <c r="H939" s="182" t="e">
        <f t="shared" si="104"/>
        <v>#VALUE!</v>
      </c>
      <c r="I939" s="183" t="e">
        <f t="shared" si="105"/>
        <v>#VALUE!</v>
      </c>
    </row>
    <row r="940" spans="1:9" x14ac:dyDescent="0.25">
      <c r="A940" s="180">
        <f t="shared" ca="1" si="106"/>
        <v>47012</v>
      </c>
      <c r="B940" s="181">
        <v>908</v>
      </c>
      <c r="C940" s="182" t="e">
        <f t="shared" si="100"/>
        <v>#VALUE!</v>
      </c>
      <c r="D940" s="182" t="e">
        <f t="shared" si="101"/>
        <v>#VALUE!</v>
      </c>
      <c r="E940" s="182" t="e">
        <f t="shared" si="102"/>
        <v>#VALUE!</v>
      </c>
      <c r="F940" s="182" t="e">
        <f>SUM($D$33:D940)</f>
        <v>#VALUE!</v>
      </c>
      <c r="G940" s="182">
        <f t="shared" ca="1" si="103"/>
        <v>0</v>
      </c>
      <c r="H940" s="182" t="e">
        <f t="shared" si="104"/>
        <v>#VALUE!</v>
      </c>
      <c r="I940" s="183" t="e">
        <f t="shared" si="105"/>
        <v>#VALUE!</v>
      </c>
    </row>
    <row r="941" spans="1:9" x14ac:dyDescent="0.25">
      <c r="A941" s="180">
        <f t="shared" ca="1" si="106"/>
        <v>47013</v>
      </c>
      <c r="B941" s="181">
        <v>909</v>
      </c>
      <c r="C941" s="182" t="e">
        <f t="shared" si="100"/>
        <v>#VALUE!</v>
      </c>
      <c r="D941" s="182" t="e">
        <f t="shared" si="101"/>
        <v>#VALUE!</v>
      </c>
      <c r="E941" s="182" t="e">
        <f t="shared" si="102"/>
        <v>#VALUE!</v>
      </c>
      <c r="F941" s="182" t="e">
        <f>SUM($D$33:D941)</f>
        <v>#VALUE!</v>
      </c>
      <c r="G941" s="182">
        <f t="shared" ca="1" si="103"/>
        <v>0</v>
      </c>
      <c r="H941" s="182" t="e">
        <f t="shared" si="104"/>
        <v>#VALUE!</v>
      </c>
      <c r="I941" s="183" t="e">
        <f t="shared" si="105"/>
        <v>#VALUE!</v>
      </c>
    </row>
    <row r="942" spans="1:9" x14ac:dyDescent="0.25">
      <c r="A942" s="180">
        <f t="shared" ca="1" si="106"/>
        <v>47014</v>
      </c>
      <c r="B942" s="181">
        <v>910</v>
      </c>
      <c r="C942" s="182" t="e">
        <f t="shared" si="100"/>
        <v>#VALUE!</v>
      </c>
      <c r="D942" s="182" t="e">
        <f t="shared" si="101"/>
        <v>#VALUE!</v>
      </c>
      <c r="E942" s="182" t="e">
        <f t="shared" si="102"/>
        <v>#VALUE!</v>
      </c>
      <c r="F942" s="182" t="e">
        <f>SUM($D$33:D942)</f>
        <v>#VALUE!</v>
      </c>
      <c r="G942" s="182">
        <f t="shared" ca="1" si="103"/>
        <v>0</v>
      </c>
      <c r="H942" s="182" t="e">
        <f t="shared" si="104"/>
        <v>#VALUE!</v>
      </c>
      <c r="I942" s="183" t="e">
        <f t="shared" si="105"/>
        <v>#VALUE!</v>
      </c>
    </row>
    <row r="943" spans="1:9" x14ac:dyDescent="0.25">
      <c r="A943" s="180">
        <f t="shared" ca="1" si="106"/>
        <v>47015</v>
      </c>
      <c r="B943" s="181">
        <v>911</v>
      </c>
      <c r="C943" s="182" t="e">
        <f t="shared" si="100"/>
        <v>#VALUE!</v>
      </c>
      <c r="D943" s="182" t="e">
        <f t="shared" si="101"/>
        <v>#VALUE!</v>
      </c>
      <c r="E943" s="182" t="e">
        <f t="shared" si="102"/>
        <v>#VALUE!</v>
      </c>
      <c r="F943" s="182" t="e">
        <f>SUM($D$33:D943)</f>
        <v>#VALUE!</v>
      </c>
      <c r="G943" s="182">
        <f t="shared" ca="1" si="103"/>
        <v>0</v>
      </c>
      <c r="H943" s="182" t="e">
        <f t="shared" si="104"/>
        <v>#VALUE!</v>
      </c>
      <c r="I943" s="183" t="e">
        <f t="shared" si="105"/>
        <v>#VALUE!</v>
      </c>
    </row>
    <row r="944" spans="1:9" x14ac:dyDescent="0.25">
      <c r="A944" s="180">
        <f t="shared" ca="1" si="106"/>
        <v>47016</v>
      </c>
      <c r="B944" s="181">
        <v>912</v>
      </c>
      <c r="C944" s="182" t="e">
        <f t="shared" si="100"/>
        <v>#VALUE!</v>
      </c>
      <c r="D944" s="182" t="e">
        <f t="shared" si="101"/>
        <v>#VALUE!</v>
      </c>
      <c r="E944" s="182" t="e">
        <f t="shared" si="102"/>
        <v>#VALUE!</v>
      </c>
      <c r="F944" s="182" t="e">
        <f>SUM($D$33:D944)</f>
        <v>#VALUE!</v>
      </c>
      <c r="G944" s="182">
        <f t="shared" ca="1" si="103"/>
        <v>0</v>
      </c>
      <c r="H944" s="182" t="e">
        <f t="shared" si="104"/>
        <v>#VALUE!</v>
      </c>
      <c r="I944" s="183" t="e">
        <f t="shared" si="105"/>
        <v>#VALUE!</v>
      </c>
    </row>
    <row r="945" spans="1:9" x14ac:dyDescent="0.25">
      <c r="A945" s="180">
        <f t="shared" ca="1" si="106"/>
        <v>47017</v>
      </c>
      <c r="B945" s="181">
        <v>913</v>
      </c>
      <c r="C945" s="182" t="e">
        <f t="shared" si="100"/>
        <v>#VALUE!</v>
      </c>
      <c r="D945" s="182" t="e">
        <f t="shared" si="101"/>
        <v>#VALUE!</v>
      </c>
      <c r="E945" s="182" t="e">
        <f t="shared" si="102"/>
        <v>#VALUE!</v>
      </c>
      <c r="F945" s="182" t="e">
        <f>SUM($D$33:D945)</f>
        <v>#VALUE!</v>
      </c>
      <c r="G945" s="182">
        <f t="shared" ca="1" si="103"/>
        <v>0</v>
      </c>
      <c r="H945" s="182" t="e">
        <f t="shared" si="104"/>
        <v>#VALUE!</v>
      </c>
      <c r="I945" s="183" t="e">
        <f t="shared" si="105"/>
        <v>#VALUE!</v>
      </c>
    </row>
    <row r="946" spans="1:9" x14ac:dyDescent="0.25">
      <c r="A946" s="180">
        <f t="shared" ca="1" si="106"/>
        <v>47018</v>
      </c>
      <c r="B946" s="181">
        <v>914</v>
      </c>
      <c r="C946" s="182" t="e">
        <f t="shared" si="100"/>
        <v>#VALUE!</v>
      </c>
      <c r="D946" s="182" t="e">
        <f t="shared" si="101"/>
        <v>#VALUE!</v>
      </c>
      <c r="E946" s="182" t="e">
        <f t="shared" si="102"/>
        <v>#VALUE!</v>
      </c>
      <c r="F946" s="182" t="e">
        <f>SUM($D$33:D946)</f>
        <v>#VALUE!</v>
      </c>
      <c r="G946" s="182">
        <f t="shared" ca="1" si="103"/>
        <v>0</v>
      </c>
      <c r="H946" s="182" t="e">
        <f t="shared" si="104"/>
        <v>#VALUE!</v>
      </c>
      <c r="I946" s="183" t="e">
        <f t="shared" si="105"/>
        <v>#VALUE!</v>
      </c>
    </row>
    <row r="947" spans="1:9" x14ac:dyDescent="0.25">
      <c r="A947" s="180">
        <f t="shared" ca="1" si="106"/>
        <v>47019</v>
      </c>
      <c r="B947" s="181">
        <v>915</v>
      </c>
      <c r="C947" s="182" t="e">
        <f t="shared" si="100"/>
        <v>#VALUE!</v>
      </c>
      <c r="D947" s="182" t="e">
        <f t="shared" si="101"/>
        <v>#VALUE!</v>
      </c>
      <c r="E947" s="182" t="e">
        <f t="shared" si="102"/>
        <v>#VALUE!</v>
      </c>
      <c r="F947" s="182" t="e">
        <f>SUM($D$33:D947)</f>
        <v>#VALUE!</v>
      </c>
      <c r="G947" s="182">
        <f t="shared" ca="1" si="103"/>
        <v>0</v>
      </c>
      <c r="H947" s="182" t="e">
        <f t="shared" si="104"/>
        <v>#VALUE!</v>
      </c>
      <c r="I947" s="183" t="e">
        <f t="shared" si="105"/>
        <v>#VALUE!</v>
      </c>
    </row>
    <row r="948" spans="1:9" x14ac:dyDescent="0.25">
      <c r="A948" s="180">
        <f t="shared" ca="1" si="106"/>
        <v>47020</v>
      </c>
      <c r="B948" s="181">
        <v>916</v>
      </c>
      <c r="C948" s="182" t="e">
        <f t="shared" si="100"/>
        <v>#VALUE!</v>
      </c>
      <c r="D948" s="182" t="e">
        <f t="shared" si="101"/>
        <v>#VALUE!</v>
      </c>
      <c r="E948" s="182" t="e">
        <f t="shared" si="102"/>
        <v>#VALUE!</v>
      </c>
      <c r="F948" s="182" t="e">
        <f>SUM($D$33:D948)</f>
        <v>#VALUE!</v>
      </c>
      <c r="G948" s="182">
        <f t="shared" ca="1" si="103"/>
        <v>0</v>
      </c>
      <c r="H948" s="182" t="e">
        <f t="shared" si="104"/>
        <v>#VALUE!</v>
      </c>
      <c r="I948" s="183" t="e">
        <f t="shared" si="105"/>
        <v>#VALUE!</v>
      </c>
    </row>
    <row r="949" spans="1:9" x14ac:dyDescent="0.25">
      <c r="A949" s="180">
        <f t="shared" ca="1" si="106"/>
        <v>47021</v>
      </c>
      <c r="B949" s="181">
        <v>917</v>
      </c>
      <c r="C949" s="182" t="e">
        <f t="shared" si="100"/>
        <v>#VALUE!</v>
      </c>
      <c r="D949" s="182" t="e">
        <f t="shared" si="101"/>
        <v>#VALUE!</v>
      </c>
      <c r="E949" s="182" t="e">
        <f t="shared" si="102"/>
        <v>#VALUE!</v>
      </c>
      <c r="F949" s="182" t="e">
        <f>SUM($D$33:D949)</f>
        <v>#VALUE!</v>
      </c>
      <c r="G949" s="182">
        <f t="shared" ca="1" si="103"/>
        <v>0</v>
      </c>
      <c r="H949" s="182" t="e">
        <f t="shared" si="104"/>
        <v>#VALUE!</v>
      </c>
      <c r="I949" s="183" t="e">
        <f t="shared" si="105"/>
        <v>#VALUE!</v>
      </c>
    </row>
    <row r="950" spans="1:9" x14ac:dyDescent="0.25">
      <c r="A950" s="180">
        <f t="shared" ca="1" si="106"/>
        <v>47022</v>
      </c>
      <c r="B950" s="181">
        <v>918</v>
      </c>
      <c r="C950" s="182" t="e">
        <f t="shared" si="100"/>
        <v>#VALUE!</v>
      </c>
      <c r="D950" s="182" t="e">
        <f t="shared" si="101"/>
        <v>#VALUE!</v>
      </c>
      <c r="E950" s="182" t="e">
        <f t="shared" si="102"/>
        <v>#VALUE!</v>
      </c>
      <c r="F950" s="182" t="e">
        <f>SUM($D$33:D950)</f>
        <v>#VALUE!</v>
      </c>
      <c r="G950" s="182">
        <f t="shared" ca="1" si="103"/>
        <v>0</v>
      </c>
      <c r="H950" s="182" t="e">
        <f t="shared" si="104"/>
        <v>#VALUE!</v>
      </c>
      <c r="I950" s="183" t="e">
        <f t="shared" si="105"/>
        <v>#VALUE!</v>
      </c>
    </row>
    <row r="951" spans="1:9" x14ac:dyDescent="0.25">
      <c r="A951" s="180">
        <f t="shared" ca="1" si="106"/>
        <v>47023</v>
      </c>
      <c r="B951" s="181">
        <v>919</v>
      </c>
      <c r="C951" s="182" t="e">
        <f t="shared" si="100"/>
        <v>#VALUE!</v>
      </c>
      <c r="D951" s="182" t="e">
        <f t="shared" si="101"/>
        <v>#VALUE!</v>
      </c>
      <c r="E951" s="182" t="e">
        <f t="shared" si="102"/>
        <v>#VALUE!</v>
      </c>
      <c r="F951" s="182" t="e">
        <f>SUM($D$33:D951)</f>
        <v>#VALUE!</v>
      </c>
      <c r="G951" s="182">
        <f t="shared" ca="1" si="103"/>
        <v>0</v>
      </c>
      <c r="H951" s="182" t="e">
        <f t="shared" si="104"/>
        <v>#VALUE!</v>
      </c>
      <c r="I951" s="183" t="e">
        <f t="shared" si="105"/>
        <v>#VALUE!</v>
      </c>
    </row>
    <row r="952" spans="1:9" x14ac:dyDescent="0.25">
      <c r="A952" s="180">
        <f t="shared" ca="1" si="106"/>
        <v>47024</v>
      </c>
      <c r="B952" s="181">
        <v>920</v>
      </c>
      <c r="C952" s="182" t="e">
        <f t="shared" si="100"/>
        <v>#VALUE!</v>
      </c>
      <c r="D952" s="182" t="e">
        <f t="shared" si="101"/>
        <v>#VALUE!</v>
      </c>
      <c r="E952" s="182" t="e">
        <f t="shared" si="102"/>
        <v>#VALUE!</v>
      </c>
      <c r="F952" s="182" t="e">
        <f>SUM($D$33:D952)</f>
        <v>#VALUE!</v>
      </c>
      <c r="G952" s="182">
        <f t="shared" ca="1" si="103"/>
        <v>0</v>
      </c>
      <c r="H952" s="182" t="e">
        <f t="shared" si="104"/>
        <v>#VALUE!</v>
      </c>
      <c r="I952" s="183" t="e">
        <f t="shared" si="105"/>
        <v>#VALUE!</v>
      </c>
    </row>
    <row r="953" spans="1:9" x14ac:dyDescent="0.25">
      <c r="A953" s="180">
        <f t="shared" ca="1" si="106"/>
        <v>47025</v>
      </c>
      <c r="B953" s="181">
        <v>921</v>
      </c>
      <c r="C953" s="182" t="e">
        <f t="shared" si="100"/>
        <v>#VALUE!</v>
      </c>
      <c r="D953" s="182" t="e">
        <f t="shared" si="101"/>
        <v>#VALUE!</v>
      </c>
      <c r="E953" s="182" t="e">
        <f t="shared" si="102"/>
        <v>#VALUE!</v>
      </c>
      <c r="F953" s="182" t="e">
        <f>SUM($D$33:D953)</f>
        <v>#VALUE!</v>
      </c>
      <c r="G953" s="182">
        <f t="shared" ca="1" si="103"/>
        <v>0</v>
      </c>
      <c r="H953" s="182" t="e">
        <f t="shared" si="104"/>
        <v>#VALUE!</v>
      </c>
      <c r="I953" s="183" t="e">
        <f t="shared" si="105"/>
        <v>#VALUE!</v>
      </c>
    </row>
    <row r="954" spans="1:9" x14ac:dyDescent="0.25">
      <c r="A954" s="180">
        <f t="shared" ca="1" si="106"/>
        <v>47026</v>
      </c>
      <c r="B954" s="181">
        <v>922</v>
      </c>
      <c r="C954" s="182" t="e">
        <f t="shared" si="100"/>
        <v>#VALUE!</v>
      </c>
      <c r="D954" s="182" t="e">
        <f t="shared" si="101"/>
        <v>#VALUE!</v>
      </c>
      <c r="E954" s="182" t="e">
        <f t="shared" si="102"/>
        <v>#VALUE!</v>
      </c>
      <c r="F954" s="182" t="e">
        <f>SUM($D$33:D954)</f>
        <v>#VALUE!</v>
      </c>
      <c r="G954" s="182">
        <f t="shared" ca="1" si="103"/>
        <v>0</v>
      </c>
      <c r="H954" s="182" t="e">
        <f t="shared" si="104"/>
        <v>#VALUE!</v>
      </c>
      <c r="I954" s="183" t="e">
        <f t="shared" si="105"/>
        <v>#VALUE!</v>
      </c>
    </row>
    <row r="955" spans="1:9" x14ac:dyDescent="0.25">
      <c r="A955" s="180">
        <f t="shared" ca="1" si="106"/>
        <v>47027</v>
      </c>
      <c r="B955" s="181">
        <v>923</v>
      </c>
      <c r="C955" s="182" t="e">
        <f t="shared" si="100"/>
        <v>#VALUE!</v>
      </c>
      <c r="D955" s="182" t="e">
        <f t="shared" si="101"/>
        <v>#VALUE!</v>
      </c>
      <c r="E955" s="182" t="e">
        <f t="shared" si="102"/>
        <v>#VALUE!</v>
      </c>
      <c r="F955" s="182" t="e">
        <f>SUM($D$33:D955)</f>
        <v>#VALUE!</v>
      </c>
      <c r="G955" s="182">
        <f t="shared" ca="1" si="103"/>
        <v>0</v>
      </c>
      <c r="H955" s="182" t="e">
        <f t="shared" si="104"/>
        <v>#VALUE!</v>
      </c>
      <c r="I955" s="183" t="e">
        <f t="shared" si="105"/>
        <v>#VALUE!</v>
      </c>
    </row>
    <row r="956" spans="1:9" x14ac:dyDescent="0.25">
      <c r="A956" s="180">
        <f t="shared" ca="1" si="106"/>
        <v>47028</v>
      </c>
      <c r="B956" s="181">
        <v>924</v>
      </c>
      <c r="C956" s="182" t="e">
        <f t="shared" si="100"/>
        <v>#VALUE!</v>
      </c>
      <c r="D956" s="182" t="e">
        <f t="shared" si="101"/>
        <v>#VALUE!</v>
      </c>
      <c r="E956" s="182" t="e">
        <f t="shared" si="102"/>
        <v>#VALUE!</v>
      </c>
      <c r="F956" s="182" t="e">
        <f>SUM($D$33:D956)</f>
        <v>#VALUE!</v>
      </c>
      <c r="G956" s="182">
        <f t="shared" ca="1" si="103"/>
        <v>0</v>
      </c>
      <c r="H956" s="182" t="e">
        <f t="shared" si="104"/>
        <v>#VALUE!</v>
      </c>
      <c r="I956" s="183" t="e">
        <f t="shared" si="105"/>
        <v>#VALUE!</v>
      </c>
    </row>
    <row r="957" spans="1:9" x14ac:dyDescent="0.25">
      <c r="A957" s="180">
        <f t="shared" ca="1" si="106"/>
        <v>47029</v>
      </c>
      <c r="B957" s="181">
        <v>925</v>
      </c>
      <c r="C957" s="182" t="e">
        <f t="shared" si="100"/>
        <v>#VALUE!</v>
      </c>
      <c r="D957" s="182" t="e">
        <f t="shared" si="101"/>
        <v>#VALUE!</v>
      </c>
      <c r="E957" s="182" t="e">
        <f t="shared" si="102"/>
        <v>#VALUE!</v>
      </c>
      <c r="F957" s="182" t="e">
        <f>SUM($D$33:D957)</f>
        <v>#VALUE!</v>
      </c>
      <c r="G957" s="182">
        <f t="shared" ca="1" si="103"/>
        <v>0</v>
      </c>
      <c r="H957" s="182" t="e">
        <f t="shared" si="104"/>
        <v>#VALUE!</v>
      </c>
      <c r="I957" s="183" t="e">
        <f t="shared" si="105"/>
        <v>#VALUE!</v>
      </c>
    </row>
    <row r="958" spans="1:9" x14ac:dyDescent="0.25">
      <c r="A958" s="180">
        <f t="shared" ca="1" si="106"/>
        <v>47030</v>
      </c>
      <c r="B958" s="181">
        <v>926</v>
      </c>
      <c r="C958" s="182" t="e">
        <f t="shared" si="100"/>
        <v>#VALUE!</v>
      </c>
      <c r="D958" s="182" t="e">
        <f t="shared" si="101"/>
        <v>#VALUE!</v>
      </c>
      <c r="E958" s="182" t="e">
        <f t="shared" si="102"/>
        <v>#VALUE!</v>
      </c>
      <c r="F958" s="182" t="e">
        <f>SUM($D$33:D958)</f>
        <v>#VALUE!</v>
      </c>
      <c r="G958" s="182">
        <f t="shared" ca="1" si="103"/>
        <v>0</v>
      </c>
      <c r="H958" s="182" t="e">
        <f t="shared" si="104"/>
        <v>#VALUE!</v>
      </c>
      <c r="I958" s="183" t="e">
        <f t="shared" si="105"/>
        <v>#VALUE!</v>
      </c>
    </row>
    <row r="959" spans="1:9" x14ac:dyDescent="0.25">
      <c r="A959" s="180">
        <f t="shared" ca="1" si="106"/>
        <v>47031</v>
      </c>
      <c r="B959" s="181">
        <v>927</v>
      </c>
      <c r="C959" s="182" t="e">
        <f t="shared" si="100"/>
        <v>#VALUE!</v>
      </c>
      <c r="D959" s="182" t="e">
        <f t="shared" si="101"/>
        <v>#VALUE!</v>
      </c>
      <c r="E959" s="182" t="e">
        <f t="shared" si="102"/>
        <v>#VALUE!</v>
      </c>
      <c r="F959" s="182" t="e">
        <f>SUM($D$33:D959)</f>
        <v>#VALUE!</v>
      </c>
      <c r="G959" s="182">
        <f t="shared" ca="1" si="103"/>
        <v>0</v>
      </c>
      <c r="H959" s="182" t="e">
        <f t="shared" si="104"/>
        <v>#VALUE!</v>
      </c>
      <c r="I959" s="183" t="e">
        <f t="shared" si="105"/>
        <v>#VALUE!</v>
      </c>
    </row>
    <row r="960" spans="1:9" x14ac:dyDescent="0.25">
      <c r="A960" s="180">
        <f t="shared" ca="1" si="106"/>
        <v>47032</v>
      </c>
      <c r="B960" s="181">
        <v>928</v>
      </c>
      <c r="C960" s="182" t="e">
        <f t="shared" si="100"/>
        <v>#VALUE!</v>
      </c>
      <c r="D960" s="182" t="e">
        <f t="shared" si="101"/>
        <v>#VALUE!</v>
      </c>
      <c r="E960" s="182" t="e">
        <f t="shared" si="102"/>
        <v>#VALUE!</v>
      </c>
      <c r="F960" s="182" t="e">
        <f>SUM($D$33:D960)</f>
        <v>#VALUE!</v>
      </c>
      <c r="G960" s="182">
        <f t="shared" ca="1" si="103"/>
        <v>0</v>
      </c>
      <c r="H960" s="182" t="e">
        <f t="shared" si="104"/>
        <v>#VALUE!</v>
      </c>
      <c r="I960" s="183" t="e">
        <f t="shared" si="105"/>
        <v>#VALUE!</v>
      </c>
    </row>
    <row r="961" spans="1:9" x14ac:dyDescent="0.25">
      <c r="A961" s="180">
        <f t="shared" ca="1" si="106"/>
        <v>47033</v>
      </c>
      <c r="B961" s="181">
        <v>929</v>
      </c>
      <c r="C961" s="182" t="e">
        <f t="shared" si="100"/>
        <v>#VALUE!</v>
      </c>
      <c r="D961" s="182" t="e">
        <f t="shared" si="101"/>
        <v>#VALUE!</v>
      </c>
      <c r="E961" s="182" t="e">
        <f t="shared" si="102"/>
        <v>#VALUE!</v>
      </c>
      <c r="F961" s="182" t="e">
        <f>SUM($D$33:D961)</f>
        <v>#VALUE!</v>
      </c>
      <c r="G961" s="182">
        <f t="shared" ca="1" si="103"/>
        <v>0</v>
      </c>
      <c r="H961" s="182" t="e">
        <f t="shared" si="104"/>
        <v>#VALUE!</v>
      </c>
      <c r="I961" s="183" t="e">
        <f t="shared" si="105"/>
        <v>#VALUE!</v>
      </c>
    </row>
    <row r="962" spans="1:9" x14ac:dyDescent="0.25">
      <c r="A962" s="180">
        <f t="shared" ca="1" si="106"/>
        <v>47034</v>
      </c>
      <c r="B962" s="181">
        <v>930</v>
      </c>
      <c r="C962" s="182" t="e">
        <f t="shared" si="100"/>
        <v>#VALUE!</v>
      </c>
      <c r="D962" s="182" t="e">
        <f t="shared" si="101"/>
        <v>#VALUE!</v>
      </c>
      <c r="E962" s="182" t="e">
        <f t="shared" si="102"/>
        <v>#VALUE!</v>
      </c>
      <c r="F962" s="182" t="e">
        <f>SUM($D$33:D962)</f>
        <v>#VALUE!</v>
      </c>
      <c r="G962" s="182">
        <f t="shared" ca="1" si="103"/>
        <v>0</v>
      </c>
      <c r="H962" s="182" t="e">
        <f t="shared" si="104"/>
        <v>#VALUE!</v>
      </c>
      <c r="I962" s="183" t="e">
        <f t="shared" si="105"/>
        <v>#VALUE!</v>
      </c>
    </row>
    <row r="963" spans="1:9" x14ac:dyDescent="0.25">
      <c r="A963" s="180">
        <f t="shared" ca="1" si="106"/>
        <v>47035</v>
      </c>
      <c r="B963" s="181">
        <v>931</v>
      </c>
      <c r="C963" s="182" t="e">
        <f t="shared" si="100"/>
        <v>#VALUE!</v>
      </c>
      <c r="D963" s="182" t="e">
        <f t="shared" si="101"/>
        <v>#VALUE!</v>
      </c>
      <c r="E963" s="182" t="e">
        <f t="shared" si="102"/>
        <v>#VALUE!</v>
      </c>
      <c r="F963" s="182" t="e">
        <f>SUM($D$33:D963)</f>
        <v>#VALUE!</v>
      </c>
      <c r="G963" s="182">
        <f t="shared" ca="1" si="103"/>
        <v>0</v>
      </c>
      <c r="H963" s="182" t="e">
        <f t="shared" si="104"/>
        <v>#VALUE!</v>
      </c>
      <c r="I963" s="183" t="e">
        <f t="shared" si="105"/>
        <v>#VALUE!</v>
      </c>
    </row>
    <row r="964" spans="1:9" x14ac:dyDescent="0.25">
      <c r="A964" s="180">
        <f t="shared" ca="1" si="106"/>
        <v>47036</v>
      </c>
      <c r="B964" s="181">
        <v>932</v>
      </c>
      <c r="C964" s="182" t="e">
        <f t="shared" ref="C964:C1027" si="107">H963</f>
        <v>#VALUE!</v>
      </c>
      <c r="D964" s="182" t="e">
        <f t="shared" ref="D964:D1027" si="108">IF(C964&gt;$H$21,C964*($L$16/360),$H$21*($L$16/360))</f>
        <v>#VALUE!</v>
      </c>
      <c r="E964" s="182" t="e">
        <f t="shared" ref="E964:E1027" si="109">IF(E963&gt;0,E963-D964,0)</f>
        <v>#VALUE!</v>
      </c>
      <c r="F964" s="182" t="e">
        <f>SUM($D$33:D964)</f>
        <v>#VALUE!</v>
      </c>
      <c r="G964" s="182">
        <f t="shared" ref="G964:G1027" ca="1" si="110">IFERROR(-VLOOKUP(A964,$K$30:$M$36,2,FALSE),0)</f>
        <v>0</v>
      </c>
      <c r="H964" s="182" t="e">
        <f t="shared" ref="H964:H1027" si="111">IF(E964&gt;0,C964+G964,IF(E964&lt;0,C964+G964+D964-E963,C964+D964+G964))</f>
        <v>#VALUE!</v>
      </c>
      <c r="I964" s="183" t="e">
        <f t="shared" ref="I964:I1027" si="112">(C964+D964-E964)</f>
        <v>#VALUE!</v>
      </c>
    </row>
    <row r="965" spans="1:9" x14ac:dyDescent="0.25">
      <c r="A965" s="180">
        <f t="shared" ca="1" si="106"/>
        <v>47037</v>
      </c>
      <c r="B965" s="181">
        <v>933</v>
      </c>
      <c r="C965" s="182" t="e">
        <f t="shared" si="107"/>
        <v>#VALUE!</v>
      </c>
      <c r="D965" s="182" t="e">
        <f t="shared" si="108"/>
        <v>#VALUE!</v>
      </c>
      <c r="E965" s="182" t="e">
        <f t="shared" si="109"/>
        <v>#VALUE!</v>
      </c>
      <c r="F965" s="182" t="e">
        <f>SUM($D$33:D965)</f>
        <v>#VALUE!</v>
      </c>
      <c r="G965" s="182">
        <f t="shared" ca="1" si="110"/>
        <v>0</v>
      </c>
      <c r="H965" s="182" t="e">
        <f t="shared" si="111"/>
        <v>#VALUE!</v>
      </c>
      <c r="I965" s="183" t="e">
        <f t="shared" si="112"/>
        <v>#VALUE!</v>
      </c>
    </row>
    <row r="966" spans="1:9" x14ac:dyDescent="0.25">
      <c r="A966" s="180">
        <f t="shared" ca="1" si="106"/>
        <v>47038</v>
      </c>
      <c r="B966" s="181">
        <v>934</v>
      </c>
      <c r="C966" s="182" t="e">
        <f t="shared" si="107"/>
        <v>#VALUE!</v>
      </c>
      <c r="D966" s="182" t="e">
        <f t="shared" si="108"/>
        <v>#VALUE!</v>
      </c>
      <c r="E966" s="182" t="e">
        <f t="shared" si="109"/>
        <v>#VALUE!</v>
      </c>
      <c r="F966" s="182" t="e">
        <f>SUM($D$33:D966)</f>
        <v>#VALUE!</v>
      </c>
      <c r="G966" s="182">
        <f t="shared" ca="1" si="110"/>
        <v>0</v>
      </c>
      <c r="H966" s="182" t="e">
        <f t="shared" si="111"/>
        <v>#VALUE!</v>
      </c>
      <c r="I966" s="183" t="e">
        <f t="shared" si="112"/>
        <v>#VALUE!</v>
      </c>
    </row>
    <row r="967" spans="1:9" x14ac:dyDescent="0.25">
      <c r="A967" s="180">
        <f t="shared" ca="1" si="106"/>
        <v>47039</v>
      </c>
      <c r="B967" s="181">
        <v>935</v>
      </c>
      <c r="C967" s="182" t="e">
        <f t="shared" si="107"/>
        <v>#VALUE!</v>
      </c>
      <c r="D967" s="182" t="e">
        <f t="shared" si="108"/>
        <v>#VALUE!</v>
      </c>
      <c r="E967" s="182" t="e">
        <f t="shared" si="109"/>
        <v>#VALUE!</v>
      </c>
      <c r="F967" s="182" t="e">
        <f>SUM($D$33:D967)</f>
        <v>#VALUE!</v>
      </c>
      <c r="G967" s="182">
        <f t="shared" ca="1" si="110"/>
        <v>0</v>
      </c>
      <c r="H967" s="182" t="e">
        <f t="shared" si="111"/>
        <v>#VALUE!</v>
      </c>
      <c r="I967" s="183" t="e">
        <f t="shared" si="112"/>
        <v>#VALUE!</v>
      </c>
    </row>
    <row r="968" spans="1:9" x14ac:dyDescent="0.25">
      <c r="A968" s="180">
        <f t="shared" ca="1" si="106"/>
        <v>47040</v>
      </c>
      <c r="B968" s="181">
        <v>936</v>
      </c>
      <c r="C968" s="182" t="e">
        <f t="shared" si="107"/>
        <v>#VALUE!</v>
      </c>
      <c r="D968" s="182" t="e">
        <f t="shared" si="108"/>
        <v>#VALUE!</v>
      </c>
      <c r="E968" s="182" t="e">
        <f t="shared" si="109"/>
        <v>#VALUE!</v>
      </c>
      <c r="F968" s="182" t="e">
        <f>SUM($D$33:D968)</f>
        <v>#VALUE!</v>
      </c>
      <c r="G968" s="182">
        <f t="shared" ca="1" si="110"/>
        <v>0</v>
      </c>
      <c r="H968" s="182" t="e">
        <f t="shared" si="111"/>
        <v>#VALUE!</v>
      </c>
      <c r="I968" s="183" t="e">
        <f t="shared" si="112"/>
        <v>#VALUE!</v>
      </c>
    </row>
    <row r="969" spans="1:9" x14ac:dyDescent="0.25">
      <c r="A969" s="180">
        <f t="shared" ca="1" si="106"/>
        <v>47041</v>
      </c>
      <c r="B969" s="181">
        <v>937</v>
      </c>
      <c r="C969" s="182" t="e">
        <f t="shared" si="107"/>
        <v>#VALUE!</v>
      </c>
      <c r="D969" s="182" t="e">
        <f t="shared" si="108"/>
        <v>#VALUE!</v>
      </c>
      <c r="E969" s="182" t="e">
        <f t="shared" si="109"/>
        <v>#VALUE!</v>
      </c>
      <c r="F969" s="182" t="e">
        <f>SUM($D$33:D969)</f>
        <v>#VALUE!</v>
      </c>
      <c r="G969" s="182">
        <f t="shared" ca="1" si="110"/>
        <v>0</v>
      </c>
      <c r="H969" s="182" t="e">
        <f t="shared" si="111"/>
        <v>#VALUE!</v>
      </c>
      <c r="I969" s="183" t="e">
        <f t="shared" si="112"/>
        <v>#VALUE!</v>
      </c>
    </row>
    <row r="970" spans="1:9" x14ac:dyDescent="0.25">
      <c r="A970" s="180">
        <f t="shared" ca="1" si="106"/>
        <v>47042</v>
      </c>
      <c r="B970" s="181">
        <v>938</v>
      </c>
      <c r="C970" s="182" t="e">
        <f t="shared" si="107"/>
        <v>#VALUE!</v>
      </c>
      <c r="D970" s="182" t="e">
        <f t="shared" si="108"/>
        <v>#VALUE!</v>
      </c>
      <c r="E970" s="182" t="e">
        <f t="shared" si="109"/>
        <v>#VALUE!</v>
      </c>
      <c r="F970" s="182" t="e">
        <f>SUM($D$33:D970)</f>
        <v>#VALUE!</v>
      </c>
      <c r="G970" s="182">
        <f t="shared" ca="1" si="110"/>
        <v>0</v>
      </c>
      <c r="H970" s="182" t="e">
        <f t="shared" si="111"/>
        <v>#VALUE!</v>
      </c>
      <c r="I970" s="183" t="e">
        <f t="shared" si="112"/>
        <v>#VALUE!</v>
      </c>
    </row>
    <row r="971" spans="1:9" x14ac:dyDescent="0.25">
      <c r="A971" s="180">
        <f t="shared" ca="1" si="106"/>
        <v>47043</v>
      </c>
      <c r="B971" s="181">
        <v>939</v>
      </c>
      <c r="C971" s="182" t="e">
        <f t="shared" si="107"/>
        <v>#VALUE!</v>
      </c>
      <c r="D971" s="182" t="e">
        <f t="shared" si="108"/>
        <v>#VALUE!</v>
      </c>
      <c r="E971" s="182" t="e">
        <f t="shared" si="109"/>
        <v>#VALUE!</v>
      </c>
      <c r="F971" s="182" t="e">
        <f>SUM($D$33:D971)</f>
        <v>#VALUE!</v>
      </c>
      <c r="G971" s="182">
        <f t="shared" ca="1" si="110"/>
        <v>0</v>
      </c>
      <c r="H971" s="182" t="e">
        <f t="shared" si="111"/>
        <v>#VALUE!</v>
      </c>
      <c r="I971" s="183" t="e">
        <f t="shared" si="112"/>
        <v>#VALUE!</v>
      </c>
    </row>
    <row r="972" spans="1:9" x14ac:dyDescent="0.25">
      <c r="A972" s="180">
        <f t="shared" ca="1" si="106"/>
        <v>47044</v>
      </c>
      <c r="B972" s="181">
        <v>940</v>
      </c>
      <c r="C972" s="182" t="e">
        <f t="shared" si="107"/>
        <v>#VALUE!</v>
      </c>
      <c r="D972" s="182" t="e">
        <f t="shared" si="108"/>
        <v>#VALUE!</v>
      </c>
      <c r="E972" s="182" t="e">
        <f t="shared" si="109"/>
        <v>#VALUE!</v>
      </c>
      <c r="F972" s="182" t="e">
        <f>SUM($D$33:D972)</f>
        <v>#VALUE!</v>
      </c>
      <c r="G972" s="182">
        <f t="shared" ca="1" si="110"/>
        <v>0</v>
      </c>
      <c r="H972" s="182" t="e">
        <f t="shared" si="111"/>
        <v>#VALUE!</v>
      </c>
      <c r="I972" s="183" t="e">
        <f t="shared" si="112"/>
        <v>#VALUE!</v>
      </c>
    </row>
    <row r="973" spans="1:9" x14ac:dyDescent="0.25">
      <c r="A973" s="180">
        <f t="shared" ca="1" si="106"/>
        <v>47045</v>
      </c>
      <c r="B973" s="181">
        <v>941</v>
      </c>
      <c r="C973" s="182" t="e">
        <f t="shared" si="107"/>
        <v>#VALUE!</v>
      </c>
      <c r="D973" s="182" t="e">
        <f t="shared" si="108"/>
        <v>#VALUE!</v>
      </c>
      <c r="E973" s="182" t="e">
        <f t="shared" si="109"/>
        <v>#VALUE!</v>
      </c>
      <c r="F973" s="182" t="e">
        <f>SUM($D$33:D973)</f>
        <v>#VALUE!</v>
      </c>
      <c r="G973" s="182">
        <f t="shared" ca="1" si="110"/>
        <v>0</v>
      </c>
      <c r="H973" s="182" t="e">
        <f t="shared" si="111"/>
        <v>#VALUE!</v>
      </c>
      <c r="I973" s="183" t="e">
        <f t="shared" si="112"/>
        <v>#VALUE!</v>
      </c>
    </row>
    <row r="974" spans="1:9" x14ac:dyDescent="0.25">
      <c r="A974" s="180">
        <f t="shared" ca="1" si="106"/>
        <v>47046</v>
      </c>
      <c r="B974" s="181">
        <v>942</v>
      </c>
      <c r="C974" s="182" t="e">
        <f t="shared" si="107"/>
        <v>#VALUE!</v>
      </c>
      <c r="D974" s="182" t="e">
        <f t="shared" si="108"/>
        <v>#VALUE!</v>
      </c>
      <c r="E974" s="182" t="e">
        <f t="shared" si="109"/>
        <v>#VALUE!</v>
      </c>
      <c r="F974" s="182" t="e">
        <f>SUM($D$33:D974)</f>
        <v>#VALUE!</v>
      </c>
      <c r="G974" s="182">
        <f t="shared" ca="1" si="110"/>
        <v>0</v>
      </c>
      <c r="H974" s="182" t="e">
        <f t="shared" si="111"/>
        <v>#VALUE!</v>
      </c>
      <c r="I974" s="183" t="e">
        <f t="shared" si="112"/>
        <v>#VALUE!</v>
      </c>
    </row>
    <row r="975" spans="1:9" x14ac:dyDescent="0.25">
      <c r="A975" s="180">
        <f t="shared" ca="1" si="106"/>
        <v>47047</v>
      </c>
      <c r="B975" s="181">
        <v>943</v>
      </c>
      <c r="C975" s="182" t="e">
        <f t="shared" si="107"/>
        <v>#VALUE!</v>
      </c>
      <c r="D975" s="182" t="e">
        <f t="shared" si="108"/>
        <v>#VALUE!</v>
      </c>
      <c r="E975" s="182" t="e">
        <f t="shared" si="109"/>
        <v>#VALUE!</v>
      </c>
      <c r="F975" s="182" t="e">
        <f>SUM($D$33:D975)</f>
        <v>#VALUE!</v>
      </c>
      <c r="G975" s="182">
        <f t="shared" ca="1" si="110"/>
        <v>0</v>
      </c>
      <c r="H975" s="182" t="e">
        <f t="shared" si="111"/>
        <v>#VALUE!</v>
      </c>
      <c r="I975" s="183" t="e">
        <f t="shared" si="112"/>
        <v>#VALUE!</v>
      </c>
    </row>
    <row r="976" spans="1:9" x14ac:dyDescent="0.25">
      <c r="A976" s="180">
        <f t="shared" ca="1" si="106"/>
        <v>47048</v>
      </c>
      <c r="B976" s="181">
        <v>944</v>
      </c>
      <c r="C976" s="182" t="e">
        <f t="shared" si="107"/>
        <v>#VALUE!</v>
      </c>
      <c r="D976" s="182" t="e">
        <f t="shared" si="108"/>
        <v>#VALUE!</v>
      </c>
      <c r="E976" s="182" t="e">
        <f t="shared" si="109"/>
        <v>#VALUE!</v>
      </c>
      <c r="F976" s="182" t="e">
        <f>SUM($D$33:D976)</f>
        <v>#VALUE!</v>
      </c>
      <c r="G976" s="182">
        <f t="shared" ca="1" si="110"/>
        <v>0</v>
      </c>
      <c r="H976" s="182" t="e">
        <f t="shared" si="111"/>
        <v>#VALUE!</v>
      </c>
      <c r="I976" s="183" t="e">
        <f t="shared" si="112"/>
        <v>#VALUE!</v>
      </c>
    </row>
    <row r="977" spans="1:9" x14ac:dyDescent="0.25">
      <c r="A977" s="180">
        <f t="shared" ca="1" si="106"/>
        <v>47049</v>
      </c>
      <c r="B977" s="181">
        <v>945</v>
      </c>
      <c r="C977" s="182" t="e">
        <f t="shared" si="107"/>
        <v>#VALUE!</v>
      </c>
      <c r="D977" s="182" t="e">
        <f t="shared" si="108"/>
        <v>#VALUE!</v>
      </c>
      <c r="E977" s="182" t="e">
        <f t="shared" si="109"/>
        <v>#VALUE!</v>
      </c>
      <c r="F977" s="182" t="e">
        <f>SUM($D$33:D977)</f>
        <v>#VALUE!</v>
      </c>
      <c r="G977" s="182">
        <f t="shared" ca="1" si="110"/>
        <v>0</v>
      </c>
      <c r="H977" s="182" t="e">
        <f t="shared" si="111"/>
        <v>#VALUE!</v>
      </c>
      <c r="I977" s="183" t="e">
        <f t="shared" si="112"/>
        <v>#VALUE!</v>
      </c>
    </row>
    <row r="978" spans="1:9" x14ac:dyDescent="0.25">
      <c r="A978" s="180">
        <f t="shared" ca="1" si="106"/>
        <v>47050</v>
      </c>
      <c r="B978" s="181">
        <v>946</v>
      </c>
      <c r="C978" s="182" t="e">
        <f t="shared" si="107"/>
        <v>#VALUE!</v>
      </c>
      <c r="D978" s="182" t="e">
        <f t="shared" si="108"/>
        <v>#VALUE!</v>
      </c>
      <c r="E978" s="182" t="e">
        <f t="shared" si="109"/>
        <v>#VALUE!</v>
      </c>
      <c r="F978" s="182" t="e">
        <f>SUM($D$33:D978)</f>
        <v>#VALUE!</v>
      </c>
      <c r="G978" s="182">
        <f t="shared" ca="1" si="110"/>
        <v>0</v>
      </c>
      <c r="H978" s="182" t="e">
        <f t="shared" si="111"/>
        <v>#VALUE!</v>
      </c>
      <c r="I978" s="183" t="e">
        <f t="shared" si="112"/>
        <v>#VALUE!</v>
      </c>
    </row>
    <row r="979" spans="1:9" x14ac:dyDescent="0.25">
      <c r="A979" s="180">
        <f t="shared" ca="1" si="106"/>
        <v>47051</v>
      </c>
      <c r="B979" s="181">
        <v>947</v>
      </c>
      <c r="C979" s="182" t="e">
        <f t="shared" si="107"/>
        <v>#VALUE!</v>
      </c>
      <c r="D979" s="182" t="e">
        <f t="shared" si="108"/>
        <v>#VALUE!</v>
      </c>
      <c r="E979" s="182" t="e">
        <f t="shared" si="109"/>
        <v>#VALUE!</v>
      </c>
      <c r="F979" s="182" t="e">
        <f>SUM($D$33:D979)</f>
        <v>#VALUE!</v>
      </c>
      <c r="G979" s="182">
        <f t="shared" ca="1" si="110"/>
        <v>0</v>
      </c>
      <c r="H979" s="182" t="e">
        <f t="shared" si="111"/>
        <v>#VALUE!</v>
      </c>
      <c r="I979" s="183" t="e">
        <f t="shared" si="112"/>
        <v>#VALUE!</v>
      </c>
    </row>
    <row r="980" spans="1:9" x14ac:dyDescent="0.25">
      <c r="A980" s="180">
        <f t="shared" ca="1" si="106"/>
        <v>47052</v>
      </c>
      <c r="B980" s="181">
        <v>948</v>
      </c>
      <c r="C980" s="182" t="e">
        <f t="shared" si="107"/>
        <v>#VALUE!</v>
      </c>
      <c r="D980" s="182" t="e">
        <f t="shared" si="108"/>
        <v>#VALUE!</v>
      </c>
      <c r="E980" s="182" t="e">
        <f t="shared" si="109"/>
        <v>#VALUE!</v>
      </c>
      <c r="F980" s="182" t="e">
        <f>SUM($D$33:D980)</f>
        <v>#VALUE!</v>
      </c>
      <c r="G980" s="182">
        <f t="shared" ca="1" si="110"/>
        <v>0</v>
      </c>
      <c r="H980" s="182" t="e">
        <f t="shared" si="111"/>
        <v>#VALUE!</v>
      </c>
      <c r="I980" s="183" t="e">
        <f t="shared" si="112"/>
        <v>#VALUE!</v>
      </c>
    </row>
    <row r="981" spans="1:9" x14ac:dyDescent="0.25">
      <c r="A981" s="180">
        <f t="shared" ca="1" si="106"/>
        <v>47053</v>
      </c>
      <c r="B981" s="181">
        <v>949</v>
      </c>
      <c r="C981" s="182" t="e">
        <f t="shared" si="107"/>
        <v>#VALUE!</v>
      </c>
      <c r="D981" s="182" t="e">
        <f t="shared" si="108"/>
        <v>#VALUE!</v>
      </c>
      <c r="E981" s="182" t="e">
        <f t="shared" si="109"/>
        <v>#VALUE!</v>
      </c>
      <c r="F981" s="182" t="e">
        <f>SUM($D$33:D981)</f>
        <v>#VALUE!</v>
      </c>
      <c r="G981" s="182">
        <f t="shared" ca="1" si="110"/>
        <v>0</v>
      </c>
      <c r="H981" s="182" t="e">
        <f t="shared" si="111"/>
        <v>#VALUE!</v>
      </c>
      <c r="I981" s="183" t="e">
        <f t="shared" si="112"/>
        <v>#VALUE!</v>
      </c>
    </row>
    <row r="982" spans="1:9" x14ac:dyDescent="0.25">
      <c r="A982" s="180">
        <f t="shared" ca="1" si="106"/>
        <v>47054</v>
      </c>
      <c r="B982" s="181">
        <v>950</v>
      </c>
      <c r="C982" s="182" t="e">
        <f t="shared" si="107"/>
        <v>#VALUE!</v>
      </c>
      <c r="D982" s="182" t="e">
        <f t="shared" si="108"/>
        <v>#VALUE!</v>
      </c>
      <c r="E982" s="182" t="e">
        <f t="shared" si="109"/>
        <v>#VALUE!</v>
      </c>
      <c r="F982" s="182" t="e">
        <f>SUM($D$33:D982)</f>
        <v>#VALUE!</v>
      </c>
      <c r="G982" s="182">
        <f t="shared" ca="1" si="110"/>
        <v>0</v>
      </c>
      <c r="H982" s="182" t="e">
        <f t="shared" si="111"/>
        <v>#VALUE!</v>
      </c>
      <c r="I982" s="183" t="e">
        <f t="shared" si="112"/>
        <v>#VALUE!</v>
      </c>
    </row>
    <row r="983" spans="1:9" x14ac:dyDescent="0.25">
      <c r="A983" s="180">
        <f t="shared" ca="1" si="106"/>
        <v>47055</v>
      </c>
      <c r="B983" s="181">
        <v>951</v>
      </c>
      <c r="C983" s="182" t="e">
        <f t="shared" si="107"/>
        <v>#VALUE!</v>
      </c>
      <c r="D983" s="182" t="e">
        <f t="shared" si="108"/>
        <v>#VALUE!</v>
      </c>
      <c r="E983" s="182" t="e">
        <f t="shared" si="109"/>
        <v>#VALUE!</v>
      </c>
      <c r="F983" s="182" t="e">
        <f>SUM($D$33:D983)</f>
        <v>#VALUE!</v>
      </c>
      <c r="G983" s="182">
        <f t="shared" ca="1" si="110"/>
        <v>0</v>
      </c>
      <c r="H983" s="182" t="e">
        <f t="shared" si="111"/>
        <v>#VALUE!</v>
      </c>
      <c r="I983" s="183" t="e">
        <f t="shared" si="112"/>
        <v>#VALUE!</v>
      </c>
    </row>
    <row r="984" spans="1:9" x14ac:dyDescent="0.25">
      <c r="A984" s="180">
        <f t="shared" ca="1" si="106"/>
        <v>47056</v>
      </c>
      <c r="B984" s="181">
        <v>952</v>
      </c>
      <c r="C984" s="182" t="e">
        <f t="shared" si="107"/>
        <v>#VALUE!</v>
      </c>
      <c r="D984" s="182" t="e">
        <f t="shared" si="108"/>
        <v>#VALUE!</v>
      </c>
      <c r="E984" s="182" t="e">
        <f t="shared" si="109"/>
        <v>#VALUE!</v>
      </c>
      <c r="F984" s="182" t="e">
        <f>SUM($D$33:D984)</f>
        <v>#VALUE!</v>
      </c>
      <c r="G984" s="182">
        <f t="shared" ca="1" si="110"/>
        <v>0</v>
      </c>
      <c r="H984" s="182" t="e">
        <f t="shared" si="111"/>
        <v>#VALUE!</v>
      </c>
      <c r="I984" s="183" t="e">
        <f t="shared" si="112"/>
        <v>#VALUE!</v>
      </c>
    </row>
    <row r="985" spans="1:9" x14ac:dyDescent="0.25">
      <c r="A985" s="180">
        <f t="shared" ca="1" si="106"/>
        <v>47057</v>
      </c>
      <c r="B985" s="181">
        <v>953</v>
      </c>
      <c r="C985" s="182" t="e">
        <f t="shared" si="107"/>
        <v>#VALUE!</v>
      </c>
      <c r="D985" s="182" t="e">
        <f t="shared" si="108"/>
        <v>#VALUE!</v>
      </c>
      <c r="E985" s="182" t="e">
        <f t="shared" si="109"/>
        <v>#VALUE!</v>
      </c>
      <c r="F985" s="182" t="e">
        <f>SUM($D$33:D985)</f>
        <v>#VALUE!</v>
      </c>
      <c r="G985" s="182">
        <f t="shared" ca="1" si="110"/>
        <v>0</v>
      </c>
      <c r="H985" s="182" t="e">
        <f t="shared" si="111"/>
        <v>#VALUE!</v>
      </c>
      <c r="I985" s="183" t="e">
        <f t="shared" si="112"/>
        <v>#VALUE!</v>
      </c>
    </row>
    <row r="986" spans="1:9" x14ac:dyDescent="0.25">
      <c r="A986" s="180">
        <f t="shared" ca="1" si="106"/>
        <v>47058</v>
      </c>
      <c r="B986" s="181">
        <v>954</v>
      </c>
      <c r="C986" s="182" t="e">
        <f t="shared" si="107"/>
        <v>#VALUE!</v>
      </c>
      <c r="D986" s="182" t="e">
        <f t="shared" si="108"/>
        <v>#VALUE!</v>
      </c>
      <c r="E986" s="182" t="e">
        <f t="shared" si="109"/>
        <v>#VALUE!</v>
      </c>
      <c r="F986" s="182" t="e">
        <f>SUM($D$33:D986)</f>
        <v>#VALUE!</v>
      </c>
      <c r="G986" s="182">
        <f t="shared" ca="1" si="110"/>
        <v>0</v>
      </c>
      <c r="H986" s="182" t="e">
        <f t="shared" si="111"/>
        <v>#VALUE!</v>
      </c>
      <c r="I986" s="183" t="e">
        <f t="shared" si="112"/>
        <v>#VALUE!</v>
      </c>
    </row>
    <row r="987" spans="1:9" x14ac:dyDescent="0.25">
      <c r="A987" s="180">
        <f t="shared" ca="1" si="106"/>
        <v>47059</v>
      </c>
      <c r="B987" s="181">
        <v>955</v>
      </c>
      <c r="C987" s="182" t="e">
        <f t="shared" si="107"/>
        <v>#VALUE!</v>
      </c>
      <c r="D987" s="182" t="e">
        <f t="shared" si="108"/>
        <v>#VALUE!</v>
      </c>
      <c r="E987" s="182" t="e">
        <f t="shared" si="109"/>
        <v>#VALUE!</v>
      </c>
      <c r="F987" s="182" t="e">
        <f>SUM($D$33:D987)</f>
        <v>#VALUE!</v>
      </c>
      <c r="G987" s="182">
        <f t="shared" ca="1" si="110"/>
        <v>0</v>
      </c>
      <c r="H987" s="182" t="e">
        <f t="shared" si="111"/>
        <v>#VALUE!</v>
      </c>
      <c r="I987" s="183" t="e">
        <f t="shared" si="112"/>
        <v>#VALUE!</v>
      </c>
    </row>
    <row r="988" spans="1:9" x14ac:dyDescent="0.25">
      <c r="A988" s="180">
        <f t="shared" ca="1" si="106"/>
        <v>47060</v>
      </c>
      <c r="B988" s="181">
        <v>956</v>
      </c>
      <c r="C988" s="182" t="e">
        <f t="shared" si="107"/>
        <v>#VALUE!</v>
      </c>
      <c r="D988" s="182" t="e">
        <f t="shared" si="108"/>
        <v>#VALUE!</v>
      </c>
      <c r="E988" s="182" t="e">
        <f t="shared" si="109"/>
        <v>#VALUE!</v>
      </c>
      <c r="F988" s="182" t="e">
        <f>SUM($D$33:D988)</f>
        <v>#VALUE!</v>
      </c>
      <c r="G988" s="182">
        <f t="shared" ca="1" si="110"/>
        <v>0</v>
      </c>
      <c r="H988" s="182" t="e">
        <f t="shared" si="111"/>
        <v>#VALUE!</v>
      </c>
      <c r="I988" s="183" t="e">
        <f t="shared" si="112"/>
        <v>#VALUE!</v>
      </c>
    </row>
    <row r="989" spans="1:9" x14ac:dyDescent="0.25">
      <c r="A989" s="180">
        <f t="shared" ca="1" si="106"/>
        <v>47061</v>
      </c>
      <c r="B989" s="181">
        <v>957</v>
      </c>
      <c r="C989" s="182" t="e">
        <f t="shared" si="107"/>
        <v>#VALUE!</v>
      </c>
      <c r="D989" s="182" t="e">
        <f t="shared" si="108"/>
        <v>#VALUE!</v>
      </c>
      <c r="E989" s="182" t="e">
        <f t="shared" si="109"/>
        <v>#VALUE!</v>
      </c>
      <c r="F989" s="182" t="e">
        <f>SUM($D$33:D989)</f>
        <v>#VALUE!</v>
      </c>
      <c r="G989" s="182">
        <f t="shared" ca="1" si="110"/>
        <v>0</v>
      </c>
      <c r="H989" s="182" t="e">
        <f t="shared" si="111"/>
        <v>#VALUE!</v>
      </c>
      <c r="I989" s="183" t="e">
        <f t="shared" si="112"/>
        <v>#VALUE!</v>
      </c>
    </row>
    <row r="990" spans="1:9" x14ac:dyDescent="0.25">
      <c r="A990" s="180">
        <f t="shared" ca="1" si="106"/>
        <v>47062</v>
      </c>
      <c r="B990" s="181">
        <v>958</v>
      </c>
      <c r="C990" s="182" t="e">
        <f t="shared" si="107"/>
        <v>#VALUE!</v>
      </c>
      <c r="D990" s="182" t="e">
        <f t="shared" si="108"/>
        <v>#VALUE!</v>
      </c>
      <c r="E990" s="182" t="e">
        <f t="shared" si="109"/>
        <v>#VALUE!</v>
      </c>
      <c r="F990" s="182" t="e">
        <f>SUM($D$33:D990)</f>
        <v>#VALUE!</v>
      </c>
      <c r="G990" s="182">
        <f t="shared" ca="1" si="110"/>
        <v>0</v>
      </c>
      <c r="H990" s="182" t="e">
        <f t="shared" si="111"/>
        <v>#VALUE!</v>
      </c>
      <c r="I990" s="183" t="e">
        <f t="shared" si="112"/>
        <v>#VALUE!</v>
      </c>
    </row>
    <row r="991" spans="1:9" x14ac:dyDescent="0.25">
      <c r="A991" s="180">
        <f t="shared" ca="1" si="106"/>
        <v>47063</v>
      </c>
      <c r="B991" s="181">
        <v>959</v>
      </c>
      <c r="C991" s="182" t="e">
        <f t="shared" si="107"/>
        <v>#VALUE!</v>
      </c>
      <c r="D991" s="182" t="e">
        <f t="shared" si="108"/>
        <v>#VALUE!</v>
      </c>
      <c r="E991" s="182" t="e">
        <f t="shared" si="109"/>
        <v>#VALUE!</v>
      </c>
      <c r="F991" s="182" t="e">
        <f>SUM($D$33:D991)</f>
        <v>#VALUE!</v>
      </c>
      <c r="G991" s="182">
        <f t="shared" ca="1" si="110"/>
        <v>0</v>
      </c>
      <c r="H991" s="182" t="e">
        <f t="shared" si="111"/>
        <v>#VALUE!</v>
      </c>
      <c r="I991" s="183" t="e">
        <f t="shared" si="112"/>
        <v>#VALUE!</v>
      </c>
    </row>
    <row r="992" spans="1:9" x14ac:dyDescent="0.25">
      <c r="A992" s="180">
        <f t="shared" ca="1" si="106"/>
        <v>47064</v>
      </c>
      <c r="B992" s="181">
        <v>960</v>
      </c>
      <c r="C992" s="182" t="e">
        <f t="shared" si="107"/>
        <v>#VALUE!</v>
      </c>
      <c r="D992" s="182" t="e">
        <f t="shared" si="108"/>
        <v>#VALUE!</v>
      </c>
      <c r="E992" s="182" t="e">
        <f t="shared" si="109"/>
        <v>#VALUE!</v>
      </c>
      <c r="F992" s="182" t="e">
        <f>SUM($D$33:D992)</f>
        <v>#VALUE!</v>
      </c>
      <c r="G992" s="182">
        <f t="shared" ca="1" si="110"/>
        <v>0</v>
      </c>
      <c r="H992" s="182" t="e">
        <f t="shared" si="111"/>
        <v>#VALUE!</v>
      </c>
      <c r="I992" s="183" t="e">
        <f t="shared" si="112"/>
        <v>#VALUE!</v>
      </c>
    </row>
    <row r="993" spans="1:9" x14ac:dyDescent="0.25">
      <c r="A993" s="180">
        <f t="shared" ca="1" si="106"/>
        <v>47065</v>
      </c>
      <c r="B993" s="181">
        <v>961</v>
      </c>
      <c r="C993" s="182" t="e">
        <f t="shared" si="107"/>
        <v>#VALUE!</v>
      </c>
      <c r="D993" s="182" t="e">
        <f t="shared" si="108"/>
        <v>#VALUE!</v>
      </c>
      <c r="E993" s="182" t="e">
        <f t="shared" si="109"/>
        <v>#VALUE!</v>
      </c>
      <c r="F993" s="182" t="e">
        <f>SUM($D$33:D993)</f>
        <v>#VALUE!</v>
      </c>
      <c r="G993" s="182">
        <f t="shared" ca="1" si="110"/>
        <v>0</v>
      </c>
      <c r="H993" s="182" t="e">
        <f t="shared" si="111"/>
        <v>#VALUE!</v>
      </c>
      <c r="I993" s="183" t="e">
        <f t="shared" si="112"/>
        <v>#VALUE!</v>
      </c>
    </row>
    <row r="994" spans="1:9" x14ac:dyDescent="0.25">
      <c r="A994" s="180">
        <f t="shared" ref="A994:A1057" ca="1" si="113">A993+1</f>
        <v>47066</v>
      </c>
      <c r="B994" s="181">
        <v>962</v>
      </c>
      <c r="C994" s="182" t="e">
        <f t="shared" si="107"/>
        <v>#VALUE!</v>
      </c>
      <c r="D994" s="182" t="e">
        <f t="shared" si="108"/>
        <v>#VALUE!</v>
      </c>
      <c r="E994" s="182" t="e">
        <f t="shared" si="109"/>
        <v>#VALUE!</v>
      </c>
      <c r="F994" s="182" t="e">
        <f>SUM($D$33:D994)</f>
        <v>#VALUE!</v>
      </c>
      <c r="G994" s="182">
        <f t="shared" ca="1" si="110"/>
        <v>0</v>
      </c>
      <c r="H994" s="182" t="e">
        <f t="shared" si="111"/>
        <v>#VALUE!</v>
      </c>
      <c r="I994" s="183" t="e">
        <f t="shared" si="112"/>
        <v>#VALUE!</v>
      </c>
    </row>
    <row r="995" spans="1:9" x14ac:dyDescent="0.25">
      <c r="A995" s="180">
        <f t="shared" ca="1" si="113"/>
        <v>47067</v>
      </c>
      <c r="B995" s="181">
        <v>963</v>
      </c>
      <c r="C995" s="182" t="e">
        <f t="shared" si="107"/>
        <v>#VALUE!</v>
      </c>
      <c r="D995" s="182" t="e">
        <f t="shared" si="108"/>
        <v>#VALUE!</v>
      </c>
      <c r="E995" s="182" t="e">
        <f t="shared" si="109"/>
        <v>#VALUE!</v>
      </c>
      <c r="F995" s="182" t="e">
        <f>SUM($D$33:D995)</f>
        <v>#VALUE!</v>
      </c>
      <c r="G995" s="182">
        <f t="shared" ca="1" si="110"/>
        <v>0</v>
      </c>
      <c r="H995" s="182" t="e">
        <f t="shared" si="111"/>
        <v>#VALUE!</v>
      </c>
      <c r="I995" s="183" t="e">
        <f t="shared" si="112"/>
        <v>#VALUE!</v>
      </c>
    </row>
    <row r="996" spans="1:9" x14ac:dyDescent="0.25">
      <c r="A996" s="180">
        <f t="shared" ca="1" si="113"/>
        <v>47068</v>
      </c>
      <c r="B996" s="181">
        <v>964</v>
      </c>
      <c r="C996" s="182" t="e">
        <f t="shared" si="107"/>
        <v>#VALUE!</v>
      </c>
      <c r="D996" s="182" t="e">
        <f t="shared" si="108"/>
        <v>#VALUE!</v>
      </c>
      <c r="E996" s="182" t="e">
        <f t="shared" si="109"/>
        <v>#VALUE!</v>
      </c>
      <c r="F996" s="182" t="e">
        <f>SUM($D$33:D996)</f>
        <v>#VALUE!</v>
      </c>
      <c r="G996" s="182">
        <f t="shared" ca="1" si="110"/>
        <v>0</v>
      </c>
      <c r="H996" s="182" t="e">
        <f t="shared" si="111"/>
        <v>#VALUE!</v>
      </c>
      <c r="I996" s="183" t="e">
        <f t="shared" si="112"/>
        <v>#VALUE!</v>
      </c>
    </row>
    <row r="997" spans="1:9" x14ac:dyDescent="0.25">
      <c r="A997" s="180">
        <f t="shared" ca="1" si="113"/>
        <v>47069</v>
      </c>
      <c r="B997" s="181">
        <v>965</v>
      </c>
      <c r="C997" s="182" t="e">
        <f t="shared" si="107"/>
        <v>#VALUE!</v>
      </c>
      <c r="D997" s="182" t="e">
        <f t="shared" si="108"/>
        <v>#VALUE!</v>
      </c>
      <c r="E997" s="182" t="e">
        <f t="shared" si="109"/>
        <v>#VALUE!</v>
      </c>
      <c r="F997" s="182" t="e">
        <f>SUM($D$33:D997)</f>
        <v>#VALUE!</v>
      </c>
      <c r="G997" s="182">
        <f t="shared" ca="1" si="110"/>
        <v>0</v>
      </c>
      <c r="H997" s="182" t="e">
        <f t="shared" si="111"/>
        <v>#VALUE!</v>
      </c>
      <c r="I997" s="183" t="e">
        <f t="shared" si="112"/>
        <v>#VALUE!</v>
      </c>
    </row>
    <row r="998" spans="1:9" x14ac:dyDescent="0.25">
      <c r="A998" s="180">
        <f t="shared" ca="1" si="113"/>
        <v>47070</v>
      </c>
      <c r="B998" s="181">
        <v>966</v>
      </c>
      <c r="C998" s="182" t="e">
        <f t="shared" si="107"/>
        <v>#VALUE!</v>
      </c>
      <c r="D998" s="182" t="e">
        <f t="shared" si="108"/>
        <v>#VALUE!</v>
      </c>
      <c r="E998" s="182" t="e">
        <f t="shared" si="109"/>
        <v>#VALUE!</v>
      </c>
      <c r="F998" s="182" t="e">
        <f>SUM($D$33:D998)</f>
        <v>#VALUE!</v>
      </c>
      <c r="G998" s="182">
        <f t="shared" ca="1" si="110"/>
        <v>0</v>
      </c>
      <c r="H998" s="182" t="e">
        <f t="shared" si="111"/>
        <v>#VALUE!</v>
      </c>
      <c r="I998" s="183" t="e">
        <f t="shared" si="112"/>
        <v>#VALUE!</v>
      </c>
    </row>
    <row r="999" spans="1:9" x14ac:dyDescent="0.25">
      <c r="A999" s="180">
        <f t="shared" ca="1" si="113"/>
        <v>47071</v>
      </c>
      <c r="B999" s="181">
        <v>967</v>
      </c>
      <c r="C999" s="182" t="e">
        <f t="shared" si="107"/>
        <v>#VALUE!</v>
      </c>
      <c r="D999" s="182" t="e">
        <f t="shared" si="108"/>
        <v>#VALUE!</v>
      </c>
      <c r="E999" s="182" t="e">
        <f t="shared" si="109"/>
        <v>#VALUE!</v>
      </c>
      <c r="F999" s="182" t="e">
        <f>SUM($D$33:D999)</f>
        <v>#VALUE!</v>
      </c>
      <c r="G999" s="182">
        <f t="shared" ca="1" si="110"/>
        <v>0</v>
      </c>
      <c r="H999" s="182" t="e">
        <f t="shared" si="111"/>
        <v>#VALUE!</v>
      </c>
      <c r="I999" s="183" t="e">
        <f t="shared" si="112"/>
        <v>#VALUE!</v>
      </c>
    </row>
    <row r="1000" spans="1:9" x14ac:dyDescent="0.25">
      <c r="A1000" s="180">
        <f t="shared" ca="1" si="113"/>
        <v>47072</v>
      </c>
      <c r="B1000" s="181">
        <v>968</v>
      </c>
      <c r="C1000" s="182" t="e">
        <f t="shared" si="107"/>
        <v>#VALUE!</v>
      </c>
      <c r="D1000" s="182" t="e">
        <f t="shared" si="108"/>
        <v>#VALUE!</v>
      </c>
      <c r="E1000" s="182" t="e">
        <f t="shared" si="109"/>
        <v>#VALUE!</v>
      </c>
      <c r="F1000" s="182" t="e">
        <f>SUM($D$33:D1000)</f>
        <v>#VALUE!</v>
      </c>
      <c r="G1000" s="182">
        <f t="shared" ca="1" si="110"/>
        <v>0</v>
      </c>
      <c r="H1000" s="182" t="e">
        <f t="shared" si="111"/>
        <v>#VALUE!</v>
      </c>
      <c r="I1000" s="183" t="e">
        <f t="shared" si="112"/>
        <v>#VALUE!</v>
      </c>
    </row>
    <row r="1001" spans="1:9" x14ac:dyDescent="0.25">
      <c r="A1001" s="180">
        <f t="shared" ca="1" si="113"/>
        <v>47073</v>
      </c>
      <c r="B1001" s="181">
        <v>969</v>
      </c>
      <c r="C1001" s="182" t="e">
        <f t="shared" si="107"/>
        <v>#VALUE!</v>
      </c>
      <c r="D1001" s="182" t="e">
        <f t="shared" si="108"/>
        <v>#VALUE!</v>
      </c>
      <c r="E1001" s="182" t="e">
        <f t="shared" si="109"/>
        <v>#VALUE!</v>
      </c>
      <c r="F1001" s="182" t="e">
        <f>SUM($D$33:D1001)</f>
        <v>#VALUE!</v>
      </c>
      <c r="G1001" s="182">
        <f t="shared" ca="1" si="110"/>
        <v>0</v>
      </c>
      <c r="H1001" s="182" t="e">
        <f t="shared" si="111"/>
        <v>#VALUE!</v>
      </c>
      <c r="I1001" s="183" t="e">
        <f t="shared" si="112"/>
        <v>#VALUE!</v>
      </c>
    </row>
    <row r="1002" spans="1:9" x14ac:dyDescent="0.25">
      <c r="A1002" s="180">
        <f t="shared" ca="1" si="113"/>
        <v>47074</v>
      </c>
      <c r="B1002" s="181">
        <v>970</v>
      </c>
      <c r="C1002" s="182" t="e">
        <f t="shared" si="107"/>
        <v>#VALUE!</v>
      </c>
      <c r="D1002" s="182" t="e">
        <f t="shared" si="108"/>
        <v>#VALUE!</v>
      </c>
      <c r="E1002" s="182" t="e">
        <f t="shared" si="109"/>
        <v>#VALUE!</v>
      </c>
      <c r="F1002" s="182" t="e">
        <f>SUM($D$33:D1002)</f>
        <v>#VALUE!</v>
      </c>
      <c r="G1002" s="182">
        <f t="shared" ca="1" si="110"/>
        <v>0</v>
      </c>
      <c r="H1002" s="182" t="e">
        <f t="shared" si="111"/>
        <v>#VALUE!</v>
      </c>
      <c r="I1002" s="183" t="e">
        <f t="shared" si="112"/>
        <v>#VALUE!</v>
      </c>
    </row>
    <row r="1003" spans="1:9" x14ac:dyDescent="0.25">
      <c r="A1003" s="180">
        <f t="shared" ca="1" si="113"/>
        <v>47075</v>
      </c>
      <c r="B1003" s="181">
        <v>971</v>
      </c>
      <c r="C1003" s="182" t="e">
        <f t="shared" si="107"/>
        <v>#VALUE!</v>
      </c>
      <c r="D1003" s="182" t="e">
        <f t="shared" si="108"/>
        <v>#VALUE!</v>
      </c>
      <c r="E1003" s="182" t="e">
        <f t="shared" si="109"/>
        <v>#VALUE!</v>
      </c>
      <c r="F1003" s="182" t="e">
        <f>SUM($D$33:D1003)</f>
        <v>#VALUE!</v>
      </c>
      <c r="G1003" s="182">
        <f t="shared" ca="1" si="110"/>
        <v>0</v>
      </c>
      <c r="H1003" s="182" t="e">
        <f t="shared" si="111"/>
        <v>#VALUE!</v>
      </c>
      <c r="I1003" s="183" t="e">
        <f t="shared" si="112"/>
        <v>#VALUE!</v>
      </c>
    </row>
    <row r="1004" spans="1:9" x14ac:dyDescent="0.25">
      <c r="A1004" s="180">
        <f t="shared" ca="1" si="113"/>
        <v>47076</v>
      </c>
      <c r="B1004" s="181">
        <v>972</v>
      </c>
      <c r="C1004" s="182" t="e">
        <f t="shared" si="107"/>
        <v>#VALUE!</v>
      </c>
      <c r="D1004" s="182" t="e">
        <f t="shared" si="108"/>
        <v>#VALUE!</v>
      </c>
      <c r="E1004" s="182" t="e">
        <f t="shared" si="109"/>
        <v>#VALUE!</v>
      </c>
      <c r="F1004" s="182" t="e">
        <f>SUM($D$33:D1004)</f>
        <v>#VALUE!</v>
      </c>
      <c r="G1004" s="182">
        <f t="shared" ca="1" si="110"/>
        <v>0</v>
      </c>
      <c r="H1004" s="182" t="e">
        <f t="shared" si="111"/>
        <v>#VALUE!</v>
      </c>
      <c r="I1004" s="183" t="e">
        <f t="shared" si="112"/>
        <v>#VALUE!</v>
      </c>
    </row>
    <row r="1005" spans="1:9" x14ac:dyDescent="0.25">
      <c r="A1005" s="180">
        <f t="shared" ca="1" si="113"/>
        <v>47077</v>
      </c>
      <c r="B1005" s="181">
        <v>973</v>
      </c>
      <c r="C1005" s="182" t="e">
        <f t="shared" si="107"/>
        <v>#VALUE!</v>
      </c>
      <c r="D1005" s="182" t="e">
        <f t="shared" si="108"/>
        <v>#VALUE!</v>
      </c>
      <c r="E1005" s="182" t="e">
        <f t="shared" si="109"/>
        <v>#VALUE!</v>
      </c>
      <c r="F1005" s="182" t="e">
        <f>SUM($D$33:D1005)</f>
        <v>#VALUE!</v>
      </c>
      <c r="G1005" s="182">
        <f t="shared" ca="1" si="110"/>
        <v>0</v>
      </c>
      <c r="H1005" s="182" t="e">
        <f t="shared" si="111"/>
        <v>#VALUE!</v>
      </c>
      <c r="I1005" s="183" t="e">
        <f t="shared" si="112"/>
        <v>#VALUE!</v>
      </c>
    </row>
    <row r="1006" spans="1:9" x14ac:dyDescent="0.25">
      <c r="A1006" s="180">
        <f t="shared" ca="1" si="113"/>
        <v>47078</v>
      </c>
      <c r="B1006" s="181">
        <v>974</v>
      </c>
      <c r="C1006" s="182" t="e">
        <f t="shared" si="107"/>
        <v>#VALUE!</v>
      </c>
      <c r="D1006" s="182" t="e">
        <f t="shared" si="108"/>
        <v>#VALUE!</v>
      </c>
      <c r="E1006" s="182" t="e">
        <f t="shared" si="109"/>
        <v>#VALUE!</v>
      </c>
      <c r="F1006" s="182" t="e">
        <f>SUM($D$33:D1006)</f>
        <v>#VALUE!</v>
      </c>
      <c r="G1006" s="182">
        <f t="shared" ca="1" si="110"/>
        <v>0</v>
      </c>
      <c r="H1006" s="182" t="e">
        <f t="shared" si="111"/>
        <v>#VALUE!</v>
      </c>
      <c r="I1006" s="183" t="e">
        <f t="shared" si="112"/>
        <v>#VALUE!</v>
      </c>
    </row>
    <row r="1007" spans="1:9" x14ac:dyDescent="0.25">
      <c r="A1007" s="180">
        <f t="shared" ca="1" si="113"/>
        <v>47079</v>
      </c>
      <c r="B1007" s="181">
        <v>975</v>
      </c>
      <c r="C1007" s="182" t="e">
        <f t="shared" si="107"/>
        <v>#VALUE!</v>
      </c>
      <c r="D1007" s="182" t="e">
        <f t="shared" si="108"/>
        <v>#VALUE!</v>
      </c>
      <c r="E1007" s="182" t="e">
        <f t="shared" si="109"/>
        <v>#VALUE!</v>
      </c>
      <c r="F1007" s="182" t="e">
        <f>SUM($D$33:D1007)</f>
        <v>#VALUE!</v>
      </c>
      <c r="G1007" s="182">
        <f t="shared" ca="1" si="110"/>
        <v>0</v>
      </c>
      <c r="H1007" s="182" t="e">
        <f t="shared" si="111"/>
        <v>#VALUE!</v>
      </c>
      <c r="I1007" s="183" t="e">
        <f t="shared" si="112"/>
        <v>#VALUE!</v>
      </c>
    </row>
    <row r="1008" spans="1:9" x14ac:dyDescent="0.25">
      <c r="A1008" s="180">
        <f t="shared" ca="1" si="113"/>
        <v>47080</v>
      </c>
      <c r="B1008" s="181">
        <v>976</v>
      </c>
      <c r="C1008" s="182" t="e">
        <f t="shared" si="107"/>
        <v>#VALUE!</v>
      </c>
      <c r="D1008" s="182" t="e">
        <f t="shared" si="108"/>
        <v>#VALUE!</v>
      </c>
      <c r="E1008" s="182" t="e">
        <f t="shared" si="109"/>
        <v>#VALUE!</v>
      </c>
      <c r="F1008" s="182" t="e">
        <f>SUM($D$33:D1008)</f>
        <v>#VALUE!</v>
      </c>
      <c r="G1008" s="182">
        <f t="shared" ca="1" si="110"/>
        <v>0</v>
      </c>
      <c r="H1008" s="182" t="e">
        <f t="shared" si="111"/>
        <v>#VALUE!</v>
      </c>
      <c r="I1008" s="183" t="e">
        <f t="shared" si="112"/>
        <v>#VALUE!</v>
      </c>
    </row>
    <row r="1009" spans="1:9" x14ac:dyDescent="0.25">
      <c r="A1009" s="180">
        <f t="shared" ca="1" si="113"/>
        <v>47081</v>
      </c>
      <c r="B1009" s="181">
        <v>977</v>
      </c>
      <c r="C1009" s="182" t="e">
        <f t="shared" si="107"/>
        <v>#VALUE!</v>
      </c>
      <c r="D1009" s="182" t="e">
        <f t="shared" si="108"/>
        <v>#VALUE!</v>
      </c>
      <c r="E1009" s="182" t="e">
        <f t="shared" si="109"/>
        <v>#VALUE!</v>
      </c>
      <c r="F1009" s="182" t="e">
        <f>SUM($D$33:D1009)</f>
        <v>#VALUE!</v>
      </c>
      <c r="G1009" s="182">
        <f t="shared" ca="1" si="110"/>
        <v>0</v>
      </c>
      <c r="H1009" s="182" t="e">
        <f t="shared" si="111"/>
        <v>#VALUE!</v>
      </c>
      <c r="I1009" s="183" t="e">
        <f t="shared" si="112"/>
        <v>#VALUE!</v>
      </c>
    </row>
    <row r="1010" spans="1:9" x14ac:dyDescent="0.25">
      <c r="A1010" s="180">
        <f t="shared" ca="1" si="113"/>
        <v>47082</v>
      </c>
      <c r="B1010" s="181">
        <v>978</v>
      </c>
      <c r="C1010" s="182" t="e">
        <f t="shared" si="107"/>
        <v>#VALUE!</v>
      </c>
      <c r="D1010" s="182" t="e">
        <f t="shared" si="108"/>
        <v>#VALUE!</v>
      </c>
      <c r="E1010" s="182" t="e">
        <f t="shared" si="109"/>
        <v>#VALUE!</v>
      </c>
      <c r="F1010" s="182" t="e">
        <f>SUM($D$33:D1010)</f>
        <v>#VALUE!</v>
      </c>
      <c r="G1010" s="182">
        <f t="shared" ca="1" si="110"/>
        <v>0</v>
      </c>
      <c r="H1010" s="182" t="e">
        <f t="shared" si="111"/>
        <v>#VALUE!</v>
      </c>
      <c r="I1010" s="183" t="e">
        <f t="shared" si="112"/>
        <v>#VALUE!</v>
      </c>
    </row>
    <row r="1011" spans="1:9" x14ac:dyDescent="0.25">
      <c r="A1011" s="180">
        <f t="shared" ca="1" si="113"/>
        <v>47083</v>
      </c>
      <c r="B1011" s="181">
        <v>979</v>
      </c>
      <c r="C1011" s="182" t="e">
        <f t="shared" si="107"/>
        <v>#VALUE!</v>
      </c>
      <c r="D1011" s="182" t="e">
        <f t="shared" si="108"/>
        <v>#VALUE!</v>
      </c>
      <c r="E1011" s="182" t="e">
        <f t="shared" si="109"/>
        <v>#VALUE!</v>
      </c>
      <c r="F1011" s="182" t="e">
        <f>SUM($D$33:D1011)</f>
        <v>#VALUE!</v>
      </c>
      <c r="G1011" s="182">
        <f t="shared" ca="1" si="110"/>
        <v>0</v>
      </c>
      <c r="H1011" s="182" t="e">
        <f t="shared" si="111"/>
        <v>#VALUE!</v>
      </c>
      <c r="I1011" s="183" t="e">
        <f t="shared" si="112"/>
        <v>#VALUE!</v>
      </c>
    </row>
    <row r="1012" spans="1:9" x14ac:dyDescent="0.25">
      <c r="A1012" s="180">
        <f t="shared" ca="1" si="113"/>
        <v>47084</v>
      </c>
      <c r="B1012" s="181">
        <v>980</v>
      </c>
      <c r="C1012" s="182" t="e">
        <f t="shared" si="107"/>
        <v>#VALUE!</v>
      </c>
      <c r="D1012" s="182" t="e">
        <f t="shared" si="108"/>
        <v>#VALUE!</v>
      </c>
      <c r="E1012" s="182" t="e">
        <f t="shared" si="109"/>
        <v>#VALUE!</v>
      </c>
      <c r="F1012" s="182" t="e">
        <f>SUM($D$33:D1012)</f>
        <v>#VALUE!</v>
      </c>
      <c r="G1012" s="182">
        <f t="shared" ca="1" si="110"/>
        <v>0</v>
      </c>
      <c r="H1012" s="182" t="e">
        <f t="shared" si="111"/>
        <v>#VALUE!</v>
      </c>
      <c r="I1012" s="183" t="e">
        <f t="shared" si="112"/>
        <v>#VALUE!</v>
      </c>
    </row>
    <row r="1013" spans="1:9" x14ac:dyDescent="0.25">
      <c r="A1013" s="180">
        <f t="shared" ca="1" si="113"/>
        <v>47085</v>
      </c>
      <c r="B1013" s="181">
        <v>981</v>
      </c>
      <c r="C1013" s="182" t="e">
        <f t="shared" si="107"/>
        <v>#VALUE!</v>
      </c>
      <c r="D1013" s="182" t="e">
        <f t="shared" si="108"/>
        <v>#VALUE!</v>
      </c>
      <c r="E1013" s="182" t="e">
        <f t="shared" si="109"/>
        <v>#VALUE!</v>
      </c>
      <c r="F1013" s="182" t="e">
        <f>SUM($D$33:D1013)</f>
        <v>#VALUE!</v>
      </c>
      <c r="G1013" s="182">
        <f t="shared" ca="1" si="110"/>
        <v>0</v>
      </c>
      <c r="H1013" s="182" t="e">
        <f t="shared" si="111"/>
        <v>#VALUE!</v>
      </c>
      <c r="I1013" s="183" t="e">
        <f t="shared" si="112"/>
        <v>#VALUE!</v>
      </c>
    </row>
    <row r="1014" spans="1:9" x14ac:dyDescent="0.25">
      <c r="A1014" s="180">
        <f t="shared" ca="1" si="113"/>
        <v>47086</v>
      </c>
      <c r="B1014" s="181">
        <v>982</v>
      </c>
      <c r="C1014" s="182" t="e">
        <f t="shared" si="107"/>
        <v>#VALUE!</v>
      </c>
      <c r="D1014" s="182" t="e">
        <f t="shared" si="108"/>
        <v>#VALUE!</v>
      </c>
      <c r="E1014" s="182" t="e">
        <f t="shared" si="109"/>
        <v>#VALUE!</v>
      </c>
      <c r="F1014" s="182" t="e">
        <f>SUM($D$33:D1014)</f>
        <v>#VALUE!</v>
      </c>
      <c r="G1014" s="182">
        <f t="shared" ca="1" si="110"/>
        <v>0</v>
      </c>
      <c r="H1014" s="182" t="e">
        <f t="shared" si="111"/>
        <v>#VALUE!</v>
      </c>
      <c r="I1014" s="183" t="e">
        <f t="shared" si="112"/>
        <v>#VALUE!</v>
      </c>
    </row>
    <row r="1015" spans="1:9" x14ac:dyDescent="0.25">
      <c r="A1015" s="180">
        <f t="shared" ca="1" si="113"/>
        <v>47087</v>
      </c>
      <c r="B1015" s="181">
        <v>983</v>
      </c>
      <c r="C1015" s="182" t="e">
        <f t="shared" si="107"/>
        <v>#VALUE!</v>
      </c>
      <c r="D1015" s="182" t="e">
        <f t="shared" si="108"/>
        <v>#VALUE!</v>
      </c>
      <c r="E1015" s="182" t="e">
        <f t="shared" si="109"/>
        <v>#VALUE!</v>
      </c>
      <c r="F1015" s="182" t="e">
        <f>SUM($D$33:D1015)</f>
        <v>#VALUE!</v>
      </c>
      <c r="G1015" s="182">
        <f t="shared" ca="1" si="110"/>
        <v>0</v>
      </c>
      <c r="H1015" s="182" t="e">
        <f t="shared" si="111"/>
        <v>#VALUE!</v>
      </c>
      <c r="I1015" s="183" t="e">
        <f t="shared" si="112"/>
        <v>#VALUE!</v>
      </c>
    </row>
    <row r="1016" spans="1:9" x14ac:dyDescent="0.25">
      <c r="A1016" s="180">
        <f t="shared" ca="1" si="113"/>
        <v>47088</v>
      </c>
      <c r="B1016" s="181">
        <v>984</v>
      </c>
      <c r="C1016" s="182" t="e">
        <f t="shared" si="107"/>
        <v>#VALUE!</v>
      </c>
      <c r="D1016" s="182" t="e">
        <f t="shared" si="108"/>
        <v>#VALUE!</v>
      </c>
      <c r="E1016" s="182" t="e">
        <f t="shared" si="109"/>
        <v>#VALUE!</v>
      </c>
      <c r="F1016" s="182" t="e">
        <f>SUM($D$33:D1016)</f>
        <v>#VALUE!</v>
      </c>
      <c r="G1016" s="182">
        <f t="shared" ca="1" si="110"/>
        <v>0</v>
      </c>
      <c r="H1016" s="182" t="e">
        <f t="shared" si="111"/>
        <v>#VALUE!</v>
      </c>
      <c r="I1016" s="183" t="e">
        <f t="shared" si="112"/>
        <v>#VALUE!</v>
      </c>
    </row>
    <row r="1017" spans="1:9" x14ac:dyDescent="0.25">
      <c r="A1017" s="180">
        <f t="shared" ca="1" si="113"/>
        <v>47089</v>
      </c>
      <c r="B1017" s="181">
        <v>985</v>
      </c>
      <c r="C1017" s="182" t="e">
        <f t="shared" si="107"/>
        <v>#VALUE!</v>
      </c>
      <c r="D1017" s="182" t="e">
        <f t="shared" si="108"/>
        <v>#VALUE!</v>
      </c>
      <c r="E1017" s="182" t="e">
        <f t="shared" si="109"/>
        <v>#VALUE!</v>
      </c>
      <c r="F1017" s="182" t="e">
        <f>SUM($D$33:D1017)</f>
        <v>#VALUE!</v>
      </c>
      <c r="G1017" s="182">
        <f t="shared" ca="1" si="110"/>
        <v>0</v>
      </c>
      <c r="H1017" s="182" t="e">
        <f t="shared" si="111"/>
        <v>#VALUE!</v>
      </c>
      <c r="I1017" s="183" t="e">
        <f t="shared" si="112"/>
        <v>#VALUE!</v>
      </c>
    </row>
    <row r="1018" spans="1:9" x14ac:dyDescent="0.25">
      <c r="A1018" s="180">
        <f t="shared" ca="1" si="113"/>
        <v>47090</v>
      </c>
      <c r="B1018" s="181">
        <v>986</v>
      </c>
      <c r="C1018" s="182" t="e">
        <f t="shared" si="107"/>
        <v>#VALUE!</v>
      </c>
      <c r="D1018" s="182" t="e">
        <f t="shared" si="108"/>
        <v>#VALUE!</v>
      </c>
      <c r="E1018" s="182" t="e">
        <f t="shared" si="109"/>
        <v>#VALUE!</v>
      </c>
      <c r="F1018" s="182" t="e">
        <f>SUM($D$33:D1018)</f>
        <v>#VALUE!</v>
      </c>
      <c r="G1018" s="182">
        <f t="shared" ca="1" si="110"/>
        <v>0</v>
      </c>
      <c r="H1018" s="182" t="e">
        <f t="shared" si="111"/>
        <v>#VALUE!</v>
      </c>
      <c r="I1018" s="183" t="e">
        <f t="shared" si="112"/>
        <v>#VALUE!</v>
      </c>
    </row>
    <row r="1019" spans="1:9" x14ac:dyDescent="0.25">
      <c r="A1019" s="180">
        <f t="shared" ca="1" si="113"/>
        <v>47091</v>
      </c>
      <c r="B1019" s="181">
        <v>987</v>
      </c>
      <c r="C1019" s="182" t="e">
        <f t="shared" si="107"/>
        <v>#VALUE!</v>
      </c>
      <c r="D1019" s="182" t="e">
        <f t="shared" si="108"/>
        <v>#VALUE!</v>
      </c>
      <c r="E1019" s="182" t="e">
        <f t="shared" si="109"/>
        <v>#VALUE!</v>
      </c>
      <c r="F1019" s="182" t="e">
        <f>SUM($D$33:D1019)</f>
        <v>#VALUE!</v>
      </c>
      <c r="G1019" s="182">
        <f t="shared" ca="1" si="110"/>
        <v>0</v>
      </c>
      <c r="H1019" s="182" t="e">
        <f t="shared" si="111"/>
        <v>#VALUE!</v>
      </c>
      <c r="I1019" s="183" t="e">
        <f t="shared" si="112"/>
        <v>#VALUE!</v>
      </c>
    </row>
    <row r="1020" spans="1:9" x14ac:dyDescent="0.25">
      <c r="A1020" s="180">
        <f t="shared" ca="1" si="113"/>
        <v>47092</v>
      </c>
      <c r="B1020" s="181">
        <v>988</v>
      </c>
      <c r="C1020" s="182" t="e">
        <f t="shared" si="107"/>
        <v>#VALUE!</v>
      </c>
      <c r="D1020" s="182" t="e">
        <f t="shared" si="108"/>
        <v>#VALUE!</v>
      </c>
      <c r="E1020" s="182" t="e">
        <f t="shared" si="109"/>
        <v>#VALUE!</v>
      </c>
      <c r="F1020" s="182" t="e">
        <f>SUM($D$33:D1020)</f>
        <v>#VALUE!</v>
      </c>
      <c r="G1020" s="182">
        <f t="shared" ca="1" si="110"/>
        <v>0</v>
      </c>
      <c r="H1020" s="182" t="e">
        <f t="shared" si="111"/>
        <v>#VALUE!</v>
      </c>
      <c r="I1020" s="183" t="e">
        <f t="shared" si="112"/>
        <v>#VALUE!</v>
      </c>
    </row>
    <row r="1021" spans="1:9" x14ac:dyDescent="0.25">
      <c r="A1021" s="180">
        <f t="shared" ca="1" si="113"/>
        <v>47093</v>
      </c>
      <c r="B1021" s="181">
        <v>989</v>
      </c>
      <c r="C1021" s="182" t="e">
        <f t="shared" si="107"/>
        <v>#VALUE!</v>
      </c>
      <c r="D1021" s="182" t="e">
        <f t="shared" si="108"/>
        <v>#VALUE!</v>
      </c>
      <c r="E1021" s="182" t="e">
        <f t="shared" si="109"/>
        <v>#VALUE!</v>
      </c>
      <c r="F1021" s="182" t="e">
        <f>SUM($D$33:D1021)</f>
        <v>#VALUE!</v>
      </c>
      <c r="G1021" s="182">
        <f t="shared" ca="1" si="110"/>
        <v>0</v>
      </c>
      <c r="H1021" s="182" t="e">
        <f t="shared" si="111"/>
        <v>#VALUE!</v>
      </c>
      <c r="I1021" s="183" t="e">
        <f t="shared" si="112"/>
        <v>#VALUE!</v>
      </c>
    </row>
    <row r="1022" spans="1:9" x14ac:dyDescent="0.25">
      <c r="A1022" s="180">
        <f t="shared" ca="1" si="113"/>
        <v>47094</v>
      </c>
      <c r="B1022" s="181">
        <v>990</v>
      </c>
      <c r="C1022" s="182" t="e">
        <f t="shared" si="107"/>
        <v>#VALUE!</v>
      </c>
      <c r="D1022" s="182" t="e">
        <f t="shared" si="108"/>
        <v>#VALUE!</v>
      </c>
      <c r="E1022" s="182" t="e">
        <f t="shared" si="109"/>
        <v>#VALUE!</v>
      </c>
      <c r="F1022" s="182" t="e">
        <f>SUM($D$33:D1022)</f>
        <v>#VALUE!</v>
      </c>
      <c r="G1022" s="182">
        <f t="shared" ca="1" si="110"/>
        <v>0</v>
      </c>
      <c r="H1022" s="182" t="e">
        <f t="shared" si="111"/>
        <v>#VALUE!</v>
      </c>
      <c r="I1022" s="183" t="e">
        <f t="shared" si="112"/>
        <v>#VALUE!</v>
      </c>
    </row>
    <row r="1023" spans="1:9" x14ac:dyDescent="0.25">
      <c r="A1023" s="180">
        <f t="shared" ca="1" si="113"/>
        <v>47095</v>
      </c>
      <c r="B1023" s="181">
        <v>991</v>
      </c>
      <c r="C1023" s="182" t="e">
        <f t="shared" si="107"/>
        <v>#VALUE!</v>
      </c>
      <c r="D1023" s="182" t="e">
        <f t="shared" si="108"/>
        <v>#VALUE!</v>
      </c>
      <c r="E1023" s="182" t="e">
        <f t="shared" si="109"/>
        <v>#VALUE!</v>
      </c>
      <c r="F1023" s="182" t="e">
        <f>SUM($D$33:D1023)</f>
        <v>#VALUE!</v>
      </c>
      <c r="G1023" s="182">
        <f t="shared" ca="1" si="110"/>
        <v>0</v>
      </c>
      <c r="H1023" s="182" t="e">
        <f t="shared" si="111"/>
        <v>#VALUE!</v>
      </c>
      <c r="I1023" s="183" t="e">
        <f t="shared" si="112"/>
        <v>#VALUE!</v>
      </c>
    </row>
    <row r="1024" spans="1:9" x14ac:dyDescent="0.25">
      <c r="A1024" s="180">
        <f t="shared" ca="1" si="113"/>
        <v>47096</v>
      </c>
      <c r="B1024" s="181">
        <v>992</v>
      </c>
      <c r="C1024" s="182" t="e">
        <f t="shared" si="107"/>
        <v>#VALUE!</v>
      </c>
      <c r="D1024" s="182" t="e">
        <f t="shared" si="108"/>
        <v>#VALUE!</v>
      </c>
      <c r="E1024" s="182" t="e">
        <f t="shared" si="109"/>
        <v>#VALUE!</v>
      </c>
      <c r="F1024" s="182" t="e">
        <f>SUM($D$33:D1024)</f>
        <v>#VALUE!</v>
      </c>
      <c r="G1024" s="182">
        <f t="shared" ca="1" si="110"/>
        <v>0</v>
      </c>
      <c r="H1024" s="182" t="e">
        <f t="shared" si="111"/>
        <v>#VALUE!</v>
      </c>
      <c r="I1024" s="183" t="e">
        <f t="shared" si="112"/>
        <v>#VALUE!</v>
      </c>
    </row>
    <row r="1025" spans="1:9" x14ac:dyDescent="0.25">
      <c r="A1025" s="180">
        <f t="shared" ca="1" si="113"/>
        <v>47097</v>
      </c>
      <c r="B1025" s="181">
        <v>993</v>
      </c>
      <c r="C1025" s="182" t="e">
        <f t="shared" si="107"/>
        <v>#VALUE!</v>
      </c>
      <c r="D1025" s="182" t="e">
        <f t="shared" si="108"/>
        <v>#VALUE!</v>
      </c>
      <c r="E1025" s="182" t="e">
        <f t="shared" si="109"/>
        <v>#VALUE!</v>
      </c>
      <c r="F1025" s="182" t="e">
        <f>SUM($D$33:D1025)</f>
        <v>#VALUE!</v>
      </c>
      <c r="G1025" s="182">
        <f t="shared" ca="1" si="110"/>
        <v>0</v>
      </c>
      <c r="H1025" s="182" t="e">
        <f t="shared" si="111"/>
        <v>#VALUE!</v>
      </c>
      <c r="I1025" s="183" t="e">
        <f t="shared" si="112"/>
        <v>#VALUE!</v>
      </c>
    </row>
    <row r="1026" spans="1:9" x14ac:dyDescent="0.25">
      <c r="A1026" s="180">
        <f t="shared" ca="1" si="113"/>
        <v>47098</v>
      </c>
      <c r="B1026" s="181">
        <v>994</v>
      </c>
      <c r="C1026" s="182" t="e">
        <f t="shared" si="107"/>
        <v>#VALUE!</v>
      </c>
      <c r="D1026" s="182" t="e">
        <f t="shared" si="108"/>
        <v>#VALUE!</v>
      </c>
      <c r="E1026" s="182" t="e">
        <f t="shared" si="109"/>
        <v>#VALUE!</v>
      </c>
      <c r="F1026" s="182" t="e">
        <f>SUM($D$33:D1026)</f>
        <v>#VALUE!</v>
      </c>
      <c r="G1026" s="182">
        <f t="shared" ca="1" si="110"/>
        <v>0</v>
      </c>
      <c r="H1026" s="182" t="e">
        <f t="shared" si="111"/>
        <v>#VALUE!</v>
      </c>
      <c r="I1026" s="183" t="e">
        <f t="shared" si="112"/>
        <v>#VALUE!</v>
      </c>
    </row>
    <row r="1027" spans="1:9" x14ac:dyDescent="0.25">
      <c r="A1027" s="180">
        <f t="shared" ca="1" si="113"/>
        <v>47099</v>
      </c>
      <c r="B1027" s="181">
        <v>995</v>
      </c>
      <c r="C1027" s="182" t="e">
        <f t="shared" si="107"/>
        <v>#VALUE!</v>
      </c>
      <c r="D1027" s="182" t="e">
        <f t="shared" si="108"/>
        <v>#VALUE!</v>
      </c>
      <c r="E1027" s="182" t="e">
        <f t="shared" si="109"/>
        <v>#VALUE!</v>
      </c>
      <c r="F1027" s="182" t="e">
        <f>SUM($D$33:D1027)</f>
        <v>#VALUE!</v>
      </c>
      <c r="G1027" s="182">
        <f t="shared" ca="1" si="110"/>
        <v>0</v>
      </c>
      <c r="H1027" s="182" t="e">
        <f t="shared" si="111"/>
        <v>#VALUE!</v>
      </c>
      <c r="I1027" s="183" t="e">
        <f t="shared" si="112"/>
        <v>#VALUE!</v>
      </c>
    </row>
    <row r="1028" spans="1:9" x14ac:dyDescent="0.25">
      <c r="A1028" s="180">
        <f t="shared" ca="1" si="113"/>
        <v>47100</v>
      </c>
      <c r="B1028" s="181">
        <v>996</v>
      </c>
      <c r="C1028" s="182" t="e">
        <f t="shared" ref="C1028:C1039" si="114">H1027</f>
        <v>#VALUE!</v>
      </c>
      <c r="D1028" s="182" t="e">
        <f t="shared" ref="D1028:D1039" si="115">IF(C1028&gt;$H$21,C1028*($L$16/360),$H$21*($L$16/360))</f>
        <v>#VALUE!</v>
      </c>
      <c r="E1028" s="182" t="e">
        <f t="shared" ref="E1028:E1039" si="116">IF(E1027&gt;0,E1027-D1028,0)</f>
        <v>#VALUE!</v>
      </c>
      <c r="F1028" s="182" t="e">
        <f>SUM($D$33:D1028)</f>
        <v>#VALUE!</v>
      </c>
      <c r="G1028" s="182">
        <f t="shared" ref="G1028:G1039" ca="1" si="117">IFERROR(-VLOOKUP(A1028,$K$30:$M$36,2,FALSE),0)</f>
        <v>0</v>
      </c>
      <c r="H1028" s="182" t="e">
        <f t="shared" ref="H1028:H1039" si="118">IF(E1028&gt;0,C1028+G1028,IF(E1028&lt;0,C1028+G1028+D1028-E1027,C1028+D1028+G1028))</f>
        <v>#VALUE!</v>
      </c>
      <c r="I1028" s="183" t="e">
        <f t="shared" ref="I1028:I1039" si="119">(C1028+D1028-E1028)</f>
        <v>#VALUE!</v>
      </c>
    </row>
    <row r="1029" spans="1:9" x14ac:dyDescent="0.25">
      <c r="A1029" s="180">
        <f t="shared" ca="1" si="113"/>
        <v>47101</v>
      </c>
      <c r="B1029" s="181">
        <v>997</v>
      </c>
      <c r="C1029" s="182" t="e">
        <f t="shared" si="114"/>
        <v>#VALUE!</v>
      </c>
      <c r="D1029" s="182" t="e">
        <f t="shared" si="115"/>
        <v>#VALUE!</v>
      </c>
      <c r="E1029" s="182" t="e">
        <f t="shared" si="116"/>
        <v>#VALUE!</v>
      </c>
      <c r="F1029" s="182" t="e">
        <f>SUM($D$33:D1029)</f>
        <v>#VALUE!</v>
      </c>
      <c r="G1029" s="182">
        <f t="shared" ca="1" si="117"/>
        <v>0</v>
      </c>
      <c r="H1029" s="182" t="e">
        <f t="shared" si="118"/>
        <v>#VALUE!</v>
      </c>
      <c r="I1029" s="183" t="e">
        <f t="shared" si="119"/>
        <v>#VALUE!</v>
      </c>
    </row>
    <row r="1030" spans="1:9" x14ac:dyDescent="0.25">
      <c r="A1030" s="180">
        <f t="shared" ca="1" si="113"/>
        <v>47102</v>
      </c>
      <c r="B1030" s="181">
        <v>998</v>
      </c>
      <c r="C1030" s="182" t="e">
        <f t="shared" si="114"/>
        <v>#VALUE!</v>
      </c>
      <c r="D1030" s="182" t="e">
        <f t="shared" si="115"/>
        <v>#VALUE!</v>
      </c>
      <c r="E1030" s="182" t="e">
        <f t="shared" si="116"/>
        <v>#VALUE!</v>
      </c>
      <c r="F1030" s="182" t="e">
        <f>SUM($D$33:D1030)</f>
        <v>#VALUE!</v>
      </c>
      <c r="G1030" s="182">
        <f t="shared" ca="1" si="117"/>
        <v>0</v>
      </c>
      <c r="H1030" s="182" t="e">
        <f t="shared" si="118"/>
        <v>#VALUE!</v>
      </c>
      <c r="I1030" s="183" t="e">
        <f t="shared" si="119"/>
        <v>#VALUE!</v>
      </c>
    </row>
    <row r="1031" spans="1:9" x14ac:dyDescent="0.25">
      <c r="A1031" s="180">
        <f t="shared" ca="1" si="113"/>
        <v>47103</v>
      </c>
      <c r="B1031" s="181">
        <v>999</v>
      </c>
      <c r="C1031" s="182" t="e">
        <f t="shared" si="114"/>
        <v>#VALUE!</v>
      </c>
      <c r="D1031" s="182" t="e">
        <f t="shared" si="115"/>
        <v>#VALUE!</v>
      </c>
      <c r="E1031" s="182" t="e">
        <f t="shared" si="116"/>
        <v>#VALUE!</v>
      </c>
      <c r="F1031" s="182" t="e">
        <f>SUM($D$33:D1031)</f>
        <v>#VALUE!</v>
      </c>
      <c r="G1031" s="182">
        <f t="shared" ca="1" si="117"/>
        <v>0</v>
      </c>
      <c r="H1031" s="182" t="e">
        <f t="shared" si="118"/>
        <v>#VALUE!</v>
      </c>
      <c r="I1031" s="183" t="e">
        <f t="shared" si="119"/>
        <v>#VALUE!</v>
      </c>
    </row>
    <row r="1032" spans="1:9" x14ac:dyDescent="0.25">
      <c r="A1032" s="180">
        <f t="shared" ca="1" si="113"/>
        <v>47104</v>
      </c>
      <c r="B1032" s="181">
        <v>1000</v>
      </c>
      <c r="C1032" s="182" t="e">
        <f t="shared" si="114"/>
        <v>#VALUE!</v>
      </c>
      <c r="D1032" s="182" t="e">
        <f t="shared" si="115"/>
        <v>#VALUE!</v>
      </c>
      <c r="E1032" s="182" t="e">
        <f t="shared" si="116"/>
        <v>#VALUE!</v>
      </c>
      <c r="F1032" s="182" t="e">
        <f>SUM($D$33:D1032)</f>
        <v>#VALUE!</v>
      </c>
      <c r="G1032" s="182">
        <f t="shared" ca="1" si="117"/>
        <v>0</v>
      </c>
      <c r="H1032" s="182" t="e">
        <f t="shared" si="118"/>
        <v>#VALUE!</v>
      </c>
      <c r="I1032" s="183" t="e">
        <f t="shared" si="119"/>
        <v>#VALUE!</v>
      </c>
    </row>
    <row r="1033" spans="1:9" x14ac:dyDescent="0.25">
      <c r="A1033" s="180">
        <f t="shared" ca="1" si="113"/>
        <v>47105</v>
      </c>
      <c r="B1033" s="181">
        <v>1001</v>
      </c>
      <c r="C1033" s="182" t="e">
        <f t="shared" si="114"/>
        <v>#VALUE!</v>
      </c>
      <c r="D1033" s="182" t="e">
        <f t="shared" si="115"/>
        <v>#VALUE!</v>
      </c>
      <c r="E1033" s="182" t="e">
        <f t="shared" si="116"/>
        <v>#VALUE!</v>
      </c>
      <c r="F1033" s="182" t="e">
        <f>SUM($D$33:D1033)</f>
        <v>#VALUE!</v>
      </c>
      <c r="G1033" s="182">
        <f t="shared" ca="1" si="117"/>
        <v>0</v>
      </c>
      <c r="H1033" s="182" t="e">
        <f t="shared" si="118"/>
        <v>#VALUE!</v>
      </c>
      <c r="I1033" s="183" t="e">
        <f t="shared" si="119"/>
        <v>#VALUE!</v>
      </c>
    </row>
    <row r="1034" spans="1:9" x14ac:dyDescent="0.25">
      <c r="A1034" s="180">
        <f t="shared" ca="1" si="113"/>
        <v>47106</v>
      </c>
      <c r="B1034" s="181">
        <v>1002</v>
      </c>
      <c r="C1034" s="182" t="e">
        <f t="shared" si="114"/>
        <v>#VALUE!</v>
      </c>
      <c r="D1034" s="182" t="e">
        <f t="shared" si="115"/>
        <v>#VALUE!</v>
      </c>
      <c r="E1034" s="182" t="e">
        <f t="shared" si="116"/>
        <v>#VALUE!</v>
      </c>
      <c r="F1034" s="182" t="e">
        <f>SUM($D$33:D1034)</f>
        <v>#VALUE!</v>
      </c>
      <c r="G1034" s="182">
        <f t="shared" ca="1" si="117"/>
        <v>0</v>
      </c>
      <c r="H1034" s="182" t="e">
        <f t="shared" si="118"/>
        <v>#VALUE!</v>
      </c>
      <c r="I1034" s="183" t="e">
        <f t="shared" si="119"/>
        <v>#VALUE!</v>
      </c>
    </row>
    <row r="1035" spans="1:9" x14ac:dyDescent="0.25">
      <c r="A1035" s="180">
        <f t="shared" ca="1" si="113"/>
        <v>47107</v>
      </c>
      <c r="B1035" s="181">
        <v>1003</v>
      </c>
      <c r="C1035" s="182" t="e">
        <f t="shared" si="114"/>
        <v>#VALUE!</v>
      </c>
      <c r="D1035" s="182" t="e">
        <f t="shared" si="115"/>
        <v>#VALUE!</v>
      </c>
      <c r="E1035" s="182" t="e">
        <f t="shared" si="116"/>
        <v>#VALUE!</v>
      </c>
      <c r="F1035" s="182" t="e">
        <f>SUM($D$33:D1035)</f>
        <v>#VALUE!</v>
      </c>
      <c r="G1035" s="182">
        <f t="shared" ca="1" si="117"/>
        <v>0</v>
      </c>
      <c r="H1035" s="182" t="e">
        <f t="shared" si="118"/>
        <v>#VALUE!</v>
      </c>
      <c r="I1035" s="183" t="e">
        <f t="shared" si="119"/>
        <v>#VALUE!</v>
      </c>
    </row>
    <row r="1036" spans="1:9" x14ac:dyDescent="0.25">
      <c r="A1036" s="180">
        <f t="shared" ca="1" si="113"/>
        <v>47108</v>
      </c>
      <c r="B1036" s="181">
        <v>1004</v>
      </c>
      <c r="C1036" s="182" t="e">
        <f t="shared" si="114"/>
        <v>#VALUE!</v>
      </c>
      <c r="D1036" s="182" t="e">
        <f t="shared" si="115"/>
        <v>#VALUE!</v>
      </c>
      <c r="E1036" s="182" t="e">
        <f t="shared" si="116"/>
        <v>#VALUE!</v>
      </c>
      <c r="F1036" s="182" t="e">
        <f>SUM($D$33:D1036)</f>
        <v>#VALUE!</v>
      </c>
      <c r="G1036" s="182">
        <f t="shared" ca="1" si="117"/>
        <v>0</v>
      </c>
      <c r="H1036" s="182" t="e">
        <f t="shared" si="118"/>
        <v>#VALUE!</v>
      </c>
      <c r="I1036" s="183" t="e">
        <f t="shared" si="119"/>
        <v>#VALUE!</v>
      </c>
    </row>
    <row r="1037" spans="1:9" x14ac:dyDescent="0.25">
      <c r="A1037" s="180">
        <f t="shared" ca="1" si="113"/>
        <v>47109</v>
      </c>
      <c r="B1037" s="181">
        <v>1005</v>
      </c>
      <c r="C1037" s="182" t="e">
        <f t="shared" si="114"/>
        <v>#VALUE!</v>
      </c>
      <c r="D1037" s="182" t="e">
        <f t="shared" si="115"/>
        <v>#VALUE!</v>
      </c>
      <c r="E1037" s="182" t="e">
        <f t="shared" si="116"/>
        <v>#VALUE!</v>
      </c>
      <c r="F1037" s="182" t="e">
        <f>SUM($D$33:D1037)</f>
        <v>#VALUE!</v>
      </c>
      <c r="G1037" s="182">
        <f t="shared" ca="1" si="117"/>
        <v>0</v>
      </c>
      <c r="H1037" s="182" t="e">
        <f t="shared" si="118"/>
        <v>#VALUE!</v>
      </c>
      <c r="I1037" s="183" t="e">
        <f t="shared" si="119"/>
        <v>#VALUE!</v>
      </c>
    </row>
    <row r="1038" spans="1:9" x14ac:dyDescent="0.25">
      <c r="A1038" s="180">
        <f t="shared" ca="1" si="113"/>
        <v>47110</v>
      </c>
      <c r="B1038" s="181">
        <v>1006</v>
      </c>
      <c r="C1038" s="182" t="e">
        <f t="shared" si="114"/>
        <v>#VALUE!</v>
      </c>
      <c r="D1038" s="182" t="e">
        <f t="shared" si="115"/>
        <v>#VALUE!</v>
      </c>
      <c r="E1038" s="182" t="e">
        <f t="shared" si="116"/>
        <v>#VALUE!</v>
      </c>
      <c r="F1038" s="182" t="e">
        <f>SUM($D$33:D1038)</f>
        <v>#VALUE!</v>
      </c>
      <c r="G1038" s="182">
        <f t="shared" ca="1" si="117"/>
        <v>0</v>
      </c>
      <c r="H1038" s="182" t="e">
        <f t="shared" si="118"/>
        <v>#VALUE!</v>
      </c>
      <c r="I1038" s="183" t="e">
        <f t="shared" si="119"/>
        <v>#VALUE!</v>
      </c>
    </row>
    <row r="1039" spans="1:9" x14ac:dyDescent="0.25">
      <c r="A1039" s="180">
        <f t="shared" ca="1" si="113"/>
        <v>47111</v>
      </c>
      <c r="B1039" s="181">
        <v>1007</v>
      </c>
      <c r="C1039" s="182" t="e">
        <f t="shared" si="114"/>
        <v>#VALUE!</v>
      </c>
      <c r="D1039" s="182" t="e">
        <f t="shared" si="115"/>
        <v>#VALUE!</v>
      </c>
      <c r="E1039" s="182" t="e">
        <f t="shared" si="116"/>
        <v>#VALUE!</v>
      </c>
      <c r="F1039" s="182" t="e">
        <f>SUM($D$33:D1039)</f>
        <v>#VALUE!</v>
      </c>
      <c r="G1039" s="182">
        <f t="shared" ca="1" si="117"/>
        <v>0</v>
      </c>
      <c r="H1039" s="182" t="e">
        <f t="shared" si="118"/>
        <v>#VALUE!</v>
      </c>
      <c r="I1039" s="183" t="e">
        <f t="shared" si="119"/>
        <v>#VALUE!</v>
      </c>
    </row>
    <row r="1040" spans="1:9" x14ac:dyDescent="0.25">
      <c r="A1040" s="180">
        <f t="shared" ca="1" si="113"/>
        <v>47112</v>
      </c>
      <c r="B1040" s="181">
        <v>1008</v>
      </c>
      <c r="C1040" s="182" t="e">
        <f t="shared" ref="C1040:C1103" si="120">H1039</f>
        <v>#VALUE!</v>
      </c>
      <c r="D1040" s="182" t="e">
        <f t="shared" ref="D1040:D1103" si="121">IF(C1040&gt;$H$21,C1040*($L$16/360),$H$21*($L$16/360))</f>
        <v>#VALUE!</v>
      </c>
      <c r="E1040" s="182" t="e">
        <f t="shared" ref="E1040:E1103" si="122">IF(E1039&gt;0,E1039-D1040,0)</f>
        <v>#VALUE!</v>
      </c>
      <c r="F1040" s="182" t="e">
        <f>SUM($D$33:D1040)</f>
        <v>#VALUE!</v>
      </c>
      <c r="G1040" s="182">
        <f t="shared" ref="G1040:G1103" ca="1" si="123">IFERROR(-VLOOKUP(A1040,$K$30:$M$36,2,FALSE),0)</f>
        <v>0</v>
      </c>
      <c r="H1040" s="182" t="e">
        <f t="shared" ref="H1040:H1103" si="124">IF(E1040&gt;0,C1040+G1040,IF(E1040&lt;0,C1040+G1040+D1040-E1039,C1040+D1040+G1040))</f>
        <v>#VALUE!</v>
      </c>
      <c r="I1040" s="183" t="e">
        <f t="shared" ref="I1040:I1103" si="125">(C1040+D1040-E1040)</f>
        <v>#VALUE!</v>
      </c>
    </row>
    <row r="1041" spans="1:9" x14ac:dyDescent="0.25">
      <c r="A1041" s="180">
        <f t="shared" ca="1" si="113"/>
        <v>47113</v>
      </c>
      <c r="B1041" s="181">
        <v>1009</v>
      </c>
      <c r="C1041" s="182" t="e">
        <f t="shared" si="120"/>
        <v>#VALUE!</v>
      </c>
      <c r="D1041" s="182" t="e">
        <f t="shared" si="121"/>
        <v>#VALUE!</v>
      </c>
      <c r="E1041" s="182" t="e">
        <f t="shared" si="122"/>
        <v>#VALUE!</v>
      </c>
      <c r="F1041" s="182" t="e">
        <f>SUM($D$33:D1041)</f>
        <v>#VALUE!</v>
      </c>
      <c r="G1041" s="182">
        <f t="shared" ca="1" si="123"/>
        <v>0</v>
      </c>
      <c r="H1041" s="182" t="e">
        <f t="shared" si="124"/>
        <v>#VALUE!</v>
      </c>
      <c r="I1041" s="183" t="e">
        <f t="shared" si="125"/>
        <v>#VALUE!</v>
      </c>
    </row>
    <row r="1042" spans="1:9" x14ac:dyDescent="0.25">
      <c r="A1042" s="180">
        <f t="shared" ca="1" si="113"/>
        <v>47114</v>
      </c>
      <c r="B1042" s="181">
        <v>1010</v>
      </c>
      <c r="C1042" s="182" t="e">
        <f t="shared" si="120"/>
        <v>#VALUE!</v>
      </c>
      <c r="D1042" s="182" t="e">
        <f t="shared" si="121"/>
        <v>#VALUE!</v>
      </c>
      <c r="E1042" s="182" t="e">
        <f t="shared" si="122"/>
        <v>#VALUE!</v>
      </c>
      <c r="F1042" s="182" t="e">
        <f>SUM($D$33:D1042)</f>
        <v>#VALUE!</v>
      </c>
      <c r="G1042" s="182">
        <f t="shared" ca="1" si="123"/>
        <v>0</v>
      </c>
      <c r="H1042" s="182" t="e">
        <f t="shared" si="124"/>
        <v>#VALUE!</v>
      </c>
      <c r="I1042" s="183" t="e">
        <f t="shared" si="125"/>
        <v>#VALUE!</v>
      </c>
    </row>
    <row r="1043" spans="1:9" x14ac:dyDescent="0.25">
      <c r="A1043" s="180">
        <f t="shared" ca="1" si="113"/>
        <v>47115</v>
      </c>
      <c r="B1043" s="181">
        <v>1011</v>
      </c>
      <c r="C1043" s="182" t="e">
        <f t="shared" si="120"/>
        <v>#VALUE!</v>
      </c>
      <c r="D1043" s="182" t="e">
        <f t="shared" si="121"/>
        <v>#VALUE!</v>
      </c>
      <c r="E1043" s="182" t="e">
        <f t="shared" si="122"/>
        <v>#VALUE!</v>
      </c>
      <c r="F1043" s="182" t="e">
        <f>SUM($D$33:D1043)</f>
        <v>#VALUE!</v>
      </c>
      <c r="G1043" s="182">
        <f t="shared" ca="1" si="123"/>
        <v>0</v>
      </c>
      <c r="H1043" s="182" t="e">
        <f t="shared" si="124"/>
        <v>#VALUE!</v>
      </c>
      <c r="I1043" s="183" t="e">
        <f t="shared" si="125"/>
        <v>#VALUE!</v>
      </c>
    </row>
    <row r="1044" spans="1:9" x14ac:dyDescent="0.25">
      <c r="A1044" s="180">
        <f t="shared" ca="1" si="113"/>
        <v>47116</v>
      </c>
      <c r="B1044" s="181">
        <v>1012</v>
      </c>
      <c r="C1044" s="182" t="e">
        <f t="shared" si="120"/>
        <v>#VALUE!</v>
      </c>
      <c r="D1044" s="182" t="e">
        <f t="shared" si="121"/>
        <v>#VALUE!</v>
      </c>
      <c r="E1044" s="182" t="e">
        <f t="shared" si="122"/>
        <v>#VALUE!</v>
      </c>
      <c r="F1044" s="182" t="e">
        <f>SUM($D$33:D1044)</f>
        <v>#VALUE!</v>
      </c>
      <c r="G1044" s="182">
        <f t="shared" ca="1" si="123"/>
        <v>0</v>
      </c>
      <c r="H1044" s="182" t="e">
        <f t="shared" si="124"/>
        <v>#VALUE!</v>
      </c>
      <c r="I1044" s="183" t="e">
        <f t="shared" si="125"/>
        <v>#VALUE!</v>
      </c>
    </row>
    <row r="1045" spans="1:9" x14ac:dyDescent="0.25">
      <c r="A1045" s="180">
        <f t="shared" ca="1" si="113"/>
        <v>47117</v>
      </c>
      <c r="B1045" s="181">
        <v>1013</v>
      </c>
      <c r="C1045" s="182" t="e">
        <f t="shared" si="120"/>
        <v>#VALUE!</v>
      </c>
      <c r="D1045" s="182" t="e">
        <f t="shared" si="121"/>
        <v>#VALUE!</v>
      </c>
      <c r="E1045" s="182" t="e">
        <f t="shared" si="122"/>
        <v>#VALUE!</v>
      </c>
      <c r="F1045" s="182" t="e">
        <f>SUM($D$33:D1045)</f>
        <v>#VALUE!</v>
      </c>
      <c r="G1045" s="182">
        <f t="shared" ca="1" si="123"/>
        <v>0</v>
      </c>
      <c r="H1045" s="182" t="e">
        <f t="shared" si="124"/>
        <v>#VALUE!</v>
      </c>
      <c r="I1045" s="183" t="e">
        <f t="shared" si="125"/>
        <v>#VALUE!</v>
      </c>
    </row>
    <row r="1046" spans="1:9" x14ac:dyDescent="0.25">
      <c r="A1046" s="180">
        <f t="shared" ca="1" si="113"/>
        <v>47118</v>
      </c>
      <c r="B1046" s="181">
        <v>1014</v>
      </c>
      <c r="C1046" s="182" t="e">
        <f t="shared" si="120"/>
        <v>#VALUE!</v>
      </c>
      <c r="D1046" s="182" t="e">
        <f t="shared" si="121"/>
        <v>#VALUE!</v>
      </c>
      <c r="E1046" s="182" t="e">
        <f t="shared" si="122"/>
        <v>#VALUE!</v>
      </c>
      <c r="F1046" s="182" t="e">
        <f>SUM($D$33:D1046)</f>
        <v>#VALUE!</v>
      </c>
      <c r="G1046" s="182">
        <f t="shared" ca="1" si="123"/>
        <v>0</v>
      </c>
      <c r="H1046" s="182" t="e">
        <f t="shared" si="124"/>
        <v>#VALUE!</v>
      </c>
      <c r="I1046" s="183" t="e">
        <f t="shared" si="125"/>
        <v>#VALUE!</v>
      </c>
    </row>
    <row r="1047" spans="1:9" x14ac:dyDescent="0.25">
      <c r="A1047" s="180">
        <f t="shared" ca="1" si="113"/>
        <v>47119</v>
      </c>
      <c r="B1047" s="181">
        <v>1015</v>
      </c>
      <c r="C1047" s="182" t="e">
        <f t="shared" si="120"/>
        <v>#VALUE!</v>
      </c>
      <c r="D1047" s="182" t="e">
        <f t="shared" si="121"/>
        <v>#VALUE!</v>
      </c>
      <c r="E1047" s="182" t="e">
        <f t="shared" si="122"/>
        <v>#VALUE!</v>
      </c>
      <c r="F1047" s="182" t="e">
        <f>SUM($D$33:D1047)</f>
        <v>#VALUE!</v>
      </c>
      <c r="G1047" s="182">
        <f t="shared" ca="1" si="123"/>
        <v>0</v>
      </c>
      <c r="H1047" s="182" t="e">
        <f t="shared" si="124"/>
        <v>#VALUE!</v>
      </c>
      <c r="I1047" s="183" t="e">
        <f t="shared" si="125"/>
        <v>#VALUE!</v>
      </c>
    </row>
    <row r="1048" spans="1:9" x14ac:dyDescent="0.25">
      <c r="A1048" s="180">
        <f t="shared" ca="1" si="113"/>
        <v>47120</v>
      </c>
      <c r="B1048" s="181">
        <v>1016</v>
      </c>
      <c r="C1048" s="182" t="e">
        <f t="shared" si="120"/>
        <v>#VALUE!</v>
      </c>
      <c r="D1048" s="182" t="e">
        <f t="shared" si="121"/>
        <v>#VALUE!</v>
      </c>
      <c r="E1048" s="182" t="e">
        <f t="shared" si="122"/>
        <v>#VALUE!</v>
      </c>
      <c r="F1048" s="182" t="e">
        <f>SUM($D$33:D1048)</f>
        <v>#VALUE!</v>
      </c>
      <c r="G1048" s="182">
        <f t="shared" ca="1" si="123"/>
        <v>0</v>
      </c>
      <c r="H1048" s="182" t="e">
        <f t="shared" si="124"/>
        <v>#VALUE!</v>
      </c>
      <c r="I1048" s="183" t="e">
        <f t="shared" si="125"/>
        <v>#VALUE!</v>
      </c>
    </row>
    <row r="1049" spans="1:9" x14ac:dyDescent="0.25">
      <c r="A1049" s="180">
        <f t="shared" ca="1" si="113"/>
        <v>47121</v>
      </c>
      <c r="B1049" s="181">
        <v>1017</v>
      </c>
      <c r="C1049" s="182" t="e">
        <f t="shared" si="120"/>
        <v>#VALUE!</v>
      </c>
      <c r="D1049" s="182" t="e">
        <f t="shared" si="121"/>
        <v>#VALUE!</v>
      </c>
      <c r="E1049" s="182" t="e">
        <f t="shared" si="122"/>
        <v>#VALUE!</v>
      </c>
      <c r="F1049" s="182" t="e">
        <f>SUM($D$33:D1049)</f>
        <v>#VALUE!</v>
      </c>
      <c r="G1049" s="182">
        <f t="shared" ca="1" si="123"/>
        <v>0</v>
      </c>
      <c r="H1049" s="182" t="e">
        <f t="shared" si="124"/>
        <v>#VALUE!</v>
      </c>
      <c r="I1049" s="183" t="e">
        <f t="shared" si="125"/>
        <v>#VALUE!</v>
      </c>
    </row>
    <row r="1050" spans="1:9" x14ac:dyDescent="0.25">
      <c r="A1050" s="180">
        <f t="shared" ca="1" si="113"/>
        <v>47122</v>
      </c>
      <c r="B1050" s="181">
        <v>1018</v>
      </c>
      <c r="C1050" s="182" t="e">
        <f t="shared" si="120"/>
        <v>#VALUE!</v>
      </c>
      <c r="D1050" s="182" t="e">
        <f t="shared" si="121"/>
        <v>#VALUE!</v>
      </c>
      <c r="E1050" s="182" t="e">
        <f t="shared" si="122"/>
        <v>#VALUE!</v>
      </c>
      <c r="F1050" s="182" t="e">
        <f>SUM($D$33:D1050)</f>
        <v>#VALUE!</v>
      </c>
      <c r="G1050" s="182">
        <f t="shared" ca="1" si="123"/>
        <v>0</v>
      </c>
      <c r="H1050" s="182" t="e">
        <f t="shared" si="124"/>
        <v>#VALUE!</v>
      </c>
      <c r="I1050" s="183" t="e">
        <f t="shared" si="125"/>
        <v>#VALUE!</v>
      </c>
    </row>
    <row r="1051" spans="1:9" x14ac:dyDescent="0.25">
      <c r="A1051" s="180">
        <f t="shared" ca="1" si="113"/>
        <v>47123</v>
      </c>
      <c r="B1051" s="181">
        <v>1019</v>
      </c>
      <c r="C1051" s="182" t="e">
        <f t="shared" si="120"/>
        <v>#VALUE!</v>
      </c>
      <c r="D1051" s="182" t="e">
        <f t="shared" si="121"/>
        <v>#VALUE!</v>
      </c>
      <c r="E1051" s="182" t="e">
        <f t="shared" si="122"/>
        <v>#VALUE!</v>
      </c>
      <c r="F1051" s="182" t="e">
        <f>SUM($D$33:D1051)</f>
        <v>#VALUE!</v>
      </c>
      <c r="G1051" s="182">
        <f t="shared" ca="1" si="123"/>
        <v>0</v>
      </c>
      <c r="H1051" s="182" t="e">
        <f t="shared" si="124"/>
        <v>#VALUE!</v>
      </c>
      <c r="I1051" s="183" t="e">
        <f t="shared" si="125"/>
        <v>#VALUE!</v>
      </c>
    </row>
    <row r="1052" spans="1:9" x14ac:dyDescent="0.25">
      <c r="A1052" s="180">
        <f t="shared" ca="1" si="113"/>
        <v>47124</v>
      </c>
      <c r="B1052" s="181">
        <v>1020</v>
      </c>
      <c r="C1052" s="182" t="e">
        <f t="shared" si="120"/>
        <v>#VALUE!</v>
      </c>
      <c r="D1052" s="182" t="e">
        <f t="shared" si="121"/>
        <v>#VALUE!</v>
      </c>
      <c r="E1052" s="182" t="e">
        <f t="shared" si="122"/>
        <v>#VALUE!</v>
      </c>
      <c r="F1052" s="182" t="e">
        <f>SUM($D$33:D1052)</f>
        <v>#VALUE!</v>
      </c>
      <c r="G1052" s="182">
        <f t="shared" ca="1" si="123"/>
        <v>0</v>
      </c>
      <c r="H1052" s="182" t="e">
        <f t="shared" si="124"/>
        <v>#VALUE!</v>
      </c>
      <c r="I1052" s="183" t="e">
        <f t="shared" si="125"/>
        <v>#VALUE!</v>
      </c>
    </row>
    <row r="1053" spans="1:9" x14ac:dyDescent="0.25">
      <c r="A1053" s="180">
        <f t="shared" ca="1" si="113"/>
        <v>47125</v>
      </c>
      <c r="B1053" s="181">
        <v>1021</v>
      </c>
      <c r="C1053" s="182" t="e">
        <f t="shared" si="120"/>
        <v>#VALUE!</v>
      </c>
      <c r="D1053" s="182" t="e">
        <f t="shared" si="121"/>
        <v>#VALUE!</v>
      </c>
      <c r="E1053" s="182" t="e">
        <f t="shared" si="122"/>
        <v>#VALUE!</v>
      </c>
      <c r="F1053" s="182" t="e">
        <f>SUM($D$33:D1053)</f>
        <v>#VALUE!</v>
      </c>
      <c r="G1053" s="182">
        <f t="shared" ca="1" si="123"/>
        <v>0</v>
      </c>
      <c r="H1053" s="182" t="e">
        <f t="shared" si="124"/>
        <v>#VALUE!</v>
      </c>
      <c r="I1053" s="183" t="e">
        <f t="shared" si="125"/>
        <v>#VALUE!</v>
      </c>
    </row>
    <row r="1054" spans="1:9" x14ac:dyDescent="0.25">
      <c r="A1054" s="180">
        <f t="shared" ca="1" si="113"/>
        <v>47126</v>
      </c>
      <c r="B1054" s="181">
        <v>1022</v>
      </c>
      <c r="C1054" s="182" t="e">
        <f t="shared" si="120"/>
        <v>#VALUE!</v>
      </c>
      <c r="D1054" s="182" t="e">
        <f t="shared" si="121"/>
        <v>#VALUE!</v>
      </c>
      <c r="E1054" s="182" t="e">
        <f t="shared" si="122"/>
        <v>#VALUE!</v>
      </c>
      <c r="F1054" s="182" t="e">
        <f>SUM($D$33:D1054)</f>
        <v>#VALUE!</v>
      </c>
      <c r="G1054" s="182">
        <f t="shared" ca="1" si="123"/>
        <v>0</v>
      </c>
      <c r="H1054" s="182" t="e">
        <f t="shared" si="124"/>
        <v>#VALUE!</v>
      </c>
      <c r="I1054" s="183" t="e">
        <f t="shared" si="125"/>
        <v>#VALUE!</v>
      </c>
    </row>
    <row r="1055" spans="1:9" x14ac:dyDescent="0.25">
      <c r="A1055" s="180">
        <f t="shared" ca="1" si="113"/>
        <v>47127</v>
      </c>
      <c r="B1055" s="181">
        <v>1023</v>
      </c>
      <c r="C1055" s="182" t="e">
        <f t="shared" si="120"/>
        <v>#VALUE!</v>
      </c>
      <c r="D1055" s="182" t="e">
        <f t="shared" si="121"/>
        <v>#VALUE!</v>
      </c>
      <c r="E1055" s="182" t="e">
        <f t="shared" si="122"/>
        <v>#VALUE!</v>
      </c>
      <c r="F1055" s="182" t="e">
        <f>SUM($D$33:D1055)</f>
        <v>#VALUE!</v>
      </c>
      <c r="G1055" s="182">
        <f t="shared" ca="1" si="123"/>
        <v>0</v>
      </c>
      <c r="H1055" s="182" t="e">
        <f t="shared" si="124"/>
        <v>#VALUE!</v>
      </c>
      <c r="I1055" s="183" t="e">
        <f t="shared" si="125"/>
        <v>#VALUE!</v>
      </c>
    </row>
    <row r="1056" spans="1:9" x14ac:dyDescent="0.25">
      <c r="A1056" s="180">
        <f t="shared" ca="1" si="113"/>
        <v>47128</v>
      </c>
      <c r="B1056" s="181">
        <v>1024</v>
      </c>
      <c r="C1056" s="182" t="e">
        <f t="shared" si="120"/>
        <v>#VALUE!</v>
      </c>
      <c r="D1056" s="182" t="e">
        <f t="shared" si="121"/>
        <v>#VALUE!</v>
      </c>
      <c r="E1056" s="182" t="e">
        <f t="shared" si="122"/>
        <v>#VALUE!</v>
      </c>
      <c r="F1056" s="182" t="e">
        <f>SUM($D$33:D1056)</f>
        <v>#VALUE!</v>
      </c>
      <c r="G1056" s="182">
        <f t="shared" ca="1" si="123"/>
        <v>0</v>
      </c>
      <c r="H1056" s="182" t="e">
        <f t="shared" si="124"/>
        <v>#VALUE!</v>
      </c>
      <c r="I1056" s="183" t="e">
        <f t="shared" si="125"/>
        <v>#VALUE!</v>
      </c>
    </row>
    <row r="1057" spans="1:9" x14ac:dyDescent="0.25">
      <c r="A1057" s="180">
        <f t="shared" ca="1" si="113"/>
        <v>47129</v>
      </c>
      <c r="B1057" s="181">
        <v>1025</v>
      </c>
      <c r="C1057" s="182" t="e">
        <f t="shared" si="120"/>
        <v>#VALUE!</v>
      </c>
      <c r="D1057" s="182" t="e">
        <f t="shared" si="121"/>
        <v>#VALUE!</v>
      </c>
      <c r="E1057" s="182" t="e">
        <f t="shared" si="122"/>
        <v>#VALUE!</v>
      </c>
      <c r="F1057" s="182" t="e">
        <f>SUM($D$33:D1057)</f>
        <v>#VALUE!</v>
      </c>
      <c r="G1057" s="182">
        <f t="shared" ca="1" si="123"/>
        <v>0</v>
      </c>
      <c r="H1057" s="182" t="e">
        <f t="shared" si="124"/>
        <v>#VALUE!</v>
      </c>
      <c r="I1057" s="183" t="e">
        <f t="shared" si="125"/>
        <v>#VALUE!</v>
      </c>
    </row>
    <row r="1058" spans="1:9" x14ac:dyDescent="0.25">
      <c r="A1058" s="180">
        <f t="shared" ref="A1058:A1121" ca="1" si="126">A1057+1</f>
        <v>47130</v>
      </c>
      <c r="B1058" s="181">
        <v>1026</v>
      </c>
      <c r="C1058" s="182" t="e">
        <f t="shared" si="120"/>
        <v>#VALUE!</v>
      </c>
      <c r="D1058" s="182" t="e">
        <f t="shared" si="121"/>
        <v>#VALUE!</v>
      </c>
      <c r="E1058" s="182" t="e">
        <f t="shared" si="122"/>
        <v>#VALUE!</v>
      </c>
      <c r="F1058" s="182" t="e">
        <f>SUM($D$33:D1058)</f>
        <v>#VALUE!</v>
      </c>
      <c r="G1058" s="182">
        <f t="shared" ca="1" si="123"/>
        <v>0</v>
      </c>
      <c r="H1058" s="182" t="e">
        <f t="shared" si="124"/>
        <v>#VALUE!</v>
      </c>
      <c r="I1058" s="183" t="e">
        <f t="shared" si="125"/>
        <v>#VALUE!</v>
      </c>
    </row>
    <row r="1059" spans="1:9" x14ac:dyDescent="0.25">
      <c r="A1059" s="180">
        <f t="shared" ca="1" si="126"/>
        <v>47131</v>
      </c>
      <c r="B1059" s="181">
        <v>1027</v>
      </c>
      <c r="C1059" s="182" t="e">
        <f t="shared" si="120"/>
        <v>#VALUE!</v>
      </c>
      <c r="D1059" s="182" t="e">
        <f t="shared" si="121"/>
        <v>#VALUE!</v>
      </c>
      <c r="E1059" s="182" t="e">
        <f t="shared" si="122"/>
        <v>#VALUE!</v>
      </c>
      <c r="F1059" s="182" t="e">
        <f>SUM($D$33:D1059)</f>
        <v>#VALUE!</v>
      </c>
      <c r="G1059" s="182">
        <f t="shared" ca="1" si="123"/>
        <v>0</v>
      </c>
      <c r="H1059" s="182" t="e">
        <f t="shared" si="124"/>
        <v>#VALUE!</v>
      </c>
      <c r="I1059" s="183" t="e">
        <f t="shared" si="125"/>
        <v>#VALUE!</v>
      </c>
    </row>
    <row r="1060" spans="1:9" x14ac:dyDescent="0.25">
      <c r="A1060" s="180">
        <f t="shared" ca="1" si="126"/>
        <v>47132</v>
      </c>
      <c r="B1060" s="181">
        <v>1028</v>
      </c>
      <c r="C1060" s="182" t="e">
        <f t="shared" si="120"/>
        <v>#VALUE!</v>
      </c>
      <c r="D1060" s="182" t="e">
        <f t="shared" si="121"/>
        <v>#VALUE!</v>
      </c>
      <c r="E1060" s="182" t="e">
        <f t="shared" si="122"/>
        <v>#VALUE!</v>
      </c>
      <c r="F1060" s="182" t="e">
        <f>SUM($D$33:D1060)</f>
        <v>#VALUE!</v>
      </c>
      <c r="G1060" s="182">
        <f t="shared" ca="1" si="123"/>
        <v>0</v>
      </c>
      <c r="H1060" s="182" t="e">
        <f t="shared" si="124"/>
        <v>#VALUE!</v>
      </c>
      <c r="I1060" s="183" t="e">
        <f t="shared" si="125"/>
        <v>#VALUE!</v>
      </c>
    </row>
    <row r="1061" spans="1:9" x14ac:dyDescent="0.25">
      <c r="A1061" s="180">
        <f t="shared" ca="1" si="126"/>
        <v>47133</v>
      </c>
      <c r="B1061" s="181">
        <v>1029</v>
      </c>
      <c r="C1061" s="182" t="e">
        <f t="shared" si="120"/>
        <v>#VALUE!</v>
      </c>
      <c r="D1061" s="182" t="e">
        <f t="shared" si="121"/>
        <v>#VALUE!</v>
      </c>
      <c r="E1061" s="182" t="e">
        <f t="shared" si="122"/>
        <v>#VALUE!</v>
      </c>
      <c r="F1061" s="182" t="e">
        <f>SUM($D$33:D1061)</f>
        <v>#VALUE!</v>
      </c>
      <c r="G1061" s="182">
        <f t="shared" ca="1" si="123"/>
        <v>0</v>
      </c>
      <c r="H1061" s="182" t="e">
        <f t="shared" si="124"/>
        <v>#VALUE!</v>
      </c>
      <c r="I1061" s="183" t="e">
        <f t="shared" si="125"/>
        <v>#VALUE!</v>
      </c>
    </row>
    <row r="1062" spans="1:9" x14ac:dyDescent="0.25">
      <c r="A1062" s="180">
        <f t="shared" ca="1" si="126"/>
        <v>47134</v>
      </c>
      <c r="B1062" s="181">
        <v>1030</v>
      </c>
      <c r="C1062" s="182" t="e">
        <f t="shared" si="120"/>
        <v>#VALUE!</v>
      </c>
      <c r="D1062" s="182" t="e">
        <f t="shared" si="121"/>
        <v>#VALUE!</v>
      </c>
      <c r="E1062" s="182" t="e">
        <f t="shared" si="122"/>
        <v>#VALUE!</v>
      </c>
      <c r="F1062" s="182" t="e">
        <f>SUM($D$33:D1062)</f>
        <v>#VALUE!</v>
      </c>
      <c r="G1062" s="182">
        <f t="shared" ca="1" si="123"/>
        <v>0</v>
      </c>
      <c r="H1062" s="182" t="e">
        <f t="shared" si="124"/>
        <v>#VALUE!</v>
      </c>
      <c r="I1062" s="183" t="e">
        <f t="shared" si="125"/>
        <v>#VALUE!</v>
      </c>
    </row>
    <row r="1063" spans="1:9" x14ac:dyDescent="0.25">
      <c r="A1063" s="180">
        <f t="shared" ca="1" si="126"/>
        <v>47135</v>
      </c>
      <c r="B1063" s="181">
        <v>1031</v>
      </c>
      <c r="C1063" s="182" t="e">
        <f t="shared" si="120"/>
        <v>#VALUE!</v>
      </c>
      <c r="D1063" s="182" t="e">
        <f t="shared" si="121"/>
        <v>#VALUE!</v>
      </c>
      <c r="E1063" s="182" t="e">
        <f t="shared" si="122"/>
        <v>#VALUE!</v>
      </c>
      <c r="F1063" s="182" t="e">
        <f>SUM($D$33:D1063)</f>
        <v>#VALUE!</v>
      </c>
      <c r="G1063" s="182">
        <f t="shared" ca="1" si="123"/>
        <v>0</v>
      </c>
      <c r="H1063" s="182" t="e">
        <f t="shared" si="124"/>
        <v>#VALUE!</v>
      </c>
      <c r="I1063" s="183" t="e">
        <f t="shared" si="125"/>
        <v>#VALUE!</v>
      </c>
    </row>
    <row r="1064" spans="1:9" x14ac:dyDescent="0.25">
      <c r="A1064" s="180">
        <f t="shared" ca="1" si="126"/>
        <v>47136</v>
      </c>
      <c r="B1064" s="181">
        <v>1032</v>
      </c>
      <c r="C1064" s="182" t="e">
        <f t="shared" si="120"/>
        <v>#VALUE!</v>
      </c>
      <c r="D1064" s="182" t="e">
        <f t="shared" si="121"/>
        <v>#VALUE!</v>
      </c>
      <c r="E1064" s="182" t="e">
        <f t="shared" si="122"/>
        <v>#VALUE!</v>
      </c>
      <c r="F1064" s="182" t="e">
        <f>SUM($D$33:D1064)</f>
        <v>#VALUE!</v>
      </c>
      <c r="G1064" s="182">
        <f t="shared" ca="1" si="123"/>
        <v>0</v>
      </c>
      <c r="H1064" s="182" t="e">
        <f t="shared" si="124"/>
        <v>#VALUE!</v>
      </c>
      <c r="I1064" s="183" t="e">
        <f t="shared" si="125"/>
        <v>#VALUE!</v>
      </c>
    </row>
    <row r="1065" spans="1:9" x14ac:dyDescent="0.25">
      <c r="A1065" s="180">
        <f t="shared" ca="1" si="126"/>
        <v>47137</v>
      </c>
      <c r="B1065" s="181">
        <v>1033</v>
      </c>
      <c r="C1065" s="182" t="e">
        <f t="shared" si="120"/>
        <v>#VALUE!</v>
      </c>
      <c r="D1065" s="182" t="e">
        <f t="shared" si="121"/>
        <v>#VALUE!</v>
      </c>
      <c r="E1065" s="182" t="e">
        <f t="shared" si="122"/>
        <v>#VALUE!</v>
      </c>
      <c r="F1065" s="182" t="e">
        <f>SUM($D$33:D1065)</f>
        <v>#VALUE!</v>
      </c>
      <c r="G1065" s="182">
        <f t="shared" ca="1" si="123"/>
        <v>0</v>
      </c>
      <c r="H1065" s="182" t="e">
        <f t="shared" si="124"/>
        <v>#VALUE!</v>
      </c>
      <c r="I1065" s="183" t="e">
        <f t="shared" si="125"/>
        <v>#VALUE!</v>
      </c>
    </row>
    <row r="1066" spans="1:9" x14ac:dyDescent="0.25">
      <c r="A1066" s="180">
        <f t="shared" ca="1" si="126"/>
        <v>47138</v>
      </c>
      <c r="B1066" s="181">
        <v>1034</v>
      </c>
      <c r="C1066" s="182" t="e">
        <f t="shared" si="120"/>
        <v>#VALUE!</v>
      </c>
      <c r="D1066" s="182" t="e">
        <f t="shared" si="121"/>
        <v>#VALUE!</v>
      </c>
      <c r="E1066" s="182" t="e">
        <f t="shared" si="122"/>
        <v>#VALUE!</v>
      </c>
      <c r="F1066" s="182" t="e">
        <f>SUM($D$33:D1066)</f>
        <v>#VALUE!</v>
      </c>
      <c r="G1066" s="182">
        <f t="shared" ca="1" si="123"/>
        <v>0</v>
      </c>
      <c r="H1066" s="182" t="e">
        <f t="shared" si="124"/>
        <v>#VALUE!</v>
      </c>
      <c r="I1066" s="183" t="e">
        <f t="shared" si="125"/>
        <v>#VALUE!</v>
      </c>
    </row>
    <row r="1067" spans="1:9" x14ac:dyDescent="0.25">
      <c r="A1067" s="180">
        <f t="shared" ca="1" si="126"/>
        <v>47139</v>
      </c>
      <c r="B1067" s="181">
        <v>1035</v>
      </c>
      <c r="C1067" s="182" t="e">
        <f t="shared" si="120"/>
        <v>#VALUE!</v>
      </c>
      <c r="D1067" s="182" t="e">
        <f t="shared" si="121"/>
        <v>#VALUE!</v>
      </c>
      <c r="E1067" s="182" t="e">
        <f t="shared" si="122"/>
        <v>#VALUE!</v>
      </c>
      <c r="F1067" s="182" t="e">
        <f>SUM($D$33:D1067)</f>
        <v>#VALUE!</v>
      </c>
      <c r="G1067" s="182">
        <f t="shared" ca="1" si="123"/>
        <v>0</v>
      </c>
      <c r="H1067" s="182" t="e">
        <f t="shared" si="124"/>
        <v>#VALUE!</v>
      </c>
      <c r="I1067" s="183" t="e">
        <f t="shared" si="125"/>
        <v>#VALUE!</v>
      </c>
    </row>
    <row r="1068" spans="1:9" x14ac:dyDescent="0.25">
      <c r="A1068" s="180">
        <f t="shared" ca="1" si="126"/>
        <v>47140</v>
      </c>
      <c r="B1068" s="181">
        <v>1036</v>
      </c>
      <c r="C1068" s="182" t="e">
        <f t="shared" si="120"/>
        <v>#VALUE!</v>
      </c>
      <c r="D1068" s="182" t="e">
        <f t="shared" si="121"/>
        <v>#VALUE!</v>
      </c>
      <c r="E1068" s="182" t="e">
        <f t="shared" si="122"/>
        <v>#VALUE!</v>
      </c>
      <c r="F1068" s="182" t="e">
        <f>SUM($D$33:D1068)</f>
        <v>#VALUE!</v>
      </c>
      <c r="G1068" s="182">
        <f t="shared" ca="1" si="123"/>
        <v>0</v>
      </c>
      <c r="H1068" s="182" t="e">
        <f t="shared" si="124"/>
        <v>#VALUE!</v>
      </c>
      <c r="I1068" s="183" t="e">
        <f t="shared" si="125"/>
        <v>#VALUE!</v>
      </c>
    </row>
    <row r="1069" spans="1:9" x14ac:dyDescent="0.25">
      <c r="A1069" s="180">
        <f t="shared" ca="1" si="126"/>
        <v>47141</v>
      </c>
      <c r="B1069" s="181">
        <v>1037</v>
      </c>
      <c r="C1069" s="182" t="e">
        <f t="shared" si="120"/>
        <v>#VALUE!</v>
      </c>
      <c r="D1069" s="182" t="e">
        <f t="shared" si="121"/>
        <v>#VALUE!</v>
      </c>
      <c r="E1069" s="182" t="e">
        <f t="shared" si="122"/>
        <v>#VALUE!</v>
      </c>
      <c r="F1069" s="182" t="e">
        <f>SUM($D$33:D1069)</f>
        <v>#VALUE!</v>
      </c>
      <c r="G1069" s="182">
        <f t="shared" ca="1" si="123"/>
        <v>0</v>
      </c>
      <c r="H1069" s="182" t="e">
        <f t="shared" si="124"/>
        <v>#VALUE!</v>
      </c>
      <c r="I1069" s="183" t="e">
        <f t="shared" si="125"/>
        <v>#VALUE!</v>
      </c>
    </row>
    <row r="1070" spans="1:9" x14ac:dyDescent="0.25">
      <c r="A1070" s="180">
        <f t="shared" ca="1" si="126"/>
        <v>47142</v>
      </c>
      <c r="B1070" s="181">
        <v>1038</v>
      </c>
      <c r="C1070" s="182" t="e">
        <f t="shared" si="120"/>
        <v>#VALUE!</v>
      </c>
      <c r="D1070" s="182" t="e">
        <f t="shared" si="121"/>
        <v>#VALUE!</v>
      </c>
      <c r="E1070" s="182" t="e">
        <f t="shared" si="122"/>
        <v>#VALUE!</v>
      </c>
      <c r="F1070" s="182" t="e">
        <f>SUM($D$33:D1070)</f>
        <v>#VALUE!</v>
      </c>
      <c r="G1070" s="182">
        <f t="shared" ca="1" si="123"/>
        <v>0</v>
      </c>
      <c r="H1070" s="182" t="e">
        <f t="shared" si="124"/>
        <v>#VALUE!</v>
      </c>
      <c r="I1070" s="183" t="e">
        <f t="shared" si="125"/>
        <v>#VALUE!</v>
      </c>
    </row>
    <row r="1071" spans="1:9" x14ac:dyDescent="0.25">
      <c r="A1071" s="180">
        <f t="shared" ca="1" si="126"/>
        <v>47143</v>
      </c>
      <c r="B1071" s="181">
        <v>1039</v>
      </c>
      <c r="C1071" s="182" t="e">
        <f t="shared" si="120"/>
        <v>#VALUE!</v>
      </c>
      <c r="D1071" s="182" t="e">
        <f t="shared" si="121"/>
        <v>#VALUE!</v>
      </c>
      <c r="E1071" s="182" t="e">
        <f t="shared" si="122"/>
        <v>#VALUE!</v>
      </c>
      <c r="F1071" s="182" t="e">
        <f>SUM($D$33:D1071)</f>
        <v>#VALUE!</v>
      </c>
      <c r="G1071" s="182">
        <f t="shared" ca="1" si="123"/>
        <v>0</v>
      </c>
      <c r="H1071" s="182" t="e">
        <f t="shared" si="124"/>
        <v>#VALUE!</v>
      </c>
      <c r="I1071" s="183" t="e">
        <f t="shared" si="125"/>
        <v>#VALUE!</v>
      </c>
    </row>
    <row r="1072" spans="1:9" x14ac:dyDescent="0.25">
      <c r="A1072" s="180">
        <f t="shared" ca="1" si="126"/>
        <v>47144</v>
      </c>
      <c r="B1072" s="181">
        <v>1040</v>
      </c>
      <c r="C1072" s="182" t="e">
        <f t="shared" si="120"/>
        <v>#VALUE!</v>
      </c>
      <c r="D1072" s="182" t="e">
        <f t="shared" si="121"/>
        <v>#VALUE!</v>
      </c>
      <c r="E1072" s="182" t="e">
        <f t="shared" si="122"/>
        <v>#VALUE!</v>
      </c>
      <c r="F1072" s="182" t="e">
        <f>SUM($D$33:D1072)</f>
        <v>#VALUE!</v>
      </c>
      <c r="G1072" s="182">
        <f t="shared" ca="1" si="123"/>
        <v>0</v>
      </c>
      <c r="H1072" s="182" t="e">
        <f t="shared" si="124"/>
        <v>#VALUE!</v>
      </c>
      <c r="I1072" s="183" t="e">
        <f t="shared" si="125"/>
        <v>#VALUE!</v>
      </c>
    </row>
    <row r="1073" spans="1:9" x14ac:dyDescent="0.25">
      <c r="A1073" s="180">
        <f t="shared" ca="1" si="126"/>
        <v>47145</v>
      </c>
      <c r="B1073" s="181">
        <v>1041</v>
      </c>
      <c r="C1073" s="182" t="e">
        <f t="shared" si="120"/>
        <v>#VALUE!</v>
      </c>
      <c r="D1073" s="182" t="e">
        <f t="shared" si="121"/>
        <v>#VALUE!</v>
      </c>
      <c r="E1073" s="182" t="e">
        <f t="shared" si="122"/>
        <v>#VALUE!</v>
      </c>
      <c r="F1073" s="182" t="e">
        <f>SUM($D$33:D1073)</f>
        <v>#VALUE!</v>
      </c>
      <c r="G1073" s="182">
        <f t="shared" ca="1" si="123"/>
        <v>0</v>
      </c>
      <c r="H1073" s="182" t="e">
        <f t="shared" si="124"/>
        <v>#VALUE!</v>
      </c>
      <c r="I1073" s="183" t="e">
        <f t="shared" si="125"/>
        <v>#VALUE!</v>
      </c>
    </row>
    <row r="1074" spans="1:9" x14ac:dyDescent="0.25">
      <c r="A1074" s="180">
        <f t="shared" ca="1" si="126"/>
        <v>47146</v>
      </c>
      <c r="B1074" s="181">
        <v>1042</v>
      </c>
      <c r="C1074" s="182" t="e">
        <f t="shared" si="120"/>
        <v>#VALUE!</v>
      </c>
      <c r="D1074" s="182" t="e">
        <f t="shared" si="121"/>
        <v>#VALUE!</v>
      </c>
      <c r="E1074" s="182" t="e">
        <f t="shared" si="122"/>
        <v>#VALUE!</v>
      </c>
      <c r="F1074" s="182" t="e">
        <f>SUM($D$33:D1074)</f>
        <v>#VALUE!</v>
      </c>
      <c r="G1074" s="182">
        <f t="shared" ca="1" si="123"/>
        <v>0</v>
      </c>
      <c r="H1074" s="182" t="e">
        <f t="shared" si="124"/>
        <v>#VALUE!</v>
      </c>
      <c r="I1074" s="183" t="e">
        <f t="shared" si="125"/>
        <v>#VALUE!</v>
      </c>
    </row>
    <row r="1075" spans="1:9" x14ac:dyDescent="0.25">
      <c r="A1075" s="180">
        <f t="shared" ca="1" si="126"/>
        <v>47147</v>
      </c>
      <c r="B1075" s="181">
        <v>1043</v>
      </c>
      <c r="C1075" s="182" t="e">
        <f t="shared" si="120"/>
        <v>#VALUE!</v>
      </c>
      <c r="D1075" s="182" t="e">
        <f t="shared" si="121"/>
        <v>#VALUE!</v>
      </c>
      <c r="E1075" s="182" t="e">
        <f t="shared" si="122"/>
        <v>#VALUE!</v>
      </c>
      <c r="F1075" s="182" t="e">
        <f>SUM($D$33:D1075)</f>
        <v>#VALUE!</v>
      </c>
      <c r="G1075" s="182">
        <f t="shared" ca="1" si="123"/>
        <v>0</v>
      </c>
      <c r="H1075" s="182" t="e">
        <f t="shared" si="124"/>
        <v>#VALUE!</v>
      </c>
      <c r="I1075" s="183" t="e">
        <f t="shared" si="125"/>
        <v>#VALUE!</v>
      </c>
    </row>
    <row r="1076" spans="1:9" x14ac:dyDescent="0.25">
      <c r="A1076" s="180">
        <f t="shared" ca="1" si="126"/>
        <v>47148</v>
      </c>
      <c r="B1076" s="181">
        <v>1044</v>
      </c>
      <c r="C1076" s="182" t="e">
        <f t="shared" si="120"/>
        <v>#VALUE!</v>
      </c>
      <c r="D1076" s="182" t="e">
        <f t="shared" si="121"/>
        <v>#VALUE!</v>
      </c>
      <c r="E1076" s="182" t="e">
        <f t="shared" si="122"/>
        <v>#VALUE!</v>
      </c>
      <c r="F1076" s="182" t="e">
        <f>SUM($D$33:D1076)</f>
        <v>#VALUE!</v>
      </c>
      <c r="G1076" s="182">
        <f t="shared" ca="1" si="123"/>
        <v>0</v>
      </c>
      <c r="H1076" s="182" t="e">
        <f t="shared" si="124"/>
        <v>#VALUE!</v>
      </c>
      <c r="I1076" s="183" t="e">
        <f t="shared" si="125"/>
        <v>#VALUE!</v>
      </c>
    </row>
    <row r="1077" spans="1:9" x14ac:dyDescent="0.25">
      <c r="A1077" s="180">
        <f t="shared" ca="1" si="126"/>
        <v>47149</v>
      </c>
      <c r="B1077" s="181">
        <v>1045</v>
      </c>
      <c r="C1077" s="182" t="e">
        <f t="shared" si="120"/>
        <v>#VALUE!</v>
      </c>
      <c r="D1077" s="182" t="e">
        <f t="shared" si="121"/>
        <v>#VALUE!</v>
      </c>
      <c r="E1077" s="182" t="e">
        <f t="shared" si="122"/>
        <v>#VALUE!</v>
      </c>
      <c r="F1077" s="182" t="e">
        <f>SUM($D$33:D1077)</f>
        <v>#VALUE!</v>
      </c>
      <c r="G1077" s="182">
        <f t="shared" ca="1" si="123"/>
        <v>0</v>
      </c>
      <c r="H1077" s="182" t="e">
        <f t="shared" si="124"/>
        <v>#VALUE!</v>
      </c>
      <c r="I1077" s="183" t="e">
        <f t="shared" si="125"/>
        <v>#VALUE!</v>
      </c>
    </row>
    <row r="1078" spans="1:9" x14ac:dyDescent="0.25">
      <c r="A1078" s="180">
        <f t="shared" ca="1" si="126"/>
        <v>47150</v>
      </c>
      <c r="B1078" s="181">
        <v>1046</v>
      </c>
      <c r="C1078" s="182" t="e">
        <f t="shared" si="120"/>
        <v>#VALUE!</v>
      </c>
      <c r="D1078" s="182" t="e">
        <f t="shared" si="121"/>
        <v>#VALUE!</v>
      </c>
      <c r="E1078" s="182" t="e">
        <f t="shared" si="122"/>
        <v>#VALUE!</v>
      </c>
      <c r="F1078" s="182" t="e">
        <f>SUM($D$33:D1078)</f>
        <v>#VALUE!</v>
      </c>
      <c r="G1078" s="182">
        <f t="shared" ca="1" si="123"/>
        <v>0</v>
      </c>
      <c r="H1078" s="182" t="e">
        <f t="shared" si="124"/>
        <v>#VALUE!</v>
      </c>
      <c r="I1078" s="183" t="e">
        <f t="shared" si="125"/>
        <v>#VALUE!</v>
      </c>
    </row>
    <row r="1079" spans="1:9" x14ac:dyDescent="0.25">
      <c r="A1079" s="180">
        <f t="shared" ca="1" si="126"/>
        <v>47151</v>
      </c>
      <c r="B1079" s="181">
        <v>1047</v>
      </c>
      <c r="C1079" s="182" t="e">
        <f t="shared" si="120"/>
        <v>#VALUE!</v>
      </c>
      <c r="D1079" s="182" t="e">
        <f t="shared" si="121"/>
        <v>#VALUE!</v>
      </c>
      <c r="E1079" s="182" t="e">
        <f t="shared" si="122"/>
        <v>#VALUE!</v>
      </c>
      <c r="F1079" s="182" t="e">
        <f>SUM($D$33:D1079)</f>
        <v>#VALUE!</v>
      </c>
      <c r="G1079" s="182">
        <f t="shared" ca="1" si="123"/>
        <v>0</v>
      </c>
      <c r="H1079" s="182" t="e">
        <f t="shared" si="124"/>
        <v>#VALUE!</v>
      </c>
      <c r="I1079" s="183" t="e">
        <f t="shared" si="125"/>
        <v>#VALUE!</v>
      </c>
    </row>
    <row r="1080" spans="1:9" x14ac:dyDescent="0.25">
      <c r="A1080" s="180">
        <f t="shared" ca="1" si="126"/>
        <v>47152</v>
      </c>
      <c r="B1080" s="181">
        <v>1048</v>
      </c>
      <c r="C1080" s="182" t="e">
        <f t="shared" si="120"/>
        <v>#VALUE!</v>
      </c>
      <c r="D1080" s="182" t="e">
        <f t="shared" si="121"/>
        <v>#VALUE!</v>
      </c>
      <c r="E1080" s="182" t="e">
        <f t="shared" si="122"/>
        <v>#VALUE!</v>
      </c>
      <c r="F1080" s="182" t="e">
        <f>SUM($D$33:D1080)</f>
        <v>#VALUE!</v>
      </c>
      <c r="G1080" s="182">
        <f t="shared" ca="1" si="123"/>
        <v>0</v>
      </c>
      <c r="H1080" s="182" t="e">
        <f t="shared" si="124"/>
        <v>#VALUE!</v>
      </c>
      <c r="I1080" s="183" t="e">
        <f t="shared" si="125"/>
        <v>#VALUE!</v>
      </c>
    </row>
    <row r="1081" spans="1:9" x14ac:dyDescent="0.25">
      <c r="A1081" s="180">
        <f t="shared" ca="1" si="126"/>
        <v>47153</v>
      </c>
      <c r="B1081" s="181">
        <v>1049</v>
      </c>
      <c r="C1081" s="182" t="e">
        <f t="shared" si="120"/>
        <v>#VALUE!</v>
      </c>
      <c r="D1081" s="182" t="e">
        <f t="shared" si="121"/>
        <v>#VALUE!</v>
      </c>
      <c r="E1081" s="182" t="e">
        <f t="shared" si="122"/>
        <v>#VALUE!</v>
      </c>
      <c r="F1081" s="182" t="e">
        <f>SUM($D$33:D1081)</f>
        <v>#VALUE!</v>
      </c>
      <c r="G1081" s="182">
        <f t="shared" ca="1" si="123"/>
        <v>0</v>
      </c>
      <c r="H1081" s="182" t="e">
        <f t="shared" si="124"/>
        <v>#VALUE!</v>
      </c>
      <c r="I1081" s="183" t="e">
        <f t="shared" si="125"/>
        <v>#VALUE!</v>
      </c>
    </row>
    <row r="1082" spans="1:9" x14ac:dyDescent="0.25">
      <c r="A1082" s="180">
        <f t="shared" ca="1" si="126"/>
        <v>47154</v>
      </c>
      <c r="B1082" s="181">
        <v>1050</v>
      </c>
      <c r="C1082" s="182" t="e">
        <f t="shared" si="120"/>
        <v>#VALUE!</v>
      </c>
      <c r="D1082" s="182" t="e">
        <f t="shared" si="121"/>
        <v>#VALUE!</v>
      </c>
      <c r="E1082" s="182" t="e">
        <f t="shared" si="122"/>
        <v>#VALUE!</v>
      </c>
      <c r="F1082" s="182" t="e">
        <f>SUM($D$33:D1082)</f>
        <v>#VALUE!</v>
      </c>
      <c r="G1082" s="182">
        <f t="shared" ca="1" si="123"/>
        <v>0</v>
      </c>
      <c r="H1082" s="182" t="e">
        <f t="shared" si="124"/>
        <v>#VALUE!</v>
      </c>
      <c r="I1082" s="183" t="e">
        <f t="shared" si="125"/>
        <v>#VALUE!</v>
      </c>
    </row>
    <row r="1083" spans="1:9" x14ac:dyDescent="0.25">
      <c r="A1083" s="180">
        <f t="shared" ca="1" si="126"/>
        <v>47155</v>
      </c>
      <c r="B1083" s="181">
        <v>1051</v>
      </c>
      <c r="C1083" s="182" t="e">
        <f t="shared" si="120"/>
        <v>#VALUE!</v>
      </c>
      <c r="D1083" s="182" t="e">
        <f t="shared" si="121"/>
        <v>#VALUE!</v>
      </c>
      <c r="E1083" s="182" t="e">
        <f t="shared" si="122"/>
        <v>#VALUE!</v>
      </c>
      <c r="F1083" s="182" t="e">
        <f>SUM($D$33:D1083)</f>
        <v>#VALUE!</v>
      </c>
      <c r="G1083" s="182">
        <f t="shared" ca="1" si="123"/>
        <v>0</v>
      </c>
      <c r="H1083" s="182" t="e">
        <f t="shared" si="124"/>
        <v>#VALUE!</v>
      </c>
      <c r="I1083" s="183" t="e">
        <f t="shared" si="125"/>
        <v>#VALUE!</v>
      </c>
    </row>
    <row r="1084" spans="1:9" x14ac:dyDescent="0.25">
      <c r="A1084" s="180">
        <f t="shared" ca="1" si="126"/>
        <v>47156</v>
      </c>
      <c r="B1084" s="181">
        <v>1052</v>
      </c>
      <c r="C1084" s="182" t="e">
        <f t="shared" si="120"/>
        <v>#VALUE!</v>
      </c>
      <c r="D1084" s="182" t="e">
        <f t="shared" si="121"/>
        <v>#VALUE!</v>
      </c>
      <c r="E1084" s="182" t="e">
        <f t="shared" si="122"/>
        <v>#VALUE!</v>
      </c>
      <c r="F1084" s="182" t="e">
        <f>SUM($D$33:D1084)</f>
        <v>#VALUE!</v>
      </c>
      <c r="G1084" s="182">
        <f t="shared" ca="1" si="123"/>
        <v>0</v>
      </c>
      <c r="H1084" s="182" t="e">
        <f t="shared" si="124"/>
        <v>#VALUE!</v>
      </c>
      <c r="I1084" s="183" t="e">
        <f t="shared" si="125"/>
        <v>#VALUE!</v>
      </c>
    </row>
    <row r="1085" spans="1:9" x14ac:dyDescent="0.25">
      <c r="A1085" s="180">
        <f t="shared" ca="1" si="126"/>
        <v>47157</v>
      </c>
      <c r="B1085" s="181">
        <v>1053</v>
      </c>
      <c r="C1085" s="182" t="e">
        <f t="shared" si="120"/>
        <v>#VALUE!</v>
      </c>
      <c r="D1085" s="182" t="e">
        <f t="shared" si="121"/>
        <v>#VALUE!</v>
      </c>
      <c r="E1085" s="182" t="e">
        <f t="shared" si="122"/>
        <v>#VALUE!</v>
      </c>
      <c r="F1085" s="182" t="e">
        <f>SUM($D$33:D1085)</f>
        <v>#VALUE!</v>
      </c>
      <c r="G1085" s="182">
        <f t="shared" ca="1" si="123"/>
        <v>0</v>
      </c>
      <c r="H1085" s="182" t="e">
        <f t="shared" si="124"/>
        <v>#VALUE!</v>
      </c>
      <c r="I1085" s="183" t="e">
        <f t="shared" si="125"/>
        <v>#VALUE!</v>
      </c>
    </row>
    <row r="1086" spans="1:9" x14ac:dyDescent="0.25">
      <c r="A1086" s="180">
        <f t="shared" ca="1" si="126"/>
        <v>47158</v>
      </c>
      <c r="B1086" s="181">
        <v>1054</v>
      </c>
      <c r="C1086" s="182" t="e">
        <f t="shared" si="120"/>
        <v>#VALUE!</v>
      </c>
      <c r="D1086" s="182" t="e">
        <f t="shared" si="121"/>
        <v>#VALUE!</v>
      </c>
      <c r="E1086" s="182" t="e">
        <f t="shared" si="122"/>
        <v>#VALUE!</v>
      </c>
      <c r="F1086" s="182" t="e">
        <f>SUM($D$33:D1086)</f>
        <v>#VALUE!</v>
      </c>
      <c r="G1086" s="182">
        <f t="shared" ca="1" si="123"/>
        <v>0</v>
      </c>
      <c r="H1086" s="182" t="e">
        <f t="shared" si="124"/>
        <v>#VALUE!</v>
      </c>
      <c r="I1086" s="183" t="e">
        <f t="shared" si="125"/>
        <v>#VALUE!</v>
      </c>
    </row>
    <row r="1087" spans="1:9" x14ac:dyDescent="0.25">
      <c r="A1087" s="180">
        <f t="shared" ca="1" si="126"/>
        <v>47159</v>
      </c>
      <c r="B1087" s="181">
        <v>1055</v>
      </c>
      <c r="C1087" s="182" t="e">
        <f t="shared" si="120"/>
        <v>#VALUE!</v>
      </c>
      <c r="D1087" s="182" t="e">
        <f t="shared" si="121"/>
        <v>#VALUE!</v>
      </c>
      <c r="E1087" s="182" t="e">
        <f t="shared" si="122"/>
        <v>#VALUE!</v>
      </c>
      <c r="F1087" s="182" t="e">
        <f>SUM($D$33:D1087)</f>
        <v>#VALUE!</v>
      </c>
      <c r="G1087" s="182">
        <f t="shared" ca="1" si="123"/>
        <v>0</v>
      </c>
      <c r="H1087" s="182" t="e">
        <f t="shared" si="124"/>
        <v>#VALUE!</v>
      </c>
      <c r="I1087" s="183" t="e">
        <f t="shared" si="125"/>
        <v>#VALUE!</v>
      </c>
    </row>
    <row r="1088" spans="1:9" x14ac:dyDescent="0.25">
      <c r="A1088" s="180">
        <f t="shared" ca="1" si="126"/>
        <v>47160</v>
      </c>
      <c r="B1088" s="181">
        <v>1056</v>
      </c>
      <c r="C1088" s="182" t="e">
        <f t="shared" si="120"/>
        <v>#VALUE!</v>
      </c>
      <c r="D1088" s="182" t="e">
        <f t="shared" si="121"/>
        <v>#VALUE!</v>
      </c>
      <c r="E1088" s="182" t="e">
        <f t="shared" si="122"/>
        <v>#VALUE!</v>
      </c>
      <c r="F1088" s="182" t="e">
        <f>SUM($D$33:D1088)</f>
        <v>#VALUE!</v>
      </c>
      <c r="G1088" s="182">
        <f t="shared" ca="1" si="123"/>
        <v>0</v>
      </c>
      <c r="H1088" s="182" t="e">
        <f t="shared" si="124"/>
        <v>#VALUE!</v>
      </c>
      <c r="I1088" s="183" t="e">
        <f t="shared" si="125"/>
        <v>#VALUE!</v>
      </c>
    </row>
    <row r="1089" spans="1:9" x14ac:dyDescent="0.25">
      <c r="A1089" s="180">
        <f t="shared" ca="1" si="126"/>
        <v>47161</v>
      </c>
      <c r="B1089" s="181">
        <v>1057</v>
      </c>
      <c r="C1089" s="182" t="e">
        <f t="shared" si="120"/>
        <v>#VALUE!</v>
      </c>
      <c r="D1089" s="182" t="e">
        <f t="shared" si="121"/>
        <v>#VALUE!</v>
      </c>
      <c r="E1089" s="182" t="e">
        <f t="shared" si="122"/>
        <v>#VALUE!</v>
      </c>
      <c r="F1089" s="182" t="e">
        <f>SUM($D$33:D1089)</f>
        <v>#VALUE!</v>
      </c>
      <c r="G1089" s="182">
        <f t="shared" ca="1" si="123"/>
        <v>0</v>
      </c>
      <c r="H1089" s="182" t="e">
        <f t="shared" si="124"/>
        <v>#VALUE!</v>
      </c>
      <c r="I1089" s="183" t="e">
        <f t="shared" si="125"/>
        <v>#VALUE!</v>
      </c>
    </row>
    <row r="1090" spans="1:9" x14ac:dyDescent="0.25">
      <c r="A1090" s="180">
        <f t="shared" ca="1" si="126"/>
        <v>47162</v>
      </c>
      <c r="B1090" s="181">
        <v>1058</v>
      </c>
      <c r="C1090" s="182" t="e">
        <f t="shared" si="120"/>
        <v>#VALUE!</v>
      </c>
      <c r="D1090" s="182" t="e">
        <f t="shared" si="121"/>
        <v>#VALUE!</v>
      </c>
      <c r="E1090" s="182" t="e">
        <f t="shared" si="122"/>
        <v>#VALUE!</v>
      </c>
      <c r="F1090" s="182" t="e">
        <f>SUM($D$33:D1090)</f>
        <v>#VALUE!</v>
      </c>
      <c r="G1090" s="182">
        <f t="shared" ca="1" si="123"/>
        <v>0</v>
      </c>
      <c r="H1090" s="182" t="e">
        <f t="shared" si="124"/>
        <v>#VALUE!</v>
      </c>
      <c r="I1090" s="183" t="e">
        <f t="shared" si="125"/>
        <v>#VALUE!</v>
      </c>
    </row>
    <row r="1091" spans="1:9" x14ac:dyDescent="0.25">
      <c r="A1091" s="180">
        <f t="shared" ca="1" si="126"/>
        <v>47163</v>
      </c>
      <c r="B1091" s="181">
        <v>1059</v>
      </c>
      <c r="C1091" s="182" t="e">
        <f t="shared" si="120"/>
        <v>#VALUE!</v>
      </c>
      <c r="D1091" s="182" t="e">
        <f t="shared" si="121"/>
        <v>#VALUE!</v>
      </c>
      <c r="E1091" s="182" t="e">
        <f t="shared" si="122"/>
        <v>#VALUE!</v>
      </c>
      <c r="F1091" s="182" t="e">
        <f>SUM($D$33:D1091)</f>
        <v>#VALUE!</v>
      </c>
      <c r="G1091" s="182">
        <f t="shared" ca="1" si="123"/>
        <v>0</v>
      </c>
      <c r="H1091" s="182" t="e">
        <f t="shared" si="124"/>
        <v>#VALUE!</v>
      </c>
      <c r="I1091" s="183" t="e">
        <f t="shared" si="125"/>
        <v>#VALUE!</v>
      </c>
    </row>
    <row r="1092" spans="1:9" x14ac:dyDescent="0.25">
      <c r="A1092" s="180">
        <f t="shared" ca="1" si="126"/>
        <v>47164</v>
      </c>
      <c r="B1092" s="181">
        <v>1060</v>
      </c>
      <c r="C1092" s="182" t="e">
        <f t="shared" si="120"/>
        <v>#VALUE!</v>
      </c>
      <c r="D1092" s="182" t="e">
        <f t="shared" si="121"/>
        <v>#VALUE!</v>
      </c>
      <c r="E1092" s="182" t="e">
        <f t="shared" si="122"/>
        <v>#VALUE!</v>
      </c>
      <c r="F1092" s="182" t="e">
        <f>SUM($D$33:D1092)</f>
        <v>#VALUE!</v>
      </c>
      <c r="G1092" s="182">
        <f t="shared" ca="1" si="123"/>
        <v>0</v>
      </c>
      <c r="H1092" s="182" t="e">
        <f t="shared" si="124"/>
        <v>#VALUE!</v>
      </c>
      <c r="I1092" s="183" t="e">
        <f t="shared" si="125"/>
        <v>#VALUE!</v>
      </c>
    </row>
    <row r="1093" spans="1:9" x14ac:dyDescent="0.25">
      <c r="A1093" s="180">
        <f t="shared" ca="1" si="126"/>
        <v>47165</v>
      </c>
      <c r="B1093" s="181">
        <v>1061</v>
      </c>
      <c r="C1093" s="182" t="e">
        <f t="shared" si="120"/>
        <v>#VALUE!</v>
      </c>
      <c r="D1093" s="182" t="e">
        <f t="shared" si="121"/>
        <v>#VALUE!</v>
      </c>
      <c r="E1093" s="182" t="e">
        <f t="shared" si="122"/>
        <v>#VALUE!</v>
      </c>
      <c r="F1093" s="182" t="e">
        <f>SUM($D$33:D1093)</f>
        <v>#VALUE!</v>
      </c>
      <c r="G1093" s="182">
        <f t="shared" ca="1" si="123"/>
        <v>0</v>
      </c>
      <c r="H1093" s="182" t="e">
        <f t="shared" si="124"/>
        <v>#VALUE!</v>
      </c>
      <c r="I1093" s="183" t="e">
        <f t="shared" si="125"/>
        <v>#VALUE!</v>
      </c>
    </row>
    <row r="1094" spans="1:9" x14ac:dyDescent="0.25">
      <c r="A1094" s="180">
        <f t="shared" ca="1" si="126"/>
        <v>47166</v>
      </c>
      <c r="B1094" s="181">
        <v>1062</v>
      </c>
      <c r="C1094" s="182" t="e">
        <f t="shared" si="120"/>
        <v>#VALUE!</v>
      </c>
      <c r="D1094" s="182" t="e">
        <f t="shared" si="121"/>
        <v>#VALUE!</v>
      </c>
      <c r="E1094" s="182" t="e">
        <f t="shared" si="122"/>
        <v>#VALUE!</v>
      </c>
      <c r="F1094" s="182" t="e">
        <f>SUM($D$33:D1094)</f>
        <v>#VALUE!</v>
      </c>
      <c r="G1094" s="182">
        <f t="shared" ca="1" si="123"/>
        <v>0</v>
      </c>
      <c r="H1094" s="182" t="e">
        <f t="shared" si="124"/>
        <v>#VALUE!</v>
      </c>
      <c r="I1094" s="183" t="e">
        <f t="shared" si="125"/>
        <v>#VALUE!</v>
      </c>
    </row>
    <row r="1095" spans="1:9" x14ac:dyDescent="0.25">
      <c r="A1095" s="180">
        <f t="shared" ca="1" si="126"/>
        <v>47167</v>
      </c>
      <c r="B1095" s="181">
        <v>1063</v>
      </c>
      <c r="C1095" s="182" t="e">
        <f t="shared" si="120"/>
        <v>#VALUE!</v>
      </c>
      <c r="D1095" s="182" t="e">
        <f t="shared" si="121"/>
        <v>#VALUE!</v>
      </c>
      <c r="E1095" s="182" t="e">
        <f t="shared" si="122"/>
        <v>#VALUE!</v>
      </c>
      <c r="F1095" s="182" t="e">
        <f>SUM($D$33:D1095)</f>
        <v>#VALUE!</v>
      </c>
      <c r="G1095" s="182">
        <f t="shared" ca="1" si="123"/>
        <v>0</v>
      </c>
      <c r="H1095" s="182" t="e">
        <f t="shared" si="124"/>
        <v>#VALUE!</v>
      </c>
      <c r="I1095" s="183" t="e">
        <f t="shared" si="125"/>
        <v>#VALUE!</v>
      </c>
    </row>
    <row r="1096" spans="1:9" x14ac:dyDescent="0.25">
      <c r="A1096" s="180">
        <f t="shared" ca="1" si="126"/>
        <v>47168</v>
      </c>
      <c r="B1096" s="181">
        <v>1064</v>
      </c>
      <c r="C1096" s="182" t="e">
        <f t="shared" si="120"/>
        <v>#VALUE!</v>
      </c>
      <c r="D1096" s="182" t="e">
        <f t="shared" si="121"/>
        <v>#VALUE!</v>
      </c>
      <c r="E1096" s="182" t="e">
        <f t="shared" si="122"/>
        <v>#VALUE!</v>
      </c>
      <c r="F1096" s="182" t="e">
        <f>SUM($D$33:D1096)</f>
        <v>#VALUE!</v>
      </c>
      <c r="G1096" s="182">
        <f t="shared" ca="1" si="123"/>
        <v>0</v>
      </c>
      <c r="H1096" s="182" t="e">
        <f t="shared" si="124"/>
        <v>#VALUE!</v>
      </c>
      <c r="I1096" s="183" t="e">
        <f t="shared" si="125"/>
        <v>#VALUE!</v>
      </c>
    </row>
    <row r="1097" spans="1:9" x14ac:dyDescent="0.25">
      <c r="A1097" s="180">
        <f t="shared" ca="1" si="126"/>
        <v>47169</v>
      </c>
      <c r="B1097" s="181">
        <v>1065</v>
      </c>
      <c r="C1097" s="182" t="e">
        <f t="shared" si="120"/>
        <v>#VALUE!</v>
      </c>
      <c r="D1097" s="182" t="e">
        <f t="shared" si="121"/>
        <v>#VALUE!</v>
      </c>
      <c r="E1097" s="182" t="e">
        <f t="shared" si="122"/>
        <v>#VALUE!</v>
      </c>
      <c r="F1097" s="182" t="e">
        <f>SUM($D$33:D1097)</f>
        <v>#VALUE!</v>
      </c>
      <c r="G1097" s="182">
        <f t="shared" ca="1" si="123"/>
        <v>0</v>
      </c>
      <c r="H1097" s="182" t="e">
        <f t="shared" si="124"/>
        <v>#VALUE!</v>
      </c>
      <c r="I1097" s="183" t="e">
        <f t="shared" si="125"/>
        <v>#VALUE!</v>
      </c>
    </row>
    <row r="1098" spans="1:9" x14ac:dyDescent="0.25">
      <c r="A1098" s="180">
        <f t="shared" ca="1" si="126"/>
        <v>47170</v>
      </c>
      <c r="B1098" s="181">
        <v>1066</v>
      </c>
      <c r="C1098" s="182" t="e">
        <f t="shared" si="120"/>
        <v>#VALUE!</v>
      </c>
      <c r="D1098" s="182" t="e">
        <f t="shared" si="121"/>
        <v>#VALUE!</v>
      </c>
      <c r="E1098" s="182" t="e">
        <f t="shared" si="122"/>
        <v>#VALUE!</v>
      </c>
      <c r="F1098" s="182" t="e">
        <f>SUM($D$33:D1098)</f>
        <v>#VALUE!</v>
      </c>
      <c r="G1098" s="182">
        <f t="shared" ca="1" si="123"/>
        <v>0</v>
      </c>
      <c r="H1098" s="182" t="e">
        <f t="shared" si="124"/>
        <v>#VALUE!</v>
      </c>
      <c r="I1098" s="183" t="e">
        <f t="shared" si="125"/>
        <v>#VALUE!</v>
      </c>
    </row>
    <row r="1099" spans="1:9" x14ac:dyDescent="0.25">
      <c r="A1099" s="180">
        <f t="shared" ca="1" si="126"/>
        <v>47171</v>
      </c>
      <c r="B1099" s="181">
        <v>1067</v>
      </c>
      <c r="C1099" s="182" t="e">
        <f t="shared" si="120"/>
        <v>#VALUE!</v>
      </c>
      <c r="D1099" s="182" t="e">
        <f t="shared" si="121"/>
        <v>#VALUE!</v>
      </c>
      <c r="E1099" s="182" t="e">
        <f t="shared" si="122"/>
        <v>#VALUE!</v>
      </c>
      <c r="F1099" s="182" t="e">
        <f>SUM($D$33:D1099)</f>
        <v>#VALUE!</v>
      </c>
      <c r="G1099" s="182">
        <f t="shared" ca="1" si="123"/>
        <v>0</v>
      </c>
      <c r="H1099" s="182" t="e">
        <f t="shared" si="124"/>
        <v>#VALUE!</v>
      </c>
      <c r="I1099" s="183" t="e">
        <f t="shared" si="125"/>
        <v>#VALUE!</v>
      </c>
    </row>
    <row r="1100" spans="1:9" x14ac:dyDescent="0.25">
      <c r="A1100" s="180">
        <f t="shared" ca="1" si="126"/>
        <v>47172</v>
      </c>
      <c r="B1100" s="181">
        <v>1068</v>
      </c>
      <c r="C1100" s="182" t="e">
        <f t="shared" si="120"/>
        <v>#VALUE!</v>
      </c>
      <c r="D1100" s="182" t="e">
        <f t="shared" si="121"/>
        <v>#VALUE!</v>
      </c>
      <c r="E1100" s="182" t="e">
        <f t="shared" si="122"/>
        <v>#VALUE!</v>
      </c>
      <c r="F1100" s="182" t="e">
        <f>SUM($D$33:D1100)</f>
        <v>#VALUE!</v>
      </c>
      <c r="G1100" s="182">
        <f t="shared" ca="1" si="123"/>
        <v>0</v>
      </c>
      <c r="H1100" s="182" t="e">
        <f t="shared" si="124"/>
        <v>#VALUE!</v>
      </c>
      <c r="I1100" s="183" t="e">
        <f t="shared" si="125"/>
        <v>#VALUE!</v>
      </c>
    </row>
    <row r="1101" spans="1:9" x14ac:dyDescent="0.25">
      <c r="A1101" s="180">
        <f t="shared" ca="1" si="126"/>
        <v>47173</v>
      </c>
      <c r="B1101" s="181">
        <v>1069</v>
      </c>
      <c r="C1101" s="182" t="e">
        <f t="shared" si="120"/>
        <v>#VALUE!</v>
      </c>
      <c r="D1101" s="182" t="e">
        <f t="shared" si="121"/>
        <v>#VALUE!</v>
      </c>
      <c r="E1101" s="182" t="e">
        <f t="shared" si="122"/>
        <v>#VALUE!</v>
      </c>
      <c r="F1101" s="182" t="e">
        <f>SUM($D$33:D1101)</f>
        <v>#VALUE!</v>
      </c>
      <c r="G1101" s="182">
        <f t="shared" ca="1" si="123"/>
        <v>0</v>
      </c>
      <c r="H1101" s="182" t="e">
        <f t="shared" si="124"/>
        <v>#VALUE!</v>
      </c>
      <c r="I1101" s="183" t="e">
        <f t="shared" si="125"/>
        <v>#VALUE!</v>
      </c>
    </row>
    <row r="1102" spans="1:9" x14ac:dyDescent="0.25">
      <c r="A1102" s="180">
        <f t="shared" ca="1" si="126"/>
        <v>47174</v>
      </c>
      <c r="B1102" s="181">
        <v>1070</v>
      </c>
      <c r="C1102" s="182" t="e">
        <f t="shared" si="120"/>
        <v>#VALUE!</v>
      </c>
      <c r="D1102" s="182" t="e">
        <f t="shared" si="121"/>
        <v>#VALUE!</v>
      </c>
      <c r="E1102" s="182" t="e">
        <f t="shared" si="122"/>
        <v>#VALUE!</v>
      </c>
      <c r="F1102" s="182" t="e">
        <f>SUM($D$33:D1102)</f>
        <v>#VALUE!</v>
      </c>
      <c r="G1102" s="182">
        <f t="shared" ca="1" si="123"/>
        <v>0</v>
      </c>
      <c r="H1102" s="182" t="e">
        <f t="shared" si="124"/>
        <v>#VALUE!</v>
      </c>
      <c r="I1102" s="183" t="e">
        <f t="shared" si="125"/>
        <v>#VALUE!</v>
      </c>
    </row>
    <row r="1103" spans="1:9" x14ac:dyDescent="0.25">
      <c r="A1103" s="180">
        <f t="shared" ca="1" si="126"/>
        <v>47175</v>
      </c>
      <c r="B1103" s="181">
        <v>1071</v>
      </c>
      <c r="C1103" s="182" t="e">
        <f t="shared" si="120"/>
        <v>#VALUE!</v>
      </c>
      <c r="D1103" s="182" t="e">
        <f t="shared" si="121"/>
        <v>#VALUE!</v>
      </c>
      <c r="E1103" s="182" t="e">
        <f t="shared" si="122"/>
        <v>#VALUE!</v>
      </c>
      <c r="F1103" s="182" t="e">
        <f>SUM($D$33:D1103)</f>
        <v>#VALUE!</v>
      </c>
      <c r="G1103" s="182">
        <f t="shared" ca="1" si="123"/>
        <v>0</v>
      </c>
      <c r="H1103" s="182" t="e">
        <f t="shared" si="124"/>
        <v>#VALUE!</v>
      </c>
      <c r="I1103" s="183" t="e">
        <f t="shared" si="125"/>
        <v>#VALUE!</v>
      </c>
    </row>
    <row r="1104" spans="1:9" x14ac:dyDescent="0.25">
      <c r="A1104" s="180">
        <f t="shared" ca="1" si="126"/>
        <v>47176</v>
      </c>
      <c r="B1104" s="181">
        <v>1072</v>
      </c>
      <c r="C1104" s="182" t="e">
        <f t="shared" ref="C1104:C1167" si="127">H1103</f>
        <v>#VALUE!</v>
      </c>
      <c r="D1104" s="182" t="e">
        <f t="shared" ref="D1104:D1167" si="128">IF(C1104&gt;$H$21,C1104*($L$16/360),$H$21*($L$16/360))</f>
        <v>#VALUE!</v>
      </c>
      <c r="E1104" s="182" t="e">
        <f t="shared" ref="E1104:E1167" si="129">IF(E1103&gt;0,E1103-D1104,0)</f>
        <v>#VALUE!</v>
      </c>
      <c r="F1104" s="182" t="e">
        <f>SUM($D$33:D1104)</f>
        <v>#VALUE!</v>
      </c>
      <c r="G1104" s="182">
        <f t="shared" ref="G1104:G1167" ca="1" si="130">IFERROR(-VLOOKUP(A1104,$K$30:$M$36,2,FALSE),0)</f>
        <v>0</v>
      </c>
      <c r="H1104" s="182" t="e">
        <f t="shared" ref="H1104:H1167" si="131">IF(E1104&gt;0,C1104+G1104,IF(E1104&lt;0,C1104+G1104+D1104-E1103,C1104+D1104+G1104))</f>
        <v>#VALUE!</v>
      </c>
      <c r="I1104" s="183" t="e">
        <f t="shared" ref="I1104:I1167" si="132">(C1104+D1104-E1104)</f>
        <v>#VALUE!</v>
      </c>
    </row>
    <row r="1105" spans="1:9" x14ac:dyDescent="0.25">
      <c r="A1105" s="180">
        <f t="shared" ca="1" si="126"/>
        <v>47177</v>
      </c>
      <c r="B1105" s="181">
        <v>1073</v>
      </c>
      <c r="C1105" s="182" t="e">
        <f t="shared" si="127"/>
        <v>#VALUE!</v>
      </c>
      <c r="D1105" s="182" t="e">
        <f t="shared" si="128"/>
        <v>#VALUE!</v>
      </c>
      <c r="E1105" s="182" t="e">
        <f t="shared" si="129"/>
        <v>#VALUE!</v>
      </c>
      <c r="F1105" s="182" t="e">
        <f>SUM($D$33:D1105)</f>
        <v>#VALUE!</v>
      </c>
      <c r="G1105" s="182">
        <f t="shared" ca="1" si="130"/>
        <v>0</v>
      </c>
      <c r="H1105" s="182" t="e">
        <f t="shared" si="131"/>
        <v>#VALUE!</v>
      </c>
      <c r="I1105" s="183" t="e">
        <f t="shared" si="132"/>
        <v>#VALUE!</v>
      </c>
    </row>
    <row r="1106" spans="1:9" x14ac:dyDescent="0.25">
      <c r="A1106" s="180">
        <f t="shared" ca="1" si="126"/>
        <v>47178</v>
      </c>
      <c r="B1106" s="181">
        <v>1074</v>
      </c>
      <c r="C1106" s="182" t="e">
        <f t="shared" si="127"/>
        <v>#VALUE!</v>
      </c>
      <c r="D1106" s="182" t="e">
        <f t="shared" si="128"/>
        <v>#VALUE!</v>
      </c>
      <c r="E1106" s="182" t="e">
        <f t="shared" si="129"/>
        <v>#VALUE!</v>
      </c>
      <c r="F1106" s="182" t="e">
        <f>SUM($D$33:D1106)</f>
        <v>#VALUE!</v>
      </c>
      <c r="G1106" s="182">
        <f t="shared" ca="1" si="130"/>
        <v>0</v>
      </c>
      <c r="H1106" s="182" t="e">
        <f t="shared" si="131"/>
        <v>#VALUE!</v>
      </c>
      <c r="I1106" s="183" t="e">
        <f t="shared" si="132"/>
        <v>#VALUE!</v>
      </c>
    </row>
    <row r="1107" spans="1:9" x14ac:dyDescent="0.25">
      <c r="A1107" s="180">
        <f t="shared" ca="1" si="126"/>
        <v>47179</v>
      </c>
      <c r="B1107" s="181">
        <v>1075</v>
      </c>
      <c r="C1107" s="182" t="e">
        <f t="shared" si="127"/>
        <v>#VALUE!</v>
      </c>
      <c r="D1107" s="182" t="e">
        <f t="shared" si="128"/>
        <v>#VALUE!</v>
      </c>
      <c r="E1107" s="182" t="e">
        <f t="shared" si="129"/>
        <v>#VALUE!</v>
      </c>
      <c r="F1107" s="182" t="e">
        <f>SUM($D$33:D1107)</f>
        <v>#VALUE!</v>
      </c>
      <c r="G1107" s="182">
        <f t="shared" ca="1" si="130"/>
        <v>0</v>
      </c>
      <c r="H1107" s="182" t="e">
        <f t="shared" si="131"/>
        <v>#VALUE!</v>
      </c>
      <c r="I1107" s="183" t="e">
        <f t="shared" si="132"/>
        <v>#VALUE!</v>
      </c>
    </row>
    <row r="1108" spans="1:9" x14ac:dyDescent="0.25">
      <c r="A1108" s="180">
        <f t="shared" ca="1" si="126"/>
        <v>47180</v>
      </c>
      <c r="B1108" s="181">
        <v>1076</v>
      </c>
      <c r="C1108" s="182" t="e">
        <f t="shared" si="127"/>
        <v>#VALUE!</v>
      </c>
      <c r="D1108" s="182" t="e">
        <f t="shared" si="128"/>
        <v>#VALUE!</v>
      </c>
      <c r="E1108" s="182" t="e">
        <f t="shared" si="129"/>
        <v>#VALUE!</v>
      </c>
      <c r="F1108" s="182" t="e">
        <f>SUM($D$33:D1108)</f>
        <v>#VALUE!</v>
      </c>
      <c r="G1108" s="182">
        <f t="shared" ca="1" si="130"/>
        <v>0</v>
      </c>
      <c r="H1108" s="182" t="e">
        <f t="shared" si="131"/>
        <v>#VALUE!</v>
      </c>
      <c r="I1108" s="183" t="e">
        <f t="shared" si="132"/>
        <v>#VALUE!</v>
      </c>
    </row>
    <row r="1109" spans="1:9" x14ac:dyDescent="0.25">
      <c r="A1109" s="180">
        <f t="shared" ca="1" si="126"/>
        <v>47181</v>
      </c>
      <c r="B1109" s="181">
        <v>1077</v>
      </c>
      <c r="C1109" s="182" t="e">
        <f t="shared" si="127"/>
        <v>#VALUE!</v>
      </c>
      <c r="D1109" s="182" t="e">
        <f t="shared" si="128"/>
        <v>#VALUE!</v>
      </c>
      <c r="E1109" s="182" t="e">
        <f t="shared" si="129"/>
        <v>#VALUE!</v>
      </c>
      <c r="F1109" s="182" t="e">
        <f>SUM($D$33:D1109)</f>
        <v>#VALUE!</v>
      </c>
      <c r="G1109" s="182">
        <f t="shared" ca="1" si="130"/>
        <v>0</v>
      </c>
      <c r="H1109" s="182" t="e">
        <f t="shared" si="131"/>
        <v>#VALUE!</v>
      </c>
      <c r="I1109" s="183" t="e">
        <f t="shared" si="132"/>
        <v>#VALUE!</v>
      </c>
    </row>
    <row r="1110" spans="1:9" x14ac:dyDescent="0.25">
      <c r="A1110" s="180">
        <f t="shared" ca="1" si="126"/>
        <v>47182</v>
      </c>
      <c r="B1110" s="181">
        <v>1078</v>
      </c>
      <c r="C1110" s="182" t="e">
        <f t="shared" si="127"/>
        <v>#VALUE!</v>
      </c>
      <c r="D1110" s="182" t="e">
        <f t="shared" si="128"/>
        <v>#VALUE!</v>
      </c>
      <c r="E1110" s="182" t="e">
        <f t="shared" si="129"/>
        <v>#VALUE!</v>
      </c>
      <c r="F1110" s="182" t="e">
        <f>SUM($D$33:D1110)</f>
        <v>#VALUE!</v>
      </c>
      <c r="G1110" s="182">
        <f t="shared" ca="1" si="130"/>
        <v>0</v>
      </c>
      <c r="H1110" s="182" t="e">
        <f t="shared" si="131"/>
        <v>#VALUE!</v>
      </c>
      <c r="I1110" s="183" t="e">
        <f t="shared" si="132"/>
        <v>#VALUE!</v>
      </c>
    </row>
    <row r="1111" spans="1:9" x14ac:dyDescent="0.25">
      <c r="A1111" s="180">
        <f t="shared" ca="1" si="126"/>
        <v>47183</v>
      </c>
      <c r="B1111" s="181">
        <v>1079</v>
      </c>
      <c r="C1111" s="182" t="e">
        <f t="shared" si="127"/>
        <v>#VALUE!</v>
      </c>
      <c r="D1111" s="182" t="e">
        <f t="shared" si="128"/>
        <v>#VALUE!</v>
      </c>
      <c r="E1111" s="182" t="e">
        <f t="shared" si="129"/>
        <v>#VALUE!</v>
      </c>
      <c r="F1111" s="182" t="e">
        <f>SUM($D$33:D1111)</f>
        <v>#VALUE!</v>
      </c>
      <c r="G1111" s="182">
        <f t="shared" ca="1" si="130"/>
        <v>0</v>
      </c>
      <c r="H1111" s="182" t="e">
        <f t="shared" si="131"/>
        <v>#VALUE!</v>
      </c>
      <c r="I1111" s="183" t="e">
        <f t="shared" si="132"/>
        <v>#VALUE!</v>
      </c>
    </row>
    <row r="1112" spans="1:9" x14ac:dyDescent="0.25">
      <c r="A1112" s="180">
        <f t="shared" ca="1" si="126"/>
        <v>47184</v>
      </c>
      <c r="B1112" s="181">
        <v>1080</v>
      </c>
      <c r="C1112" s="182" t="e">
        <f t="shared" si="127"/>
        <v>#VALUE!</v>
      </c>
      <c r="D1112" s="182" t="e">
        <f t="shared" si="128"/>
        <v>#VALUE!</v>
      </c>
      <c r="E1112" s="182" t="e">
        <f t="shared" si="129"/>
        <v>#VALUE!</v>
      </c>
      <c r="F1112" s="182" t="e">
        <f>SUM($D$33:D1112)</f>
        <v>#VALUE!</v>
      </c>
      <c r="G1112" s="182">
        <f t="shared" ca="1" si="130"/>
        <v>0</v>
      </c>
      <c r="H1112" s="182" t="e">
        <f t="shared" si="131"/>
        <v>#VALUE!</v>
      </c>
      <c r="I1112" s="183" t="e">
        <f t="shared" si="132"/>
        <v>#VALUE!</v>
      </c>
    </row>
    <row r="1113" spans="1:9" x14ac:dyDescent="0.25">
      <c r="A1113" s="180">
        <f t="shared" ca="1" si="126"/>
        <v>47185</v>
      </c>
      <c r="B1113" s="181">
        <v>1081</v>
      </c>
      <c r="C1113" s="182" t="e">
        <f t="shared" si="127"/>
        <v>#VALUE!</v>
      </c>
      <c r="D1113" s="182" t="e">
        <f t="shared" si="128"/>
        <v>#VALUE!</v>
      </c>
      <c r="E1113" s="182" t="e">
        <f t="shared" si="129"/>
        <v>#VALUE!</v>
      </c>
      <c r="F1113" s="182" t="e">
        <f>SUM($D$33:D1113)</f>
        <v>#VALUE!</v>
      </c>
      <c r="G1113" s="182">
        <f t="shared" ca="1" si="130"/>
        <v>0</v>
      </c>
      <c r="H1113" s="182" t="e">
        <f t="shared" si="131"/>
        <v>#VALUE!</v>
      </c>
      <c r="I1113" s="183" t="e">
        <f t="shared" si="132"/>
        <v>#VALUE!</v>
      </c>
    </row>
    <row r="1114" spans="1:9" x14ac:dyDescent="0.25">
      <c r="A1114" s="180">
        <f t="shared" ca="1" si="126"/>
        <v>47186</v>
      </c>
      <c r="B1114" s="181">
        <v>1082</v>
      </c>
      <c r="C1114" s="182" t="e">
        <f t="shared" si="127"/>
        <v>#VALUE!</v>
      </c>
      <c r="D1114" s="182" t="e">
        <f t="shared" si="128"/>
        <v>#VALUE!</v>
      </c>
      <c r="E1114" s="182" t="e">
        <f t="shared" si="129"/>
        <v>#VALUE!</v>
      </c>
      <c r="F1114" s="182" t="e">
        <f>SUM($D$33:D1114)</f>
        <v>#VALUE!</v>
      </c>
      <c r="G1114" s="182">
        <f t="shared" ca="1" si="130"/>
        <v>0</v>
      </c>
      <c r="H1114" s="182" t="e">
        <f t="shared" si="131"/>
        <v>#VALUE!</v>
      </c>
      <c r="I1114" s="183" t="e">
        <f t="shared" si="132"/>
        <v>#VALUE!</v>
      </c>
    </row>
    <row r="1115" spans="1:9" x14ac:dyDescent="0.25">
      <c r="A1115" s="180">
        <f t="shared" ca="1" si="126"/>
        <v>47187</v>
      </c>
      <c r="B1115" s="181">
        <v>1083</v>
      </c>
      <c r="C1115" s="182" t="e">
        <f t="shared" si="127"/>
        <v>#VALUE!</v>
      </c>
      <c r="D1115" s="182" t="e">
        <f t="shared" si="128"/>
        <v>#VALUE!</v>
      </c>
      <c r="E1115" s="182" t="e">
        <f t="shared" si="129"/>
        <v>#VALUE!</v>
      </c>
      <c r="F1115" s="182" t="e">
        <f>SUM($D$33:D1115)</f>
        <v>#VALUE!</v>
      </c>
      <c r="G1115" s="182">
        <f t="shared" ca="1" si="130"/>
        <v>0</v>
      </c>
      <c r="H1115" s="182" t="e">
        <f t="shared" si="131"/>
        <v>#VALUE!</v>
      </c>
      <c r="I1115" s="183" t="e">
        <f t="shared" si="132"/>
        <v>#VALUE!</v>
      </c>
    </row>
    <row r="1116" spans="1:9" x14ac:dyDescent="0.25">
      <c r="A1116" s="180">
        <f t="shared" ca="1" si="126"/>
        <v>47188</v>
      </c>
      <c r="B1116" s="181">
        <v>1084</v>
      </c>
      <c r="C1116" s="182" t="e">
        <f t="shared" si="127"/>
        <v>#VALUE!</v>
      </c>
      <c r="D1116" s="182" t="e">
        <f t="shared" si="128"/>
        <v>#VALUE!</v>
      </c>
      <c r="E1116" s="182" t="e">
        <f t="shared" si="129"/>
        <v>#VALUE!</v>
      </c>
      <c r="F1116" s="182" t="e">
        <f>SUM($D$33:D1116)</f>
        <v>#VALUE!</v>
      </c>
      <c r="G1116" s="182">
        <f t="shared" ca="1" si="130"/>
        <v>0</v>
      </c>
      <c r="H1116" s="182" t="e">
        <f t="shared" si="131"/>
        <v>#VALUE!</v>
      </c>
      <c r="I1116" s="183" t="e">
        <f t="shared" si="132"/>
        <v>#VALUE!</v>
      </c>
    </row>
    <row r="1117" spans="1:9" x14ac:dyDescent="0.25">
      <c r="A1117" s="180">
        <f t="shared" ca="1" si="126"/>
        <v>47189</v>
      </c>
      <c r="B1117" s="181">
        <v>1085</v>
      </c>
      <c r="C1117" s="182" t="e">
        <f t="shared" si="127"/>
        <v>#VALUE!</v>
      </c>
      <c r="D1117" s="182" t="e">
        <f t="shared" si="128"/>
        <v>#VALUE!</v>
      </c>
      <c r="E1117" s="182" t="e">
        <f t="shared" si="129"/>
        <v>#VALUE!</v>
      </c>
      <c r="F1117" s="182" t="e">
        <f>SUM($D$33:D1117)</f>
        <v>#VALUE!</v>
      </c>
      <c r="G1117" s="182">
        <f t="shared" ca="1" si="130"/>
        <v>0</v>
      </c>
      <c r="H1117" s="182" t="e">
        <f t="shared" si="131"/>
        <v>#VALUE!</v>
      </c>
      <c r="I1117" s="183" t="e">
        <f t="shared" si="132"/>
        <v>#VALUE!</v>
      </c>
    </row>
    <row r="1118" spans="1:9" x14ac:dyDescent="0.25">
      <c r="A1118" s="180">
        <f t="shared" ca="1" si="126"/>
        <v>47190</v>
      </c>
      <c r="B1118" s="181">
        <v>1086</v>
      </c>
      <c r="C1118" s="182" t="e">
        <f t="shared" si="127"/>
        <v>#VALUE!</v>
      </c>
      <c r="D1118" s="182" t="e">
        <f t="shared" si="128"/>
        <v>#VALUE!</v>
      </c>
      <c r="E1118" s="182" t="e">
        <f t="shared" si="129"/>
        <v>#VALUE!</v>
      </c>
      <c r="F1118" s="182" t="e">
        <f>SUM($D$33:D1118)</f>
        <v>#VALUE!</v>
      </c>
      <c r="G1118" s="182">
        <f t="shared" ca="1" si="130"/>
        <v>0</v>
      </c>
      <c r="H1118" s="182" t="e">
        <f t="shared" si="131"/>
        <v>#VALUE!</v>
      </c>
      <c r="I1118" s="183" t="e">
        <f t="shared" si="132"/>
        <v>#VALUE!</v>
      </c>
    </row>
    <row r="1119" spans="1:9" x14ac:dyDescent="0.25">
      <c r="A1119" s="180">
        <f t="shared" ca="1" si="126"/>
        <v>47191</v>
      </c>
      <c r="B1119" s="181">
        <v>1087</v>
      </c>
      <c r="C1119" s="182" t="e">
        <f t="shared" si="127"/>
        <v>#VALUE!</v>
      </c>
      <c r="D1119" s="182" t="e">
        <f t="shared" si="128"/>
        <v>#VALUE!</v>
      </c>
      <c r="E1119" s="182" t="e">
        <f t="shared" si="129"/>
        <v>#VALUE!</v>
      </c>
      <c r="F1119" s="182" t="e">
        <f>SUM($D$33:D1119)</f>
        <v>#VALUE!</v>
      </c>
      <c r="G1119" s="182">
        <f t="shared" ca="1" si="130"/>
        <v>0</v>
      </c>
      <c r="H1119" s="182" t="e">
        <f t="shared" si="131"/>
        <v>#VALUE!</v>
      </c>
      <c r="I1119" s="183" t="e">
        <f t="shared" si="132"/>
        <v>#VALUE!</v>
      </c>
    </row>
    <row r="1120" spans="1:9" x14ac:dyDescent="0.25">
      <c r="A1120" s="180">
        <f t="shared" ca="1" si="126"/>
        <v>47192</v>
      </c>
      <c r="B1120" s="181">
        <v>1088</v>
      </c>
      <c r="C1120" s="182" t="e">
        <f t="shared" si="127"/>
        <v>#VALUE!</v>
      </c>
      <c r="D1120" s="182" t="e">
        <f t="shared" si="128"/>
        <v>#VALUE!</v>
      </c>
      <c r="E1120" s="182" t="e">
        <f t="shared" si="129"/>
        <v>#VALUE!</v>
      </c>
      <c r="F1120" s="182" t="e">
        <f>SUM($D$33:D1120)</f>
        <v>#VALUE!</v>
      </c>
      <c r="G1120" s="182">
        <f t="shared" ca="1" si="130"/>
        <v>0</v>
      </c>
      <c r="H1120" s="182" t="e">
        <f t="shared" si="131"/>
        <v>#VALUE!</v>
      </c>
      <c r="I1120" s="183" t="e">
        <f t="shared" si="132"/>
        <v>#VALUE!</v>
      </c>
    </row>
    <row r="1121" spans="1:9" x14ac:dyDescent="0.25">
      <c r="A1121" s="180">
        <f t="shared" ca="1" si="126"/>
        <v>47193</v>
      </c>
      <c r="B1121" s="181">
        <v>1089</v>
      </c>
      <c r="C1121" s="182" t="e">
        <f t="shared" si="127"/>
        <v>#VALUE!</v>
      </c>
      <c r="D1121" s="182" t="e">
        <f t="shared" si="128"/>
        <v>#VALUE!</v>
      </c>
      <c r="E1121" s="182" t="e">
        <f t="shared" si="129"/>
        <v>#VALUE!</v>
      </c>
      <c r="F1121" s="182" t="e">
        <f>SUM($D$33:D1121)</f>
        <v>#VALUE!</v>
      </c>
      <c r="G1121" s="182">
        <f t="shared" ca="1" si="130"/>
        <v>0</v>
      </c>
      <c r="H1121" s="182" t="e">
        <f t="shared" si="131"/>
        <v>#VALUE!</v>
      </c>
      <c r="I1121" s="183" t="e">
        <f t="shared" si="132"/>
        <v>#VALUE!</v>
      </c>
    </row>
    <row r="1122" spans="1:9" x14ac:dyDescent="0.25">
      <c r="A1122" s="180">
        <f t="shared" ref="A1122:A1185" ca="1" si="133">A1121+1</f>
        <v>47194</v>
      </c>
      <c r="B1122" s="181">
        <v>1090</v>
      </c>
      <c r="C1122" s="182" t="e">
        <f t="shared" si="127"/>
        <v>#VALUE!</v>
      </c>
      <c r="D1122" s="182" t="e">
        <f t="shared" si="128"/>
        <v>#VALUE!</v>
      </c>
      <c r="E1122" s="182" t="e">
        <f t="shared" si="129"/>
        <v>#VALUE!</v>
      </c>
      <c r="F1122" s="182" t="e">
        <f>SUM($D$33:D1122)</f>
        <v>#VALUE!</v>
      </c>
      <c r="G1122" s="182">
        <f t="shared" ca="1" si="130"/>
        <v>0</v>
      </c>
      <c r="H1122" s="182" t="e">
        <f t="shared" si="131"/>
        <v>#VALUE!</v>
      </c>
      <c r="I1122" s="183" t="e">
        <f t="shared" si="132"/>
        <v>#VALUE!</v>
      </c>
    </row>
    <row r="1123" spans="1:9" x14ac:dyDescent="0.25">
      <c r="A1123" s="180">
        <f t="shared" ca="1" si="133"/>
        <v>47195</v>
      </c>
      <c r="B1123" s="181">
        <v>1091</v>
      </c>
      <c r="C1123" s="182" t="e">
        <f t="shared" si="127"/>
        <v>#VALUE!</v>
      </c>
      <c r="D1123" s="182" t="e">
        <f t="shared" si="128"/>
        <v>#VALUE!</v>
      </c>
      <c r="E1123" s="182" t="e">
        <f t="shared" si="129"/>
        <v>#VALUE!</v>
      </c>
      <c r="F1123" s="182" t="e">
        <f>SUM($D$33:D1123)</f>
        <v>#VALUE!</v>
      </c>
      <c r="G1123" s="182">
        <f t="shared" ca="1" si="130"/>
        <v>0</v>
      </c>
      <c r="H1123" s="182" t="e">
        <f t="shared" si="131"/>
        <v>#VALUE!</v>
      </c>
      <c r="I1123" s="183" t="e">
        <f t="shared" si="132"/>
        <v>#VALUE!</v>
      </c>
    </row>
    <row r="1124" spans="1:9" x14ac:dyDescent="0.25">
      <c r="A1124" s="180">
        <f t="shared" ca="1" si="133"/>
        <v>47196</v>
      </c>
      <c r="B1124" s="181">
        <v>1092</v>
      </c>
      <c r="C1124" s="182" t="e">
        <f t="shared" si="127"/>
        <v>#VALUE!</v>
      </c>
      <c r="D1124" s="182" t="e">
        <f t="shared" si="128"/>
        <v>#VALUE!</v>
      </c>
      <c r="E1124" s="182" t="e">
        <f t="shared" si="129"/>
        <v>#VALUE!</v>
      </c>
      <c r="F1124" s="182" t="e">
        <f>SUM($D$33:D1124)</f>
        <v>#VALUE!</v>
      </c>
      <c r="G1124" s="182">
        <f t="shared" ca="1" si="130"/>
        <v>0</v>
      </c>
      <c r="H1124" s="182" t="e">
        <f t="shared" si="131"/>
        <v>#VALUE!</v>
      </c>
      <c r="I1124" s="183" t="e">
        <f t="shared" si="132"/>
        <v>#VALUE!</v>
      </c>
    </row>
    <row r="1125" spans="1:9" x14ac:dyDescent="0.25">
      <c r="A1125" s="180">
        <f t="shared" ca="1" si="133"/>
        <v>47197</v>
      </c>
      <c r="B1125" s="181">
        <v>1093</v>
      </c>
      <c r="C1125" s="182" t="e">
        <f t="shared" si="127"/>
        <v>#VALUE!</v>
      </c>
      <c r="D1125" s="182" t="e">
        <f t="shared" si="128"/>
        <v>#VALUE!</v>
      </c>
      <c r="E1125" s="182" t="e">
        <f t="shared" si="129"/>
        <v>#VALUE!</v>
      </c>
      <c r="F1125" s="182" t="e">
        <f>SUM($D$33:D1125)</f>
        <v>#VALUE!</v>
      </c>
      <c r="G1125" s="182">
        <f t="shared" ca="1" si="130"/>
        <v>0</v>
      </c>
      <c r="H1125" s="182" t="e">
        <f t="shared" si="131"/>
        <v>#VALUE!</v>
      </c>
      <c r="I1125" s="183" t="e">
        <f t="shared" si="132"/>
        <v>#VALUE!</v>
      </c>
    </row>
    <row r="1126" spans="1:9" x14ac:dyDescent="0.25">
      <c r="A1126" s="180">
        <f t="shared" ca="1" si="133"/>
        <v>47198</v>
      </c>
      <c r="B1126" s="181">
        <v>1094</v>
      </c>
      <c r="C1126" s="182" t="e">
        <f t="shared" si="127"/>
        <v>#VALUE!</v>
      </c>
      <c r="D1126" s="182" t="e">
        <f t="shared" si="128"/>
        <v>#VALUE!</v>
      </c>
      <c r="E1126" s="182" t="e">
        <f t="shared" si="129"/>
        <v>#VALUE!</v>
      </c>
      <c r="F1126" s="182" t="e">
        <f>SUM($D$33:D1126)</f>
        <v>#VALUE!</v>
      </c>
      <c r="G1126" s="182">
        <f t="shared" ca="1" si="130"/>
        <v>0</v>
      </c>
      <c r="H1126" s="182" t="e">
        <f t="shared" si="131"/>
        <v>#VALUE!</v>
      </c>
      <c r="I1126" s="183" t="e">
        <f t="shared" si="132"/>
        <v>#VALUE!</v>
      </c>
    </row>
    <row r="1127" spans="1:9" x14ac:dyDescent="0.25">
      <c r="A1127" s="180">
        <f t="shared" ca="1" si="133"/>
        <v>47199</v>
      </c>
      <c r="B1127" s="181">
        <v>1095</v>
      </c>
      <c r="C1127" s="182" t="e">
        <f t="shared" si="127"/>
        <v>#VALUE!</v>
      </c>
      <c r="D1127" s="182" t="e">
        <f t="shared" si="128"/>
        <v>#VALUE!</v>
      </c>
      <c r="E1127" s="182" t="e">
        <f t="shared" si="129"/>
        <v>#VALUE!</v>
      </c>
      <c r="F1127" s="182" t="e">
        <f>SUM($D$33:D1127)</f>
        <v>#VALUE!</v>
      </c>
      <c r="G1127" s="182">
        <f t="shared" ca="1" si="130"/>
        <v>0</v>
      </c>
      <c r="H1127" s="182" t="e">
        <f t="shared" si="131"/>
        <v>#VALUE!</v>
      </c>
      <c r="I1127" s="183" t="e">
        <f t="shared" si="132"/>
        <v>#VALUE!</v>
      </c>
    </row>
    <row r="1128" spans="1:9" x14ac:dyDescent="0.25">
      <c r="A1128" s="180">
        <f t="shared" ca="1" si="133"/>
        <v>47200</v>
      </c>
      <c r="B1128" s="181">
        <v>1096</v>
      </c>
      <c r="C1128" s="182" t="e">
        <f t="shared" si="127"/>
        <v>#VALUE!</v>
      </c>
      <c r="D1128" s="182" t="e">
        <f t="shared" si="128"/>
        <v>#VALUE!</v>
      </c>
      <c r="E1128" s="182" t="e">
        <f t="shared" si="129"/>
        <v>#VALUE!</v>
      </c>
      <c r="F1128" s="182" t="e">
        <f>SUM($D$33:D1128)</f>
        <v>#VALUE!</v>
      </c>
      <c r="G1128" s="182">
        <f t="shared" ca="1" si="130"/>
        <v>0</v>
      </c>
      <c r="H1128" s="182" t="e">
        <f t="shared" si="131"/>
        <v>#VALUE!</v>
      </c>
      <c r="I1128" s="183" t="e">
        <f t="shared" si="132"/>
        <v>#VALUE!</v>
      </c>
    </row>
    <row r="1129" spans="1:9" x14ac:dyDescent="0.25">
      <c r="A1129" s="180">
        <f t="shared" ca="1" si="133"/>
        <v>47201</v>
      </c>
      <c r="B1129" s="181">
        <v>1097</v>
      </c>
      <c r="C1129" s="182" t="e">
        <f t="shared" si="127"/>
        <v>#VALUE!</v>
      </c>
      <c r="D1129" s="182" t="e">
        <f t="shared" si="128"/>
        <v>#VALUE!</v>
      </c>
      <c r="E1129" s="182" t="e">
        <f t="shared" si="129"/>
        <v>#VALUE!</v>
      </c>
      <c r="F1129" s="182" t="e">
        <f>SUM($D$33:D1129)</f>
        <v>#VALUE!</v>
      </c>
      <c r="G1129" s="182">
        <f t="shared" ca="1" si="130"/>
        <v>0</v>
      </c>
      <c r="H1129" s="182" t="e">
        <f t="shared" si="131"/>
        <v>#VALUE!</v>
      </c>
      <c r="I1129" s="183" t="e">
        <f t="shared" si="132"/>
        <v>#VALUE!</v>
      </c>
    </row>
    <row r="1130" spans="1:9" x14ac:dyDescent="0.25">
      <c r="A1130" s="180">
        <f t="shared" ca="1" si="133"/>
        <v>47202</v>
      </c>
      <c r="B1130" s="181">
        <v>1098</v>
      </c>
      <c r="C1130" s="182" t="e">
        <f t="shared" si="127"/>
        <v>#VALUE!</v>
      </c>
      <c r="D1130" s="182" t="e">
        <f t="shared" si="128"/>
        <v>#VALUE!</v>
      </c>
      <c r="E1130" s="182" t="e">
        <f t="shared" si="129"/>
        <v>#VALUE!</v>
      </c>
      <c r="F1130" s="182" t="e">
        <f>SUM($D$33:D1130)</f>
        <v>#VALUE!</v>
      </c>
      <c r="G1130" s="182">
        <f t="shared" ca="1" si="130"/>
        <v>0</v>
      </c>
      <c r="H1130" s="182" t="e">
        <f t="shared" si="131"/>
        <v>#VALUE!</v>
      </c>
      <c r="I1130" s="183" t="e">
        <f t="shared" si="132"/>
        <v>#VALUE!</v>
      </c>
    </row>
    <row r="1131" spans="1:9" x14ac:dyDescent="0.25">
      <c r="A1131" s="180">
        <f t="shared" ca="1" si="133"/>
        <v>47203</v>
      </c>
      <c r="B1131" s="181">
        <v>1099</v>
      </c>
      <c r="C1131" s="182" t="e">
        <f t="shared" si="127"/>
        <v>#VALUE!</v>
      </c>
      <c r="D1131" s="182" t="e">
        <f t="shared" si="128"/>
        <v>#VALUE!</v>
      </c>
      <c r="E1131" s="182" t="e">
        <f t="shared" si="129"/>
        <v>#VALUE!</v>
      </c>
      <c r="F1131" s="182" t="e">
        <f>SUM($D$33:D1131)</f>
        <v>#VALUE!</v>
      </c>
      <c r="G1131" s="182">
        <f t="shared" ca="1" si="130"/>
        <v>0</v>
      </c>
      <c r="H1131" s="182" t="e">
        <f t="shared" si="131"/>
        <v>#VALUE!</v>
      </c>
      <c r="I1131" s="183" t="e">
        <f t="shared" si="132"/>
        <v>#VALUE!</v>
      </c>
    </row>
    <row r="1132" spans="1:9" x14ac:dyDescent="0.25">
      <c r="A1132" s="180">
        <f t="shared" ca="1" si="133"/>
        <v>47204</v>
      </c>
      <c r="B1132" s="181">
        <v>1100</v>
      </c>
      <c r="C1132" s="182" t="e">
        <f t="shared" si="127"/>
        <v>#VALUE!</v>
      </c>
      <c r="D1132" s="182" t="e">
        <f t="shared" si="128"/>
        <v>#VALUE!</v>
      </c>
      <c r="E1132" s="182" t="e">
        <f t="shared" si="129"/>
        <v>#VALUE!</v>
      </c>
      <c r="F1132" s="182" t="e">
        <f>SUM($D$33:D1132)</f>
        <v>#VALUE!</v>
      </c>
      <c r="G1132" s="182">
        <f t="shared" ca="1" si="130"/>
        <v>0</v>
      </c>
      <c r="H1132" s="182" t="e">
        <f t="shared" si="131"/>
        <v>#VALUE!</v>
      </c>
      <c r="I1132" s="183" t="e">
        <f t="shared" si="132"/>
        <v>#VALUE!</v>
      </c>
    </row>
    <row r="1133" spans="1:9" x14ac:dyDescent="0.25">
      <c r="A1133" s="180">
        <f t="shared" ca="1" si="133"/>
        <v>47205</v>
      </c>
      <c r="B1133" s="181">
        <v>1101</v>
      </c>
      <c r="C1133" s="182" t="e">
        <f t="shared" si="127"/>
        <v>#VALUE!</v>
      </c>
      <c r="D1133" s="182" t="e">
        <f t="shared" si="128"/>
        <v>#VALUE!</v>
      </c>
      <c r="E1133" s="182" t="e">
        <f t="shared" si="129"/>
        <v>#VALUE!</v>
      </c>
      <c r="F1133" s="182" t="e">
        <f>SUM($D$33:D1133)</f>
        <v>#VALUE!</v>
      </c>
      <c r="G1133" s="182">
        <f t="shared" ca="1" si="130"/>
        <v>0</v>
      </c>
      <c r="H1133" s="182" t="e">
        <f t="shared" si="131"/>
        <v>#VALUE!</v>
      </c>
      <c r="I1133" s="183" t="e">
        <f t="shared" si="132"/>
        <v>#VALUE!</v>
      </c>
    </row>
    <row r="1134" spans="1:9" x14ac:dyDescent="0.25">
      <c r="A1134" s="180">
        <f t="shared" ca="1" si="133"/>
        <v>47206</v>
      </c>
      <c r="B1134" s="181">
        <v>1102</v>
      </c>
      <c r="C1134" s="182" t="e">
        <f t="shared" si="127"/>
        <v>#VALUE!</v>
      </c>
      <c r="D1134" s="182" t="e">
        <f t="shared" si="128"/>
        <v>#VALUE!</v>
      </c>
      <c r="E1134" s="182" t="e">
        <f t="shared" si="129"/>
        <v>#VALUE!</v>
      </c>
      <c r="F1134" s="182" t="e">
        <f>SUM($D$33:D1134)</f>
        <v>#VALUE!</v>
      </c>
      <c r="G1134" s="182">
        <f t="shared" ca="1" si="130"/>
        <v>0</v>
      </c>
      <c r="H1134" s="182" t="e">
        <f t="shared" si="131"/>
        <v>#VALUE!</v>
      </c>
      <c r="I1134" s="183" t="e">
        <f t="shared" si="132"/>
        <v>#VALUE!</v>
      </c>
    </row>
    <row r="1135" spans="1:9" x14ac:dyDescent="0.25">
      <c r="A1135" s="180">
        <f t="shared" ca="1" si="133"/>
        <v>47207</v>
      </c>
      <c r="B1135" s="181">
        <v>1103</v>
      </c>
      <c r="C1135" s="182" t="e">
        <f t="shared" si="127"/>
        <v>#VALUE!</v>
      </c>
      <c r="D1135" s="182" t="e">
        <f t="shared" si="128"/>
        <v>#VALUE!</v>
      </c>
      <c r="E1135" s="182" t="e">
        <f t="shared" si="129"/>
        <v>#VALUE!</v>
      </c>
      <c r="F1135" s="182" t="e">
        <f>SUM($D$33:D1135)</f>
        <v>#VALUE!</v>
      </c>
      <c r="G1135" s="182">
        <f t="shared" ca="1" si="130"/>
        <v>0</v>
      </c>
      <c r="H1135" s="182" t="e">
        <f t="shared" si="131"/>
        <v>#VALUE!</v>
      </c>
      <c r="I1135" s="183" t="e">
        <f t="shared" si="132"/>
        <v>#VALUE!</v>
      </c>
    </row>
    <row r="1136" spans="1:9" x14ac:dyDescent="0.25">
      <c r="A1136" s="180">
        <f t="shared" ca="1" si="133"/>
        <v>47208</v>
      </c>
      <c r="B1136" s="181">
        <v>1104</v>
      </c>
      <c r="C1136" s="182" t="e">
        <f t="shared" si="127"/>
        <v>#VALUE!</v>
      </c>
      <c r="D1136" s="182" t="e">
        <f t="shared" si="128"/>
        <v>#VALUE!</v>
      </c>
      <c r="E1136" s="182" t="e">
        <f t="shared" si="129"/>
        <v>#VALUE!</v>
      </c>
      <c r="F1136" s="182" t="e">
        <f>SUM($D$33:D1136)</f>
        <v>#VALUE!</v>
      </c>
      <c r="G1136" s="182">
        <f t="shared" ca="1" si="130"/>
        <v>0</v>
      </c>
      <c r="H1136" s="182" t="e">
        <f t="shared" si="131"/>
        <v>#VALUE!</v>
      </c>
      <c r="I1136" s="183" t="e">
        <f t="shared" si="132"/>
        <v>#VALUE!</v>
      </c>
    </row>
    <row r="1137" spans="1:9" x14ac:dyDescent="0.25">
      <c r="A1137" s="180">
        <f t="shared" ca="1" si="133"/>
        <v>47209</v>
      </c>
      <c r="B1137" s="181">
        <v>1105</v>
      </c>
      <c r="C1137" s="182" t="e">
        <f t="shared" si="127"/>
        <v>#VALUE!</v>
      </c>
      <c r="D1137" s="182" t="e">
        <f t="shared" si="128"/>
        <v>#VALUE!</v>
      </c>
      <c r="E1137" s="182" t="e">
        <f t="shared" si="129"/>
        <v>#VALUE!</v>
      </c>
      <c r="F1137" s="182" t="e">
        <f>SUM($D$33:D1137)</f>
        <v>#VALUE!</v>
      </c>
      <c r="G1137" s="182">
        <f t="shared" ca="1" si="130"/>
        <v>0</v>
      </c>
      <c r="H1137" s="182" t="e">
        <f t="shared" si="131"/>
        <v>#VALUE!</v>
      </c>
      <c r="I1137" s="183" t="e">
        <f t="shared" si="132"/>
        <v>#VALUE!</v>
      </c>
    </row>
    <row r="1138" spans="1:9" x14ac:dyDescent="0.25">
      <c r="A1138" s="180">
        <f t="shared" ca="1" si="133"/>
        <v>47210</v>
      </c>
      <c r="B1138" s="181">
        <v>1106</v>
      </c>
      <c r="C1138" s="182" t="e">
        <f t="shared" si="127"/>
        <v>#VALUE!</v>
      </c>
      <c r="D1138" s="182" t="e">
        <f t="shared" si="128"/>
        <v>#VALUE!</v>
      </c>
      <c r="E1138" s="182" t="e">
        <f t="shared" si="129"/>
        <v>#VALUE!</v>
      </c>
      <c r="F1138" s="182" t="e">
        <f>SUM($D$33:D1138)</f>
        <v>#VALUE!</v>
      </c>
      <c r="G1138" s="182">
        <f t="shared" ca="1" si="130"/>
        <v>0</v>
      </c>
      <c r="H1138" s="182" t="e">
        <f t="shared" si="131"/>
        <v>#VALUE!</v>
      </c>
      <c r="I1138" s="183" t="e">
        <f t="shared" si="132"/>
        <v>#VALUE!</v>
      </c>
    </row>
    <row r="1139" spans="1:9" x14ac:dyDescent="0.25">
      <c r="A1139" s="180">
        <f t="shared" ca="1" si="133"/>
        <v>47211</v>
      </c>
      <c r="B1139" s="181">
        <v>1107</v>
      </c>
      <c r="C1139" s="182" t="e">
        <f t="shared" si="127"/>
        <v>#VALUE!</v>
      </c>
      <c r="D1139" s="182" t="e">
        <f t="shared" si="128"/>
        <v>#VALUE!</v>
      </c>
      <c r="E1139" s="182" t="e">
        <f t="shared" si="129"/>
        <v>#VALUE!</v>
      </c>
      <c r="F1139" s="182" t="e">
        <f>SUM($D$33:D1139)</f>
        <v>#VALUE!</v>
      </c>
      <c r="G1139" s="182">
        <f t="shared" ca="1" si="130"/>
        <v>0</v>
      </c>
      <c r="H1139" s="182" t="e">
        <f t="shared" si="131"/>
        <v>#VALUE!</v>
      </c>
      <c r="I1139" s="183" t="e">
        <f t="shared" si="132"/>
        <v>#VALUE!</v>
      </c>
    </row>
    <row r="1140" spans="1:9" x14ac:dyDescent="0.25">
      <c r="A1140" s="180">
        <f t="shared" ca="1" si="133"/>
        <v>47212</v>
      </c>
      <c r="B1140" s="181">
        <v>1108</v>
      </c>
      <c r="C1140" s="182" t="e">
        <f t="shared" si="127"/>
        <v>#VALUE!</v>
      </c>
      <c r="D1140" s="182" t="e">
        <f t="shared" si="128"/>
        <v>#VALUE!</v>
      </c>
      <c r="E1140" s="182" t="e">
        <f t="shared" si="129"/>
        <v>#VALUE!</v>
      </c>
      <c r="F1140" s="182" t="e">
        <f>SUM($D$33:D1140)</f>
        <v>#VALUE!</v>
      </c>
      <c r="G1140" s="182">
        <f t="shared" ca="1" si="130"/>
        <v>0</v>
      </c>
      <c r="H1140" s="182" t="e">
        <f t="shared" si="131"/>
        <v>#VALUE!</v>
      </c>
      <c r="I1140" s="183" t="e">
        <f t="shared" si="132"/>
        <v>#VALUE!</v>
      </c>
    </row>
    <row r="1141" spans="1:9" x14ac:dyDescent="0.25">
      <c r="A1141" s="180">
        <f t="shared" ca="1" si="133"/>
        <v>47213</v>
      </c>
      <c r="B1141" s="181">
        <v>1109</v>
      </c>
      <c r="C1141" s="182" t="e">
        <f t="shared" si="127"/>
        <v>#VALUE!</v>
      </c>
      <c r="D1141" s="182" t="e">
        <f t="shared" si="128"/>
        <v>#VALUE!</v>
      </c>
      <c r="E1141" s="182" t="e">
        <f t="shared" si="129"/>
        <v>#VALUE!</v>
      </c>
      <c r="F1141" s="182" t="e">
        <f>SUM($D$33:D1141)</f>
        <v>#VALUE!</v>
      </c>
      <c r="G1141" s="182">
        <f t="shared" ca="1" si="130"/>
        <v>0</v>
      </c>
      <c r="H1141" s="182" t="e">
        <f t="shared" si="131"/>
        <v>#VALUE!</v>
      </c>
      <c r="I1141" s="183" t="e">
        <f t="shared" si="132"/>
        <v>#VALUE!</v>
      </c>
    </row>
    <row r="1142" spans="1:9" x14ac:dyDescent="0.25">
      <c r="A1142" s="180">
        <f t="shared" ca="1" si="133"/>
        <v>47214</v>
      </c>
      <c r="B1142" s="181">
        <v>1110</v>
      </c>
      <c r="C1142" s="182" t="e">
        <f t="shared" si="127"/>
        <v>#VALUE!</v>
      </c>
      <c r="D1142" s="182" t="e">
        <f t="shared" si="128"/>
        <v>#VALUE!</v>
      </c>
      <c r="E1142" s="182" t="e">
        <f t="shared" si="129"/>
        <v>#VALUE!</v>
      </c>
      <c r="F1142" s="182" t="e">
        <f>SUM($D$33:D1142)</f>
        <v>#VALUE!</v>
      </c>
      <c r="G1142" s="182">
        <f t="shared" ca="1" si="130"/>
        <v>0</v>
      </c>
      <c r="H1142" s="182" t="e">
        <f t="shared" si="131"/>
        <v>#VALUE!</v>
      </c>
      <c r="I1142" s="183" t="e">
        <f t="shared" si="132"/>
        <v>#VALUE!</v>
      </c>
    </row>
    <row r="1143" spans="1:9" x14ac:dyDescent="0.25">
      <c r="A1143" s="180">
        <f t="shared" ca="1" si="133"/>
        <v>47215</v>
      </c>
      <c r="B1143" s="181">
        <v>1111</v>
      </c>
      <c r="C1143" s="182" t="e">
        <f t="shared" si="127"/>
        <v>#VALUE!</v>
      </c>
      <c r="D1143" s="182" t="e">
        <f t="shared" si="128"/>
        <v>#VALUE!</v>
      </c>
      <c r="E1143" s="182" t="e">
        <f t="shared" si="129"/>
        <v>#VALUE!</v>
      </c>
      <c r="F1143" s="182" t="e">
        <f>SUM($D$33:D1143)</f>
        <v>#VALUE!</v>
      </c>
      <c r="G1143" s="182">
        <f t="shared" ca="1" si="130"/>
        <v>0</v>
      </c>
      <c r="H1143" s="182" t="e">
        <f t="shared" si="131"/>
        <v>#VALUE!</v>
      </c>
      <c r="I1143" s="183" t="e">
        <f t="shared" si="132"/>
        <v>#VALUE!</v>
      </c>
    </row>
    <row r="1144" spans="1:9" x14ac:dyDescent="0.25">
      <c r="A1144" s="180">
        <f t="shared" ca="1" si="133"/>
        <v>47216</v>
      </c>
      <c r="B1144" s="181">
        <v>1112</v>
      </c>
      <c r="C1144" s="182" t="e">
        <f t="shared" si="127"/>
        <v>#VALUE!</v>
      </c>
      <c r="D1144" s="182" t="e">
        <f t="shared" si="128"/>
        <v>#VALUE!</v>
      </c>
      <c r="E1144" s="182" t="e">
        <f t="shared" si="129"/>
        <v>#VALUE!</v>
      </c>
      <c r="F1144" s="182" t="e">
        <f>SUM($D$33:D1144)</f>
        <v>#VALUE!</v>
      </c>
      <c r="G1144" s="182">
        <f t="shared" ca="1" si="130"/>
        <v>0</v>
      </c>
      <c r="H1144" s="182" t="e">
        <f t="shared" si="131"/>
        <v>#VALUE!</v>
      </c>
      <c r="I1144" s="183" t="e">
        <f t="shared" si="132"/>
        <v>#VALUE!</v>
      </c>
    </row>
    <row r="1145" spans="1:9" x14ac:dyDescent="0.25">
      <c r="A1145" s="180">
        <f t="shared" ca="1" si="133"/>
        <v>47217</v>
      </c>
      <c r="B1145" s="181">
        <v>1113</v>
      </c>
      <c r="C1145" s="182" t="e">
        <f t="shared" si="127"/>
        <v>#VALUE!</v>
      </c>
      <c r="D1145" s="182" t="e">
        <f t="shared" si="128"/>
        <v>#VALUE!</v>
      </c>
      <c r="E1145" s="182" t="e">
        <f t="shared" si="129"/>
        <v>#VALUE!</v>
      </c>
      <c r="F1145" s="182" t="e">
        <f>SUM($D$33:D1145)</f>
        <v>#VALUE!</v>
      </c>
      <c r="G1145" s="182">
        <f t="shared" ca="1" si="130"/>
        <v>0</v>
      </c>
      <c r="H1145" s="182" t="e">
        <f t="shared" si="131"/>
        <v>#VALUE!</v>
      </c>
      <c r="I1145" s="183" t="e">
        <f t="shared" si="132"/>
        <v>#VALUE!</v>
      </c>
    </row>
    <row r="1146" spans="1:9" x14ac:dyDescent="0.25">
      <c r="A1146" s="180">
        <f t="shared" ca="1" si="133"/>
        <v>47218</v>
      </c>
      <c r="B1146" s="181">
        <v>1114</v>
      </c>
      <c r="C1146" s="182" t="e">
        <f t="shared" si="127"/>
        <v>#VALUE!</v>
      </c>
      <c r="D1146" s="182" t="e">
        <f t="shared" si="128"/>
        <v>#VALUE!</v>
      </c>
      <c r="E1146" s="182" t="e">
        <f t="shared" si="129"/>
        <v>#VALUE!</v>
      </c>
      <c r="F1146" s="182" t="e">
        <f>SUM($D$33:D1146)</f>
        <v>#VALUE!</v>
      </c>
      <c r="G1146" s="182">
        <f t="shared" ca="1" si="130"/>
        <v>0</v>
      </c>
      <c r="H1146" s="182" t="e">
        <f t="shared" si="131"/>
        <v>#VALUE!</v>
      </c>
      <c r="I1146" s="183" t="e">
        <f t="shared" si="132"/>
        <v>#VALUE!</v>
      </c>
    </row>
    <row r="1147" spans="1:9" x14ac:dyDescent="0.25">
      <c r="A1147" s="180">
        <f t="shared" ca="1" si="133"/>
        <v>47219</v>
      </c>
      <c r="B1147" s="181">
        <v>1115</v>
      </c>
      <c r="C1147" s="182" t="e">
        <f t="shared" si="127"/>
        <v>#VALUE!</v>
      </c>
      <c r="D1147" s="182" t="e">
        <f t="shared" si="128"/>
        <v>#VALUE!</v>
      </c>
      <c r="E1147" s="182" t="e">
        <f t="shared" si="129"/>
        <v>#VALUE!</v>
      </c>
      <c r="F1147" s="182" t="e">
        <f>SUM($D$33:D1147)</f>
        <v>#VALUE!</v>
      </c>
      <c r="G1147" s="182">
        <f t="shared" ca="1" si="130"/>
        <v>0</v>
      </c>
      <c r="H1147" s="182" t="e">
        <f t="shared" si="131"/>
        <v>#VALUE!</v>
      </c>
      <c r="I1147" s="183" t="e">
        <f t="shared" si="132"/>
        <v>#VALUE!</v>
      </c>
    </row>
    <row r="1148" spans="1:9" x14ac:dyDescent="0.25">
      <c r="A1148" s="180">
        <f t="shared" ca="1" si="133"/>
        <v>47220</v>
      </c>
      <c r="B1148" s="181">
        <v>1116</v>
      </c>
      <c r="C1148" s="182" t="e">
        <f t="shared" si="127"/>
        <v>#VALUE!</v>
      </c>
      <c r="D1148" s="182" t="e">
        <f t="shared" si="128"/>
        <v>#VALUE!</v>
      </c>
      <c r="E1148" s="182" t="e">
        <f t="shared" si="129"/>
        <v>#VALUE!</v>
      </c>
      <c r="F1148" s="182" t="e">
        <f>SUM($D$33:D1148)</f>
        <v>#VALUE!</v>
      </c>
      <c r="G1148" s="182">
        <f t="shared" ca="1" si="130"/>
        <v>0</v>
      </c>
      <c r="H1148" s="182" t="e">
        <f t="shared" si="131"/>
        <v>#VALUE!</v>
      </c>
      <c r="I1148" s="183" t="e">
        <f t="shared" si="132"/>
        <v>#VALUE!</v>
      </c>
    </row>
    <row r="1149" spans="1:9" x14ac:dyDescent="0.25">
      <c r="A1149" s="180">
        <f t="shared" ca="1" si="133"/>
        <v>47221</v>
      </c>
      <c r="B1149" s="181">
        <v>1117</v>
      </c>
      <c r="C1149" s="182" t="e">
        <f t="shared" si="127"/>
        <v>#VALUE!</v>
      </c>
      <c r="D1149" s="182" t="e">
        <f t="shared" si="128"/>
        <v>#VALUE!</v>
      </c>
      <c r="E1149" s="182" t="e">
        <f t="shared" si="129"/>
        <v>#VALUE!</v>
      </c>
      <c r="F1149" s="182" t="e">
        <f>SUM($D$33:D1149)</f>
        <v>#VALUE!</v>
      </c>
      <c r="G1149" s="182">
        <f t="shared" ca="1" si="130"/>
        <v>0</v>
      </c>
      <c r="H1149" s="182" t="e">
        <f t="shared" si="131"/>
        <v>#VALUE!</v>
      </c>
      <c r="I1149" s="183" t="e">
        <f t="shared" si="132"/>
        <v>#VALUE!</v>
      </c>
    </row>
    <row r="1150" spans="1:9" x14ac:dyDescent="0.25">
      <c r="A1150" s="180">
        <f t="shared" ca="1" si="133"/>
        <v>47222</v>
      </c>
      <c r="B1150" s="181">
        <v>1118</v>
      </c>
      <c r="C1150" s="182" t="e">
        <f t="shared" si="127"/>
        <v>#VALUE!</v>
      </c>
      <c r="D1150" s="182" t="e">
        <f t="shared" si="128"/>
        <v>#VALUE!</v>
      </c>
      <c r="E1150" s="182" t="e">
        <f t="shared" si="129"/>
        <v>#VALUE!</v>
      </c>
      <c r="F1150" s="182" t="e">
        <f>SUM($D$33:D1150)</f>
        <v>#VALUE!</v>
      </c>
      <c r="G1150" s="182">
        <f t="shared" ca="1" si="130"/>
        <v>0</v>
      </c>
      <c r="H1150" s="182" t="e">
        <f t="shared" si="131"/>
        <v>#VALUE!</v>
      </c>
      <c r="I1150" s="183" t="e">
        <f t="shared" si="132"/>
        <v>#VALUE!</v>
      </c>
    </row>
    <row r="1151" spans="1:9" x14ac:dyDescent="0.25">
      <c r="A1151" s="180">
        <f t="shared" ca="1" si="133"/>
        <v>47223</v>
      </c>
      <c r="B1151" s="181">
        <v>1119</v>
      </c>
      <c r="C1151" s="182" t="e">
        <f t="shared" si="127"/>
        <v>#VALUE!</v>
      </c>
      <c r="D1151" s="182" t="e">
        <f t="shared" si="128"/>
        <v>#VALUE!</v>
      </c>
      <c r="E1151" s="182" t="e">
        <f t="shared" si="129"/>
        <v>#VALUE!</v>
      </c>
      <c r="F1151" s="182" t="e">
        <f>SUM($D$33:D1151)</f>
        <v>#VALUE!</v>
      </c>
      <c r="G1151" s="182">
        <f t="shared" ca="1" si="130"/>
        <v>0</v>
      </c>
      <c r="H1151" s="182" t="e">
        <f t="shared" si="131"/>
        <v>#VALUE!</v>
      </c>
      <c r="I1151" s="183" t="e">
        <f t="shared" si="132"/>
        <v>#VALUE!</v>
      </c>
    </row>
    <row r="1152" spans="1:9" x14ac:dyDescent="0.25">
      <c r="A1152" s="180">
        <f t="shared" ca="1" si="133"/>
        <v>47224</v>
      </c>
      <c r="B1152" s="181">
        <v>1120</v>
      </c>
      <c r="C1152" s="182" t="e">
        <f t="shared" si="127"/>
        <v>#VALUE!</v>
      </c>
      <c r="D1152" s="182" t="e">
        <f t="shared" si="128"/>
        <v>#VALUE!</v>
      </c>
      <c r="E1152" s="182" t="e">
        <f t="shared" si="129"/>
        <v>#VALUE!</v>
      </c>
      <c r="F1152" s="182" t="e">
        <f>SUM($D$33:D1152)</f>
        <v>#VALUE!</v>
      </c>
      <c r="G1152" s="182">
        <f t="shared" ca="1" si="130"/>
        <v>0</v>
      </c>
      <c r="H1152" s="182" t="e">
        <f t="shared" si="131"/>
        <v>#VALUE!</v>
      </c>
      <c r="I1152" s="183" t="e">
        <f t="shared" si="132"/>
        <v>#VALUE!</v>
      </c>
    </row>
    <row r="1153" spans="1:9" x14ac:dyDescent="0.25">
      <c r="A1153" s="180">
        <f t="shared" ca="1" si="133"/>
        <v>47225</v>
      </c>
      <c r="B1153" s="181">
        <v>1121</v>
      </c>
      <c r="C1153" s="182" t="e">
        <f t="shared" si="127"/>
        <v>#VALUE!</v>
      </c>
      <c r="D1153" s="182" t="e">
        <f t="shared" si="128"/>
        <v>#VALUE!</v>
      </c>
      <c r="E1153" s="182" t="e">
        <f t="shared" si="129"/>
        <v>#VALUE!</v>
      </c>
      <c r="F1153" s="182" t="e">
        <f>SUM($D$33:D1153)</f>
        <v>#VALUE!</v>
      </c>
      <c r="G1153" s="182">
        <f t="shared" ca="1" si="130"/>
        <v>0</v>
      </c>
      <c r="H1153" s="182" t="e">
        <f t="shared" si="131"/>
        <v>#VALUE!</v>
      </c>
      <c r="I1153" s="183" t="e">
        <f t="shared" si="132"/>
        <v>#VALUE!</v>
      </c>
    </row>
    <row r="1154" spans="1:9" x14ac:dyDescent="0.25">
      <c r="A1154" s="180">
        <f t="shared" ca="1" si="133"/>
        <v>47226</v>
      </c>
      <c r="B1154" s="181">
        <v>1122</v>
      </c>
      <c r="C1154" s="182" t="e">
        <f t="shared" si="127"/>
        <v>#VALUE!</v>
      </c>
      <c r="D1154" s="182" t="e">
        <f t="shared" si="128"/>
        <v>#VALUE!</v>
      </c>
      <c r="E1154" s="182" t="e">
        <f t="shared" si="129"/>
        <v>#VALUE!</v>
      </c>
      <c r="F1154" s="182" t="e">
        <f>SUM($D$33:D1154)</f>
        <v>#VALUE!</v>
      </c>
      <c r="G1154" s="182">
        <f t="shared" ca="1" si="130"/>
        <v>0</v>
      </c>
      <c r="H1154" s="182" t="e">
        <f t="shared" si="131"/>
        <v>#VALUE!</v>
      </c>
      <c r="I1154" s="183" t="e">
        <f t="shared" si="132"/>
        <v>#VALUE!</v>
      </c>
    </row>
    <row r="1155" spans="1:9" x14ac:dyDescent="0.25">
      <c r="A1155" s="180">
        <f t="shared" ca="1" si="133"/>
        <v>47227</v>
      </c>
      <c r="B1155" s="181">
        <v>1123</v>
      </c>
      <c r="C1155" s="182" t="e">
        <f t="shared" si="127"/>
        <v>#VALUE!</v>
      </c>
      <c r="D1155" s="182" t="e">
        <f t="shared" si="128"/>
        <v>#VALUE!</v>
      </c>
      <c r="E1155" s="182" t="e">
        <f t="shared" si="129"/>
        <v>#VALUE!</v>
      </c>
      <c r="F1155" s="182" t="e">
        <f>SUM($D$33:D1155)</f>
        <v>#VALUE!</v>
      </c>
      <c r="G1155" s="182">
        <f t="shared" ca="1" si="130"/>
        <v>0</v>
      </c>
      <c r="H1155" s="182" t="e">
        <f t="shared" si="131"/>
        <v>#VALUE!</v>
      </c>
      <c r="I1155" s="183" t="e">
        <f t="shared" si="132"/>
        <v>#VALUE!</v>
      </c>
    </row>
    <row r="1156" spans="1:9" x14ac:dyDescent="0.25">
      <c r="A1156" s="180">
        <f t="shared" ca="1" si="133"/>
        <v>47228</v>
      </c>
      <c r="B1156" s="181">
        <v>1124</v>
      </c>
      <c r="C1156" s="182" t="e">
        <f t="shared" si="127"/>
        <v>#VALUE!</v>
      </c>
      <c r="D1156" s="182" t="e">
        <f t="shared" si="128"/>
        <v>#VALUE!</v>
      </c>
      <c r="E1156" s="182" t="e">
        <f t="shared" si="129"/>
        <v>#VALUE!</v>
      </c>
      <c r="F1156" s="182" t="e">
        <f>SUM($D$33:D1156)</f>
        <v>#VALUE!</v>
      </c>
      <c r="G1156" s="182">
        <f t="shared" ca="1" si="130"/>
        <v>0</v>
      </c>
      <c r="H1156" s="182" t="e">
        <f t="shared" si="131"/>
        <v>#VALUE!</v>
      </c>
      <c r="I1156" s="183" t="e">
        <f t="shared" si="132"/>
        <v>#VALUE!</v>
      </c>
    </row>
    <row r="1157" spans="1:9" x14ac:dyDescent="0.25">
      <c r="A1157" s="180">
        <f t="shared" ca="1" si="133"/>
        <v>47229</v>
      </c>
      <c r="B1157" s="181">
        <v>1125</v>
      </c>
      <c r="C1157" s="182" t="e">
        <f t="shared" si="127"/>
        <v>#VALUE!</v>
      </c>
      <c r="D1157" s="182" t="e">
        <f t="shared" si="128"/>
        <v>#VALUE!</v>
      </c>
      <c r="E1157" s="182" t="e">
        <f t="shared" si="129"/>
        <v>#VALUE!</v>
      </c>
      <c r="F1157" s="182" t="e">
        <f>SUM($D$33:D1157)</f>
        <v>#VALUE!</v>
      </c>
      <c r="G1157" s="182">
        <f t="shared" ca="1" si="130"/>
        <v>0</v>
      </c>
      <c r="H1157" s="182" t="e">
        <f t="shared" si="131"/>
        <v>#VALUE!</v>
      </c>
      <c r="I1157" s="183" t="e">
        <f t="shared" si="132"/>
        <v>#VALUE!</v>
      </c>
    </row>
    <row r="1158" spans="1:9" x14ac:dyDescent="0.25">
      <c r="A1158" s="180">
        <f t="shared" ca="1" si="133"/>
        <v>47230</v>
      </c>
      <c r="B1158" s="181">
        <v>1126</v>
      </c>
      <c r="C1158" s="182" t="e">
        <f t="shared" si="127"/>
        <v>#VALUE!</v>
      </c>
      <c r="D1158" s="182" t="e">
        <f t="shared" si="128"/>
        <v>#VALUE!</v>
      </c>
      <c r="E1158" s="182" t="e">
        <f t="shared" si="129"/>
        <v>#VALUE!</v>
      </c>
      <c r="F1158" s="182" t="e">
        <f>SUM($D$33:D1158)</f>
        <v>#VALUE!</v>
      </c>
      <c r="G1158" s="182">
        <f t="shared" ca="1" si="130"/>
        <v>0</v>
      </c>
      <c r="H1158" s="182" t="e">
        <f t="shared" si="131"/>
        <v>#VALUE!</v>
      </c>
      <c r="I1158" s="183" t="e">
        <f t="shared" si="132"/>
        <v>#VALUE!</v>
      </c>
    </row>
    <row r="1159" spans="1:9" x14ac:dyDescent="0.25">
      <c r="A1159" s="180">
        <f t="shared" ca="1" si="133"/>
        <v>47231</v>
      </c>
      <c r="B1159" s="181">
        <v>1127</v>
      </c>
      <c r="C1159" s="182" t="e">
        <f t="shared" si="127"/>
        <v>#VALUE!</v>
      </c>
      <c r="D1159" s="182" t="e">
        <f t="shared" si="128"/>
        <v>#VALUE!</v>
      </c>
      <c r="E1159" s="182" t="e">
        <f t="shared" si="129"/>
        <v>#VALUE!</v>
      </c>
      <c r="F1159" s="182" t="e">
        <f>SUM($D$33:D1159)</f>
        <v>#VALUE!</v>
      </c>
      <c r="G1159" s="182">
        <f t="shared" ca="1" si="130"/>
        <v>0</v>
      </c>
      <c r="H1159" s="182" t="e">
        <f t="shared" si="131"/>
        <v>#VALUE!</v>
      </c>
      <c r="I1159" s="183" t="e">
        <f t="shared" si="132"/>
        <v>#VALUE!</v>
      </c>
    </row>
    <row r="1160" spans="1:9" x14ac:dyDescent="0.25">
      <c r="A1160" s="180">
        <f t="shared" ca="1" si="133"/>
        <v>47232</v>
      </c>
      <c r="B1160" s="181">
        <v>1128</v>
      </c>
      <c r="C1160" s="182" t="e">
        <f t="shared" si="127"/>
        <v>#VALUE!</v>
      </c>
      <c r="D1160" s="182" t="e">
        <f t="shared" si="128"/>
        <v>#VALUE!</v>
      </c>
      <c r="E1160" s="182" t="e">
        <f t="shared" si="129"/>
        <v>#VALUE!</v>
      </c>
      <c r="F1160" s="182" t="e">
        <f>SUM($D$33:D1160)</f>
        <v>#VALUE!</v>
      </c>
      <c r="G1160" s="182">
        <f t="shared" ca="1" si="130"/>
        <v>0</v>
      </c>
      <c r="H1160" s="182" t="e">
        <f t="shared" si="131"/>
        <v>#VALUE!</v>
      </c>
      <c r="I1160" s="183" t="e">
        <f t="shared" si="132"/>
        <v>#VALUE!</v>
      </c>
    </row>
    <row r="1161" spans="1:9" x14ac:dyDescent="0.25">
      <c r="A1161" s="180">
        <f t="shared" ca="1" si="133"/>
        <v>47233</v>
      </c>
      <c r="B1161" s="181">
        <v>1129</v>
      </c>
      <c r="C1161" s="182" t="e">
        <f t="shared" si="127"/>
        <v>#VALUE!</v>
      </c>
      <c r="D1161" s="182" t="e">
        <f t="shared" si="128"/>
        <v>#VALUE!</v>
      </c>
      <c r="E1161" s="182" t="e">
        <f t="shared" si="129"/>
        <v>#VALUE!</v>
      </c>
      <c r="F1161" s="182" t="e">
        <f>SUM($D$33:D1161)</f>
        <v>#VALUE!</v>
      </c>
      <c r="G1161" s="182">
        <f t="shared" ca="1" si="130"/>
        <v>0</v>
      </c>
      <c r="H1161" s="182" t="e">
        <f t="shared" si="131"/>
        <v>#VALUE!</v>
      </c>
      <c r="I1161" s="183" t="e">
        <f t="shared" si="132"/>
        <v>#VALUE!</v>
      </c>
    </row>
    <row r="1162" spans="1:9" x14ac:dyDescent="0.25">
      <c r="A1162" s="180">
        <f t="shared" ca="1" si="133"/>
        <v>47234</v>
      </c>
      <c r="B1162" s="181">
        <v>1130</v>
      </c>
      <c r="C1162" s="182" t="e">
        <f t="shared" si="127"/>
        <v>#VALUE!</v>
      </c>
      <c r="D1162" s="182" t="e">
        <f t="shared" si="128"/>
        <v>#VALUE!</v>
      </c>
      <c r="E1162" s="182" t="e">
        <f t="shared" si="129"/>
        <v>#VALUE!</v>
      </c>
      <c r="F1162" s="182" t="e">
        <f>SUM($D$33:D1162)</f>
        <v>#VALUE!</v>
      </c>
      <c r="G1162" s="182">
        <f t="shared" ca="1" si="130"/>
        <v>0</v>
      </c>
      <c r="H1162" s="182" t="e">
        <f t="shared" si="131"/>
        <v>#VALUE!</v>
      </c>
      <c r="I1162" s="183" t="e">
        <f t="shared" si="132"/>
        <v>#VALUE!</v>
      </c>
    </row>
    <row r="1163" spans="1:9" x14ac:dyDescent="0.25">
      <c r="A1163" s="180">
        <f t="shared" ca="1" si="133"/>
        <v>47235</v>
      </c>
      <c r="B1163" s="181">
        <v>1131</v>
      </c>
      <c r="C1163" s="182" t="e">
        <f t="shared" si="127"/>
        <v>#VALUE!</v>
      </c>
      <c r="D1163" s="182" t="e">
        <f t="shared" si="128"/>
        <v>#VALUE!</v>
      </c>
      <c r="E1163" s="182" t="e">
        <f t="shared" si="129"/>
        <v>#VALUE!</v>
      </c>
      <c r="F1163" s="182" t="e">
        <f>SUM($D$33:D1163)</f>
        <v>#VALUE!</v>
      </c>
      <c r="G1163" s="182">
        <f t="shared" ca="1" si="130"/>
        <v>0</v>
      </c>
      <c r="H1163" s="182" t="e">
        <f t="shared" si="131"/>
        <v>#VALUE!</v>
      </c>
      <c r="I1163" s="183" t="e">
        <f t="shared" si="132"/>
        <v>#VALUE!</v>
      </c>
    </row>
    <row r="1164" spans="1:9" x14ac:dyDescent="0.25">
      <c r="A1164" s="180">
        <f t="shared" ca="1" si="133"/>
        <v>47236</v>
      </c>
      <c r="B1164" s="181">
        <v>1132</v>
      </c>
      <c r="C1164" s="182" t="e">
        <f t="shared" si="127"/>
        <v>#VALUE!</v>
      </c>
      <c r="D1164" s="182" t="e">
        <f t="shared" si="128"/>
        <v>#VALUE!</v>
      </c>
      <c r="E1164" s="182" t="e">
        <f t="shared" si="129"/>
        <v>#VALUE!</v>
      </c>
      <c r="F1164" s="182" t="e">
        <f>SUM($D$33:D1164)</f>
        <v>#VALUE!</v>
      </c>
      <c r="G1164" s="182">
        <f t="shared" ca="1" si="130"/>
        <v>0</v>
      </c>
      <c r="H1164" s="182" t="e">
        <f t="shared" si="131"/>
        <v>#VALUE!</v>
      </c>
      <c r="I1164" s="183" t="e">
        <f t="shared" si="132"/>
        <v>#VALUE!</v>
      </c>
    </row>
    <row r="1165" spans="1:9" x14ac:dyDescent="0.25">
      <c r="A1165" s="180">
        <f t="shared" ca="1" si="133"/>
        <v>47237</v>
      </c>
      <c r="B1165" s="181">
        <v>1133</v>
      </c>
      <c r="C1165" s="182" t="e">
        <f t="shared" si="127"/>
        <v>#VALUE!</v>
      </c>
      <c r="D1165" s="182" t="e">
        <f t="shared" si="128"/>
        <v>#VALUE!</v>
      </c>
      <c r="E1165" s="182" t="e">
        <f t="shared" si="129"/>
        <v>#VALUE!</v>
      </c>
      <c r="F1165" s="182" t="e">
        <f>SUM($D$33:D1165)</f>
        <v>#VALUE!</v>
      </c>
      <c r="G1165" s="182">
        <f t="shared" ca="1" si="130"/>
        <v>0</v>
      </c>
      <c r="H1165" s="182" t="e">
        <f t="shared" si="131"/>
        <v>#VALUE!</v>
      </c>
      <c r="I1165" s="183" t="e">
        <f t="shared" si="132"/>
        <v>#VALUE!</v>
      </c>
    </row>
    <row r="1166" spans="1:9" x14ac:dyDescent="0.25">
      <c r="A1166" s="180">
        <f t="shared" ca="1" si="133"/>
        <v>47238</v>
      </c>
      <c r="B1166" s="181">
        <v>1134</v>
      </c>
      <c r="C1166" s="182" t="e">
        <f t="shared" si="127"/>
        <v>#VALUE!</v>
      </c>
      <c r="D1166" s="182" t="e">
        <f t="shared" si="128"/>
        <v>#VALUE!</v>
      </c>
      <c r="E1166" s="182" t="e">
        <f t="shared" si="129"/>
        <v>#VALUE!</v>
      </c>
      <c r="F1166" s="182" t="e">
        <f>SUM($D$33:D1166)</f>
        <v>#VALUE!</v>
      </c>
      <c r="G1166" s="182">
        <f t="shared" ca="1" si="130"/>
        <v>0</v>
      </c>
      <c r="H1166" s="182" t="e">
        <f t="shared" si="131"/>
        <v>#VALUE!</v>
      </c>
      <c r="I1166" s="183" t="e">
        <f t="shared" si="132"/>
        <v>#VALUE!</v>
      </c>
    </row>
    <row r="1167" spans="1:9" x14ac:dyDescent="0.25">
      <c r="A1167" s="180">
        <f t="shared" ca="1" si="133"/>
        <v>47239</v>
      </c>
      <c r="B1167" s="181">
        <v>1135</v>
      </c>
      <c r="C1167" s="182" t="e">
        <f t="shared" si="127"/>
        <v>#VALUE!</v>
      </c>
      <c r="D1167" s="182" t="e">
        <f t="shared" si="128"/>
        <v>#VALUE!</v>
      </c>
      <c r="E1167" s="182" t="e">
        <f t="shared" si="129"/>
        <v>#VALUE!</v>
      </c>
      <c r="F1167" s="182" t="e">
        <f>SUM($D$33:D1167)</f>
        <v>#VALUE!</v>
      </c>
      <c r="G1167" s="182">
        <f t="shared" ca="1" si="130"/>
        <v>0</v>
      </c>
      <c r="H1167" s="182" t="e">
        <f t="shared" si="131"/>
        <v>#VALUE!</v>
      </c>
      <c r="I1167" s="183" t="e">
        <f t="shared" si="132"/>
        <v>#VALUE!</v>
      </c>
    </row>
    <row r="1168" spans="1:9" x14ac:dyDescent="0.25">
      <c r="A1168" s="180">
        <f t="shared" ca="1" si="133"/>
        <v>47240</v>
      </c>
      <c r="B1168" s="181">
        <v>1136</v>
      </c>
      <c r="C1168" s="182" t="e">
        <f t="shared" ref="C1168:C1231" si="134">H1167</f>
        <v>#VALUE!</v>
      </c>
      <c r="D1168" s="182" t="e">
        <f t="shared" ref="D1168:D1231" si="135">IF(C1168&gt;$H$21,C1168*($L$16/360),$H$21*($L$16/360))</f>
        <v>#VALUE!</v>
      </c>
      <c r="E1168" s="182" t="e">
        <f t="shared" ref="E1168:E1231" si="136">IF(E1167&gt;0,E1167-D1168,0)</f>
        <v>#VALUE!</v>
      </c>
      <c r="F1168" s="182" t="e">
        <f>SUM($D$33:D1168)</f>
        <v>#VALUE!</v>
      </c>
      <c r="G1168" s="182">
        <f t="shared" ref="G1168:G1231" ca="1" si="137">IFERROR(-VLOOKUP(A1168,$K$30:$M$36,2,FALSE),0)</f>
        <v>0</v>
      </c>
      <c r="H1168" s="182" t="e">
        <f t="shared" ref="H1168:H1231" si="138">IF(E1168&gt;0,C1168+G1168,IF(E1168&lt;0,C1168+G1168+D1168-E1167,C1168+D1168+G1168))</f>
        <v>#VALUE!</v>
      </c>
      <c r="I1168" s="183" t="e">
        <f t="shared" ref="I1168:I1231" si="139">(C1168+D1168-E1168)</f>
        <v>#VALUE!</v>
      </c>
    </row>
    <row r="1169" spans="1:9" x14ac:dyDescent="0.25">
      <c r="A1169" s="180">
        <f t="shared" ca="1" si="133"/>
        <v>47241</v>
      </c>
      <c r="B1169" s="181">
        <v>1137</v>
      </c>
      <c r="C1169" s="182" t="e">
        <f t="shared" si="134"/>
        <v>#VALUE!</v>
      </c>
      <c r="D1169" s="182" t="e">
        <f t="shared" si="135"/>
        <v>#VALUE!</v>
      </c>
      <c r="E1169" s="182" t="e">
        <f t="shared" si="136"/>
        <v>#VALUE!</v>
      </c>
      <c r="F1169" s="182" t="e">
        <f>SUM($D$33:D1169)</f>
        <v>#VALUE!</v>
      </c>
      <c r="G1169" s="182">
        <f t="shared" ca="1" si="137"/>
        <v>0</v>
      </c>
      <c r="H1169" s="182" t="e">
        <f t="shared" si="138"/>
        <v>#VALUE!</v>
      </c>
      <c r="I1169" s="183" t="e">
        <f t="shared" si="139"/>
        <v>#VALUE!</v>
      </c>
    </row>
    <row r="1170" spans="1:9" x14ac:dyDescent="0.25">
      <c r="A1170" s="180">
        <f t="shared" ca="1" si="133"/>
        <v>47242</v>
      </c>
      <c r="B1170" s="181">
        <v>1138</v>
      </c>
      <c r="C1170" s="182" t="e">
        <f t="shared" si="134"/>
        <v>#VALUE!</v>
      </c>
      <c r="D1170" s="182" t="e">
        <f t="shared" si="135"/>
        <v>#VALUE!</v>
      </c>
      <c r="E1170" s="182" t="e">
        <f t="shared" si="136"/>
        <v>#VALUE!</v>
      </c>
      <c r="F1170" s="182" t="e">
        <f>SUM($D$33:D1170)</f>
        <v>#VALUE!</v>
      </c>
      <c r="G1170" s="182">
        <f t="shared" ca="1" si="137"/>
        <v>0</v>
      </c>
      <c r="H1170" s="182" t="e">
        <f t="shared" si="138"/>
        <v>#VALUE!</v>
      </c>
      <c r="I1170" s="183" t="e">
        <f t="shared" si="139"/>
        <v>#VALUE!</v>
      </c>
    </row>
    <row r="1171" spans="1:9" x14ac:dyDescent="0.25">
      <c r="A1171" s="180">
        <f t="shared" ca="1" si="133"/>
        <v>47243</v>
      </c>
      <c r="B1171" s="181">
        <v>1139</v>
      </c>
      <c r="C1171" s="182" t="e">
        <f t="shared" si="134"/>
        <v>#VALUE!</v>
      </c>
      <c r="D1171" s="182" t="e">
        <f t="shared" si="135"/>
        <v>#VALUE!</v>
      </c>
      <c r="E1171" s="182" t="e">
        <f t="shared" si="136"/>
        <v>#VALUE!</v>
      </c>
      <c r="F1171" s="182" t="e">
        <f>SUM($D$33:D1171)</f>
        <v>#VALUE!</v>
      </c>
      <c r="G1171" s="182">
        <f t="shared" ca="1" si="137"/>
        <v>0</v>
      </c>
      <c r="H1171" s="182" t="e">
        <f t="shared" si="138"/>
        <v>#VALUE!</v>
      </c>
      <c r="I1171" s="183" t="e">
        <f t="shared" si="139"/>
        <v>#VALUE!</v>
      </c>
    </row>
    <row r="1172" spans="1:9" x14ac:dyDescent="0.25">
      <c r="A1172" s="180">
        <f t="shared" ca="1" si="133"/>
        <v>47244</v>
      </c>
      <c r="B1172" s="181">
        <v>1140</v>
      </c>
      <c r="C1172" s="182" t="e">
        <f t="shared" si="134"/>
        <v>#VALUE!</v>
      </c>
      <c r="D1172" s="182" t="e">
        <f t="shared" si="135"/>
        <v>#VALUE!</v>
      </c>
      <c r="E1172" s="182" t="e">
        <f t="shared" si="136"/>
        <v>#VALUE!</v>
      </c>
      <c r="F1172" s="182" t="e">
        <f>SUM($D$33:D1172)</f>
        <v>#VALUE!</v>
      </c>
      <c r="G1172" s="182">
        <f t="shared" ca="1" si="137"/>
        <v>0</v>
      </c>
      <c r="H1172" s="182" t="e">
        <f t="shared" si="138"/>
        <v>#VALUE!</v>
      </c>
      <c r="I1172" s="183" t="e">
        <f t="shared" si="139"/>
        <v>#VALUE!</v>
      </c>
    </row>
    <row r="1173" spans="1:9" x14ac:dyDescent="0.25">
      <c r="A1173" s="180">
        <f t="shared" ca="1" si="133"/>
        <v>47245</v>
      </c>
      <c r="B1173" s="181">
        <v>1141</v>
      </c>
      <c r="C1173" s="182" t="e">
        <f t="shared" si="134"/>
        <v>#VALUE!</v>
      </c>
      <c r="D1173" s="182" t="e">
        <f t="shared" si="135"/>
        <v>#VALUE!</v>
      </c>
      <c r="E1173" s="182" t="e">
        <f t="shared" si="136"/>
        <v>#VALUE!</v>
      </c>
      <c r="F1173" s="182" t="e">
        <f>SUM($D$33:D1173)</f>
        <v>#VALUE!</v>
      </c>
      <c r="G1173" s="182">
        <f t="shared" ca="1" si="137"/>
        <v>0</v>
      </c>
      <c r="H1173" s="182" t="e">
        <f t="shared" si="138"/>
        <v>#VALUE!</v>
      </c>
      <c r="I1173" s="183" t="e">
        <f t="shared" si="139"/>
        <v>#VALUE!</v>
      </c>
    </row>
    <row r="1174" spans="1:9" x14ac:dyDescent="0.25">
      <c r="A1174" s="180">
        <f t="shared" ca="1" si="133"/>
        <v>47246</v>
      </c>
      <c r="B1174" s="181">
        <v>1142</v>
      </c>
      <c r="C1174" s="182" t="e">
        <f t="shared" si="134"/>
        <v>#VALUE!</v>
      </c>
      <c r="D1174" s="182" t="e">
        <f t="shared" si="135"/>
        <v>#VALUE!</v>
      </c>
      <c r="E1174" s="182" t="e">
        <f t="shared" si="136"/>
        <v>#VALUE!</v>
      </c>
      <c r="F1174" s="182" t="e">
        <f>SUM($D$33:D1174)</f>
        <v>#VALUE!</v>
      </c>
      <c r="G1174" s="182">
        <f t="shared" ca="1" si="137"/>
        <v>0</v>
      </c>
      <c r="H1174" s="182" t="e">
        <f t="shared" si="138"/>
        <v>#VALUE!</v>
      </c>
      <c r="I1174" s="183" t="e">
        <f t="shared" si="139"/>
        <v>#VALUE!</v>
      </c>
    </row>
    <row r="1175" spans="1:9" x14ac:dyDescent="0.25">
      <c r="A1175" s="180">
        <f t="shared" ca="1" si="133"/>
        <v>47247</v>
      </c>
      <c r="B1175" s="181">
        <v>1143</v>
      </c>
      <c r="C1175" s="182" t="e">
        <f t="shared" si="134"/>
        <v>#VALUE!</v>
      </c>
      <c r="D1175" s="182" t="e">
        <f t="shared" si="135"/>
        <v>#VALUE!</v>
      </c>
      <c r="E1175" s="182" t="e">
        <f t="shared" si="136"/>
        <v>#VALUE!</v>
      </c>
      <c r="F1175" s="182" t="e">
        <f>SUM($D$33:D1175)</f>
        <v>#VALUE!</v>
      </c>
      <c r="G1175" s="182">
        <f t="shared" ca="1" si="137"/>
        <v>0</v>
      </c>
      <c r="H1175" s="182" t="e">
        <f t="shared" si="138"/>
        <v>#VALUE!</v>
      </c>
      <c r="I1175" s="183" t="e">
        <f t="shared" si="139"/>
        <v>#VALUE!</v>
      </c>
    </row>
    <row r="1176" spans="1:9" x14ac:dyDescent="0.25">
      <c r="A1176" s="180">
        <f t="shared" ca="1" si="133"/>
        <v>47248</v>
      </c>
      <c r="B1176" s="181">
        <v>1144</v>
      </c>
      <c r="C1176" s="182" t="e">
        <f t="shared" si="134"/>
        <v>#VALUE!</v>
      </c>
      <c r="D1176" s="182" t="e">
        <f t="shared" si="135"/>
        <v>#VALUE!</v>
      </c>
      <c r="E1176" s="182" t="e">
        <f t="shared" si="136"/>
        <v>#VALUE!</v>
      </c>
      <c r="F1176" s="182" t="e">
        <f>SUM($D$33:D1176)</f>
        <v>#VALUE!</v>
      </c>
      <c r="G1176" s="182">
        <f t="shared" ca="1" si="137"/>
        <v>0</v>
      </c>
      <c r="H1176" s="182" t="e">
        <f t="shared" si="138"/>
        <v>#VALUE!</v>
      </c>
      <c r="I1176" s="183" t="e">
        <f t="shared" si="139"/>
        <v>#VALUE!</v>
      </c>
    </row>
    <row r="1177" spans="1:9" x14ac:dyDescent="0.25">
      <c r="A1177" s="180">
        <f t="shared" ca="1" si="133"/>
        <v>47249</v>
      </c>
      <c r="B1177" s="181">
        <v>1145</v>
      </c>
      <c r="C1177" s="182" t="e">
        <f t="shared" si="134"/>
        <v>#VALUE!</v>
      </c>
      <c r="D1177" s="182" t="e">
        <f t="shared" si="135"/>
        <v>#VALUE!</v>
      </c>
      <c r="E1177" s="182" t="e">
        <f t="shared" si="136"/>
        <v>#VALUE!</v>
      </c>
      <c r="F1177" s="182" t="e">
        <f>SUM($D$33:D1177)</f>
        <v>#VALUE!</v>
      </c>
      <c r="G1177" s="182">
        <f t="shared" ca="1" si="137"/>
        <v>0</v>
      </c>
      <c r="H1177" s="182" t="e">
        <f t="shared" si="138"/>
        <v>#VALUE!</v>
      </c>
      <c r="I1177" s="183" t="e">
        <f t="shared" si="139"/>
        <v>#VALUE!</v>
      </c>
    </row>
    <row r="1178" spans="1:9" x14ac:dyDescent="0.25">
      <c r="A1178" s="180">
        <f t="shared" ca="1" si="133"/>
        <v>47250</v>
      </c>
      <c r="B1178" s="181">
        <v>1146</v>
      </c>
      <c r="C1178" s="182" t="e">
        <f t="shared" si="134"/>
        <v>#VALUE!</v>
      </c>
      <c r="D1178" s="182" t="e">
        <f t="shared" si="135"/>
        <v>#VALUE!</v>
      </c>
      <c r="E1178" s="182" t="e">
        <f t="shared" si="136"/>
        <v>#VALUE!</v>
      </c>
      <c r="F1178" s="182" t="e">
        <f>SUM($D$33:D1178)</f>
        <v>#VALUE!</v>
      </c>
      <c r="G1178" s="182">
        <f t="shared" ca="1" si="137"/>
        <v>0</v>
      </c>
      <c r="H1178" s="182" t="e">
        <f t="shared" si="138"/>
        <v>#VALUE!</v>
      </c>
      <c r="I1178" s="183" t="e">
        <f t="shared" si="139"/>
        <v>#VALUE!</v>
      </c>
    </row>
    <row r="1179" spans="1:9" x14ac:dyDescent="0.25">
      <c r="A1179" s="180">
        <f t="shared" ca="1" si="133"/>
        <v>47251</v>
      </c>
      <c r="B1179" s="181">
        <v>1147</v>
      </c>
      <c r="C1179" s="182" t="e">
        <f t="shared" si="134"/>
        <v>#VALUE!</v>
      </c>
      <c r="D1179" s="182" t="e">
        <f t="shared" si="135"/>
        <v>#VALUE!</v>
      </c>
      <c r="E1179" s="182" t="e">
        <f t="shared" si="136"/>
        <v>#VALUE!</v>
      </c>
      <c r="F1179" s="182" t="e">
        <f>SUM($D$33:D1179)</f>
        <v>#VALUE!</v>
      </c>
      <c r="G1179" s="182">
        <f t="shared" ca="1" si="137"/>
        <v>0</v>
      </c>
      <c r="H1179" s="182" t="e">
        <f t="shared" si="138"/>
        <v>#VALUE!</v>
      </c>
      <c r="I1179" s="183" t="e">
        <f t="shared" si="139"/>
        <v>#VALUE!</v>
      </c>
    </row>
    <row r="1180" spans="1:9" x14ac:dyDescent="0.25">
      <c r="A1180" s="180">
        <f t="shared" ca="1" si="133"/>
        <v>47252</v>
      </c>
      <c r="B1180" s="181">
        <v>1148</v>
      </c>
      <c r="C1180" s="182" t="e">
        <f t="shared" si="134"/>
        <v>#VALUE!</v>
      </c>
      <c r="D1180" s="182" t="e">
        <f t="shared" si="135"/>
        <v>#VALUE!</v>
      </c>
      <c r="E1180" s="182" t="e">
        <f t="shared" si="136"/>
        <v>#VALUE!</v>
      </c>
      <c r="F1180" s="182" t="e">
        <f>SUM($D$33:D1180)</f>
        <v>#VALUE!</v>
      </c>
      <c r="G1180" s="182">
        <f t="shared" ca="1" si="137"/>
        <v>0</v>
      </c>
      <c r="H1180" s="182" t="e">
        <f t="shared" si="138"/>
        <v>#VALUE!</v>
      </c>
      <c r="I1180" s="183" t="e">
        <f t="shared" si="139"/>
        <v>#VALUE!</v>
      </c>
    </row>
    <row r="1181" spans="1:9" x14ac:dyDescent="0.25">
      <c r="A1181" s="180">
        <f t="shared" ca="1" si="133"/>
        <v>47253</v>
      </c>
      <c r="B1181" s="181">
        <v>1149</v>
      </c>
      <c r="C1181" s="182" t="e">
        <f t="shared" si="134"/>
        <v>#VALUE!</v>
      </c>
      <c r="D1181" s="182" t="e">
        <f t="shared" si="135"/>
        <v>#VALUE!</v>
      </c>
      <c r="E1181" s="182" t="e">
        <f t="shared" si="136"/>
        <v>#VALUE!</v>
      </c>
      <c r="F1181" s="182" t="e">
        <f>SUM($D$33:D1181)</f>
        <v>#VALUE!</v>
      </c>
      <c r="G1181" s="182">
        <f t="shared" ca="1" si="137"/>
        <v>0</v>
      </c>
      <c r="H1181" s="182" t="e">
        <f t="shared" si="138"/>
        <v>#VALUE!</v>
      </c>
      <c r="I1181" s="183" t="e">
        <f t="shared" si="139"/>
        <v>#VALUE!</v>
      </c>
    </row>
    <row r="1182" spans="1:9" x14ac:dyDescent="0.25">
      <c r="A1182" s="180">
        <f t="shared" ca="1" si="133"/>
        <v>47254</v>
      </c>
      <c r="B1182" s="181">
        <v>1150</v>
      </c>
      <c r="C1182" s="182" t="e">
        <f t="shared" si="134"/>
        <v>#VALUE!</v>
      </c>
      <c r="D1182" s="182" t="e">
        <f t="shared" si="135"/>
        <v>#VALUE!</v>
      </c>
      <c r="E1182" s="182" t="e">
        <f t="shared" si="136"/>
        <v>#VALUE!</v>
      </c>
      <c r="F1182" s="182" t="e">
        <f>SUM($D$33:D1182)</f>
        <v>#VALUE!</v>
      </c>
      <c r="G1182" s="182">
        <f t="shared" ca="1" si="137"/>
        <v>0</v>
      </c>
      <c r="H1182" s="182" t="e">
        <f t="shared" si="138"/>
        <v>#VALUE!</v>
      </c>
      <c r="I1182" s="183" t="e">
        <f t="shared" si="139"/>
        <v>#VALUE!</v>
      </c>
    </row>
    <row r="1183" spans="1:9" x14ac:dyDescent="0.25">
      <c r="A1183" s="180">
        <f t="shared" ca="1" si="133"/>
        <v>47255</v>
      </c>
      <c r="B1183" s="181">
        <v>1151</v>
      </c>
      <c r="C1183" s="182" t="e">
        <f t="shared" si="134"/>
        <v>#VALUE!</v>
      </c>
      <c r="D1183" s="182" t="e">
        <f t="shared" si="135"/>
        <v>#VALUE!</v>
      </c>
      <c r="E1183" s="182" t="e">
        <f t="shared" si="136"/>
        <v>#VALUE!</v>
      </c>
      <c r="F1183" s="182" t="e">
        <f>SUM($D$33:D1183)</f>
        <v>#VALUE!</v>
      </c>
      <c r="G1183" s="182">
        <f t="shared" ca="1" si="137"/>
        <v>0</v>
      </c>
      <c r="H1183" s="182" t="e">
        <f t="shared" si="138"/>
        <v>#VALUE!</v>
      </c>
      <c r="I1183" s="183" t="e">
        <f t="shared" si="139"/>
        <v>#VALUE!</v>
      </c>
    </row>
    <row r="1184" spans="1:9" x14ac:dyDescent="0.25">
      <c r="A1184" s="180">
        <f t="shared" ca="1" si="133"/>
        <v>47256</v>
      </c>
      <c r="B1184" s="181">
        <v>1152</v>
      </c>
      <c r="C1184" s="182" t="e">
        <f t="shared" si="134"/>
        <v>#VALUE!</v>
      </c>
      <c r="D1184" s="182" t="e">
        <f t="shared" si="135"/>
        <v>#VALUE!</v>
      </c>
      <c r="E1184" s="182" t="e">
        <f t="shared" si="136"/>
        <v>#VALUE!</v>
      </c>
      <c r="F1184" s="182" t="e">
        <f>SUM($D$33:D1184)</f>
        <v>#VALUE!</v>
      </c>
      <c r="G1184" s="182">
        <f t="shared" ca="1" si="137"/>
        <v>0</v>
      </c>
      <c r="H1184" s="182" t="e">
        <f t="shared" si="138"/>
        <v>#VALUE!</v>
      </c>
      <c r="I1184" s="183" t="e">
        <f t="shared" si="139"/>
        <v>#VALUE!</v>
      </c>
    </row>
    <row r="1185" spans="1:9" x14ac:dyDescent="0.25">
      <c r="A1185" s="180">
        <f t="shared" ca="1" si="133"/>
        <v>47257</v>
      </c>
      <c r="B1185" s="181">
        <v>1153</v>
      </c>
      <c r="C1185" s="182" t="e">
        <f t="shared" si="134"/>
        <v>#VALUE!</v>
      </c>
      <c r="D1185" s="182" t="e">
        <f t="shared" si="135"/>
        <v>#VALUE!</v>
      </c>
      <c r="E1185" s="182" t="e">
        <f t="shared" si="136"/>
        <v>#VALUE!</v>
      </c>
      <c r="F1185" s="182" t="e">
        <f>SUM($D$33:D1185)</f>
        <v>#VALUE!</v>
      </c>
      <c r="G1185" s="182">
        <f t="shared" ca="1" si="137"/>
        <v>0</v>
      </c>
      <c r="H1185" s="182" t="e">
        <f t="shared" si="138"/>
        <v>#VALUE!</v>
      </c>
      <c r="I1185" s="183" t="e">
        <f t="shared" si="139"/>
        <v>#VALUE!</v>
      </c>
    </row>
    <row r="1186" spans="1:9" x14ac:dyDescent="0.25">
      <c r="A1186" s="180">
        <f t="shared" ref="A1186:A1249" ca="1" si="140">A1185+1</f>
        <v>47258</v>
      </c>
      <c r="B1186" s="181">
        <v>1154</v>
      </c>
      <c r="C1186" s="182" t="e">
        <f t="shared" si="134"/>
        <v>#VALUE!</v>
      </c>
      <c r="D1186" s="182" t="e">
        <f t="shared" si="135"/>
        <v>#VALUE!</v>
      </c>
      <c r="E1186" s="182" t="e">
        <f t="shared" si="136"/>
        <v>#VALUE!</v>
      </c>
      <c r="F1186" s="182" t="e">
        <f>SUM($D$33:D1186)</f>
        <v>#VALUE!</v>
      </c>
      <c r="G1186" s="182">
        <f t="shared" ca="1" si="137"/>
        <v>0</v>
      </c>
      <c r="H1186" s="182" t="e">
        <f t="shared" si="138"/>
        <v>#VALUE!</v>
      </c>
      <c r="I1186" s="183" t="e">
        <f t="shared" si="139"/>
        <v>#VALUE!</v>
      </c>
    </row>
    <row r="1187" spans="1:9" x14ac:dyDescent="0.25">
      <c r="A1187" s="180">
        <f t="shared" ca="1" si="140"/>
        <v>47259</v>
      </c>
      <c r="B1187" s="181">
        <v>1155</v>
      </c>
      <c r="C1187" s="182" t="e">
        <f t="shared" si="134"/>
        <v>#VALUE!</v>
      </c>
      <c r="D1187" s="182" t="e">
        <f t="shared" si="135"/>
        <v>#VALUE!</v>
      </c>
      <c r="E1187" s="182" t="e">
        <f t="shared" si="136"/>
        <v>#VALUE!</v>
      </c>
      <c r="F1187" s="182" t="e">
        <f>SUM($D$33:D1187)</f>
        <v>#VALUE!</v>
      </c>
      <c r="G1187" s="182">
        <f t="shared" ca="1" si="137"/>
        <v>0</v>
      </c>
      <c r="H1187" s="182" t="e">
        <f t="shared" si="138"/>
        <v>#VALUE!</v>
      </c>
      <c r="I1187" s="183" t="e">
        <f t="shared" si="139"/>
        <v>#VALUE!</v>
      </c>
    </row>
    <row r="1188" spans="1:9" x14ac:dyDescent="0.25">
      <c r="A1188" s="180">
        <f t="shared" ca="1" si="140"/>
        <v>47260</v>
      </c>
      <c r="B1188" s="181">
        <v>1156</v>
      </c>
      <c r="C1188" s="182" t="e">
        <f t="shared" si="134"/>
        <v>#VALUE!</v>
      </c>
      <c r="D1188" s="182" t="e">
        <f t="shared" si="135"/>
        <v>#VALUE!</v>
      </c>
      <c r="E1188" s="182" t="e">
        <f t="shared" si="136"/>
        <v>#VALUE!</v>
      </c>
      <c r="F1188" s="182" t="e">
        <f>SUM($D$33:D1188)</f>
        <v>#VALUE!</v>
      </c>
      <c r="G1188" s="182">
        <f t="shared" ca="1" si="137"/>
        <v>0</v>
      </c>
      <c r="H1188" s="182" t="e">
        <f t="shared" si="138"/>
        <v>#VALUE!</v>
      </c>
      <c r="I1188" s="183" t="e">
        <f t="shared" si="139"/>
        <v>#VALUE!</v>
      </c>
    </row>
    <row r="1189" spans="1:9" x14ac:dyDescent="0.25">
      <c r="A1189" s="180">
        <f t="shared" ca="1" si="140"/>
        <v>47261</v>
      </c>
      <c r="B1189" s="181">
        <v>1157</v>
      </c>
      <c r="C1189" s="182" t="e">
        <f t="shared" si="134"/>
        <v>#VALUE!</v>
      </c>
      <c r="D1189" s="182" t="e">
        <f t="shared" si="135"/>
        <v>#VALUE!</v>
      </c>
      <c r="E1189" s="182" t="e">
        <f t="shared" si="136"/>
        <v>#VALUE!</v>
      </c>
      <c r="F1189" s="182" t="e">
        <f>SUM($D$33:D1189)</f>
        <v>#VALUE!</v>
      </c>
      <c r="G1189" s="182">
        <f t="shared" ca="1" si="137"/>
        <v>0</v>
      </c>
      <c r="H1189" s="182" t="e">
        <f t="shared" si="138"/>
        <v>#VALUE!</v>
      </c>
      <c r="I1189" s="183" t="e">
        <f t="shared" si="139"/>
        <v>#VALUE!</v>
      </c>
    </row>
    <row r="1190" spans="1:9" x14ac:dyDescent="0.25">
      <c r="A1190" s="180">
        <f t="shared" ca="1" si="140"/>
        <v>47262</v>
      </c>
      <c r="B1190" s="181">
        <v>1158</v>
      </c>
      <c r="C1190" s="182" t="e">
        <f t="shared" si="134"/>
        <v>#VALUE!</v>
      </c>
      <c r="D1190" s="182" t="e">
        <f t="shared" si="135"/>
        <v>#VALUE!</v>
      </c>
      <c r="E1190" s="182" t="e">
        <f t="shared" si="136"/>
        <v>#VALUE!</v>
      </c>
      <c r="F1190" s="182" t="e">
        <f>SUM($D$33:D1190)</f>
        <v>#VALUE!</v>
      </c>
      <c r="G1190" s="182">
        <f t="shared" ca="1" si="137"/>
        <v>0</v>
      </c>
      <c r="H1190" s="182" t="e">
        <f t="shared" si="138"/>
        <v>#VALUE!</v>
      </c>
      <c r="I1190" s="183" t="e">
        <f t="shared" si="139"/>
        <v>#VALUE!</v>
      </c>
    </row>
    <row r="1191" spans="1:9" x14ac:dyDescent="0.25">
      <c r="A1191" s="180">
        <f t="shared" ca="1" si="140"/>
        <v>47263</v>
      </c>
      <c r="B1191" s="181">
        <v>1159</v>
      </c>
      <c r="C1191" s="182" t="e">
        <f t="shared" si="134"/>
        <v>#VALUE!</v>
      </c>
      <c r="D1191" s="182" t="e">
        <f t="shared" si="135"/>
        <v>#VALUE!</v>
      </c>
      <c r="E1191" s="182" t="e">
        <f t="shared" si="136"/>
        <v>#VALUE!</v>
      </c>
      <c r="F1191" s="182" t="e">
        <f>SUM($D$33:D1191)</f>
        <v>#VALUE!</v>
      </c>
      <c r="G1191" s="182">
        <f t="shared" ca="1" si="137"/>
        <v>0</v>
      </c>
      <c r="H1191" s="182" t="e">
        <f t="shared" si="138"/>
        <v>#VALUE!</v>
      </c>
      <c r="I1191" s="183" t="e">
        <f t="shared" si="139"/>
        <v>#VALUE!</v>
      </c>
    </row>
    <row r="1192" spans="1:9" x14ac:dyDescent="0.25">
      <c r="A1192" s="180">
        <f t="shared" ca="1" si="140"/>
        <v>47264</v>
      </c>
      <c r="B1192" s="181">
        <v>1160</v>
      </c>
      <c r="C1192" s="182" t="e">
        <f t="shared" si="134"/>
        <v>#VALUE!</v>
      </c>
      <c r="D1192" s="182" t="e">
        <f t="shared" si="135"/>
        <v>#VALUE!</v>
      </c>
      <c r="E1192" s="182" t="e">
        <f t="shared" si="136"/>
        <v>#VALUE!</v>
      </c>
      <c r="F1192" s="182" t="e">
        <f>SUM($D$33:D1192)</f>
        <v>#VALUE!</v>
      </c>
      <c r="G1192" s="182">
        <f t="shared" ca="1" si="137"/>
        <v>0</v>
      </c>
      <c r="H1192" s="182" t="e">
        <f t="shared" si="138"/>
        <v>#VALUE!</v>
      </c>
      <c r="I1192" s="183" t="e">
        <f t="shared" si="139"/>
        <v>#VALUE!</v>
      </c>
    </row>
    <row r="1193" spans="1:9" x14ac:dyDescent="0.25">
      <c r="A1193" s="180">
        <f t="shared" ca="1" si="140"/>
        <v>47265</v>
      </c>
      <c r="B1193" s="181">
        <v>1161</v>
      </c>
      <c r="C1193" s="182" t="e">
        <f t="shared" si="134"/>
        <v>#VALUE!</v>
      </c>
      <c r="D1193" s="182" t="e">
        <f t="shared" si="135"/>
        <v>#VALUE!</v>
      </c>
      <c r="E1193" s="182" t="e">
        <f t="shared" si="136"/>
        <v>#VALUE!</v>
      </c>
      <c r="F1193" s="182" t="e">
        <f>SUM($D$33:D1193)</f>
        <v>#VALUE!</v>
      </c>
      <c r="G1193" s="182">
        <f t="shared" ca="1" si="137"/>
        <v>0</v>
      </c>
      <c r="H1193" s="182" t="e">
        <f t="shared" si="138"/>
        <v>#VALUE!</v>
      </c>
      <c r="I1193" s="183" t="e">
        <f t="shared" si="139"/>
        <v>#VALUE!</v>
      </c>
    </row>
    <row r="1194" spans="1:9" x14ac:dyDescent="0.25">
      <c r="A1194" s="180">
        <f t="shared" ca="1" si="140"/>
        <v>47266</v>
      </c>
      <c r="B1194" s="181">
        <v>1162</v>
      </c>
      <c r="C1194" s="182" t="e">
        <f t="shared" si="134"/>
        <v>#VALUE!</v>
      </c>
      <c r="D1194" s="182" t="e">
        <f t="shared" si="135"/>
        <v>#VALUE!</v>
      </c>
      <c r="E1194" s="182" t="e">
        <f t="shared" si="136"/>
        <v>#VALUE!</v>
      </c>
      <c r="F1194" s="182" t="e">
        <f>SUM($D$33:D1194)</f>
        <v>#VALUE!</v>
      </c>
      <c r="G1194" s="182">
        <f t="shared" ca="1" si="137"/>
        <v>0</v>
      </c>
      <c r="H1194" s="182" t="e">
        <f t="shared" si="138"/>
        <v>#VALUE!</v>
      </c>
      <c r="I1194" s="183" t="e">
        <f t="shared" si="139"/>
        <v>#VALUE!</v>
      </c>
    </row>
    <row r="1195" spans="1:9" x14ac:dyDescent="0.25">
      <c r="A1195" s="180">
        <f t="shared" ca="1" si="140"/>
        <v>47267</v>
      </c>
      <c r="B1195" s="181">
        <v>1163</v>
      </c>
      <c r="C1195" s="182" t="e">
        <f t="shared" si="134"/>
        <v>#VALUE!</v>
      </c>
      <c r="D1195" s="182" t="e">
        <f t="shared" si="135"/>
        <v>#VALUE!</v>
      </c>
      <c r="E1195" s="182" t="e">
        <f t="shared" si="136"/>
        <v>#VALUE!</v>
      </c>
      <c r="F1195" s="182" t="e">
        <f>SUM($D$33:D1195)</f>
        <v>#VALUE!</v>
      </c>
      <c r="G1195" s="182">
        <f t="shared" ca="1" si="137"/>
        <v>0</v>
      </c>
      <c r="H1195" s="182" t="e">
        <f t="shared" si="138"/>
        <v>#VALUE!</v>
      </c>
      <c r="I1195" s="183" t="e">
        <f t="shared" si="139"/>
        <v>#VALUE!</v>
      </c>
    </row>
    <row r="1196" spans="1:9" x14ac:dyDescent="0.25">
      <c r="A1196" s="180">
        <f t="shared" ca="1" si="140"/>
        <v>47268</v>
      </c>
      <c r="B1196" s="181">
        <v>1164</v>
      </c>
      <c r="C1196" s="182" t="e">
        <f t="shared" si="134"/>
        <v>#VALUE!</v>
      </c>
      <c r="D1196" s="182" t="e">
        <f t="shared" si="135"/>
        <v>#VALUE!</v>
      </c>
      <c r="E1196" s="182" t="e">
        <f t="shared" si="136"/>
        <v>#VALUE!</v>
      </c>
      <c r="F1196" s="182" t="e">
        <f>SUM($D$33:D1196)</f>
        <v>#VALUE!</v>
      </c>
      <c r="G1196" s="182">
        <f t="shared" ca="1" si="137"/>
        <v>0</v>
      </c>
      <c r="H1196" s="182" t="e">
        <f t="shared" si="138"/>
        <v>#VALUE!</v>
      </c>
      <c r="I1196" s="183" t="e">
        <f t="shared" si="139"/>
        <v>#VALUE!</v>
      </c>
    </row>
    <row r="1197" spans="1:9" x14ac:dyDescent="0.25">
      <c r="A1197" s="180">
        <f t="shared" ca="1" si="140"/>
        <v>47269</v>
      </c>
      <c r="B1197" s="181">
        <v>1165</v>
      </c>
      <c r="C1197" s="182" t="e">
        <f t="shared" si="134"/>
        <v>#VALUE!</v>
      </c>
      <c r="D1197" s="182" t="e">
        <f t="shared" si="135"/>
        <v>#VALUE!</v>
      </c>
      <c r="E1197" s="182" t="e">
        <f t="shared" si="136"/>
        <v>#VALUE!</v>
      </c>
      <c r="F1197" s="182" t="e">
        <f>SUM($D$33:D1197)</f>
        <v>#VALUE!</v>
      </c>
      <c r="G1197" s="182">
        <f t="shared" ca="1" si="137"/>
        <v>0</v>
      </c>
      <c r="H1197" s="182" t="e">
        <f t="shared" si="138"/>
        <v>#VALUE!</v>
      </c>
      <c r="I1197" s="183" t="e">
        <f t="shared" si="139"/>
        <v>#VALUE!</v>
      </c>
    </row>
    <row r="1198" spans="1:9" x14ac:dyDescent="0.25">
      <c r="A1198" s="180">
        <f t="shared" ca="1" si="140"/>
        <v>47270</v>
      </c>
      <c r="B1198" s="181">
        <v>1166</v>
      </c>
      <c r="C1198" s="182" t="e">
        <f t="shared" si="134"/>
        <v>#VALUE!</v>
      </c>
      <c r="D1198" s="182" t="e">
        <f t="shared" si="135"/>
        <v>#VALUE!</v>
      </c>
      <c r="E1198" s="182" t="e">
        <f t="shared" si="136"/>
        <v>#VALUE!</v>
      </c>
      <c r="F1198" s="182" t="e">
        <f>SUM($D$33:D1198)</f>
        <v>#VALUE!</v>
      </c>
      <c r="G1198" s="182">
        <f t="shared" ca="1" si="137"/>
        <v>0</v>
      </c>
      <c r="H1198" s="182" t="e">
        <f t="shared" si="138"/>
        <v>#VALUE!</v>
      </c>
      <c r="I1198" s="183" t="e">
        <f t="shared" si="139"/>
        <v>#VALUE!</v>
      </c>
    </row>
    <row r="1199" spans="1:9" x14ac:dyDescent="0.25">
      <c r="A1199" s="180">
        <f t="shared" ca="1" si="140"/>
        <v>47271</v>
      </c>
      <c r="B1199" s="181">
        <v>1167</v>
      </c>
      <c r="C1199" s="182" t="e">
        <f t="shared" si="134"/>
        <v>#VALUE!</v>
      </c>
      <c r="D1199" s="182" t="e">
        <f t="shared" si="135"/>
        <v>#VALUE!</v>
      </c>
      <c r="E1199" s="182" t="e">
        <f t="shared" si="136"/>
        <v>#VALUE!</v>
      </c>
      <c r="F1199" s="182" t="e">
        <f>SUM($D$33:D1199)</f>
        <v>#VALUE!</v>
      </c>
      <c r="G1199" s="182">
        <f t="shared" ca="1" si="137"/>
        <v>0</v>
      </c>
      <c r="H1199" s="182" t="e">
        <f t="shared" si="138"/>
        <v>#VALUE!</v>
      </c>
      <c r="I1199" s="183" t="e">
        <f t="shared" si="139"/>
        <v>#VALUE!</v>
      </c>
    </row>
    <row r="1200" spans="1:9" x14ac:dyDescent="0.25">
      <c r="A1200" s="180">
        <f t="shared" ca="1" si="140"/>
        <v>47272</v>
      </c>
      <c r="B1200" s="181">
        <v>1168</v>
      </c>
      <c r="C1200" s="182" t="e">
        <f t="shared" si="134"/>
        <v>#VALUE!</v>
      </c>
      <c r="D1200" s="182" t="e">
        <f t="shared" si="135"/>
        <v>#VALUE!</v>
      </c>
      <c r="E1200" s="182" t="e">
        <f t="shared" si="136"/>
        <v>#VALUE!</v>
      </c>
      <c r="F1200" s="182" t="e">
        <f>SUM($D$33:D1200)</f>
        <v>#VALUE!</v>
      </c>
      <c r="G1200" s="182">
        <f t="shared" ca="1" si="137"/>
        <v>0</v>
      </c>
      <c r="H1200" s="182" t="e">
        <f t="shared" si="138"/>
        <v>#VALUE!</v>
      </c>
      <c r="I1200" s="183" t="e">
        <f t="shared" si="139"/>
        <v>#VALUE!</v>
      </c>
    </row>
    <row r="1201" spans="1:9" x14ac:dyDescent="0.25">
      <c r="A1201" s="180">
        <f t="shared" ca="1" si="140"/>
        <v>47273</v>
      </c>
      <c r="B1201" s="181">
        <v>1169</v>
      </c>
      <c r="C1201" s="182" t="e">
        <f t="shared" si="134"/>
        <v>#VALUE!</v>
      </c>
      <c r="D1201" s="182" t="e">
        <f t="shared" si="135"/>
        <v>#VALUE!</v>
      </c>
      <c r="E1201" s="182" t="e">
        <f t="shared" si="136"/>
        <v>#VALUE!</v>
      </c>
      <c r="F1201" s="182" t="e">
        <f>SUM($D$33:D1201)</f>
        <v>#VALUE!</v>
      </c>
      <c r="G1201" s="182">
        <f t="shared" ca="1" si="137"/>
        <v>0</v>
      </c>
      <c r="H1201" s="182" t="e">
        <f t="shared" si="138"/>
        <v>#VALUE!</v>
      </c>
      <c r="I1201" s="183" t="e">
        <f t="shared" si="139"/>
        <v>#VALUE!</v>
      </c>
    </row>
    <row r="1202" spans="1:9" x14ac:dyDescent="0.25">
      <c r="A1202" s="180">
        <f t="shared" ca="1" si="140"/>
        <v>47274</v>
      </c>
      <c r="B1202" s="181">
        <v>1170</v>
      </c>
      <c r="C1202" s="182" t="e">
        <f t="shared" si="134"/>
        <v>#VALUE!</v>
      </c>
      <c r="D1202" s="182" t="e">
        <f t="shared" si="135"/>
        <v>#VALUE!</v>
      </c>
      <c r="E1202" s="182" t="e">
        <f t="shared" si="136"/>
        <v>#VALUE!</v>
      </c>
      <c r="F1202" s="182" t="e">
        <f>SUM($D$33:D1202)</f>
        <v>#VALUE!</v>
      </c>
      <c r="G1202" s="182">
        <f t="shared" ca="1" si="137"/>
        <v>0</v>
      </c>
      <c r="H1202" s="182" t="e">
        <f t="shared" si="138"/>
        <v>#VALUE!</v>
      </c>
      <c r="I1202" s="183" t="e">
        <f t="shared" si="139"/>
        <v>#VALUE!</v>
      </c>
    </row>
    <row r="1203" spans="1:9" x14ac:dyDescent="0.25">
      <c r="A1203" s="180">
        <f t="shared" ca="1" si="140"/>
        <v>47275</v>
      </c>
      <c r="B1203" s="181">
        <v>1171</v>
      </c>
      <c r="C1203" s="182" t="e">
        <f t="shared" si="134"/>
        <v>#VALUE!</v>
      </c>
      <c r="D1203" s="182" t="e">
        <f t="shared" si="135"/>
        <v>#VALUE!</v>
      </c>
      <c r="E1203" s="182" t="e">
        <f t="shared" si="136"/>
        <v>#VALUE!</v>
      </c>
      <c r="F1203" s="182" t="e">
        <f>SUM($D$33:D1203)</f>
        <v>#VALUE!</v>
      </c>
      <c r="G1203" s="182">
        <f t="shared" ca="1" si="137"/>
        <v>0</v>
      </c>
      <c r="H1203" s="182" t="e">
        <f t="shared" si="138"/>
        <v>#VALUE!</v>
      </c>
      <c r="I1203" s="183" t="e">
        <f t="shared" si="139"/>
        <v>#VALUE!</v>
      </c>
    </row>
    <row r="1204" spans="1:9" x14ac:dyDescent="0.25">
      <c r="A1204" s="180">
        <f t="shared" ca="1" si="140"/>
        <v>47276</v>
      </c>
      <c r="B1204" s="181">
        <v>1172</v>
      </c>
      <c r="C1204" s="182" t="e">
        <f t="shared" si="134"/>
        <v>#VALUE!</v>
      </c>
      <c r="D1204" s="182" t="e">
        <f t="shared" si="135"/>
        <v>#VALUE!</v>
      </c>
      <c r="E1204" s="182" t="e">
        <f t="shared" si="136"/>
        <v>#VALUE!</v>
      </c>
      <c r="F1204" s="182" t="e">
        <f>SUM($D$33:D1204)</f>
        <v>#VALUE!</v>
      </c>
      <c r="G1204" s="182">
        <f t="shared" ca="1" si="137"/>
        <v>0</v>
      </c>
      <c r="H1204" s="182" t="e">
        <f t="shared" si="138"/>
        <v>#VALUE!</v>
      </c>
      <c r="I1204" s="183" t="e">
        <f t="shared" si="139"/>
        <v>#VALUE!</v>
      </c>
    </row>
    <row r="1205" spans="1:9" x14ac:dyDescent="0.25">
      <c r="A1205" s="180">
        <f t="shared" ca="1" si="140"/>
        <v>47277</v>
      </c>
      <c r="B1205" s="181">
        <v>1173</v>
      </c>
      <c r="C1205" s="182" t="e">
        <f t="shared" si="134"/>
        <v>#VALUE!</v>
      </c>
      <c r="D1205" s="182" t="e">
        <f t="shared" si="135"/>
        <v>#VALUE!</v>
      </c>
      <c r="E1205" s="182" t="e">
        <f t="shared" si="136"/>
        <v>#VALUE!</v>
      </c>
      <c r="F1205" s="182" t="e">
        <f>SUM($D$33:D1205)</f>
        <v>#VALUE!</v>
      </c>
      <c r="G1205" s="182">
        <f t="shared" ca="1" si="137"/>
        <v>0</v>
      </c>
      <c r="H1205" s="182" t="e">
        <f t="shared" si="138"/>
        <v>#VALUE!</v>
      </c>
      <c r="I1205" s="183" t="e">
        <f t="shared" si="139"/>
        <v>#VALUE!</v>
      </c>
    </row>
    <row r="1206" spans="1:9" x14ac:dyDescent="0.25">
      <c r="A1206" s="180">
        <f t="shared" ca="1" si="140"/>
        <v>47278</v>
      </c>
      <c r="B1206" s="181">
        <v>1174</v>
      </c>
      <c r="C1206" s="182" t="e">
        <f t="shared" si="134"/>
        <v>#VALUE!</v>
      </c>
      <c r="D1206" s="182" t="e">
        <f t="shared" si="135"/>
        <v>#VALUE!</v>
      </c>
      <c r="E1206" s="182" t="e">
        <f t="shared" si="136"/>
        <v>#VALUE!</v>
      </c>
      <c r="F1206" s="182" t="e">
        <f>SUM($D$33:D1206)</f>
        <v>#VALUE!</v>
      </c>
      <c r="G1206" s="182">
        <f t="shared" ca="1" si="137"/>
        <v>0</v>
      </c>
      <c r="H1206" s="182" t="e">
        <f t="shared" si="138"/>
        <v>#VALUE!</v>
      </c>
      <c r="I1206" s="183" t="e">
        <f t="shared" si="139"/>
        <v>#VALUE!</v>
      </c>
    </row>
    <row r="1207" spans="1:9" x14ac:dyDescent="0.25">
      <c r="A1207" s="180">
        <f t="shared" ca="1" si="140"/>
        <v>47279</v>
      </c>
      <c r="B1207" s="181">
        <v>1175</v>
      </c>
      <c r="C1207" s="182" t="e">
        <f t="shared" si="134"/>
        <v>#VALUE!</v>
      </c>
      <c r="D1207" s="182" t="e">
        <f t="shared" si="135"/>
        <v>#VALUE!</v>
      </c>
      <c r="E1207" s="182" t="e">
        <f t="shared" si="136"/>
        <v>#VALUE!</v>
      </c>
      <c r="F1207" s="182" t="e">
        <f>SUM($D$33:D1207)</f>
        <v>#VALUE!</v>
      </c>
      <c r="G1207" s="182">
        <f t="shared" ca="1" si="137"/>
        <v>0</v>
      </c>
      <c r="H1207" s="182" t="e">
        <f t="shared" si="138"/>
        <v>#VALUE!</v>
      </c>
      <c r="I1207" s="183" t="e">
        <f t="shared" si="139"/>
        <v>#VALUE!</v>
      </c>
    </row>
    <row r="1208" spans="1:9" x14ac:dyDescent="0.25">
      <c r="A1208" s="180">
        <f t="shared" ca="1" si="140"/>
        <v>47280</v>
      </c>
      <c r="B1208" s="181">
        <v>1176</v>
      </c>
      <c r="C1208" s="182" t="e">
        <f t="shared" si="134"/>
        <v>#VALUE!</v>
      </c>
      <c r="D1208" s="182" t="e">
        <f t="shared" si="135"/>
        <v>#VALUE!</v>
      </c>
      <c r="E1208" s="182" t="e">
        <f t="shared" si="136"/>
        <v>#VALUE!</v>
      </c>
      <c r="F1208" s="182" t="e">
        <f>SUM($D$33:D1208)</f>
        <v>#VALUE!</v>
      </c>
      <c r="G1208" s="182">
        <f t="shared" ca="1" si="137"/>
        <v>0</v>
      </c>
      <c r="H1208" s="182" t="e">
        <f t="shared" si="138"/>
        <v>#VALUE!</v>
      </c>
      <c r="I1208" s="183" t="e">
        <f t="shared" si="139"/>
        <v>#VALUE!</v>
      </c>
    </row>
    <row r="1209" spans="1:9" x14ac:dyDescent="0.25">
      <c r="A1209" s="180">
        <f t="shared" ca="1" si="140"/>
        <v>47281</v>
      </c>
      <c r="B1209" s="181">
        <v>1177</v>
      </c>
      <c r="C1209" s="182" t="e">
        <f t="shared" si="134"/>
        <v>#VALUE!</v>
      </c>
      <c r="D1209" s="182" t="e">
        <f t="shared" si="135"/>
        <v>#VALUE!</v>
      </c>
      <c r="E1209" s="182" t="e">
        <f t="shared" si="136"/>
        <v>#VALUE!</v>
      </c>
      <c r="F1209" s="182" t="e">
        <f>SUM($D$33:D1209)</f>
        <v>#VALUE!</v>
      </c>
      <c r="G1209" s="182">
        <f t="shared" ca="1" si="137"/>
        <v>0</v>
      </c>
      <c r="H1209" s="182" t="e">
        <f t="shared" si="138"/>
        <v>#VALUE!</v>
      </c>
      <c r="I1209" s="183" t="e">
        <f t="shared" si="139"/>
        <v>#VALUE!</v>
      </c>
    </row>
    <row r="1210" spans="1:9" x14ac:dyDescent="0.25">
      <c r="A1210" s="180">
        <f t="shared" ca="1" si="140"/>
        <v>47282</v>
      </c>
      <c r="B1210" s="181">
        <v>1178</v>
      </c>
      <c r="C1210" s="182" t="e">
        <f t="shared" si="134"/>
        <v>#VALUE!</v>
      </c>
      <c r="D1210" s="182" t="e">
        <f t="shared" si="135"/>
        <v>#VALUE!</v>
      </c>
      <c r="E1210" s="182" t="e">
        <f t="shared" si="136"/>
        <v>#VALUE!</v>
      </c>
      <c r="F1210" s="182" t="e">
        <f>SUM($D$33:D1210)</f>
        <v>#VALUE!</v>
      </c>
      <c r="G1210" s="182">
        <f t="shared" ca="1" si="137"/>
        <v>0</v>
      </c>
      <c r="H1210" s="182" t="e">
        <f t="shared" si="138"/>
        <v>#VALUE!</v>
      </c>
      <c r="I1210" s="183" t="e">
        <f t="shared" si="139"/>
        <v>#VALUE!</v>
      </c>
    </row>
    <row r="1211" spans="1:9" x14ac:dyDescent="0.25">
      <c r="A1211" s="180">
        <f t="shared" ca="1" si="140"/>
        <v>47283</v>
      </c>
      <c r="B1211" s="181">
        <v>1179</v>
      </c>
      <c r="C1211" s="182" t="e">
        <f t="shared" si="134"/>
        <v>#VALUE!</v>
      </c>
      <c r="D1211" s="182" t="e">
        <f t="shared" si="135"/>
        <v>#VALUE!</v>
      </c>
      <c r="E1211" s="182" t="e">
        <f t="shared" si="136"/>
        <v>#VALUE!</v>
      </c>
      <c r="F1211" s="182" t="e">
        <f>SUM($D$33:D1211)</f>
        <v>#VALUE!</v>
      </c>
      <c r="G1211" s="182">
        <f t="shared" ca="1" si="137"/>
        <v>0</v>
      </c>
      <c r="H1211" s="182" t="e">
        <f t="shared" si="138"/>
        <v>#VALUE!</v>
      </c>
      <c r="I1211" s="183" t="e">
        <f t="shared" si="139"/>
        <v>#VALUE!</v>
      </c>
    </row>
    <row r="1212" spans="1:9" x14ac:dyDescent="0.25">
      <c r="A1212" s="180">
        <f t="shared" ca="1" si="140"/>
        <v>47284</v>
      </c>
      <c r="B1212" s="181">
        <v>1180</v>
      </c>
      <c r="C1212" s="182" t="e">
        <f t="shared" si="134"/>
        <v>#VALUE!</v>
      </c>
      <c r="D1212" s="182" t="e">
        <f t="shared" si="135"/>
        <v>#VALUE!</v>
      </c>
      <c r="E1212" s="182" t="e">
        <f t="shared" si="136"/>
        <v>#VALUE!</v>
      </c>
      <c r="F1212" s="182" t="e">
        <f>SUM($D$33:D1212)</f>
        <v>#VALUE!</v>
      </c>
      <c r="G1212" s="182">
        <f t="shared" ca="1" si="137"/>
        <v>0</v>
      </c>
      <c r="H1212" s="182" t="e">
        <f t="shared" si="138"/>
        <v>#VALUE!</v>
      </c>
      <c r="I1212" s="183" t="e">
        <f t="shared" si="139"/>
        <v>#VALUE!</v>
      </c>
    </row>
    <row r="1213" spans="1:9" x14ac:dyDescent="0.25">
      <c r="A1213" s="180">
        <f t="shared" ca="1" si="140"/>
        <v>47285</v>
      </c>
      <c r="B1213" s="181">
        <v>1181</v>
      </c>
      <c r="C1213" s="182" t="e">
        <f t="shared" si="134"/>
        <v>#VALUE!</v>
      </c>
      <c r="D1213" s="182" t="e">
        <f t="shared" si="135"/>
        <v>#VALUE!</v>
      </c>
      <c r="E1213" s="182" t="e">
        <f t="shared" si="136"/>
        <v>#VALUE!</v>
      </c>
      <c r="F1213" s="182" t="e">
        <f>SUM($D$33:D1213)</f>
        <v>#VALUE!</v>
      </c>
      <c r="G1213" s="182">
        <f t="shared" ca="1" si="137"/>
        <v>0</v>
      </c>
      <c r="H1213" s="182" t="e">
        <f t="shared" si="138"/>
        <v>#VALUE!</v>
      </c>
      <c r="I1213" s="183" t="e">
        <f t="shared" si="139"/>
        <v>#VALUE!</v>
      </c>
    </row>
    <row r="1214" spans="1:9" x14ac:dyDescent="0.25">
      <c r="A1214" s="180">
        <f t="shared" ca="1" si="140"/>
        <v>47286</v>
      </c>
      <c r="B1214" s="181">
        <v>1182</v>
      </c>
      <c r="C1214" s="182" t="e">
        <f t="shared" si="134"/>
        <v>#VALUE!</v>
      </c>
      <c r="D1214" s="182" t="e">
        <f t="shared" si="135"/>
        <v>#VALUE!</v>
      </c>
      <c r="E1214" s="182" t="e">
        <f t="shared" si="136"/>
        <v>#VALUE!</v>
      </c>
      <c r="F1214" s="182" t="e">
        <f>SUM($D$33:D1214)</f>
        <v>#VALUE!</v>
      </c>
      <c r="G1214" s="182">
        <f t="shared" ca="1" si="137"/>
        <v>0</v>
      </c>
      <c r="H1214" s="182" t="e">
        <f t="shared" si="138"/>
        <v>#VALUE!</v>
      </c>
      <c r="I1214" s="183" t="e">
        <f t="shared" si="139"/>
        <v>#VALUE!</v>
      </c>
    </row>
    <row r="1215" spans="1:9" x14ac:dyDescent="0.25">
      <c r="A1215" s="180">
        <f t="shared" ca="1" si="140"/>
        <v>47287</v>
      </c>
      <c r="B1215" s="181">
        <v>1183</v>
      </c>
      <c r="C1215" s="182" t="e">
        <f t="shared" si="134"/>
        <v>#VALUE!</v>
      </c>
      <c r="D1215" s="182" t="e">
        <f t="shared" si="135"/>
        <v>#VALUE!</v>
      </c>
      <c r="E1215" s="182" t="e">
        <f t="shared" si="136"/>
        <v>#VALUE!</v>
      </c>
      <c r="F1215" s="182" t="e">
        <f>SUM($D$33:D1215)</f>
        <v>#VALUE!</v>
      </c>
      <c r="G1215" s="182">
        <f t="shared" ca="1" si="137"/>
        <v>0</v>
      </c>
      <c r="H1215" s="182" t="e">
        <f t="shared" si="138"/>
        <v>#VALUE!</v>
      </c>
      <c r="I1215" s="183" t="e">
        <f t="shared" si="139"/>
        <v>#VALUE!</v>
      </c>
    </row>
    <row r="1216" spans="1:9" x14ac:dyDescent="0.25">
      <c r="A1216" s="180">
        <f t="shared" ca="1" si="140"/>
        <v>47288</v>
      </c>
      <c r="B1216" s="181">
        <v>1184</v>
      </c>
      <c r="C1216" s="182" t="e">
        <f t="shared" si="134"/>
        <v>#VALUE!</v>
      </c>
      <c r="D1216" s="182" t="e">
        <f t="shared" si="135"/>
        <v>#VALUE!</v>
      </c>
      <c r="E1216" s="182" t="e">
        <f t="shared" si="136"/>
        <v>#VALUE!</v>
      </c>
      <c r="F1216" s="182" t="e">
        <f>SUM($D$33:D1216)</f>
        <v>#VALUE!</v>
      </c>
      <c r="G1216" s="182">
        <f t="shared" ca="1" si="137"/>
        <v>0</v>
      </c>
      <c r="H1216" s="182" t="e">
        <f t="shared" si="138"/>
        <v>#VALUE!</v>
      </c>
      <c r="I1216" s="183" t="e">
        <f t="shared" si="139"/>
        <v>#VALUE!</v>
      </c>
    </row>
    <row r="1217" spans="1:9" x14ac:dyDescent="0.25">
      <c r="A1217" s="180">
        <f t="shared" ca="1" si="140"/>
        <v>47289</v>
      </c>
      <c r="B1217" s="181">
        <v>1185</v>
      </c>
      <c r="C1217" s="182" t="e">
        <f t="shared" si="134"/>
        <v>#VALUE!</v>
      </c>
      <c r="D1217" s="182" t="e">
        <f t="shared" si="135"/>
        <v>#VALUE!</v>
      </c>
      <c r="E1217" s="182" t="e">
        <f t="shared" si="136"/>
        <v>#VALUE!</v>
      </c>
      <c r="F1217" s="182" t="e">
        <f>SUM($D$33:D1217)</f>
        <v>#VALUE!</v>
      </c>
      <c r="G1217" s="182">
        <f t="shared" ca="1" si="137"/>
        <v>0</v>
      </c>
      <c r="H1217" s="182" t="e">
        <f t="shared" si="138"/>
        <v>#VALUE!</v>
      </c>
      <c r="I1217" s="183" t="e">
        <f t="shared" si="139"/>
        <v>#VALUE!</v>
      </c>
    </row>
    <row r="1218" spans="1:9" x14ac:dyDescent="0.25">
      <c r="A1218" s="180">
        <f t="shared" ca="1" si="140"/>
        <v>47290</v>
      </c>
      <c r="B1218" s="181">
        <v>1186</v>
      </c>
      <c r="C1218" s="182" t="e">
        <f t="shared" si="134"/>
        <v>#VALUE!</v>
      </c>
      <c r="D1218" s="182" t="e">
        <f t="shared" si="135"/>
        <v>#VALUE!</v>
      </c>
      <c r="E1218" s="182" t="e">
        <f t="shared" si="136"/>
        <v>#VALUE!</v>
      </c>
      <c r="F1218" s="182" t="e">
        <f>SUM($D$33:D1218)</f>
        <v>#VALUE!</v>
      </c>
      <c r="G1218" s="182">
        <f t="shared" ca="1" si="137"/>
        <v>0</v>
      </c>
      <c r="H1218" s="182" t="e">
        <f t="shared" si="138"/>
        <v>#VALUE!</v>
      </c>
      <c r="I1218" s="183" t="e">
        <f t="shared" si="139"/>
        <v>#VALUE!</v>
      </c>
    </row>
    <row r="1219" spans="1:9" x14ac:dyDescent="0.25">
      <c r="A1219" s="180">
        <f t="shared" ca="1" si="140"/>
        <v>47291</v>
      </c>
      <c r="B1219" s="181">
        <v>1187</v>
      </c>
      <c r="C1219" s="182" t="e">
        <f t="shared" si="134"/>
        <v>#VALUE!</v>
      </c>
      <c r="D1219" s="182" t="e">
        <f t="shared" si="135"/>
        <v>#VALUE!</v>
      </c>
      <c r="E1219" s="182" t="e">
        <f t="shared" si="136"/>
        <v>#VALUE!</v>
      </c>
      <c r="F1219" s="182" t="e">
        <f>SUM($D$33:D1219)</f>
        <v>#VALUE!</v>
      </c>
      <c r="G1219" s="182">
        <f t="shared" ca="1" si="137"/>
        <v>0</v>
      </c>
      <c r="H1219" s="182" t="e">
        <f t="shared" si="138"/>
        <v>#VALUE!</v>
      </c>
      <c r="I1219" s="183" t="e">
        <f t="shared" si="139"/>
        <v>#VALUE!</v>
      </c>
    </row>
    <row r="1220" spans="1:9" x14ac:dyDescent="0.25">
      <c r="A1220" s="180">
        <f t="shared" ca="1" si="140"/>
        <v>47292</v>
      </c>
      <c r="B1220" s="181">
        <v>1188</v>
      </c>
      <c r="C1220" s="182" t="e">
        <f t="shared" si="134"/>
        <v>#VALUE!</v>
      </c>
      <c r="D1220" s="182" t="e">
        <f t="shared" si="135"/>
        <v>#VALUE!</v>
      </c>
      <c r="E1220" s="182" t="e">
        <f t="shared" si="136"/>
        <v>#VALUE!</v>
      </c>
      <c r="F1220" s="182" t="e">
        <f>SUM($D$33:D1220)</f>
        <v>#VALUE!</v>
      </c>
      <c r="G1220" s="182">
        <f t="shared" ca="1" si="137"/>
        <v>0</v>
      </c>
      <c r="H1220" s="182" t="e">
        <f t="shared" si="138"/>
        <v>#VALUE!</v>
      </c>
      <c r="I1220" s="183" t="e">
        <f t="shared" si="139"/>
        <v>#VALUE!</v>
      </c>
    </row>
    <row r="1221" spans="1:9" x14ac:dyDescent="0.25">
      <c r="A1221" s="180">
        <f t="shared" ca="1" si="140"/>
        <v>47293</v>
      </c>
      <c r="B1221" s="181">
        <v>1189</v>
      </c>
      <c r="C1221" s="182" t="e">
        <f t="shared" si="134"/>
        <v>#VALUE!</v>
      </c>
      <c r="D1221" s="182" t="e">
        <f t="shared" si="135"/>
        <v>#VALUE!</v>
      </c>
      <c r="E1221" s="182" t="e">
        <f t="shared" si="136"/>
        <v>#VALUE!</v>
      </c>
      <c r="F1221" s="182" t="e">
        <f>SUM($D$33:D1221)</f>
        <v>#VALUE!</v>
      </c>
      <c r="G1221" s="182">
        <f t="shared" ca="1" si="137"/>
        <v>0</v>
      </c>
      <c r="H1221" s="182" t="e">
        <f t="shared" si="138"/>
        <v>#VALUE!</v>
      </c>
      <c r="I1221" s="183" t="e">
        <f t="shared" si="139"/>
        <v>#VALUE!</v>
      </c>
    </row>
    <row r="1222" spans="1:9" x14ac:dyDescent="0.25">
      <c r="A1222" s="180">
        <f t="shared" ca="1" si="140"/>
        <v>47294</v>
      </c>
      <c r="B1222" s="181">
        <v>1190</v>
      </c>
      <c r="C1222" s="182" t="e">
        <f t="shared" si="134"/>
        <v>#VALUE!</v>
      </c>
      <c r="D1222" s="182" t="e">
        <f t="shared" si="135"/>
        <v>#VALUE!</v>
      </c>
      <c r="E1222" s="182" t="e">
        <f t="shared" si="136"/>
        <v>#VALUE!</v>
      </c>
      <c r="F1222" s="182" t="e">
        <f>SUM($D$33:D1222)</f>
        <v>#VALUE!</v>
      </c>
      <c r="G1222" s="182">
        <f t="shared" ca="1" si="137"/>
        <v>0</v>
      </c>
      <c r="H1222" s="182" t="e">
        <f t="shared" si="138"/>
        <v>#VALUE!</v>
      </c>
      <c r="I1222" s="183" t="e">
        <f t="shared" si="139"/>
        <v>#VALUE!</v>
      </c>
    </row>
    <row r="1223" spans="1:9" x14ac:dyDescent="0.25">
      <c r="A1223" s="180">
        <f t="shared" ca="1" si="140"/>
        <v>47295</v>
      </c>
      <c r="B1223" s="181">
        <v>1191</v>
      </c>
      <c r="C1223" s="182" t="e">
        <f t="shared" si="134"/>
        <v>#VALUE!</v>
      </c>
      <c r="D1223" s="182" t="e">
        <f t="shared" si="135"/>
        <v>#VALUE!</v>
      </c>
      <c r="E1223" s="182" t="e">
        <f t="shared" si="136"/>
        <v>#VALUE!</v>
      </c>
      <c r="F1223" s="182" t="e">
        <f>SUM($D$33:D1223)</f>
        <v>#VALUE!</v>
      </c>
      <c r="G1223" s="182">
        <f t="shared" ca="1" si="137"/>
        <v>0</v>
      </c>
      <c r="H1223" s="182" t="e">
        <f t="shared" si="138"/>
        <v>#VALUE!</v>
      </c>
      <c r="I1223" s="183" t="e">
        <f t="shared" si="139"/>
        <v>#VALUE!</v>
      </c>
    </row>
    <row r="1224" spans="1:9" x14ac:dyDescent="0.25">
      <c r="A1224" s="180">
        <f t="shared" ca="1" si="140"/>
        <v>47296</v>
      </c>
      <c r="B1224" s="181">
        <v>1192</v>
      </c>
      <c r="C1224" s="182" t="e">
        <f t="shared" si="134"/>
        <v>#VALUE!</v>
      </c>
      <c r="D1224" s="182" t="e">
        <f t="shared" si="135"/>
        <v>#VALUE!</v>
      </c>
      <c r="E1224" s="182" t="e">
        <f t="shared" si="136"/>
        <v>#VALUE!</v>
      </c>
      <c r="F1224" s="182" t="e">
        <f>SUM($D$33:D1224)</f>
        <v>#VALUE!</v>
      </c>
      <c r="G1224" s="182">
        <f t="shared" ca="1" si="137"/>
        <v>0</v>
      </c>
      <c r="H1224" s="182" t="e">
        <f t="shared" si="138"/>
        <v>#VALUE!</v>
      </c>
      <c r="I1224" s="183" t="e">
        <f t="shared" si="139"/>
        <v>#VALUE!</v>
      </c>
    </row>
    <row r="1225" spans="1:9" x14ac:dyDescent="0.25">
      <c r="A1225" s="180">
        <f t="shared" ca="1" si="140"/>
        <v>47297</v>
      </c>
      <c r="B1225" s="181">
        <v>1193</v>
      </c>
      <c r="C1225" s="182" t="e">
        <f t="shared" si="134"/>
        <v>#VALUE!</v>
      </c>
      <c r="D1225" s="182" t="e">
        <f t="shared" si="135"/>
        <v>#VALUE!</v>
      </c>
      <c r="E1225" s="182" t="e">
        <f t="shared" si="136"/>
        <v>#VALUE!</v>
      </c>
      <c r="F1225" s="182" t="e">
        <f>SUM($D$33:D1225)</f>
        <v>#VALUE!</v>
      </c>
      <c r="G1225" s="182">
        <f t="shared" ca="1" si="137"/>
        <v>0</v>
      </c>
      <c r="H1225" s="182" t="e">
        <f t="shared" si="138"/>
        <v>#VALUE!</v>
      </c>
      <c r="I1225" s="183" t="e">
        <f t="shared" si="139"/>
        <v>#VALUE!</v>
      </c>
    </row>
    <row r="1226" spans="1:9" x14ac:dyDescent="0.25">
      <c r="A1226" s="180">
        <f t="shared" ca="1" si="140"/>
        <v>47298</v>
      </c>
      <c r="B1226" s="181">
        <v>1194</v>
      </c>
      <c r="C1226" s="182" t="e">
        <f t="shared" si="134"/>
        <v>#VALUE!</v>
      </c>
      <c r="D1226" s="182" t="e">
        <f t="shared" si="135"/>
        <v>#VALUE!</v>
      </c>
      <c r="E1226" s="182" t="e">
        <f t="shared" si="136"/>
        <v>#VALUE!</v>
      </c>
      <c r="F1226" s="182" t="e">
        <f>SUM($D$33:D1226)</f>
        <v>#VALUE!</v>
      </c>
      <c r="G1226" s="182">
        <f t="shared" ca="1" si="137"/>
        <v>0</v>
      </c>
      <c r="H1226" s="182" t="e">
        <f t="shared" si="138"/>
        <v>#VALUE!</v>
      </c>
      <c r="I1226" s="183" t="e">
        <f t="shared" si="139"/>
        <v>#VALUE!</v>
      </c>
    </row>
    <row r="1227" spans="1:9" x14ac:dyDescent="0.25">
      <c r="A1227" s="180">
        <f t="shared" ca="1" si="140"/>
        <v>47299</v>
      </c>
      <c r="B1227" s="181">
        <v>1195</v>
      </c>
      <c r="C1227" s="182" t="e">
        <f t="shared" si="134"/>
        <v>#VALUE!</v>
      </c>
      <c r="D1227" s="182" t="e">
        <f t="shared" si="135"/>
        <v>#VALUE!</v>
      </c>
      <c r="E1227" s="182" t="e">
        <f t="shared" si="136"/>
        <v>#VALUE!</v>
      </c>
      <c r="F1227" s="182" t="e">
        <f>SUM($D$33:D1227)</f>
        <v>#VALUE!</v>
      </c>
      <c r="G1227" s="182">
        <f t="shared" ca="1" si="137"/>
        <v>0</v>
      </c>
      <c r="H1227" s="182" t="e">
        <f t="shared" si="138"/>
        <v>#VALUE!</v>
      </c>
      <c r="I1227" s="183" t="e">
        <f t="shared" si="139"/>
        <v>#VALUE!</v>
      </c>
    </row>
    <row r="1228" spans="1:9" x14ac:dyDescent="0.25">
      <c r="A1228" s="180">
        <f t="shared" ca="1" si="140"/>
        <v>47300</v>
      </c>
      <c r="B1228" s="181">
        <v>1196</v>
      </c>
      <c r="C1228" s="182" t="e">
        <f t="shared" si="134"/>
        <v>#VALUE!</v>
      </c>
      <c r="D1228" s="182" t="e">
        <f t="shared" si="135"/>
        <v>#VALUE!</v>
      </c>
      <c r="E1228" s="182" t="e">
        <f t="shared" si="136"/>
        <v>#VALUE!</v>
      </c>
      <c r="F1228" s="182" t="e">
        <f>SUM($D$33:D1228)</f>
        <v>#VALUE!</v>
      </c>
      <c r="G1228" s="182">
        <f t="shared" ca="1" si="137"/>
        <v>0</v>
      </c>
      <c r="H1228" s="182" t="e">
        <f t="shared" si="138"/>
        <v>#VALUE!</v>
      </c>
      <c r="I1228" s="183" t="e">
        <f t="shared" si="139"/>
        <v>#VALUE!</v>
      </c>
    </row>
    <row r="1229" spans="1:9" x14ac:dyDescent="0.25">
      <c r="A1229" s="180">
        <f t="shared" ca="1" si="140"/>
        <v>47301</v>
      </c>
      <c r="B1229" s="181">
        <v>1197</v>
      </c>
      <c r="C1229" s="182" t="e">
        <f t="shared" si="134"/>
        <v>#VALUE!</v>
      </c>
      <c r="D1229" s="182" t="e">
        <f t="shared" si="135"/>
        <v>#VALUE!</v>
      </c>
      <c r="E1229" s="182" t="e">
        <f t="shared" si="136"/>
        <v>#VALUE!</v>
      </c>
      <c r="F1229" s="182" t="e">
        <f>SUM($D$33:D1229)</f>
        <v>#VALUE!</v>
      </c>
      <c r="G1229" s="182">
        <f t="shared" ca="1" si="137"/>
        <v>0</v>
      </c>
      <c r="H1229" s="182" t="e">
        <f t="shared" si="138"/>
        <v>#VALUE!</v>
      </c>
      <c r="I1229" s="183" t="e">
        <f t="shared" si="139"/>
        <v>#VALUE!</v>
      </c>
    </row>
    <row r="1230" spans="1:9" x14ac:dyDescent="0.25">
      <c r="A1230" s="180">
        <f t="shared" ca="1" si="140"/>
        <v>47302</v>
      </c>
      <c r="B1230" s="181">
        <v>1198</v>
      </c>
      <c r="C1230" s="182" t="e">
        <f t="shared" si="134"/>
        <v>#VALUE!</v>
      </c>
      <c r="D1230" s="182" t="e">
        <f t="shared" si="135"/>
        <v>#VALUE!</v>
      </c>
      <c r="E1230" s="182" t="e">
        <f t="shared" si="136"/>
        <v>#VALUE!</v>
      </c>
      <c r="F1230" s="182" t="e">
        <f>SUM($D$33:D1230)</f>
        <v>#VALUE!</v>
      </c>
      <c r="G1230" s="182">
        <f t="shared" ca="1" si="137"/>
        <v>0</v>
      </c>
      <c r="H1230" s="182" t="e">
        <f t="shared" si="138"/>
        <v>#VALUE!</v>
      </c>
      <c r="I1230" s="183" t="e">
        <f t="shared" si="139"/>
        <v>#VALUE!</v>
      </c>
    </row>
    <row r="1231" spans="1:9" x14ac:dyDescent="0.25">
      <c r="A1231" s="180">
        <f t="shared" ca="1" si="140"/>
        <v>47303</v>
      </c>
      <c r="B1231" s="181">
        <v>1199</v>
      </c>
      <c r="C1231" s="182" t="e">
        <f t="shared" si="134"/>
        <v>#VALUE!</v>
      </c>
      <c r="D1231" s="182" t="e">
        <f t="shared" si="135"/>
        <v>#VALUE!</v>
      </c>
      <c r="E1231" s="182" t="e">
        <f t="shared" si="136"/>
        <v>#VALUE!</v>
      </c>
      <c r="F1231" s="182" t="e">
        <f>SUM($D$33:D1231)</f>
        <v>#VALUE!</v>
      </c>
      <c r="G1231" s="182">
        <f t="shared" ca="1" si="137"/>
        <v>0</v>
      </c>
      <c r="H1231" s="182" t="e">
        <f t="shared" si="138"/>
        <v>#VALUE!</v>
      </c>
      <c r="I1231" s="183" t="e">
        <f t="shared" si="139"/>
        <v>#VALUE!</v>
      </c>
    </row>
    <row r="1232" spans="1:9" x14ac:dyDescent="0.25">
      <c r="A1232" s="180">
        <f t="shared" ca="1" si="140"/>
        <v>47304</v>
      </c>
      <c r="B1232" s="181">
        <v>1200</v>
      </c>
      <c r="C1232" s="182" t="e">
        <f t="shared" ref="C1232:C1295" si="141">H1231</f>
        <v>#VALUE!</v>
      </c>
      <c r="D1232" s="182" t="e">
        <f t="shared" ref="D1232:D1295" si="142">IF(C1232&gt;$H$21,C1232*($L$16/360),$H$21*($L$16/360))</f>
        <v>#VALUE!</v>
      </c>
      <c r="E1232" s="182" t="e">
        <f t="shared" ref="E1232:E1295" si="143">IF(E1231&gt;0,E1231-D1232,0)</f>
        <v>#VALUE!</v>
      </c>
      <c r="F1232" s="182" t="e">
        <f>SUM($D$33:D1232)</f>
        <v>#VALUE!</v>
      </c>
      <c r="G1232" s="182">
        <f t="shared" ref="G1232:G1295" ca="1" si="144">IFERROR(-VLOOKUP(A1232,$K$30:$M$36,2,FALSE),0)</f>
        <v>0</v>
      </c>
      <c r="H1232" s="182" t="e">
        <f t="shared" ref="H1232:H1295" si="145">IF(E1232&gt;0,C1232+G1232,IF(E1232&lt;0,C1232+G1232+D1232-E1231,C1232+D1232+G1232))</f>
        <v>#VALUE!</v>
      </c>
      <c r="I1232" s="183" t="e">
        <f t="shared" ref="I1232:I1295" si="146">(C1232+D1232-E1232)</f>
        <v>#VALUE!</v>
      </c>
    </row>
    <row r="1233" spans="1:9" x14ac:dyDescent="0.25">
      <c r="A1233" s="180">
        <f t="shared" ca="1" si="140"/>
        <v>47305</v>
      </c>
      <c r="B1233" s="181">
        <v>1201</v>
      </c>
      <c r="C1233" s="182" t="e">
        <f t="shared" si="141"/>
        <v>#VALUE!</v>
      </c>
      <c r="D1233" s="182" t="e">
        <f t="shared" si="142"/>
        <v>#VALUE!</v>
      </c>
      <c r="E1233" s="182" t="e">
        <f t="shared" si="143"/>
        <v>#VALUE!</v>
      </c>
      <c r="F1233" s="182" t="e">
        <f>SUM($D$33:D1233)</f>
        <v>#VALUE!</v>
      </c>
      <c r="G1233" s="182">
        <f t="shared" ca="1" si="144"/>
        <v>0</v>
      </c>
      <c r="H1233" s="182" t="e">
        <f t="shared" si="145"/>
        <v>#VALUE!</v>
      </c>
      <c r="I1233" s="183" t="e">
        <f t="shared" si="146"/>
        <v>#VALUE!</v>
      </c>
    </row>
    <row r="1234" spans="1:9" x14ac:dyDescent="0.25">
      <c r="A1234" s="180">
        <f t="shared" ca="1" si="140"/>
        <v>47306</v>
      </c>
      <c r="B1234" s="181">
        <v>1202</v>
      </c>
      <c r="C1234" s="182" t="e">
        <f t="shared" si="141"/>
        <v>#VALUE!</v>
      </c>
      <c r="D1234" s="182" t="e">
        <f t="shared" si="142"/>
        <v>#VALUE!</v>
      </c>
      <c r="E1234" s="182" t="e">
        <f t="shared" si="143"/>
        <v>#VALUE!</v>
      </c>
      <c r="F1234" s="182" t="e">
        <f>SUM($D$33:D1234)</f>
        <v>#VALUE!</v>
      </c>
      <c r="G1234" s="182">
        <f t="shared" ca="1" si="144"/>
        <v>0</v>
      </c>
      <c r="H1234" s="182" t="e">
        <f t="shared" si="145"/>
        <v>#VALUE!</v>
      </c>
      <c r="I1234" s="183" t="e">
        <f t="shared" si="146"/>
        <v>#VALUE!</v>
      </c>
    </row>
    <row r="1235" spans="1:9" x14ac:dyDescent="0.25">
      <c r="A1235" s="180">
        <f t="shared" ca="1" si="140"/>
        <v>47307</v>
      </c>
      <c r="B1235" s="181">
        <v>1203</v>
      </c>
      <c r="C1235" s="182" t="e">
        <f t="shared" si="141"/>
        <v>#VALUE!</v>
      </c>
      <c r="D1235" s="182" t="e">
        <f t="shared" si="142"/>
        <v>#VALUE!</v>
      </c>
      <c r="E1235" s="182" t="e">
        <f t="shared" si="143"/>
        <v>#VALUE!</v>
      </c>
      <c r="F1235" s="182" t="e">
        <f>SUM($D$33:D1235)</f>
        <v>#VALUE!</v>
      </c>
      <c r="G1235" s="182">
        <f t="shared" ca="1" si="144"/>
        <v>0</v>
      </c>
      <c r="H1235" s="182" t="e">
        <f t="shared" si="145"/>
        <v>#VALUE!</v>
      </c>
      <c r="I1235" s="183" t="e">
        <f t="shared" si="146"/>
        <v>#VALUE!</v>
      </c>
    </row>
    <row r="1236" spans="1:9" x14ac:dyDescent="0.25">
      <c r="A1236" s="180">
        <f t="shared" ca="1" si="140"/>
        <v>47308</v>
      </c>
      <c r="B1236" s="181">
        <v>1204</v>
      </c>
      <c r="C1236" s="182" t="e">
        <f t="shared" si="141"/>
        <v>#VALUE!</v>
      </c>
      <c r="D1236" s="182" t="e">
        <f t="shared" si="142"/>
        <v>#VALUE!</v>
      </c>
      <c r="E1236" s="182" t="e">
        <f t="shared" si="143"/>
        <v>#VALUE!</v>
      </c>
      <c r="F1236" s="182" t="e">
        <f>SUM($D$33:D1236)</f>
        <v>#VALUE!</v>
      </c>
      <c r="G1236" s="182">
        <f t="shared" ca="1" si="144"/>
        <v>0</v>
      </c>
      <c r="H1236" s="182" t="e">
        <f t="shared" si="145"/>
        <v>#VALUE!</v>
      </c>
      <c r="I1236" s="183" t="e">
        <f t="shared" si="146"/>
        <v>#VALUE!</v>
      </c>
    </row>
    <row r="1237" spans="1:9" x14ac:dyDescent="0.25">
      <c r="A1237" s="180">
        <f t="shared" ca="1" si="140"/>
        <v>47309</v>
      </c>
      <c r="B1237" s="181">
        <v>1205</v>
      </c>
      <c r="C1237" s="182" t="e">
        <f t="shared" si="141"/>
        <v>#VALUE!</v>
      </c>
      <c r="D1237" s="182" t="e">
        <f t="shared" si="142"/>
        <v>#VALUE!</v>
      </c>
      <c r="E1237" s="182" t="e">
        <f t="shared" si="143"/>
        <v>#VALUE!</v>
      </c>
      <c r="F1237" s="182" t="e">
        <f>SUM($D$33:D1237)</f>
        <v>#VALUE!</v>
      </c>
      <c r="G1237" s="182">
        <f t="shared" ca="1" si="144"/>
        <v>0</v>
      </c>
      <c r="H1237" s="182" t="e">
        <f t="shared" si="145"/>
        <v>#VALUE!</v>
      </c>
      <c r="I1237" s="183" t="e">
        <f t="shared" si="146"/>
        <v>#VALUE!</v>
      </c>
    </row>
    <row r="1238" spans="1:9" x14ac:dyDescent="0.25">
      <c r="A1238" s="180">
        <f t="shared" ca="1" si="140"/>
        <v>47310</v>
      </c>
      <c r="B1238" s="181">
        <v>1206</v>
      </c>
      <c r="C1238" s="182" t="e">
        <f t="shared" si="141"/>
        <v>#VALUE!</v>
      </c>
      <c r="D1238" s="182" t="e">
        <f t="shared" si="142"/>
        <v>#VALUE!</v>
      </c>
      <c r="E1238" s="182" t="e">
        <f t="shared" si="143"/>
        <v>#VALUE!</v>
      </c>
      <c r="F1238" s="182" t="e">
        <f>SUM($D$33:D1238)</f>
        <v>#VALUE!</v>
      </c>
      <c r="G1238" s="182">
        <f t="shared" ca="1" si="144"/>
        <v>0</v>
      </c>
      <c r="H1238" s="182" t="e">
        <f t="shared" si="145"/>
        <v>#VALUE!</v>
      </c>
      <c r="I1238" s="183" t="e">
        <f t="shared" si="146"/>
        <v>#VALUE!</v>
      </c>
    </row>
    <row r="1239" spans="1:9" x14ac:dyDescent="0.25">
      <c r="A1239" s="180">
        <f t="shared" ca="1" si="140"/>
        <v>47311</v>
      </c>
      <c r="B1239" s="181">
        <v>1207</v>
      </c>
      <c r="C1239" s="182" t="e">
        <f t="shared" si="141"/>
        <v>#VALUE!</v>
      </c>
      <c r="D1239" s="182" t="e">
        <f t="shared" si="142"/>
        <v>#VALUE!</v>
      </c>
      <c r="E1239" s="182" t="e">
        <f t="shared" si="143"/>
        <v>#VALUE!</v>
      </c>
      <c r="F1239" s="182" t="e">
        <f>SUM($D$33:D1239)</f>
        <v>#VALUE!</v>
      </c>
      <c r="G1239" s="182">
        <f t="shared" ca="1" si="144"/>
        <v>0</v>
      </c>
      <c r="H1239" s="182" t="e">
        <f t="shared" si="145"/>
        <v>#VALUE!</v>
      </c>
      <c r="I1239" s="183" t="e">
        <f t="shared" si="146"/>
        <v>#VALUE!</v>
      </c>
    </row>
    <row r="1240" spans="1:9" x14ac:dyDescent="0.25">
      <c r="A1240" s="180">
        <f t="shared" ca="1" si="140"/>
        <v>47312</v>
      </c>
      <c r="B1240" s="181">
        <v>1208</v>
      </c>
      <c r="C1240" s="182" t="e">
        <f t="shared" si="141"/>
        <v>#VALUE!</v>
      </c>
      <c r="D1240" s="182" t="e">
        <f t="shared" si="142"/>
        <v>#VALUE!</v>
      </c>
      <c r="E1240" s="182" t="e">
        <f t="shared" si="143"/>
        <v>#VALUE!</v>
      </c>
      <c r="F1240" s="182" t="e">
        <f>SUM($D$33:D1240)</f>
        <v>#VALUE!</v>
      </c>
      <c r="G1240" s="182">
        <f t="shared" ca="1" si="144"/>
        <v>0</v>
      </c>
      <c r="H1240" s="182" t="e">
        <f t="shared" si="145"/>
        <v>#VALUE!</v>
      </c>
      <c r="I1240" s="183" t="e">
        <f t="shared" si="146"/>
        <v>#VALUE!</v>
      </c>
    </row>
    <row r="1241" spans="1:9" x14ac:dyDescent="0.25">
      <c r="A1241" s="180">
        <f t="shared" ca="1" si="140"/>
        <v>47313</v>
      </c>
      <c r="B1241" s="181">
        <v>1209</v>
      </c>
      <c r="C1241" s="182" t="e">
        <f t="shared" si="141"/>
        <v>#VALUE!</v>
      </c>
      <c r="D1241" s="182" t="e">
        <f t="shared" si="142"/>
        <v>#VALUE!</v>
      </c>
      <c r="E1241" s="182" t="e">
        <f t="shared" si="143"/>
        <v>#VALUE!</v>
      </c>
      <c r="F1241" s="182" t="e">
        <f>SUM($D$33:D1241)</f>
        <v>#VALUE!</v>
      </c>
      <c r="G1241" s="182">
        <f t="shared" ca="1" si="144"/>
        <v>0</v>
      </c>
      <c r="H1241" s="182" t="e">
        <f t="shared" si="145"/>
        <v>#VALUE!</v>
      </c>
      <c r="I1241" s="183" t="e">
        <f t="shared" si="146"/>
        <v>#VALUE!</v>
      </c>
    </row>
    <row r="1242" spans="1:9" x14ac:dyDescent="0.25">
      <c r="A1242" s="180">
        <f t="shared" ca="1" si="140"/>
        <v>47314</v>
      </c>
      <c r="B1242" s="181">
        <v>1210</v>
      </c>
      <c r="C1242" s="182" t="e">
        <f t="shared" si="141"/>
        <v>#VALUE!</v>
      </c>
      <c r="D1242" s="182" t="e">
        <f t="shared" si="142"/>
        <v>#VALUE!</v>
      </c>
      <c r="E1242" s="182" t="e">
        <f t="shared" si="143"/>
        <v>#VALUE!</v>
      </c>
      <c r="F1242" s="182" t="e">
        <f>SUM($D$33:D1242)</f>
        <v>#VALUE!</v>
      </c>
      <c r="G1242" s="182">
        <f t="shared" ca="1" si="144"/>
        <v>0</v>
      </c>
      <c r="H1242" s="182" t="e">
        <f t="shared" si="145"/>
        <v>#VALUE!</v>
      </c>
      <c r="I1242" s="183" t="e">
        <f t="shared" si="146"/>
        <v>#VALUE!</v>
      </c>
    </row>
    <row r="1243" spans="1:9" x14ac:dyDescent="0.25">
      <c r="A1243" s="180">
        <f t="shared" ca="1" si="140"/>
        <v>47315</v>
      </c>
      <c r="B1243" s="181">
        <v>1211</v>
      </c>
      <c r="C1243" s="182" t="e">
        <f t="shared" si="141"/>
        <v>#VALUE!</v>
      </c>
      <c r="D1243" s="182" t="e">
        <f t="shared" si="142"/>
        <v>#VALUE!</v>
      </c>
      <c r="E1243" s="182" t="e">
        <f t="shared" si="143"/>
        <v>#VALUE!</v>
      </c>
      <c r="F1243" s="182" t="e">
        <f>SUM($D$33:D1243)</f>
        <v>#VALUE!</v>
      </c>
      <c r="G1243" s="182">
        <f t="shared" ca="1" si="144"/>
        <v>0</v>
      </c>
      <c r="H1243" s="182" t="e">
        <f t="shared" si="145"/>
        <v>#VALUE!</v>
      </c>
      <c r="I1243" s="183" t="e">
        <f t="shared" si="146"/>
        <v>#VALUE!</v>
      </c>
    </row>
    <row r="1244" spans="1:9" x14ac:dyDescent="0.25">
      <c r="A1244" s="180">
        <f t="shared" ca="1" si="140"/>
        <v>47316</v>
      </c>
      <c r="B1244" s="181">
        <v>1212</v>
      </c>
      <c r="C1244" s="182" t="e">
        <f t="shared" si="141"/>
        <v>#VALUE!</v>
      </c>
      <c r="D1244" s="182" t="e">
        <f t="shared" si="142"/>
        <v>#VALUE!</v>
      </c>
      <c r="E1244" s="182" t="e">
        <f t="shared" si="143"/>
        <v>#VALUE!</v>
      </c>
      <c r="F1244" s="182" t="e">
        <f>SUM($D$33:D1244)</f>
        <v>#VALUE!</v>
      </c>
      <c r="G1244" s="182">
        <f t="shared" ca="1" si="144"/>
        <v>0</v>
      </c>
      <c r="H1244" s="182" t="e">
        <f t="shared" si="145"/>
        <v>#VALUE!</v>
      </c>
      <c r="I1244" s="183" t="e">
        <f t="shared" si="146"/>
        <v>#VALUE!</v>
      </c>
    </row>
    <row r="1245" spans="1:9" x14ac:dyDescent="0.25">
      <c r="A1245" s="180">
        <f t="shared" ca="1" si="140"/>
        <v>47317</v>
      </c>
      <c r="B1245" s="181">
        <v>1213</v>
      </c>
      <c r="C1245" s="182" t="e">
        <f t="shared" si="141"/>
        <v>#VALUE!</v>
      </c>
      <c r="D1245" s="182" t="e">
        <f t="shared" si="142"/>
        <v>#VALUE!</v>
      </c>
      <c r="E1245" s="182" t="e">
        <f t="shared" si="143"/>
        <v>#VALUE!</v>
      </c>
      <c r="F1245" s="182" t="e">
        <f>SUM($D$33:D1245)</f>
        <v>#VALUE!</v>
      </c>
      <c r="G1245" s="182">
        <f t="shared" ca="1" si="144"/>
        <v>0</v>
      </c>
      <c r="H1245" s="182" t="e">
        <f t="shared" si="145"/>
        <v>#VALUE!</v>
      </c>
      <c r="I1245" s="183" t="e">
        <f t="shared" si="146"/>
        <v>#VALUE!</v>
      </c>
    </row>
    <row r="1246" spans="1:9" x14ac:dyDescent="0.25">
      <c r="A1246" s="180">
        <f t="shared" ca="1" si="140"/>
        <v>47318</v>
      </c>
      <c r="B1246" s="181">
        <v>1214</v>
      </c>
      <c r="C1246" s="182" t="e">
        <f t="shared" si="141"/>
        <v>#VALUE!</v>
      </c>
      <c r="D1246" s="182" t="e">
        <f t="shared" si="142"/>
        <v>#VALUE!</v>
      </c>
      <c r="E1246" s="182" t="e">
        <f t="shared" si="143"/>
        <v>#VALUE!</v>
      </c>
      <c r="F1246" s="182" t="e">
        <f>SUM($D$33:D1246)</f>
        <v>#VALUE!</v>
      </c>
      <c r="G1246" s="182">
        <f t="shared" ca="1" si="144"/>
        <v>0</v>
      </c>
      <c r="H1246" s="182" t="e">
        <f t="shared" si="145"/>
        <v>#VALUE!</v>
      </c>
      <c r="I1246" s="183" t="e">
        <f t="shared" si="146"/>
        <v>#VALUE!</v>
      </c>
    </row>
    <row r="1247" spans="1:9" x14ac:dyDescent="0.25">
      <c r="A1247" s="180">
        <f t="shared" ca="1" si="140"/>
        <v>47319</v>
      </c>
      <c r="B1247" s="181">
        <v>1215</v>
      </c>
      <c r="C1247" s="182" t="e">
        <f t="shared" si="141"/>
        <v>#VALUE!</v>
      </c>
      <c r="D1247" s="182" t="e">
        <f t="shared" si="142"/>
        <v>#VALUE!</v>
      </c>
      <c r="E1247" s="182" t="e">
        <f t="shared" si="143"/>
        <v>#VALUE!</v>
      </c>
      <c r="F1247" s="182" t="e">
        <f>SUM($D$33:D1247)</f>
        <v>#VALUE!</v>
      </c>
      <c r="G1247" s="182">
        <f t="shared" ca="1" si="144"/>
        <v>0</v>
      </c>
      <c r="H1247" s="182" t="e">
        <f t="shared" si="145"/>
        <v>#VALUE!</v>
      </c>
      <c r="I1247" s="183" t="e">
        <f t="shared" si="146"/>
        <v>#VALUE!</v>
      </c>
    </row>
    <row r="1248" spans="1:9" x14ac:dyDescent="0.25">
      <c r="A1248" s="180">
        <f t="shared" ca="1" si="140"/>
        <v>47320</v>
      </c>
      <c r="B1248" s="181">
        <v>1216</v>
      </c>
      <c r="C1248" s="182" t="e">
        <f t="shared" si="141"/>
        <v>#VALUE!</v>
      </c>
      <c r="D1248" s="182" t="e">
        <f t="shared" si="142"/>
        <v>#VALUE!</v>
      </c>
      <c r="E1248" s="182" t="e">
        <f t="shared" si="143"/>
        <v>#VALUE!</v>
      </c>
      <c r="F1248" s="182" t="e">
        <f>SUM($D$33:D1248)</f>
        <v>#VALUE!</v>
      </c>
      <c r="G1248" s="182">
        <f t="shared" ca="1" si="144"/>
        <v>0</v>
      </c>
      <c r="H1248" s="182" t="e">
        <f t="shared" si="145"/>
        <v>#VALUE!</v>
      </c>
      <c r="I1248" s="183" t="e">
        <f t="shared" si="146"/>
        <v>#VALUE!</v>
      </c>
    </row>
    <row r="1249" spans="1:9" x14ac:dyDescent="0.25">
      <c r="A1249" s="180">
        <f t="shared" ca="1" si="140"/>
        <v>47321</v>
      </c>
      <c r="B1249" s="181">
        <v>1217</v>
      </c>
      <c r="C1249" s="182" t="e">
        <f t="shared" si="141"/>
        <v>#VALUE!</v>
      </c>
      <c r="D1249" s="182" t="e">
        <f t="shared" si="142"/>
        <v>#VALUE!</v>
      </c>
      <c r="E1249" s="182" t="e">
        <f t="shared" si="143"/>
        <v>#VALUE!</v>
      </c>
      <c r="F1249" s="182" t="e">
        <f>SUM($D$33:D1249)</f>
        <v>#VALUE!</v>
      </c>
      <c r="G1249" s="182">
        <f t="shared" ca="1" si="144"/>
        <v>0</v>
      </c>
      <c r="H1249" s="182" t="e">
        <f t="shared" si="145"/>
        <v>#VALUE!</v>
      </c>
      <c r="I1249" s="183" t="e">
        <f t="shared" si="146"/>
        <v>#VALUE!</v>
      </c>
    </row>
    <row r="1250" spans="1:9" x14ac:dyDescent="0.25">
      <c r="A1250" s="180">
        <f t="shared" ref="A1250:A1313" ca="1" si="147">A1249+1</f>
        <v>47322</v>
      </c>
      <c r="B1250" s="181">
        <v>1218</v>
      </c>
      <c r="C1250" s="182" t="e">
        <f t="shared" si="141"/>
        <v>#VALUE!</v>
      </c>
      <c r="D1250" s="182" t="e">
        <f t="shared" si="142"/>
        <v>#VALUE!</v>
      </c>
      <c r="E1250" s="182" t="e">
        <f t="shared" si="143"/>
        <v>#VALUE!</v>
      </c>
      <c r="F1250" s="182" t="e">
        <f>SUM($D$33:D1250)</f>
        <v>#VALUE!</v>
      </c>
      <c r="G1250" s="182">
        <f t="shared" ca="1" si="144"/>
        <v>0</v>
      </c>
      <c r="H1250" s="182" t="e">
        <f t="shared" si="145"/>
        <v>#VALUE!</v>
      </c>
      <c r="I1250" s="183" t="e">
        <f t="shared" si="146"/>
        <v>#VALUE!</v>
      </c>
    </row>
    <row r="1251" spans="1:9" x14ac:dyDescent="0.25">
      <c r="A1251" s="180">
        <f t="shared" ca="1" si="147"/>
        <v>47323</v>
      </c>
      <c r="B1251" s="181">
        <v>1219</v>
      </c>
      <c r="C1251" s="182" t="e">
        <f t="shared" si="141"/>
        <v>#VALUE!</v>
      </c>
      <c r="D1251" s="182" t="e">
        <f t="shared" si="142"/>
        <v>#VALUE!</v>
      </c>
      <c r="E1251" s="182" t="e">
        <f t="shared" si="143"/>
        <v>#VALUE!</v>
      </c>
      <c r="F1251" s="182" t="e">
        <f>SUM($D$33:D1251)</f>
        <v>#VALUE!</v>
      </c>
      <c r="G1251" s="182">
        <f t="shared" ca="1" si="144"/>
        <v>0</v>
      </c>
      <c r="H1251" s="182" t="e">
        <f t="shared" si="145"/>
        <v>#VALUE!</v>
      </c>
      <c r="I1251" s="183" t="e">
        <f t="shared" si="146"/>
        <v>#VALUE!</v>
      </c>
    </row>
    <row r="1252" spans="1:9" x14ac:dyDescent="0.25">
      <c r="A1252" s="180">
        <f t="shared" ca="1" si="147"/>
        <v>47324</v>
      </c>
      <c r="B1252" s="181">
        <v>1220</v>
      </c>
      <c r="C1252" s="182" t="e">
        <f t="shared" si="141"/>
        <v>#VALUE!</v>
      </c>
      <c r="D1252" s="182" t="e">
        <f t="shared" si="142"/>
        <v>#VALUE!</v>
      </c>
      <c r="E1252" s="182" t="e">
        <f t="shared" si="143"/>
        <v>#VALUE!</v>
      </c>
      <c r="F1252" s="182" t="e">
        <f>SUM($D$33:D1252)</f>
        <v>#VALUE!</v>
      </c>
      <c r="G1252" s="182">
        <f t="shared" ca="1" si="144"/>
        <v>0</v>
      </c>
      <c r="H1252" s="182" t="e">
        <f t="shared" si="145"/>
        <v>#VALUE!</v>
      </c>
      <c r="I1252" s="183" t="e">
        <f t="shared" si="146"/>
        <v>#VALUE!</v>
      </c>
    </row>
    <row r="1253" spans="1:9" x14ac:dyDescent="0.25">
      <c r="A1253" s="180">
        <f t="shared" ca="1" si="147"/>
        <v>47325</v>
      </c>
      <c r="B1253" s="181">
        <v>1221</v>
      </c>
      <c r="C1253" s="182" t="e">
        <f t="shared" si="141"/>
        <v>#VALUE!</v>
      </c>
      <c r="D1253" s="182" t="e">
        <f t="shared" si="142"/>
        <v>#VALUE!</v>
      </c>
      <c r="E1253" s="182" t="e">
        <f t="shared" si="143"/>
        <v>#VALUE!</v>
      </c>
      <c r="F1253" s="182" t="e">
        <f>SUM($D$33:D1253)</f>
        <v>#VALUE!</v>
      </c>
      <c r="G1253" s="182">
        <f t="shared" ca="1" si="144"/>
        <v>0</v>
      </c>
      <c r="H1253" s="182" t="e">
        <f t="shared" si="145"/>
        <v>#VALUE!</v>
      </c>
      <c r="I1253" s="183" t="e">
        <f t="shared" si="146"/>
        <v>#VALUE!</v>
      </c>
    </row>
    <row r="1254" spans="1:9" x14ac:dyDescent="0.25">
      <c r="A1254" s="180">
        <f t="shared" ca="1" si="147"/>
        <v>47326</v>
      </c>
      <c r="B1254" s="181">
        <v>1222</v>
      </c>
      <c r="C1254" s="182" t="e">
        <f t="shared" si="141"/>
        <v>#VALUE!</v>
      </c>
      <c r="D1254" s="182" t="e">
        <f t="shared" si="142"/>
        <v>#VALUE!</v>
      </c>
      <c r="E1254" s="182" t="e">
        <f t="shared" si="143"/>
        <v>#VALUE!</v>
      </c>
      <c r="F1254" s="182" t="e">
        <f>SUM($D$33:D1254)</f>
        <v>#VALUE!</v>
      </c>
      <c r="G1254" s="182">
        <f t="shared" ca="1" si="144"/>
        <v>0</v>
      </c>
      <c r="H1254" s="182" t="e">
        <f t="shared" si="145"/>
        <v>#VALUE!</v>
      </c>
      <c r="I1254" s="183" t="e">
        <f t="shared" si="146"/>
        <v>#VALUE!</v>
      </c>
    </row>
    <row r="1255" spans="1:9" x14ac:dyDescent="0.25">
      <c r="A1255" s="180">
        <f t="shared" ca="1" si="147"/>
        <v>47327</v>
      </c>
      <c r="B1255" s="181">
        <v>1223</v>
      </c>
      <c r="C1255" s="182" t="e">
        <f t="shared" si="141"/>
        <v>#VALUE!</v>
      </c>
      <c r="D1255" s="182" t="e">
        <f t="shared" si="142"/>
        <v>#VALUE!</v>
      </c>
      <c r="E1255" s="182" t="e">
        <f t="shared" si="143"/>
        <v>#VALUE!</v>
      </c>
      <c r="F1255" s="182" t="e">
        <f>SUM($D$33:D1255)</f>
        <v>#VALUE!</v>
      </c>
      <c r="G1255" s="182">
        <f t="shared" ca="1" si="144"/>
        <v>0</v>
      </c>
      <c r="H1255" s="182" t="e">
        <f t="shared" si="145"/>
        <v>#VALUE!</v>
      </c>
      <c r="I1255" s="183" t="e">
        <f t="shared" si="146"/>
        <v>#VALUE!</v>
      </c>
    </row>
    <row r="1256" spans="1:9" x14ac:dyDescent="0.25">
      <c r="A1256" s="180">
        <f t="shared" ca="1" si="147"/>
        <v>47328</v>
      </c>
      <c r="B1256" s="181">
        <v>1224</v>
      </c>
      <c r="C1256" s="182" t="e">
        <f t="shared" si="141"/>
        <v>#VALUE!</v>
      </c>
      <c r="D1256" s="182" t="e">
        <f t="shared" si="142"/>
        <v>#VALUE!</v>
      </c>
      <c r="E1256" s="182" t="e">
        <f t="shared" si="143"/>
        <v>#VALUE!</v>
      </c>
      <c r="F1256" s="182" t="e">
        <f>SUM($D$33:D1256)</f>
        <v>#VALUE!</v>
      </c>
      <c r="G1256" s="182">
        <f t="shared" ca="1" si="144"/>
        <v>0</v>
      </c>
      <c r="H1256" s="182" t="e">
        <f t="shared" si="145"/>
        <v>#VALUE!</v>
      </c>
      <c r="I1256" s="183" t="e">
        <f t="shared" si="146"/>
        <v>#VALUE!</v>
      </c>
    </row>
    <row r="1257" spans="1:9" x14ac:dyDescent="0.25">
      <c r="A1257" s="180">
        <f t="shared" ca="1" si="147"/>
        <v>47329</v>
      </c>
      <c r="B1257" s="181">
        <v>1225</v>
      </c>
      <c r="C1257" s="182" t="e">
        <f t="shared" si="141"/>
        <v>#VALUE!</v>
      </c>
      <c r="D1257" s="182" t="e">
        <f t="shared" si="142"/>
        <v>#VALUE!</v>
      </c>
      <c r="E1257" s="182" t="e">
        <f t="shared" si="143"/>
        <v>#VALUE!</v>
      </c>
      <c r="F1257" s="182" t="e">
        <f>SUM($D$33:D1257)</f>
        <v>#VALUE!</v>
      </c>
      <c r="G1257" s="182">
        <f t="shared" ca="1" si="144"/>
        <v>0</v>
      </c>
      <c r="H1257" s="182" t="e">
        <f t="shared" si="145"/>
        <v>#VALUE!</v>
      </c>
      <c r="I1257" s="183" t="e">
        <f t="shared" si="146"/>
        <v>#VALUE!</v>
      </c>
    </row>
    <row r="1258" spans="1:9" x14ac:dyDescent="0.25">
      <c r="A1258" s="180">
        <f t="shared" ca="1" si="147"/>
        <v>47330</v>
      </c>
      <c r="B1258" s="181">
        <v>1226</v>
      </c>
      <c r="C1258" s="182" t="e">
        <f t="shared" si="141"/>
        <v>#VALUE!</v>
      </c>
      <c r="D1258" s="182" t="e">
        <f t="shared" si="142"/>
        <v>#VALUE!</v>
      </c>
      <c r="E1258" s="182" t="e">
        <f t="shared" si="143"/>
        <v>#VALUE!</v>
      </c>
      <c r="F1258" s="182" t="e">
        <f>SUM($D$33:D1258)</f>
        <v>#VALUE!</v>
      </c>
      <c r="G1258" s="182">
        <f t="shared" ca="1" si="144"/>
        <v>0</v>
      </c>
      <c r="H1258" s="182" t="e">
        <f t="shared" si="145"/>
        <v>#VALUE!</v>
      </c>
      <c r="I1258" s="183" t="e">
        <f t="shared" si="146"/>
        <v>#VALUE!</v>
      </c>
    </row>
    <row r="1259" spans="1:9" x14ac:dyDescent="0.25">
      <c r="A1259" s="180">
        <f t="shared" ca="1" si="147"/>
        <v>47331</v>
      </c>
      <c r="B1259" s="181">
        <v>1227</v>
      </c>
      <c r="C1259" s="182" t="e">
        <f t="shared" si="141"/>
        <v>#VALUE!</v>
      </c>
      <c r="D1259" s="182" t="e">
        <f t="shared" si="142"/>
        <v>#VALUE!</v>
      </c>
      <c r="E1259" s="182" t="e">
        <f t="shared" si="143"/>
        <v>#VALUE!</v>
      </c>
      <c r="F1259" s="182" t="e">
        <f>SUM($D$33:D1259)</f>
        <v>#VALUE!</v>
      </c>
      <c r="G1259" s="182">
        <f t="shared" ca="1" si="144"/>
        <v>0</v>
      </c>
      <c r="H1259" s="182" t="e">
        <f t="shared" si="145"/>
        <v>#VALUE!</v>
      </c>
      <c r="I1259" s="183" t="e">
        <f t="shared" si="146"/>
        <v>#VALUE!</v>
      </c>
    </row>
    <row r="1260" spans="1:9" x14ac:dyDescent="0.25">
      <c r="A1260" s="180">
        <f t="shared" ca="1" si="147"/>
        <v>47332</v>
      </c>
      <c r="B1260" s="181">
        <v>1228</v>
      </c>
      <c r="C1260" s="182" t="e">
        <f t="shared" si="141"/>
        <v>#VALUE!</v>
      </c>
      <c r="D1260" s="182" t="e">
        <f t="shared" si="142"/>
        <v>#VALUE!</v>
      </c>
      <c r="E1260" s="182" t="e">
        <f t="shared" si="143"/>
        <v>#VALUE!</v>
      </c>
      <c r="F1260" s="182" t="e">
        <f>SUM($D$33:D1260)</f>
        <v>#VALUE!</v>
      </c>
      <c r="G1260" s="182">
        <f t="shared" ca="1" si="144"/>
        <v>0</v>
      </c>
      <c r="H1260" s="182" t="e">
        <f t="shared" si="145"/>
        <v>#VALUE!</v>
      </c>
      <c r="I1260" s="183" t="e">
        <f t="shared" si="146"/>
        <v>#VALUE!</v>
      </c>
    </row>
    <row r="1261" spans="1:9" x14ac:dyDescent="0.25">
      <c r="A1261" s="180">
        <f t="shared" ca="1" si="147"/>
        <v>47333</v>
      </c>
      <c r="B1261" s="181">
        <v>1229</v>
      </c>
      <c r="C1261" s="182" t="e">
        <f t="shared" si="141"/>
        <v>#VALUE!</v>
      </c>
      <c r="D1261" s="182" t="e">
        <f t="shared" si="142"/>
        <v>#VALUE!</v>
      </c>
      <c r="E1261" s="182" t="e">
        <f t="shared" si="143"/>
        <v>#VALUE!</v>
      </c>
      <c r="F1261" s="182" t="e">
        <f>SUM($D$33:D1261)</f>
        <v>#VALUE!</v>
      </c>
      <c r="G1261" s="182">
        <f t="shared" ca="1" si="144"/>
        <v>0</v>
      </c>
      <c r="H1261" s="182" t="e">
        <f t="shared" si="145"/>
        <v>#VALUE!</v>
      </c>
      <c r="I1261" s="183" t="e">
        <f t="shared" si="146"/>
        <v>#VALUE!</v>
      </c>
    </row>
    <row r="1262" spans="1:9" x14ac:dyDescent="0.25">
      <c r="A1262" s="180">
        <f t="shared" ca="1" si="147"/>
        <v>47334</v>
      </c>
      <c r="B1262" s="181">
        <v>1230</v>
      </c>
      <c r="C1262" s="182" t="e">
        <f t="shared" si="141"/>
        <v>#VALUE!</v>
      </c>
      <c r="D1262" s="182" t="e">
        <f t="shared" si="142"/>
        <v>#VALUE!</v>
      </c>
      <c r="E1262" s="182" t="e">
        <f t="shared" si="143"/>
        <v>#VALUE!</v>
      </c>
      <c r="F1262" s="182" t="e">
        <f>SUM($D$33:D1262)</f>
        <v>#VALUE!</v>
      </c>
      <c r="G1262" s="182">
        <f t="shared" ca="1" si="144"/>
        <v>0</v>
      </c>
      <c r="H1262" s="182" t="e">
        <f t="shared" si="145"/>
        <v>#VALUE!</v>
      </c>
      <c r="I1262" s="183" t="e">
        <f t="shared" si="146"/>
        <v>#VALUE!</v>
      </c>
    </row>
    <row r="1263" spans="1:9" x14ac:dyDescent="0.25">
      <c r="A1263" s="180">
        <f t="shared" ca="1" si="147"/>
        <v>47335</v>
      </c>
      <c r="B1263" s="181">
        <v>1231</v>
      </c>
      <c r="C1263" s="182" t="e">
        <f t="shared" si="141"/>
        <v>#VALUE!</v>
      </c>
      <c r="D1263" s="182" t="e">
        <f t="shared" si="142"/>
        <v>#VALUE!</v>
      </c>
      <c r="E1263" s="182" t="e">
        <f t="shared" si="143"/>
        <v>#VALUE!</v>
      </c>
      <c r="F1263" s="182" t="e">
        <f>SUM($D$33:D1263)</f>
        <v>#VALUE!</v>
      </c>
      <c r="G1263" s="182">
        <f t="shared" ca="1" si="144"/>
        <v>0</v>
      </c>
      <c r="H1263" s="182" t="e">
        <f t="shared" si="145"/>
        <v>#VALUE!</v>
      </c>
      <c r="I1263" s="183" t="e">
        <f t="shared" si="146"/>
        <v>#VALUE!</v>
      </c>
    </row>
    <row r="1264" spans="1:9" x14ac:dyDescent="0.25">
      <c r="A1264" s="180">
        <f t="shared" ca="1" si="147"/>
        <v>47336</v>
      </c>
      <c r="B1264" s="181">
        <v>1232</v>
      </c>
      <c r="C1264" s="182" t="e">
        <f t="shared" si="141"/>
        <v>#VALUE!</v>
      </c>
      <c r="D1264" s="182" t="e">
        <f t="shared" si="142"/>
        <v>#VALUE!</v>
      </c>
      <c r="E1264" s="182" t="e">
        <f t="shared" si="143"/>
        <v>#VALUE!</v>
      </c>
      <c r="F1264" s="182" t="e">
        <f>SUM($D$33:D1264)</f>
        <v>#VALUE!</v>
      </c>
      <c r="G1264" s="182">
        <f t="shared" ca="1" si="144"/>
        <v>0</v>
      </c>
      <c r="H1264" s="182" t="e">
        <f t="shared" si="145"/>
        <v>#VALUE!</v>
      </c>
      <c r="I1264" s="183" t="e">
        <f t="shared" si="146"/>
        <v>#VALUE!</v>
      </c>
    </row>
    <row r="1265" spans="1:9" x14ac:dyDescent="0.25">
      <c r="A1265" s="180">
        <f t="shared" ca="1" si="147"/>
        <v>47337</v>
      </c>
      <c r="B1265" s="181">
        <v>1233</v>
      </c>
      <c r="C1265" s="182" t="e">
        <f t="shared" si="141"/>
        <v>#VALUE!</v>
      </c>
      <c r="D1265" s="182" t="e">
        <f t="shared" si="142"/>
        <v>#VALUE!</v>
      </c>
      <c r="E1265" s="182" t="e">
        <f t="shared" si="143"/>
        <v>#VALUE!</v>
      </c>
      <c r="F1265" s="182" t="e">
        <f>SUM($D$33:D1265)</f>
        <v>#VALUE!</v>
      </c>
      <c r="G1265" s="182">
        <f t="shared" ca="1" si="144"/>
        <v>0</v>
      </c>
      <c r="H1265" s="182" t="e">
        <f t="shared" si="145"/>
        <v>#VALUE!</v>
      </c>
      <c r="I1265" s="183" t="e">
        <f t="shared" si="146"/>
        <v>#VALUE!</v>
      </c>
    </row>
    <row r="1266" spans="1:9" x14ac:dyDescent="0.25">
      <c r="A1266" s="180">
        <f t="shared" ca="1" si="147"/>
        <v>47338</v>
      </c>
      <c r="B1266" s="181">
        <v>1234</v>
      </c>
      <c r="C1266" s="182" t="e">
        <f t="shared" si="141"/>
        <v>#VALUE!</v>
      </c>
      <c r="D1266" s="182" t="e">
        <f t="shared" si="142"/>
        <v>#VALUE!</v>
      </c>
      <c r="E1266" s="182" t="e">
        <f t="shared" si="143"/>
        <v>#VALUE!</v>
      </c>
      <c r="F1266" s="182" t="e">
        <f>SUM($D$33:D1266)</f>
        <v>#VALUE!</v>
      </c>
      <c r="G1266" s="182">
        <f t="shared" ca="1" si="144"/>
        <v>0</v>
      </c>
      <c r="H1266" s="182" t="e">
        <f t="shared" si="145"/>
        <v>#VALUE!</v>
      </c>
      <c r="I1266" s="183" t="e">
        <f t="shared" si="146"/>
        <v>#VALUE!</v>
      </c>
    </row>
    <row r="1267" spans="1:9" x14ac:dyDescent="0.25">
      <c r="A1267" s="180">
        <f t="shared" ca="1" si="147"/>
        <v>47339</v>
      </c>
      <c r="B1267" s="181">
        <v>1235</v>
      </c>
      <c r="C1267" s="182" t="e">
        <f t="shared" si="141"/>
        <v>#VALUE!</v>
      </c>
      <c r="D1267" s="182" t="e">
        <f t="shared" si="142"/>
        <v>#VALUE!</v>
      </c>
      <c r="E1267" s="182" t="e">
        <f t="shared" si="143"/>
        <v>#VALUE!</v>
      </c>
      <c r="F1267" s="182" t="e">
        <f>SUM($D$33:D1267)</f>
        <v>#VALUE!</v>
      </c>
      <c r="G1267" s="182">
        <f t="shared" ca="1" si="144"/>
        <v>0</v>
      </c>
      <c r="H1267" s="182" t="e">
        <f t="shared" si="145"/>
        <v>#VALUE!</v>
      </c>
      <c r="I1267" s="183" t="e">
        <f t="shared" si="146"/>
        <v>#VALUE!</v>
      </c>
    </row>
    <row r="1268" spans="1:9" x14ac:dyDescent="0.25">
      <c r="A1268" s="180">
        <f t="shared" ca="1" si="147"/>
        <v>47340</v>
      </c>
      <c r="B1268" s="181">
        <v>1236</v>
      </c>
      <c r="C1268" s="182" t="e">
        <f t="shared" si="141"/>
        <v>#VALUE!</v>
      </c>
      <c r="D1268" s="182" t="e">
        <f t="shared" si="142"/>
        <v>#VALUE!</v>
      </c>
      <c r="E1268" s="182" t="e">
        <f t="shared" si="143"/>
        <v>#VALUE!</v>
      </c>
      <c r="F1268" s="182" t="e">
        <f>SUM($D$33:D1268)</f>
        <v>#VALUE!</v>
      </c>
      <c r="G1268" s="182">
        <f t="shared" ca="1" si="144"/>
        <v>0</v>
      </c>
      <c r="H1268" s="182" t="e">
        <f t="shared" si="145"/>
        <v>#VALUE!</v>
      </c>
      <c r="I1268" s="183" t="e">
        <f t="shared" si="146"/>
        <v>#VALUE!</v>
      </c>
    </row>
    <row r="1269" spans="1:9" x14ac:dyDescent="0.25">
      <c r="A1269" s="180">
        <f t="shared" ca="1" si="147"/>
        <v>47341</v>
      </c>
      <c r="B1269" s="181">
        <v>1237</v>
      </c>
      <c r="C1269" s="182" t="e">
        <f t="shared" si="141"/>
        <v>#VALUE!</v>
      </c>
      <c r="D1269" s="182" t="e">
        <f t="shared" si="142"/>
        <v>#VALUE!</v>
      </c>
      <c r="E1269" s="182" t="e">
        <f t="shared" si="143"/>
        <v>#VALUE!</v>
      </c>
      <c r="F1269" s="182" t="e">
        <f>SUM($D$33:D1269)</f>
        <v>#VALUE!</v>
      </c>
      <c r="G1269" s="182">
        <f t="shared" ca="1" si="144"/>
        <v>0</v>
      </c>
      <c r="H1269" s="182" t="e">
        <f t="shared" si="145"/>
        <v>#VALUE!</v>
      </c>
      <c r="I1269" s="183" t="e">
        <f t="shared" si="146"/>
        <v>#VALUE!</v>
      </c>
    </row>
    <row r="1270" spans="1:9" x14ac:dyDescent="0.25">
      <c r="A1270" s="180">
        <f t="shared" ca="1" si="147"/>
        <v>47342</v>
      </c>
      <c r="B1270" s="181">
        <v>1238</v>
      </c>
      <c r="C1270" s="182" t="e">
        <f t="shared" si="141"/>
        <v>#VALUE!</v>
      </c>
      <c r="D1270" s="182" t="e">
        <f t="shared" si="142"/>
        <v>#VALUE!</v>
      </c>
      <c r="E1270" s="182" t="e">
        <f t="shared" si="143"/>
        <v>#VALUE!</v>
      </c>
      <c r="F1270" s="182" t="e">
        <f>SUM($D$33:D1270)</f>
        <v>#VALUE!</v>
      </c>
      <c r="G1270" s="182">
        <f t="shared" ca="1" si="144"/>
        <v>0</v>
      </c>
      <c r="H1270" s="182" t="e">
        <f t="shared" si="145"/>
        <v>#VALUE!</v>
      </c>
      <c r="I1270" s="183" t="e">
        <f t="shared" si="146"/>
        <v>#VALUE!</v>
      </c>
    </row>
    <row r="1271" spans="1:9" x14ac:dyDescent="0.25">
      <c r="A1271" s="180">
        <f t="shared" ca="1" si="147"/>
        <v>47343</v>
      </c>
      <c r="B1271" s="181">
        <v>1239</v>
      </c>
      <c r="C1271" s="182" t="e">
        <f t="shared" si="141"/>
        <v>#VALUE!</v>
      </c>
      <c r="D1271" s="182" t="e">
        <f t="shared" si="142"/>
        <v>#VALUE!</v>
      </c>
      <c r="E1271" s="182" t="e">
        <f t="shared" si="143"/>
        <v>#VALUE!</v>
      </c>
      <c r="F1271" s="182" t="e">
        <f>SUM($D$33:D1271)</f>
        <v>#VALUE!</v>
      </c>
      <c r="G1271" s="182">
        <f t="shared" ca="1" si="144"/>
        <v>0</v>
      </c>
      <c r="H1271" s="182" t="e">
        <f t="shared" si="145"/>
        <v>#VALUE!</v>
      </c>
      <c r="I1271" s="183" t="e">
        <f t="shared" si="146"/>
        <v>#VALUE!</v>
      </c>
    </row>
    <row r="1272" spans="1:9" x14ac:dyDescent="0.25">
      <c r="A1272" s="180">
        <f t="shared" ca="1" si="147"/>
        <v>47344</v>
      </c>
      <c r="B1272" s="181">
        <v>1240</v>
      </c>
      <c r="C1272" s="182" t="e">
        <f t="shared" si="141"/>
        <v>#VALUE!</v>
      </c>
      <c r="D1272" s="182" t="e">
        <f t="shared" si="142"/>
        <v>#VALUE!</v>
      </c>
      <c r="E1272" s="182" t="e">
        <f t="shared" si="143"/>
        <v>#VALUE!</v>
      </c>
      <c r="F1272" s="182" t="e">
        <f>SUM($D$33:D1272)</f>
        <v>#VALUE!</v>
      </c>
      <c r="G1272" s="182">
        <f t="shared" ca="1" si="144"/>
        <v>0</v>
      </c>
      <c r="H1272" s="182" t="e">
        <f t="shared" si="145"/>
        <v>#VALUE!</v>
      </c>
      <c r="I1272" s="183" t="e">
        <f t="shared" si="146"/>
        <v>#VALUE!</v>
      </c>
    </row>
    <row r="1273" spans="1:9" x14ac:dyDescent="0.25">
      <c r="A1273" s="180">
        <f t="shared" ca="1" si="147"/>
        <v>47345</v>
      </c>
      <c r="B1273" s="181">
        <v>1241</v>
      </c>
      <c r="C1273" s="182" t="e">
        <f t="shared" si="141"/>
        <v>#VALUE!</v>
      </c>
      <c r="D1273" s="182" t="e">
        <f t="shared" si="142"/>
        <v>#VALUE!</v>
      </c>
      <c r="E1273" s="182" t="e">
        <f t="shared" si="143"/>
        <v>#VALUE!</v>
      </c>
      <c r="F1273" s="182" t="e">
        <f>SUM($D$33:D1273)</f>
        <v>#VALUE!</v>
      </c>
      <c r="G1273" s="182">
        <f t="shared" ca="1" si="144"/>
        <v>0</v>
      </c>
      <c r="H1273" s="182" t="e">
        <f t="shared" si="145"/>
        <v>#VALUE!</v>
      </c>
      <c r="I1273" s="183" t="e">
        <f t="shared" si="146"/>
        <v>#VALUE!</v>
      </c>
    </row>
    <row r="1274" spans="1:9" x14ac:dyDescent="0.25">
      <c r="A1274" s="180">
        <f t="shared" ca="1" si="147"/>
        <v>47346</v>
      </c>
      <c r="B1274" s="181">
        <v>1242</v>
      </c>
      <c r="C1274" s="182" t="e">
        <f t="shared" si="141"/>
        <v>#VALUE!</v>
      </c>
      <c r="D1274" s="182" t="e">
        <f t="shared" si="142"/>
        <v>#VALUE!</v>
      </c>
      <c r="E1274" s="182" t="e">
        <f t="shared" si="143"/>
        <v>#VALUE!</v>
      </c>
      <c r="F1274" s="182" t="e">
        <f>SUM($D$33:D1274)</f>
        <v>#VALUE!</v>
      </c>
      <c r="G1274" s="182">
        <f t="shared" ca="1" si="144"/>
        <v>0</v>
      </c>
      <c r="H1274" s="182" t="e">
        <f t="shared" si="145"/>
        <v>#VALUE!</v>
      </c>
      <c r="I1274" s="183" t="e">
        <f t="shared" si="146"/>
        <v>#VALUE!</v>
      </c>
    </row>
    <row r="1275" spans="1:9" x14ac:dyDescent="0.25">
      <c r="A1275" s="180">
        <f t="shared" ca="1" si="147"/>
        <v>47347</v>
      </c>
      <c r="B1275" s="181">
        <v>1243</v>
      </c>
      <c r="C1275" s="182" t="e">
        <f t="shared" si="141"/>
        <v>#VALUE!</v>
      </c>
      <c r="D1275" s="182" t="e">
        <f t="shared" si="142"/>
        <v>#VALUE!</v>
      </c>
      <c r="E1275" s="182" t="e">
        <f t="shared" si="143"/>
        <v>#VALUE!</v>
      </c>
      <c r="F1275" s="182" t="e">
        <f>SUM($D$33:D1275)</f>
        <v>#VALUE!</v>
      </c>
      <c r="G1275" s="182">
        <f t="shared" ca="1" si="144"/>
        <v>0</v>
      </c>
      <c r="H1275" s="182" t="e">
        <f t="shared" si="145"/>
        <v>#VALUE!</v>
      </c>
      <c r="I1275" s="183" t="e">
        <f t="shared" si="146"/>
        <v>#VALUE!</v>
      </c>
    </row>
    <row r="1276" spans="1:9" x14ac:dyDescent="0.25">
      <c r="A1276" s="180">
        <f t="shared" ca="1" si="147"/>
        <v>47348</v>
      </c>
      <c r="B1276" s="181">
        <v>1244</v>
      </c>
      <c r="C1276" s="182" t="e">
        <f t="shared" si="141"/>
        <v>#VALUE!</v>
      </c>
      <c r="D1276" s="182" t="e">
        <f t="shared" si="142"/>
        <v>#VALUE!</v>
      </c>
      <c r="E1276" s="182" t="e">
        <f t="shared" si="143"/>
        <v>#VALUE!</v>
      </c>
      <c r="F1276" s="182" t="e">
        <f>SUM($D$33:D1276)</f>
        <v>#VALUE!</v>
      </c>
      <c r="G1276" s="182">
        <f t="shared" ca="1" si="144"/>
        <v>0</v>
      </c>
      <c r="H1276" s="182" t="e">
        <f t="shared" si="145"/>
        <v>#VALUE!</v>
      </c>
      <c r="I1276" s="183" t="e">
        <f t="shared" si="146"/>
        <v>#VALUE!</v>
      </c>
    </row>
    <row r="1277" spans="1:9" x14ac:dyDescent="0.25">
      <c r="A1277" s="180">
        <f t="shared" ca="1" si="147"/>
        <v>47349</v>
      </c>
      <c r="B1277" s="181">
        <v>1245</v>
      </c>
      <c r="C1277" s="182" t="e">
        <f t="shared" si="141"/>
        <v>#VALUE!</v>
      </c>
      <c r="D1277" s="182" t="e">
        <f t="shared" si="142"/>
        <v>#VALUE!</v>
      </c>
      <c r="E1277" s="182" t="e">
        <f t="shared" si="143"/>
        <v>#VALUE!</v>
      </c>
      <c r="F1277" s="182" t="e">
        <f>SUM($D$33:D1277)</f>
        <v>#VALUE!</v>
      </c>
      <c r="G1277" s="182">
        <f t="shared" ca="1" si="144"/>
        <v>0</v>
      </c>
      <c r="H1277" s="182" t="e">
        <f t="shared" si="145"/>
        <v>#VALUE!</v>
      </c>
      <c r="I1277" s="183" t="e">
        <f t="shared" si="146"/>
        <v>#VALUE!</v>
      </c>
    </row>
    <row r="1278" spans="1:9" x14ac:dyDescent="0.25">
      <c r="A1278" s="180">
        <f t="shared" ca="1" si="147"/>
        <v>47350</v>
      </c>
      <c r="B1278" s="181">
        <v>1246</v>
      </c>
      <c r="C1278" s="182" t="e">
        <f t="shared" si="141"/>
        <v>#VALUE!</v>
      </c>
      <c r="D1278" s="182" t="e">
        <f t="shared" si="142"/>
        <v>#VALUE!</v>
      </c>
      <c r="E1278" s="182" t="e">
        <f t="shared" si="143"/>
        <v>#VALUE!</v>
      </c>
      <c r="F1278" s="182" t="e">
        <f>SUM($D$33:D1278)</f>
        <v>#VALUE!</v>
      </c>
      <c r="G1278" s="182">
        <f t="shared" ca="1" si="144"/>
        <v>0</v>
      </c>
      <c r="H1278" s="182" t="e">
        <f t="shared" si="145"/>
        <v>#VALUE!</v>
      </c>
      <c r="I1278" s="183" t="e">
        <f t="shared" si="146"/>
        <v>#VALUE!</v>
      </c>
    </row>
    <row r="1279" spans="1:9" x14ac:dyDescent="0.25">
      <c r="A1279" s="180">
        <f t="shared" ca="1" si="147"/>
        <v>47351</v>
      </c>
      <c r="B1279" s="181">
        <v>1247</v>
      </c>
      <c r="C1279" s="182" t="e">
        <f t="shared" si="141"/>
        <v>#VALUE!</v>
      </c>
      <c r="D1279" s="182" t="e">
        <f t="shared" si="142"/>
        <v>#VALUE!</v>
      </c>
      <c r="E1279" s="182" t="e">
        <f t="shared" si="143"/>
        <v>#VALUE!</v>
      </c>
      <c r="F1279" s="182" t="e">
        <f>SUM($D$33:D1279)</f>
        <v>#VALUE!</v>
      </c>
      <c r="G1279" s="182">
        <f t="shared" ca="1" si="144"/>
        <v>0</v>
      </c>
      <c r="H1279" s="182" t="e">
        <f t="shared" si="145"/>
        <v>#VALUE!</v>
      </c>
      <c r="I1279" s="183" t="e">
        <f t="shared" si="146"/>
        <v>#VALUE!</v>
      </c>
    </row>
    <row r="1280" spans="1:9" x14ac:dyDescent="0.25">
      <c r="A1280" s="180">
        <f t="shared" ca="1" si="147"/>
        <v>47352</v>
      </c>
      <c r="B1280" s="181">
        <v>1248</v>
      </c>
      <c r="C1280" s="182" t="e">
        <f t="shared" si="141"/>
        <v>#VALUE!</v>
      </c>
      <c r="D1280" s="182" t="e">
        <f t="shared" si="142"/>
        <v>#VALUE!</v>
      </c>
      <c r="E1280" s="182" t="e">
        <f t="shared" si="143"/>
        <v>#VALUE!</v>
      </c>
      <c r="F1280" s="182" t="e">
        <f>SUM($D$33:D1280)</f>
        <v>#VALUE!</v>
      </c>
      <c r="G1280" s="182">
        <f t="shared" ca="1" si="144"/>
        <v>0</v>
      </c>
      <c r="H1280" s="182" t="e">
        <f t="shared" si="145"/>
        <v>#VALUE!</v>
      </c>
      <c r="I1280" s="183" t="e">
        <f t="shared" si="146"/>
        <v>#VALUE!</v>
      </c>
    </row>
    <row r="1281" spans="1:9" x14ac:dyDescent="0.25">
      <c r="A1281" s="180">
        <f t="shared" ca="1" si="147"/>
        <v>47353</v>
      </c>
      <c r="B1281" s="181">
        <v>1249</v>
      </c>
      <c r="C1281" s="182" t="e">
        <f t="shared" si="141"/>
        <v>#VALUE!</v>
      </c>
      <c r="D1281" s="182" t="e">
        <f t="shared" si="142"/>
        <v>#VALUE!</v>
      </c>
      <c r="E1281" s="182" t="e">
        <f t="shared" si="143"/>
        <v>#VALUE!</v>
      </c>
      <c r="F1281" s="182" t="e">
        <f>SUM($D$33:D1281)</f>
        <v>#VALUE!</v>
      </c>
      <c r="G1281" s="182">
        <f t="shared" ca="1" si="144"/>
        <v>0</v>
      </c>
      <c r="H1281" s="182" t="e">
        <f t="shared" si="145"/>
        <v>#VALUE!</v>
      </c>
      <c r="I1281" s="183" t="e">
        <f t="shared" si="146"/>
        <v>#VALUE!</v>
      </c>
    </row>
    <row r="1282" spans="1:9" x14ac:dyDescent="0.25">
      <c r="A1282" s="180">
        <f t="shared" ca="1" si="147"/>
        <v>47354</v>
      </c>
      <c r="B1282" s="181">
        <v>1250</v>
      </c>
      <c r="C1282" s="182" t="e">
        <f t="shared" si="141"/>
        <v>#VALUE!</v>
      </c>
      <c r="D1282" s="182" t="e">
        <f t="shared" si="142"/>
        <v>#VALUE!</v>
      </c>
      <c r="E1282" s="182" t="e">
        <f t="shared" si="143"/>
        <v>#VALUE!</v>
      </c>
      <c r="F1282" s="182" t="e">
        <f>SUM($D$33:D1282)</f>
        <v>#VALUE!</v>
      </c>
      <c r="G1282" s="182">
        <f t="shared" ca="1" si="144"/>
        <v>0</v>
      </c>
      <c r="H1282" s="182" t="e">
        <f t="shared" si="145"/>
        <v>#VALUE!</v>
      </c>
      <c r="I1282" s="183" t="e">
        <f t="shared" si="146"/>
        <v>#VALUE!</v>
      </c>
    </row>
    <row r="1283" spans="1:9" x14ac:dyDescent="0.25">
      <c r="A1283" s="180">
        <f t="shared" ca="1" si="147"/>
        <v>47355</v>
      </c>
      <c r="B1283" s="181">
        <v>1251</v>
      </c>
      <c r="C1283" s="182" t="e">
        <f t="shared" si="141"/>
        <v>#VALUE!</v>
      </c>
      <c r="D1283" s="182" t="e">
        <f t="shared" si="142"/>
        <v>#VALUE!</v>
      </c>
      <c r="E1283" s="182" t="e">
        <f t="shared" si="143"/>
        <v>#VALUE!</v>
      </c>
      <c r="F1283" s="182" t="e">
        <f>SUM($D$33:D1283)</f>
        <v>#VALUE!</v>
      </c>
      <c r="G1283" s="182">
        <f t="shared" ca="1" si="144"/>
        <v>0</v>
      </c>
      <c r="H1283" s="182" t="e">
        <f t="shared" si="145"/>
        <v>#VALUE!</v>
      </c>
      <c r="I1283" s="183" t="e">
        <f t="shared" si="146"/>
        <v>#VALUE!</v>
      </c>
    </row>
    <row r="1284" spans="1:9" x14ac:dyDescent="0.25">
      <c r="A1284" s="180">
        <f t="shared" ca="1" si="147"/>
        <v>47356</v>
      </c>
      <c r="B1284" s="181">
        <v>1252</v>
      </c>
      <c r="C1284" s="182" t="e">
        <f t="shared" si="141"/>
        <v>#VALUE!</v>
      </c>
      <c r="D1284" s="182" t="e">
        <f t="shared" si="142"/>
        <v>#VALUE!</v>
      </c>
      <c r="E1284" s="182" t="e">
        <f t="shared" si="143"/>
        <v>#VALUE!</v>
      </c>
      <c r="F1284" s="182" t="e">
        <f>SUM($D$33:D1284)</f>
        <v>#VALUE!</v>
      </c>
      <c r="G1284" s="182">
        <f t="shared" ca="1" si="144"/>
        <v>0</v>
      </c>
      <c r="H1284" s="182" t="e">
        <f t="shared" si="145"/>
        <v>#VALUE!</v>
      </c>
      <c r="I1284" s="183" t="e">
        <f t="shared" si="146"/>
        <v>#VALUE!</v>
      </c>
    </row>
    <row r="1285" spans="1:9" x14ac:dyDescent="0.25">
      <c r="A1285" s="180">
        <f t="shared" ca="1" si="147"/>
        <v>47357</v>
      </c>
      <c r="B1285" s="181">
        <v>1253</v>
      </c>
      <c r="C1285" s="182" t="e">
        <f t="shared" si="141"/>
        <v>#VALUE!</v>
      </c>
      <c r="D1285" s="182" t="e">
        <f t="shared" si="142"/>
        <v>#VALUE!</v>
      </c>
      <c r="E1285" s="182" t="e">
        <f t="shared" si="143"/>
        <v>#VALUE!</v>
      </c>
      <c r="F1285" s="182" t="e">
        <f>SUM($D$33:D1285)</f>
        <v>#VALUE!</v>
      </c>
      <c r="G1285" s="182">
        <f t="shared" ca="1" si="144"/>
        <v>0</v>
      </c>
      <c r="H1285" s="182" t="e">
        <f t="shared" si="145"/>
        <v>#VALUE!</v>
      </c>
      <c r="I1285" s="183" t="e">
        <f t="shared" si="146"/>
        <v>#VALUE!</v>
      </c>
    </row>
    <row r="1286" spans="1:9" x14ac:dyDescent="0.25">
      <c r="A1286" s="180">
        <f t="shared" ca="1" si="147"/>
        <v>47358</v>
      </c>
      <c r="B1286" s="181">
        <v>1254</v>
      </c>
      <c r="C1286" s="182" t="e">
        <f t="shared" si="141"/>
        <v>#VALUE!</v>
      </c>
      <c r="D1286" s="182" t="e">
        <f t="shared" si="142"/>
        <v>#VALUE!</v>
      </c>
      <c r="E1286" s="182" t="e">
        <f t="shared" si="143"/>
        <v>#VALUE!</v>
      </c>
      <c r="F1286" s="182" t="e">
        <f>SUM($D$33:D1286)</f>
        <v>#VALUE!</v>
      </c>
      <c r="G1286" s="182">
        <f t="shared" ca="1" si="144"/>
        <v>0</v>
      </c>
      <c r="H1286" s="182" t="e">
        <f t="shared" si="145"/>
        <v>#VALUE!</v>
      </c>
      <c r="I1286" s="183" t="e">
        <f t="shared" si="146"/>
        <v>#VALUE!</v>
      </c>
    </row>
    <row r="1287" spans="1:9" x14ac:dyDescent="0.25">
      <c r="A1287" s="180">
        <f t="shared" ca="1" si="147"/>
        <v>47359</v>
      </c>
      <c r="B1287" s="181">
        <v>1255</v>
      </c>
      <c r="C1287" s="182" t="e">
        <f t="shared" si="141"/>
        <v>#VALUE!</v>
      </c>
      <c r="D1287" s="182" t="e">
        <f t="shared" si="142"/>
        <v>#VALUE!</v>
      </c>
      <c r="E1287" s="182" t="e">
        <f t="shared" si="143"/>
        <v>#VALUE!</v>
      </c>
      <c r="F1287" s="182" t="e">
        <f>SUM($D$33:D1287)</f>
        <v>#VALUE!</v>
      </c>
      <c r="G1287" s="182">
        <f t="shared" ca="1" si="144"/>
        <v>0</v>
      </c>
      <c r="H1287" s="182" t="e">
        <f t="shared" si="145"/>
        <v>#VALUE!</v>
      </c>
      <c r="I1287" s="183" t="e">
        <f t="shared" si="146"/>
        <v>#VALUE!</v>
      </c>
    </row>
    <row r="1288" spans="1:9" x14ac:dyDescent="0.25">
      <c r="A1288" s="180">
        <f t="shared" ca="1" si="147"/>
        <v>47360</v>
      </c>
      <c r="B1288" s="181">
        <v>1256</v>
      </c>
      <c r="C1288" s="182" t="e">
        <f t="shared" si="141"/>
        <v>#VALUE!</v>
      </c>
      <c r="D1288" s="182" t="e">
        <f t="shared" si="142"/>
        <v>#VALUE!</v>
      </c>
      <c r="E1288" s="182" t="e">
        <f t="shared" si="143"/>
        <v>#VALUE!</v>
      </c>
      <c r="F1288" s="182" t="e">
        <f>SUM($D$33:D1288)</f>
        <v>#VALUE!</v>
      </c>
      <c r="G1288" s="182">
        <f t="shared" ca="1" si="144"/>
        <v>0</v>
      </c>
      <c r="H1288" s="182" t="e">
        <f t="shared" si="145"/>
        <v>#VALUE!</v>
      </c>
      <c r="I1288" s="183" t="e">
        <f t="shared" si="146"/>
        <v>#VALUE!</v>
      </c>
    </row>
    <row r="1289" spans="1:9" x14ac:dyDescent="0.25">
      <c r="A1289" s="180">
        <f t="shared" ca="1" si="147"/>
        <v>47361</v>
      </c>
      <c r="B1289" s="181">
        <v>1257</v>
      </c>
      <c r="C1289" s="182" t="e">
        <f t="shared" si="141"/>
        <v>#VALUE!</v>
      </c>
      <c r="D1289" s="182" t="e">
        <f t="shared" si="142"/>
        <v>#VALUE!</v>
      </c>
      <c r="E1289" s="182" t="e">
        <f t="shared" si="143"/>
        <v>#VALUE!</v>
      </c>
      <c r="F1289" s="182" t="e">
        <f>SUM($D$33:D1289)</f>
        <v>#VALUE!</v>
      </c>
      <c r="G1289" s="182">
        <f t="shared" ca="1" si="144"/>
        <v>0</v>
      </c>
      <c r="H1289" s="182" t="e">
        <f t="shared" si="145"/>
        <v>#VALUE!</v>
      </c>
      <c r="I1289" s="183" t="e">
        <f t="shared" si="146"/>
        <v>#VALUE!</v>
      </c>
    </row>
    <row r="1290" spans="1:9" x14ac:dyDescent="0.25">
      <c r="A1290" s="180">
        <f t="shared" ca="1" si="147"/>
        <v>47362</v>
      </c>
      <c r="B1290" s="181">
        <v>1258</v>
      </c>
      <c r="C1290" s="182" t="e">
        <f t="shared" si="141"/>
        <v>#VALUE!</v>
      </c>
      <c r="D1290" s="182" t="e">
        <f t="shared" si="142"/>
        <v>#VALUE!</v>
      </c>
      <c r="E1290" s="182" t="e">
        <f t="shared" si="143"/>
        <v>#VALUE!</v>
      </c>
      <c r="F1290" s="182" t="e">
        <f>SUM($D$33:D1290)</f>
        <v>#VALUE!</v>
      </c>
      <c r="G1290" s="182">
        <f t="shared" ca="1" si="144"/>
        <v>0</v>
      </c>
      <c r="H1290" s="182" t="e">
        <f t="shared" si="145"/>
        <v>#VALUE!</v>
      </c>
      <c r="I1290" s="183" t="e">
        <f t="shared" si="146"/>
        <v>#VALUE!</v>
      </c>
    </row>
    <row r="1291" spans="1:9" x14ac:dyDescent="0.25">
      <c r="A1291" s="180">
        <f t="shared" ca="1" si="147"/>
        <v>47363</v>
      </c>
      <c r="B1291" s="181">
        <v>1259</v>
      </c>
      <c r="C1291" s="182" t="e">
        <f t="shared" si="141"/>
        <v>#VALUE!</v>
      </c>
      <c r="D1291" s="182" t="e">
        <f t="shared" si="142"/>
        <v>#VALUE!</v>
      </c>
      <c r="E1291" s="182" t="e">
        <f t="shared" si="143"/>
        <v>#VALUE!</v>
      </c>
      <c r="F1291" s="182" t="e">
        <f>SUM($D$33:D1291)</f>
        <v>#VALUE!</v>
      </c>
      <c r="G1291" s="182">
        <f t="shared" ca="1" si="144"/>
        <v>0</v>
      </c>
      <c r="H1291" s="182" t="e">
        <f t="shared" si="145"/>
        <v>#VALUE!</v>
      </c>
      <c r="I1291" s="183" t="e">
        <f t="shared" si="146"/>
        <v>#VALUE!</v>
      </c>
    </row>
    <row r="1292" spans="1:9" x14ac:dyDescent="0.25">
      <c r="A1292" s="180">
        <f t="shared" ca="1" si="147"/>
        <v>47364</v>
      </c>
      <c r="B1292" s="181">
        <v>1260</v>
      </c>
      <c r="C1292" s="182" t="e">
        <f t="shared" si="141"/>
        <v>#VALUE!</v>
      </c>
      <c r="D1292" s="182" t="e">
        <f t="shared" si="142"/>
        <v>#VALUE!</v>
      </c>
      <c r="E1292" s="182" t="e">
        <f t="shared" si="143"/>
        <v>#VALUE!</v>
      </c>
      <c r="F1292" s="182" t="e">
        <f>SUM($D$33:D1292)</f>
        <v>#VALUE!</v>
      </c>
      <c r="G1292" s="182">
        <f t="shared" ca="1" si="144"/>
        <v>0</v>
      </c>
      <c r="H1292" s="182" t="e">
        <f t="shared" si="145"/>
        <v>#VALUE!</v>
      </c>
      <c r="I1292" s="183" t="e">
        <f t="shared" si="146"/>
        <v>#VALUE!</v>
      </c>
    </row>
    <row r="1293" spans="1:9" x14ac:dyDescent="0.25">
      <c r="A1293" s="180">
        <f t="shared" ca="1" si="147"/>
        <v>47365</v>
      </c>
      <c r="B1293" s="181">
        <v>1261</v>
      </c>
      <c r="C1293" s="182" t="e">
        <f t="shared" si="141"/>
        <v>#VALUE!</v>
      </c>
      <c r="D1293" s="182" t="e">
        <f t="shared" si="142"/>
        <v>#VALUE!</v>
      </c>
      <c r="E1293" s="182" t="e">
        <f t="shared" si="143"/>
        <v>#VALUE!</v>
      </c>
      <c r="F1293" s="182" t="e">
        <f>SUM($D$33:D1293)</f>
        <v>#VALUE!</v>
      </c>
      <c r="G1293" s="182">
        <f t="shared" ca="1" si="144"/>
        <v>0</v>
      </c>
      <c r="H1293" s="182" t="e">
        <f t="shared" si="145"/>
        <v>#VALUE!</v>
      </c>
      <c r="I1293" s="183" t="e">
        <f t="shared" si="146"/>
        <v>#VALUE!</v>
      </c>
    </row>
    <row r="1294" spans="1:9" x14ac:dyDescent="0.25">
      <c r="A1294" s="180">
        <f t="shared" ca="1" si="147"/>
        <v>47366</v>
      </c>
      <c r="B1294" s="181">
        <v>1262</v>
      </c>
      <c r="C1294" s="182" t="e">
        <f t="shared" si="141"/>
        <v>#VALUE!</v>
      </c>
      <c r="D1294" s="182" t="e">
        <f t="shared" si="142"/>
        <v>#VALUE!</v>
      </c>
      <c r="E1294" s="182" t="e">
        <f t="shared" si="143"/>
        <v>#VALUE!</v>
      </c>
      <c r="F1294" s="182" t="e">
        <f>SUM($D$33:D1294)</f>
        <v>#VALUE!</v>
      </c>
      <c r="G1294" s="182">
        <f t="shared" ca="1" si="144"/>
        <v>0</v>
      </c>
      <c r="H1294" s="182" t="e">
        <f t="shared" si="145"/>
        <v>#VALUE!</v>
      </c>
      <c r="I1294" s="183" t="e">
        <f t="shared" si="146"/>
        <v>#VALUE!</v>
      </c>
    </row>
    <row r="1295" spans="1:9" x14ac:dyDescent="0.25">
      <c r="A1295" s="180">
        <f t="shared" ca="1" si="147"/>
        <v>47367</v>
      </c>
      <c r="B1295" s="181">
        <v>1263</v>
      </c>
      <c r="C1295" s="182" t="e">
        <f t="shared" si="141"/>
        <v>#VALUE!</v>
      </c>
      <c r="D1295" s="182" t="e">
        <f t="shared" si="142"/>
        <v>#VALUE!</v>
      </c>
      <c r="E1295" s="182" t="e">
        <f t="shared" si="143"/>
        <v>#VALUE!</v>
      </c>
      <c r="F1295" s="182" t="e">
        <f>SUM($D$33:D1295)</f>
        <v>#VALUE!</v>
      </c>
      <c r="G1295" s="182">
        <f t="shared" ca="1" si="144"/>
        <v>0</v>
      </c>
      <c r="H1295" s="182" t="e">
        <f t="shared" si="145"/>
        <v>#VALUE!</v>
      </c>
      <c r="I1295" s="183" t="e">
        <f t="shared" si="146"/>
        <v>#VALUE!</v>
      </c>
    </row>
    <row r="1296" spans="1:9" x14ac:dyDescent="0.25">
      <c r="A1296" s="180">
        <f t="shared" ca="1" si="147"/>
        <v>47368</v>
      </c>
      <c r="B1296" s="181">
        <v>1264</v>
      </c>
      <c r="C1296" s="182" t="e">
        <f t="shared" ref="C1296:C1359" si="148">H1295</f>
        <v>#VALUE!</v>
      </c>
      <c r="D1296" s="182" t="e">
        <f t="shared" ref="D1296:D1359" si="149">IF(C1296&gt;$H$21,C1296*($L$16/360),$H$21*($L$16/360))</f>
        <v>#VALUE!</v>
      </c>
      <c r="E1296" s="182" t="e">
        <f t="shared" ref="E1296:E1359" si="150">IF(E1295&gt;0,E1295-D1296,0)</f>
        <v>#VALUE!</v>
      </c>
      <c r="F1296" s="182" t="e">
        <f>SUM($D$33:D1296)</f>
        <v>#VALUE!</v>
      </c>
      <c r="G1296" s="182">
        <f t="shared" ref="G1296:G1359" ca="1" si="151">IFERROR(-VLOOKUP(A1296,$K$30:$M$36,2,FALSE),0)</f>
        <v>0</v>
      </c>
      <c r="H1296" s="182" t="e">
        <f t="shared" ref="H1296:H1359" si="152">IF(E1296&gt;0,C1296+G1296,IF(E1296&lt;0,C1296+G1296+D1296-E1295,C1296+D1296+G1296))</f>
        <v>#VALUE!</v>
      </c>
      <c r="I1296" s="183" t="e">
        <f t="shared" ref="I1296:I1359" si="153">(C1296+D1296-E1296)</f>
        <v>#VALUE!</v>
      </c>
    </row>
    <row r="1297" spans="1:9" x14ac:dyDescent="0.25">
      <c r="A1297" s="180">
        <f t="shared" ca="1" si="147"/>
        <v>47369</v>
      </c>
      <c r="B1297" s="181">
        <v>1265</v>
      </c>
      <c r="C1297" s="182" t="e">
        <f t="shared" si="148"/>
        <v>#VALUE!</v>
      </c>
      <c r="D1297" s="182" t="e">
        <f t="shared" si="149"/>
        <v>#VALUE!</v>
      </c>
      <c r="E1297" s="182" t="e">
        <f t="shared" si="150"/>
        <v>#VALUE!</v>
      </c>
      <c r="F1297" s="182" t="e">
        <f>SUM($D$33:D1297)</f>
        <v>#VALUE!</v>
      </c>
      <c r="G1297" s="182">
        <f t="shared" ca="1" si="151"/>
        <v>0</v>
      </c>
      <c r="H1297" s="182" t="e">
        <f t="shared" si="152"/>
        <v>#VALUE!</v>
      </c>
      <c r="I1297" s="183" t="e">
        <f t="shared" si="153"/>
        <v>#VALUE!</v>
      </c>
    </row>
    <row r="1298" spans="1:9" x14ac:dyDescent="0.25">
      <c r="A1298" s="180">
        <f t="shared" ca="1" si="147"/>
        <v>47370</v>
      </c>
      <c r="B1298" s="181">
        <v>1266</v>
      </c>
      <c r="C1298" s="182" t="e">
        <f t="shared" si="148"/>
        <v>#VALUE!</v>
      </c>
      <c r="D1298" s="182" t="e">
        <f t="shared" si="149"/>
        <v>#VALUE!</v>
      </c>
      <c r="E1298" s="182" t="e">
        <f t="shared" si="150"/>
        <v>#VALUE!</v>
      </c>
      <c r="F1298" s="182" t="e">
        <f>SUM($D$33:D1298)</f>
        <v>#VALUE!</v>
      </c>
      <c r="G1298" s="182">
        <f t="shared" ca="1" si="151"/>
        <v>0</v>
      </c>
      <c r="H1298" s="182" t="e">
        <f t="shared" si="152"/>
        <v>#VALUE!</v>
      </c>
      <c r="I1298" s="183" t="e">
        <f t="shared" si="153"/>
        <v>#VALUE!</v>
      </c>
    </row>
    <row r="1299" spans="1:9" x14ac:dyDescent="0.25">
      <c r="A1299" s="180">
        <f t="shared" ca="1" si="147"/>
        <v>47371</v>
      </c>
      <c r="B1299" s="181">
        <v>1267</v>
      </c>
      <c r="C1299" s="182" t="e">
        <f t="shared" si="148"/>
        <v>#VALUE!</v>
      </c>
      <c r="D1299" s="182" t="e">
        <f t="shared" si="149"/>
        <v>#VALUE!</v>
      </c>
      <c r="E1299" s="182" t="e">
        <f t="shared" si="150"/>
        <v>#VALUE!</v>
      </c>
      <c r="F1299" s="182" t="e">
        <f>SUM($D$33:D1299)</f>
        <v>#VALUE!</v>
      </c>
      <c r="G1299" s="182">
        <f t="shared" ca="1" si="151"/>
        <v>0</v>
      </c>
      <c r="H1299" s="182" t="e">
        <f t="shared" si="152"/>
        <v>#VALUE!</v>
      </c>
      <c r="I1299" s="183" t="e">
        <f t="shared" si="153"/>
        <v>#VALUE!</v>
      </c>
    </row>
    <row r="1300" spans="1:9" x14ac:dyDescent="0.25">
      <c r="A1300" s="180">
        <f t="shared" ca="1" si="147"/>
        <v>47372</v>
      </c>
      <c r="B1300" s="181">
        <v>1268</v>
      </c>
      <c r="C1300" s="182" t="e">
        <f t="shared" si="148"/>
        <v>#VALUE!</v>
      </c>
      <c r="D1300" s="182" t="e">
        <f t="shared" si="149"/>
        <v>#VALUE!</v>
      </c>
      <c r="E1300" s="182" t="e">
        <f t="shared" si="150"/>
        <v>#VALUE!</v>
      </c>
      <c r="F1300" s="182" t="e">
        <f>SUM($D$33:D1300)</f>
        <v>#VALUE!</v>
      </c>
      <c r="G1300" s="182">
        <f t="shared" ca="1" si="151"/>
        <v>0</v>
      </c>
      <c r="H1300" s="182" t="e">
        <f t="shared" si="152"/>
        <v>#VALUE!</v>
      </c>
      <c r="I1300" s="183" t="e">
        <f t="shared" si="153"/>
        <v>#VALUE!</v>
      </c>
    </row>
    <row r="1301" spans="1:9" x14ac:dyDescent="0.25">
      <c r="A1301" s="180">
        <f t="shared" ca="1" si="147"/>
        <v>47373</v>
      </c>
      <c r="B1301" s="181">
        <v>1269</v>
      </c>
      <c r="C1301" s="182" t="e">
        <f t="shared" si="148"/>
        <v>#VALUE!</v>
      </c>
      <c r="D1301" s="182" t="e">
        <f t="shared" si="149"/>
        <v>#VALUE!</v>
      </c>
      <c r="E1301" s="182" t="e">
        <f t="shared" si="150"/>
        <v>#VALUE!</v>
      </c>
      <c r="F1301" s="182" t="e">
        <f>SUM($D$33:D1301)</f>
        <v>#VALUE!</v>
      </c>
      <c r="G1301" s="182">
        <f t="shared" ca="1" si="151"/>
        <v>0</v>
      </c>
      <c r="H1301" s="182" t="e">
        <f t="shared" si="152"/>
        <v>#VALUE!</v>
      </c>
      <c r="I1301" s="183" t="e">
        <f t="shared" si="153"/>
        <v>#VALUE!</v>
      </c>
    </row>
    <row r="1302" spans="1:9" x14ac:dyDescent="0.25">
      <c r="A1302" s="180">
        <f t="shared" ca="1" si="147"/>
        <v>47374</v>
      </c>
      <c r="B1302" s="181">
        <v>1270</v>
      </c>
      <c r="C1302" s="182" t="e">
        <f t="shared" si="148"/>
        <v>#VALUE!</v>
      </c>
      <c r="D1302" s="182" t="e">
        <f t="shared" si="149"/>
        <v>#VALUE!</v>
      </c>
      <c r="E1302" s="182" t="e">
        <f t="shared" si="150"/>
        <v>#VALUE!</v>
      </c>
      <c r="F1302" s="182" t="e">
        <f>SUM($D$33:D1302)</f>
        <v>#VALUE!</v>
      </c>
      <c r="G1302" s="182">
        <f t="shared" ca="1" si="151"/>
        <v>0</v>
      </c>
      <c r="H1302" s="182" t="e">
        <f t="shared" si="152"/>
        <v>#VALUE!</v>
      </c>
      <c r="I1302" s="183" t="e">
        <f t="shared" si="153"/>
        <v>#VALUE!</v>
      </c>
    </row>
    <row r="1303" spans="1:9" x14ac:dyDescent="0.25">
      <c r="A1303" s="180">
        <f t="shared" ca="1" si="147"/>
        <v>47375</v>
      </c>
      <c r="B1303" s="181">
        <v>1271</v>
      </c>
      <c r="C1303" s="182" t="e">
        <f t="shared" si="148"/>
        <v>#VALUE!</v>
      </c>
      <c r="D1303" s="182" t="e">
        <f t="shared" si="149"/>
        <v>#VALUE!</v>
      </c>
      <c r="E1303" s="182" t="e">
        <f t="shared" si="150"/>
        <v>#VALUE!</v>
      </c>
      <c r="F1303" s="182" t="e">
        <f>SUM($D$33:D1303)</f>
        <v>#VALUE!</v>
      </c>
      <c r="G1303" s="182">
        <f t="shared" ca="1" si="151"/>
        <v>0</v>
      </c>
      <c r="H1303" s="182" t="e">
        <f t="shared" si="152"/>
        <v>#VALUE!</v>
      </c>
      <c r="I1303" s="183" t="e">
        <f t="shared" si="153"/>
        <v>#VALUE!</v>
      </c>
    </row>
    <row r="1304" spans="1:9" x14ac:dyDescent="0.25">
      <c r="A1304" s="180">
        <f t="shared" ca="1" si="147"/>
        <v>47376</v>
      </c>
      <c r="B1304" s="181">
        <v>1272</v>
      </c>
      <c r="C1304" s="182" t="e">
        <f t="shared" si="148"/>
        <v>#VALUE!</v>
      </c>
      <c r="D1304" s="182" t="e">
        <f t="shared" si="149"/>
        <v>#VALUE!</v>
      </c>
      <c r="E1304" s="182" t="e">
        <f t="shared" si="150"/>
        <v>#VALUE!</v>
      </c>
      <c r="F1304" s="182" t="e">
        <f>SUM($D$33:D1304)</f>
        <v>#VALUE!</v>
      </c>
      <c r="G1304" s="182">
        <f t="shared" ca="1" si="151"/>
        <v>0</v>
      </c>
      <c r="H1304" s="182" t="e">
        <f t="shared" si="152"/>
        <v>#VALUE!</v>
      </c>
      <c r="I1304" s="183" t="e">
        <f t="shared" si="153"/>
        <v>#VALUE!</v>
      </c>
    </row>
    <row r="1305" spans="1:9" x14ac:dyDescent="0.25">
      <c r="A1305" s="180">
        <f t="shared" ca="1" si="147"/>
        <v>47377</v>
      </c>
      <c r="B1305" s="181">
        <v>1273</v>
      </c>
      <c r="C1305" s="182" t="e">
        <f t="shared" si="148"/>
        <v>#VALUE!</v>
      </c>
      <c r="D1305" s="182" t="e">
        <f t="shared" si="149"/>
        <v>#VALUE!</v>
      </c>
      <c r="E1305" s="182" t="e">
        <f t="shared" si="150"/>
        <v>#VALUE!</v>
      </c>
      <c r="F1305" s="182" t="e">
        <f>SUM($D$33:D1305)</f>
        <v>#VALUE!</v>
      </c>
      <c r="G1305" s="182">
        <f t="shared" ca="1" si="151"/>
        <v>0</v>
      </c>
      <c r="H1305" s="182" t="e">
        <f t="shared" si="152"/>
        <v>#VALUE!</v>
      </c>
      <c r="I1305" s="183" t="e">
        <f t="shared" si="153"/>
        <v>#VALUE!</v>
      </c>
    </row>
    <row r="1306" spans="1:9" x14ac:dyDescent="0.25">
      <c r="A1306" s="180">
        <f t="shared" ca="1" si="147"/>
        <v>47378</v>
      </c>
      <c r="B1306" s="181">
        <v>1274</v>
      </c>
      <c r="C1306" s="182" t="e">
        <f t="shared" si="148"/>
        <v>#VALUE!</v>
      </c>
      <c r="D1306" s="182" t="e">
        <f t="shared" si="149"/>
        <v>#VALUE!</v>
      </c>
      <c r="E1306" s="182" t="e">
        <f t="shared" si="150"/>
        <v>#VALUE!</v>
      </c>
      <c r="F1306" s="182" t="e">
        <f>SUM($D$33:D1306)</f>
        <v>#VALUE!</v>
      </c>
      <c r="G1306" s="182">
        <f t="shared" ca="1" si="151"/>
        <v>0</v>
      </c>
      <c r="H1306" s="182" t="e">
        <f t="shared" si="152"/>
        <v>#VALUE!</v>
      </c>
      <c r="I1306" s="183" t="e">
        <f t="shared" si="153"/>
        <v>#VALUE!</v>
      </c>
    </row>
    <row r="1307" spans="1:9" x14ac:dyDescent="0.25">
      <c r="A1307" s="180">
        <f t="shared" ca="1" si="147"/>
        <v>47379</v>
      </c>
      <c r="B1307" s="181">
        <v>1275</v>
      </c>
      <c r="C1307" s="182" t="e">
        <f t="shared" si="148"/>
        <v>#VALUE!</v>
      </c>
      <c r="D1307" s="182" t="e">
        <f t="shared" si="149"/>
        <v>#VALUE!</v>
      </c>
      <c r="E1307" s="182" t="e">
        <f t="shared" si="150"/>
        <v>#VALUE!</v>
      </c>
      <c r="F1307" s="182" t="e">
        <f>SUM($D$33:D1307)</f>
        <v>#VALUE!</v>
      </c>
      <c r="G1307" s="182">
        <f t="shared" ca="1" si="151"/>
        <v>0</v>
      </c>
      <c r="H1307" s="182" t="e">
        <f t="shared" si="152"/>
        <v>#VALUE!</v>
      </c>
      <c r="I1307" s="183" t="e">
        <f t="shared" si="153"/>
        <v>#VALUE!</v>
      </c>
    </row>
    <row r="1308" spans="1:9" x14ac:dyDescent="0.25">
      <c r="A1308" s="180">
        <f t="shared" ca="1" si="147"/>
        <v>47380</v>
      </c>
      <c r="B1308" s="181">
        <v>1276</v>
      </c>
      <c r="C1308" s="182" t="e">
        <f t="shared" si="148"/>
        <v>#VALUE!</v>
      </c>
      <c r="D1308" s="182" t="e">
        <f t="shared" si="149"/>
        <v>#VALUE!</v>
      </c>
      <c r="E1308" s="182" t="e">
        <f t="shared" si="150"/>
        <v>#VALUE!</v>
      </c>
      <c r="F1308" s="182" t="e">
        <f>SUM($D$33:D1308)</f>
        <v>#VALUE!</v>
      </c>
      <c r="G1308" s="182">
        <f t="shared" ca="1" si="151"/>
        <v>0</v>
      </c>
      <c r="H1308" s="182" t="e">
        <f t="shared" si="152"/>
        <v>#VALUE!</v>
      </c>
      <c r="I1308" s="183" t="e">
        <f t="shared" si="153"/>
        <v>#VALUE!</v>
      </c>
    </row>
    <row r="1309" spans="1:9" x14ac:dyDescent="0.25">
      <c r="A1309" s="180">
        <f t="shared" ca="1" si="147"/>
        <v>47381</v>
      </c>
      <c r="B1309" s="181">
        <v>1277</v>
      </c>
      <c r="C1309" s="182" t="e">
        <f t="shared" si="148"/>
        <v>#VALUE!</v>
      </c>
      <c r="D1309" s="182" t="e">
        <f t="shared" si="149"/>
        <v>#VALUE!</v>
      </c>
      <c r="E1309" s="182" t="e">
        <f t="shared" si="150"/>
        <v>#VALUE!</v>
      </c>
      <c r="F1309" s="182" t="e">
        <f>SUM($D$33:D1309)</f>
        <v>#VALUE!</v>
      </c>
      <c r="G1309" s="182">
        <f t="shared" ca="1" si="151"/>
        <v>0</v>
      </c>
      <c r="H1309" s="182" t="e">
        <f t="shared" si="152"/>
        <v>#VALUE!</v>
      </c>
      <c r="I1309" s="183" t="e">
        <f t="shared" si="153"/>
        <v>#VALUE!</v>
      </c>
    </row>
    <row r="1310" spans="1:9" x14ac:dyDescent="0.25">
      <c r="A1310" s="180">
        <f t="shared" ca="1" si="147"/>
        <v>47382</v>
      </c>
      <c r="B1310" s="181">
        <v>1278</v>
      </c>
      <c r="C1310" s="182" t="e">
        <f t="shared" si="148"/>
        <v>#VALUE!</v>
      </c>
      <c r="D1310" s="182" t="e">
        <f t="shared" si="149"/>
        <v>#VALUE!</v>
      </c>
      <c r="E1310" s="182" t="e">
        <f t="shared" si="150"/>
        <v>#VALUE!</v>
      </c>
      <c r="F1310" s="182" t="e">
        <f>SUM($D$33:D1310)</f>
        <v>#VALUE!</v>
      </c>
      <c r="G1310" s="182">
        <f t="shared" ca="1" si="151"/>
        <v>0</v>
      </c>
      <c r="H1310" s="182" t="e">
        <f t="shared" si="152"/>
        <v>#VALUE!</v>
      </c>
      <c r="I1310" s="183" t="e">
        <f t="shared" si="153"/>
        <v>#VALUE!</v>
      </c>
    </row>
    <row r="1311" spans="1:9" x14ac:dyDescent="0.25">
      <c r="A1311" s="180">
        <f t="shared" ca="1" si="147"/>
        <v>47383</v>
      </c>
      <c r="B1311" s="181">
        <v>1279</v>
      </c>
      <c r="C1311" s="182" t="e">
        <f t="shared" si="148"/>
        <v>#VALUE!</v>
      </c>
      <c r="D1311" s="182" t="e">
        <f t="shared" si="149"/>
        <v>#VALUE!</v>
      </c>
      <c r="E1311" s="182" t="e">
        <f t="shared" si="150"/>
        <v>#VALUE!</v>
      </c>
      <c r="F1311" s="182" t="e">
        <f>SUM($D$33:D1311)</f>
        <v>#VALUE!</v>
      </c>
      <c r="G1311" s="182">
        <f t="shared" ca="1" si="151"/>
        <v>0</v>
      </c>
      <c r="H1311" s="182" t="e">
        <f t="shared" si="152"/>
        <v>#VALUE!</v>
      </c>
      <c r="I1311" s="183" t="e">
        <f t="shared" si="153"/>
        <v>#VALUE!</v>
      </c>
    </row>
    <row r="1312" spans="1:9" x14ac:dyDescent="0.25">
      <c r="A1312" s="180">
        <f t="shared" ca="1" si="147"/>
        <v>47384</v>
      </c>
      <c r="B1312" s="181">
        <v>1280</v>
      </c>
      <c r="C1312" s="182" t="e">
        <f t="shared" si="148"/>
        <v>#VALUE!</v>
      </c>
      <c r="D1312" s="182" t="e">
        <f t="shared" si="149"/>
        <v>#VALUE!</v>
      </c>
      <c r="E1312" s="182" t="e">
        <f t="shared" si="150"/>
        <v>#VALUE!</v>
      </c>
      <c r="F1312" s="182" t="e">
        <f>SUM($D$33:D1312)</f>
        <v>#VALUE!</v>
      </c>
      <c r="G1312" s="182">
        <f t="shared" ca="1" si="151"/>
        <v>0</v>
      </c>
      <c r="H1312" s="182" t="e">
        <f t="shared" si="152"/>
        <v>#VALUE!</v>
      </c>
      <c r="I1312" s="183" t="e">
        <f t="shared" si="153"/>
        <v>#VALUE!</v>
      </c>
    </row>
    <row r="1313" spans="1:9" x14ac:dyDescent="0.25">
      <c r="A1313" s="180">
        <f t="shared" ca="1" si="147"/>
        <v>47385</v>
      </c>
      <c r="B1313" s="181">
        <v>1281</v>
      </c>
      <c r="C1313" s="182" t="e">
        <f t="shared" si="148"/>
        <v>#VALUE!</v>
      </c>
      <c r="D1313" s="182" t="e">
        <f t="shared" si="149"/>
        <v>#VALUE!</v>
      </c>
      <c r="E1313" s="182" t="e">
        <f t="shared" si="150"/>
        <v>#VALUE!</v>
      </c>
      <c r="F1313" s="182" t="e">
        <f>SUM($D$33:D1313)</f>
        <v>#VALUE!</v>
      </c>
      <c r="G1313" s="182">
        <f t="shared" ca="1" si="151"/>
        <v>0</v>
      </c>
      <c r="H1313" s="182" t="e">
        <f t="shared" si="152"/>
        <v>#VALUE!</v>
      </c>
      <c r="I1313" s="183" t="e">
        <f t="shared" si="153"/>
        <v>#VALUE!</v>
      </c>
    </row>
    <row r="1314" spans="1:9" x14ac:dyDescent="0.25">
      <c r="A1314" s="180">
        <f t="shared" ref="A1314:A1377" ca="1" si="154">A1313+1</f>
        <v>47386</v>
      </c>
      <c r="B1314" s="181">
        <v>1282</v>
      </c>
      <c r="C1314" s="182" t="e">
        <f t="shared" si="148"/>
        <v>#VALUE!</v>
      </c>
      <c r="D1314" s="182" t="e">
        <f t="shared" si="149"/>
        <v>#VALUE!</v>
      </c>
      <c r="E1314" s="182" t="e">
        <f t="shared" si="150"/>
        <v>#VALUE!</v>
      </c>
      <c r="F1314" s="182" t="e">
        <f>SUM($D$33:D1314)</f>
        <v>#VALUE!</v>
      </c>
      <c r="G1314" s="182">
        <f t="shared" ca="1" si="151"/>
        <v>0</v>
      </c>
      <c r="H1314" s="182" t="e">
        <f t="shared" si="152"/>
        <v>#VALUE!</v>
      </c>
      <c r="I1314" s="183" t="e">
        <f t="shared" si="153"/>
        <v>#VALUE!</v>
      </c>
    </row>
    <row r="1315" spans="1:9" x14ac:dyDescent="0.25">
      <c r="A1315" s="180">
        <f t="shared" ca="1" si="154"/>
        <v>47387</v>
      </c>
      <c r="B1315" s="181">
        <v>1283</v>
      </c>
      <c r="C1315" s="182" t="e">
        <f t="shared" si="148"/>
        <v>#VALUE!</v>
      </c>
      <c r="D1315" s="182" t="e">
        <f t="shared" si="149"/>
        <v>#VALUE!</v>
      </c>
      <c r="E1315" s="182" t="e">
        <f t="shared" si="150"/>
        <v>#VALUE!</v>
      </c>
      <c r="F1315" s="182" t="e">
        <f>SUM($D$33:D1315)</f>
        <v>#VALUE!</v>
      </c>
      <c r="G1315" s="182">
        <f t="shared" ca="1" si="151"/>
        <v>0</v>
      </c>
      <c r="H1315" s="182" t="e">
        <f t="shared" si="152"/>
        <v>#VALUE!</v>
      </c>
      <c r="I1315" s="183" t="e">
        <f t="shared" si="153"/>
        <v>#VALUE!</v>
      </c>
    </row>
    <row r="1316" spans="1:9" x14ac:dyDescent="0.25">
      <c r="A1316" s="180">
        <f t="shared" ca="1" si="154"/>
        <v>47388</v>
      </c>
      <c r="B1316" s="181">
        <v>1284</v>
      </c>
      <c r="C1316" s="182" t="e">
        <f t="shared" si="148"/>
        <v>#VALUE!</v>
      </c>
      <c r="D1316" s="182" t="e">
        <f t="shared" si="149"/>
        <v>#VALUE!</v>
      </c>
      <c r="E1316" s="182" t="e">
        <f t="shared" si="150"/>
        <v>#VALUE!</v>
      </c>
      <c r="F1316" s="182" t="e">
        <f>SUM($D$33:D1316)</f>
        <v>#VALUE!</v>
      </c>
      <c r="G1316" s="182">
        <f t="shared" ca="1" si="151"/>
        <v>0</v>
      </c>
      <c r="H1316" s="182" t="e">
        <f t="shared" si="152"/>
        <v>#VALUE!</v>
      </c>
      <c r="I1316" s="183" t="e">
        <f t="shared" si="153"/>
        <v>#VALUE!</v>
      </c>
    </row>
    <row r="1317" spans="1:9" x14ac:dyDescent="0.25">
      <c r="A1317" s="180">
        <f t="shared" ca="1" si="154"/>
        <v>47389</v>
      </c>
      <c r="B1317" s="181">
        <v>1285</v>
      </c>
      <c r="C1317" s="182" t="e">
        <f t="shared" si="148"/>
        <v>#VALUE!</v>
      </c>
      <c r="D1317" s="182" t="e">
        <f t="shared" si="149"/>
        <v>#VALUE!</v>
      </c>
      <c r="E1317" s="182" t="e">
        <f t="shared" si="150"/>
        <v>#VALUE!</v>
      </c>
      <c r="F1317" s="182" t="e">
        <f>SUM($D$33:D1317)</f>
        <v>#VALUE!</v>
      </c>
      <c r="G1317" s="182">
        <f t="shared" ca="1" si="151"/>
        <v>0</v>
      </c>
      <c r="H1317" s="182" t="e">
        <f t="shared" si="152"/>
        <v>#VALUE!</v>
      </c>
      <c r="I1317" s="183" t="e">
        <f t="shared" si="153"/>
        <v>#VALUE!</v>
      </c>
    </row>
    <row r="1318" spans="1:9" x14ac:dyDescent="0.25">
      <c r="A1318" s="180">
        <f t="shared" ca="1" si="154"/>
        <v>47390</v>
      </c>
      <c r="B1318" s="181">
        <v>1286</v>
      </c>
      <c r="C1318" s="182" t="e">
        <f t="shared" si="148"/>
        <v>#VALUE!</v>
      </c>
      <c r="D1318" s="182" t="e">
        <f t="shared" si="149"/>
        <v>#VALUE!</v>
      </c>
      <c r="E1318" s="182" t="e">
        <f t="shared" si="150"/>
        <v>#VALUE!</v>
      </c>
      <c r="F1318" s="182" t="e">
        <f>SUM($D$33:D1318)</f>
        <v>#VALUE!</v>
      </c>
      <c r="G1318" s="182">
        <f t="shared" ca="1" si="151"/>
        <v>0</v>
      </c>
      <c r="H1318" s="182" t="e">
        <f t="shared" si="152"/>
        <v>#VALUE!</v>
      </c>
      <c r="I1318" s="183" t="e">
        <f t="shared" si="153"/>
        <v>#VALUE!</v>
      </c>
    </row>
    <row r="1319" spans="1:9" x14ac:dyDescent="0.25">
      <c r="A1319" s="180">
        <f t="shared" ca="1" si="154"/>
        <v>47391</v>
      </c>
      <c r="B1319" s="181">
        <v>1287</v>
      </c>
      <c r="C1319" s="182" t="e">
        <f t="shared" si="148"/>
        <v>#VALUE!</v>
      </c>
      <c r="D1319" s="182" t="e">
        <f t="shared" si="149"/>
        <v>#VALUE!</v>
      </c>
      <c r="E1319" s="182" t="e">
        <f t="shared" si="150"/>
        <v>#VALUE!</v>
      </c>
      <c r="F1319" s="182" t="e">
        <f>SUM($D$33:D1319)</f>
        <v>#VALUE!</v>
      </c>
      <c r="G1319" s="182">
        <f t="shared" ca="1" si="151"/>
        <v>0</v>
      </c>
      <c r="H1319" s="182" t="e">
        <f t="shared" si="152"/>
        <v>#VALUE!</v>
      </c>
      <c r="I1319" s="183" t="e">
        <f t="shared" si="153"/>
        <v>#VALUE!</v>
      </c>
    </row>
    <row r="1320" spans="1:9" x14ac:dyDescent="0.25">
      <c r="A1320" s="180">
        <f t="shared" ca="1" si="154"/>
        <v>47392</v>
      </c>
      <c r="B1320" s="181">
        <v>1288</v>
      </c>
      <c r="C1320" s="182" t="e">
        <f t="shared" si="148"/>
        <v>#VALUE!</v>
      </c>
      <c r="D1320" s="182" t="e">
        <f t="shared" si="149"/>
        <v>#VALUE!</v>
      </c>
      <c r="E1320" s="182" t="e">
        <f t="shared" si="150"/>
        <v>#VALUE!</v>
      </c>
      <c r="F1320" s="182" t="e">
        <f>SUM($D$33:D1320)</f>
        <v>#VALUE!</v>
      </c>
      <c r="G1320" s="182">
        <f t="shared" ca="1" si="151"/>
        <v>0</v>
      </c>
      <c r="H1320" s="182" t="e">
        <f t="shared" si="152"/>
        <v>#VALUE!</v>
      </c>
      <c r="I1320" s="183" t="e">
        <f t="shared" si="153"/>
        <v>#VALUE!</v>
      </c>
    </row>
    <row r="1321" spans="1:9" x14ac:dyDescent="0.25">
      <c r="A1321" s="180">
        <f t="shared" ca="1" si="154"/>
        <v>47393</v>
      </c>
      <c r="B1321" s="181">
        <v>1289</v>
      </c>
      <c r="C1321" s="182" t="e">
        <f t="shared" si="148"/>
        <v>#VALUE!</v>
      </c>
      <c r="D1321" s="182" t="e">
        <f t="shared" si="149"/>
        <v>#VALUE!</v>
      </c>
      <c r="E1321" s="182" t="e">
        <f t="shared" si="150"/>
        <v>#VALUE!</v>
      </c>
      <c r="F1321" s="182" t="e">
        <f>SUM($D$33:D1321)</f>
        <v>#VALUE!</v>
      </c>
      <c r="G1321" s="182">
        <f t="shared" ca="1" si="151"/>
        <v>0</v>
      </c>
      <c r="H1321" s="182" t="e">
        <f t="shared" si="152"/>
        <v>#VALUE!</v>
      </c>
      <c r="I1321" s="183" t="e">
        <f t="shared" si="153"/>
        <v>#VALUE!</v>
      </c>
    </row>
    <row r="1322" spans="1:9" x14ac:dyDescent="0.25">
      <c r="A1322" s="180">
        <f t="shared" ca="1" si="154"/>
        <v>47394</v>
      </c>
      <c r="B1322" s="181">
        <v>1290</v>
      </c>
      <c r="C1322" s="182" t="e">
        <f t="shared" si="148"/>
        <v>#VALUE!</v>
      </c>
      <c r="D1322" s="182" t="e">
        <f t="shared" si="149"/>
        <v>#VALUE!</v>
      </c>
      <c r="E1322" s="182" t="e">
        <f t="shared" si="150"/>
        <v>#VALUE!</v>
      </c>
      <c r="F1322" s="182" t="e">
        <f>SUM($D$33:D1322)</f>
        <v>#VALUE!</v>
      </c>
      <c r="G1322" s="182">
        <f t="shared" ca="1" si="151"/>
        <v>0</v>
      </c>
      <c r="H1322" s="182" t="e">
        <f t="shared" si="152"/>
        <v>#VALUE!</v>
      </c>
      <c r="I1322" s="183" t="e">
        <f t="shared" si="153"/>
        <v>#VALUE!</v>
      </c>
    </row>
    <row r="1323" spans="1:9" x14ac:dyDescent="0.25">
      <c r="A1323" s="180">
        <f t="shared" ca="1" si="154"/>
        <v>47395</v>
      </c>
      <c r="B1323" s="181">
        <v>1291</v>
      </c>
      <c r="C1323" s="182" t="e">
        <f t="shared" si="148"/>
        <v>#VALUE!</v>
      </c>
      <c r="D1323" s="182" t="e">
        <f t="shared" si="149"/>
        <v>#VALUE!</v>
      </c>
      <c r="E1323" s="182" t="e">
        <f t="shared" si="150"/>
        <v>#VALUE!</v>
      </c>
      <c r="F1323" s="182" t="e">
        <f>SUM($D$33:D1323)</f>
        <v>#VALUE!</v>
      </c>
      <c r="G1323" s="182">
        <f t="shared" ca="1" si="151"/>
        <v>0</v>
      </c>
      <c r="H1323" s="182" t="e">
        <f t="shared" si="152"/>
        <v>#VALUE!</v>
      </c>
      <c r="I1323" s="183" t="e">
        <f t="shared" si="153"/>
        <v>#VALUE!</v>
      </c>
    </row>
    <row r="1324" spans="1:9" x14ac:dyDescent="0.25">
      <c r="A1324" s="180">
        <f t="shared" ca="1" si="154"/>
        <v>47396</v>
      </c>
      <c r="B1324" s="181">
        <v>1292</v>
      </c>
      <c r="C1324" s="182" t="e">
        <f t="shared" si="148"/>
        <v>#VALUE!</v>
      </c>
      <c r="D1324" s="182" t="e">
        <f t="shared" si="149"/>
        <v>#VALUE!</v>
      </c>
      <c r="E1324" s="182" t="e">
        <f t="shared" si="150"/>
        <v>#VALUE!</v>
      </c>
      <c r="F1324" s="182" t="e">
        <f>SUM($D$33:D1324)</f>
        <v>#VALUE!</v>
      </c>
      <c r="G1324" s="182">
        <f t="shared" ca="1" si="151"/>
        <v>0</v>
      </c>
      <c r="H1324" s="182" t="e">
        <f t="shared" si="152"/>
        <v>#VALUE!</v>
      </c>
      <c r="I1324" s="183" t="e">
        <f t="shared" si="153"/>
        <v>#VALUE!</v>
      </c>
    </row>
    <row r="1325" spans="1:9" x14ac:dyDescent="0.25">
      <c r="A1325" s="180">
        <f t="shared" ca="1" si="154"/>
        <v>47397</v>
      </c>
      <c r="B1325" s="181">
        <v>1293</v>
      </c>
      <c r="C1325" s="182" t="e">
        <f t="shared" si="148"/>
        <v>#VALUE!</v>
      </c>
      <c r="D1325" s="182" t="e">
        <f t="shared" si="149"/>
        <v>#VALUE!</v>
      </c>
      <c r="E1325" s="182" t="e">
        <f t="shared" si="150"/>
        <v>#VALUE!</v>
      </c>
      <c r="F1325" s="182" t="e">
        <f>SUM($D$33:D1325)</f>
        <v>#VALUE!</v>
      </c>
      <c r="G1325" s="182">
        <f t="shared" ca="1" si="151"/>
        <v>0</v>
      </c>
      <c r="H1325" s="182" t="e">
        <f t="shared" si="152"/>
        <v>#VALUE!</v>
      </c>
      <c r="I1325" s="183" t="e">
        <f t="shared" si="153"/>
        <v>#VALUE!</v>
      </c>
    </row>
    <row r="1326" spans="1:9" x14ac:dyDescent="0.25">
      <c r="A1326" s="180">
        <f t="shared" ca="1" si="154"/>
        <v>47398</v>
      </c>
      <c r="B1326" s="181">
        <v>1294</v>
      </c>
      <c r="C1326" s="182" t="e">
        <f t="shared" si="148"/>
        <v>#VALUE!</v>
      </c>
      <c r="D1326" s="182" t="e">
        <f t="shared" si="149"/>
        <v>#VALUE!</v>
      </c>
      <c r="E1326" s="182" t="e">
        <f t="shared" si="150"/>
        <v>#VALUE!</v>
      </c>
      <c r="F1326" s="182" t="e">
        <f>SUM($D$33:D1326)</f>
        <v>#VALUE!</v>
      </c>
      <c r="G1326" s="182">
        <f t="shared" ca="1" si="151"/>
        <v>0</v>
      </c>
      <c r="H1326" s="182" t="e">
        <f t="shared" si="152"/>
        <v>#VALUE!</v>
      </c>
      <c r="I1326" s="183" t="e">
        <f t="shared" si="153"/>
        <v>#VALUE!</v>
      </c>
    </row>
    <row r="1327" spans="1:9" x14ac:dyDescent="0.25">
      <c r="A1327" s="180">
        <f t="shared" ca="1" si="154"/>
        <v>47399</v>
      </c>
      <c r="B1327" s="181">
        <v>1295</v>
      </c>
      <c r="C1327" s="182" t="e">
        <f t="shared" si="148"/>
        <v>#VALUE!</v>
      </c>
      <c r="D1327" s="182" t="e">
        <f t="shared" si="149"/>
        <v>#VALUE!</v>
      </c>
      <c r="E1327" s="182" t="e">
        <f t="shared" si="150"/>
        <v>#VALUE!</v>
      </c>
      <c r="F1327" s="182" t="e">
        <f>SUM($D$33:D1327)</f>
        <v>#VALUE!</v>
      </c>
      <c r="G1327" s="182">
        <f t="shared" ca="1" si="151"/>
        <v>0</v>
      </c>
      <c r="H1327" s="182" t="e">
        <f t="shared" si="152"/>
        <v>#VALUE!</v>
      </c>
      <c r="I1327" s="183" t="e">
        <f t="shared" si="153"/>
        <v>#VALUE!</v>
      </c>
    </row>
    <row r="1328" spans="1:9" x14ac:dyDescent="0.25">
      <c r="A1328" s="180">
        <f t="shared" ca="1" si="154"/>
        <v>47400</v>
      </c>
      <c r="B1328" s="181">
        <v>1296</v>
      </c>
      <c r="C1328" s="182" t="e">
        <f t="shared" si="148"/>
        <v>#VALUE!</v>
      </c>
      <c r="D1328" s="182" t="e">
        <f t="shared" si="149"/>
        <v>#VALUE!</v>
      </c>
      <c r="E1328" s="182" t="e">
        <f t="shared" si="150"/>
        <v>#VALUE!</v>
      </c>
      <c r="F1328" s="182" t="e">
        <f>SUM($D$33:D1328)</f>
        <v>#VALUE!</v>
      </c>
      <c r="G1328" s="182">
        <f t="shared" ca="1" si="151"/>
        <v>0</v>
      </c>
      <c r="H1328" s="182" t="e">
        <f t="shared" si="152"/>
        <v>#VALUE!</v>
      </c>
      <c r="I1328" s="183" t="e">
        <f t="shared" si="153"/>
        <v>#VALUE!</v>
      </c>
    </row>
    <row r="1329" spans="1:9" x14ac:dyDescent="0.25">
      <c r="A1329" s="180">
        <f t="shared" ca="1" si="154"/>
        <v>47401</v>
      </c>
      <c r="B1329" s="181">
        <v>1297</v>
      </c>
      <c r="C1329" s="182" t="e">
        <f t="shared" si="148"/>
        <v>#VALUE!</v>
      </c>
      <c r="D1329" s="182" t="e">
        <f t="shared" si="149"/>
        <v>#VALUE!</v>
      </c>
      <c r="E1329" s="182" t="e">
        <f t="shared" si="150"/>
        <v>#VALUE!</v>
      </c>
      <c r="F1329" s="182" t="e">
        <f>SUM($D$33:D1329)</f>
        <v>#VALUE!</v>
      </c>
      <c r="G1329" s="182">
        <f t="shared" ca="1" si="151"/>
        <v>0</v>
      </c>
      <c r="H1329" s="182" t="e">
        <f t="shared" si="152"/>
        <v>#VALUE!</v>
      </c>
      <c r="I1329" s="183" t="e">
        <f t="shared" si="153"/>
        <v>#VALUE!</v>
      </c>
    </row>
    <row r="1330" spans="1:9" x14ac:dyDescent="0.25">
      <c r="A1330" s="180">
        <f t="shared" ca="1" si="154"/>
        <v>47402</v>
      </c>
      <c r="B1330" s="181">
        <v>1298</v>
      </c>
      <c r="C1330" s="182" t="e">
        <f t="shared" si="148"/>
        <v>#VALUE!</v>
      </c>
      <c r="D1330" s="182" t="e">
        <f t="shared" si="149"/>
        <v>#VALUE!</v>
      </c>
      <c r="E1330" s="182" t="e">
        <f t="shared" si="150"/>
        <v>#VALUE!</v>
      </c>
      <c r="F1330" s="182" t="e">
        <f>SUM($D$33:D1330)</f>
        <v>#VALUE!</v>
      </c>
      <c r="G1330" s="182">
        <f t="shared" ca="1" si="151"/>
        <v>0</v>
      </c>
      <c r="H1330" s="182" t="e">
        <f t="shared" si="152"/>
        <v>#VALUE!</v>
      </c>
      <c r="I1330" s="183" t="e">
        <f t="shared" si="153"/>
        <v>#VALUE!</v>
      </c>
    </row>
    <row r="1331" spans="1:9" x14ac:dyDescent="0.25">
      <c r="A1331" s="180">
        <f t="shared" ca="1" si="154"/>
        <v>47403</v>
      </c>
      <c r="B1331" s="181">
        <v>1299</v>
      </c>
      <c r="C1331" s="182" t="e">
        <f t="shared" si="148"/>
        <v>#VALUE!</v>
      </c>
      <c r="D1331" s="182" t="e">
        <f t="shared" si="149"/>
        <v>#VALUE!</v>
      </c>
      <c r="E1331" s="182" t="e">
        <f t="shared" si="150"/>
        <v>#VALUE!</v>
      </c>
      <c r="F1331" s="182" t="e">
        <f>SUM($D$33:D1331)</f>
        <v>#VALUE!</v>
      </c>
      <c r="G1331" s="182">
        <f t="shared" ca="1" si="151"/>
        <v>0</v>
      </c>
      <c r="H1331" s="182" t="e">
        <f t="shared" si="152"/>
        <v>#VALUE!</v>
      </c>
      <c r="I1331" s="183" t="e">
        <f t="shared" si="153"/>
        <v>#VALUE!</v>
      </c>
    </row>
    <row r="1332" spans="1:9" x14ac:dyDescent="0.25">
      <c r="A1332" s="180">
        <f t="shared" ca="1" si="154"/>
        <v>47404</v>
      </c>
      <c r="B1332" s="181">
        <v>1300</v>
      </c>
      <c r="C1332" s="182" t="e">
        <f t="shared" si="148"/>
        <v>#VALUE!</v>
      </c>
      <c r="D1332" s="182" t="e">
        <f t="shared" si="149"/>
        <v>#VALUE!</v>
      </c>
      <c r="E1332" s="182" t="e">
        <f t="shared" si="150"/>
        <v>#VALUE!</v>
      </c>
      <c r="F1332" s="182" t="e">
        <f>SUM($D$33:D1332)</f>
        <v>#VALUE!</v>
      </c>
      <c r="G1332" s="182">
        <f t="shared" ca="1" si="151"/>
        <v>0</v>
      </c>
      <c r="H1332" s="182" t="e">
        <f t="shared" si="152"/>
        <v>#VALUE!</v>
      </c>
      <c r="I1332" s="183" t="e">
        <f t="shared" si="153"/>
        <v>#VALUE!</v>
      </c>
    </row>
    <row r="1333" spans="1:9" x14ac:dyDescent="0.25">
      <c r="A1333" s="180">
        <f t="shared" ca="1" si="154"/>
        <v>47405</v>
      </c>
      <c r="B1333" s="181">
        <v>1301</v>
      </c>
      <c r="C1333" s="182" t="e">
        <f t="shared" si="148"/>
        <v>#VALUE!</v>
      </c>
      <c r="D1333" s="182" t="e">
        <f t="shared" si="149"/>
        <v>#VALUE!</v>
      </c>
      <c r="E1333" s="182" t="e">
        <f t="shared" si="150"/>
        <v>#VALUE!</v>
      </c>
      <c r="F1333" s="182" t="e">
        <f>SUM($D$33:D1333)</f>
        <v>#VALUE!</v>
      </c>
      <c r="G1333" s="182">
        <f t="shared" ca="1" si="151"/>
        <v>0</v>
      </c>
      <c r="H1333" s="182" t="e">
        <f t="shared" si="152"/>
        <v>#VALUE!</v>
      </c>
      <c r="I1333" s="183" t="e">
        <f t="shared" si="153"/>
        <v>#VALUE!</v>
      </c>
    </row>
    <row r="1334" spans="1:9" x14ac:dyDescent="0.25">
      <c r="A1334" s="180">
        <f t="shared" ca="1" si="154"/>
        <v>47406</v>
      </c>
      <c r="B1334" s="181">
        <v>1302</v>
      </c>
      <c r="C1334" s="182" t="e">
        <f t="shared" si="148"/>
        <v>#VALUE!</v>
      </c>
      <c r="D1334" s="182" t="e">
        <f t="shared" si="149"/>
        <v>#VALUE!</v>
      </c>
      <c r="E1334" s="182" t="e">
        <f t="shared" si="150"/>
        <v>#VALUE!</v>
      </c>
      <c r="F1334" s="182" t="e">
        <f>SUM($D$33:D1334)</f>
        <v>#VALUE!</v>
      </c>
      <c r="G1334" s="182">
        <f t="shared" ca="1" si="151"/>
        <v>0</v>
      </c>
      <c r="H1334" s="182" t="e">
        <f t="shared" si="152"/>
        <v>#VALUE!</v>
      </c>
      <c r="I1334" s="183" t="e">
        <f t="shared" si="153"/>
        <v>#VALUE!</v>
      </c>
    </row>
    <row r="1335" spans="1:9" x14ac:dyDescent="0.25">
      <c r="A1335" s="180">
        <f t="shared" ca="1" si="154"/>
        <v>47407</v>
      </c>
      <c r="B1335" s="181">
        <v>1303</v>
      </c>
      <c r="C1335" s="182" t="e">
        <f t="shared" si="148"/>
        <v>#VALUE!</v>
      </c>
      <c r="D1335" s="182" t="e">
        <f t="shared" si="149"/>
        <v>#VALUE!</v>
      </c>
      <c r="E1335" s="182" t="e">
        <f t="shared" si="150"/>
        <v>#VALUE!</v>
      </c>
      <c r="F1335" s="182" t="e">
        <f>SUM($D$33:D1335)</f>
        <v>#VALUE!</v>
      </c>
      <c r="G1335" s="182">
        <f t="shared" ca="1" si="151"/>
        <v>0</v>
      </c>
      <c r="H1335" s="182" t="e">
        <f t="shared" si="152"/>
        <v>#VALUE!</v>
      </c>
      <c r="I1335" s="183" t="e">
        <f t="shared" si="153"/>
        <v>#VALUE!</v>
      </c>
    </row>
    <row r="1336" spans="1:9" x14ac:dyDescent="0.25">
      <c r="A1336" s="180">
        <f t="shared" ca="1" si="154"/>
        <v>47408</v>
      </c>
      <c r="B1336" s="181">
        <v>1304</v>
      </c>
      <c r="C1336" s="182" t="e">
        <f t="shared" si="148"/>
        <v>#VALUE!</v>
      </c>
      <c r="D1336" s="182" t="e">
        <f t="shared" si="149"/>
        <v>#VALUE!</v>
      </c>
      <c r="E1336" s="182" t="e">
        <f t="shared" si="150"/>
        <v>#VALUE!</v>
      </c>
      <c r="F1336" s="182" t="e">
        <f>SUM($D$33:D1336)</f>
        <v>#VALUE!</v>
      </c>
      <c r="G1336" s="182">
        <f t="shared" ca="1" si="151"/>
        <v>0</v>
      </c>
      <c r="H1336" s="182" t="e">
        <f t="shared" si="152"/>
        <v>#VALUE!</v>
      </c>
      <c r="I1336" s="183" t="e">
        <f t="shared" si="153"/>
        <v>#VALUE!</v>
      </c>
    </row>
    <row r="1337" spans="1:9" x14ac:dyDescent="0.25">
      <c r="A1337" s="180">
        <f t="shared" ca="1" si="154"/>
        <v>47409</v>
      </c>
      <c r="B1337" s="181">
        <v>1305</v>
      </c>
      <c r="C1337" s="182" t="e">
        <f t="shared" si="148"/>
        <v>#VALUE!</v>
      </c>
      <c r="D1337" s="182" t="e">
        <f t="shared" si="149"/>
        <v>#VALUE!</v>
      </c>
      <c r="E1337" s="182" t="e">
        <f t="shared" si="150"/>
        <v>#VALUE!</v>
      </c>
      <c r="F1337" s="182" t="e">
        <f>SUM($D$33:D1337)</f>
        <v>#VALUE!</v>
      </c>
      <c r="G1337" s="182">
        <f t="shared" ca="1" si="151"/>
        <v>0</v>
      </c>
      <c r="H1337" s="182" t="e">
        <f t="shared" si="152"/>
        <v>#VALUE!</v>
      </c>
      <c r="I1337" s="183" t="e">
        <f t="shared" si="153"/>
        <v>#VALUE!</v>
      </c>
    </row>
    <row r="1338" spans="1:9" x14ac:dyDescent="0.25">
      <c r="A1338" s="180">
        <f t="shared" ca="1" si="154"/>
        <v>47410</v>
      </c>
      <c r="B1338" s="181">
        <v>1306</v>
      </c>
      <c r="C1338" s="182" t="e">
        <f t="shared" si="148"/>
        <v>#VALUE!</v>
      </c>
      <c r="D1338" s="182" t="e">
        <f t="shared" si="149"/>
        <v>#VALUE!</v>
      </c>
      <c r="E1338" s="182" t="e">
        <f t="shared" si="150"/>
        <v>#VALUE!</v>
      </c>
      <c r="F1338" s="182" t="e">
        <f>SUM($D$33:D1338)</f>
        <v>#VALUE!</v>
      </c>
      <c r="G1338" s="182">
        <f t="shared" ca="1" si="151"/>
        <v>0</v>
      </c>
      <c r="H1338" s="182" t="e">
        <f t="shared" si="152"/>
        <v>#VALUE!</v>
      </c>
      <c r="I1338" s="183" t="e">
        <f t="shared" si="153"/>
        <v>#VALUE!</v>
      </c>
    </row>
    <row r="1339" spans="1:9" x14ac:dyDescent="0.25">
      <c r="A1339" s="180">
        <f t="shared" ca="1" si="154"/>
        <v>47411</v>
      </c>
      <c r="B1339" s="181">
        <v>1307</v>
      </c>
      <c r="C1339" s="182" t="e">
        <f t="shared" si="148"/>
        <v>#VALUE!</v>
      </c>
      <c r="D1339" s="182" t="e">
        <f t="shared" si="149"/>
        <v>#VALUE!</v>
      </c>
      <c r="E1339" s="182" t="e">
        <f t="shared" si="150"/>
        <v>#VALUE!</v>
      </c>
      <c r="F1339" s="182" t="e">
        <f>SUM($D$33:D1339)</f>
        <v>#VALUE!</v>
      </c>
      <c r="G1339" s="182">
        <f t="shared" ca="1" si="151"/>
        <v>0</v>
      </c>
      <c r="H1339" s="182" t="e">
        <f t="shared" si="152"/>
        <v>#VALUE!</v>
      </c>
      <c r="I1339" s="183" t="e">
        <f t="shared" si="153"/>
        <v>#VALUE!</v>
      </c>
    </row>
    <row r="1340" spans="1:9" x14ac:dyDescent="0.25">
      <c r="A1340" s="180">
        <f t="shared" ca="1" si="154"/>
        <v>47412</v>
      </c>
      <c r="B1340" s="181">
        <v>1308</v>
      </c>
      <c r="C1340" s="182" t="e">
        <f t="shared" si="148"/>
        <v>#VALUE!</v>
      </c>
      <c r="D1340" s="182" t="e">
        <f t="shared" si="149"/>
        <v>#VALUE!</v>
      </c>
      <c r="E1340" s="182" t="e">
        <f t="shared" si="150"/>
        <v>#VALUE!</v>
      </c>
      <c r="F1340" s="182" t="e">
        <f>SUM($D$33:D1340)</f>
        <v>#VALUE!</v>
      </c>
      <c r="G1340" s="182">
        <f t="shared" ca="1" si="151"/>
        <v>0</v>
      </c>
      <c r="H1340" s="182" t="e">
        <f t="shared" si="152"/>
        <v>#VALUE!</v>
      </c>
      <c r="I1340" s="183" t="e">
        <f t="shared" si="153"/>
        <v>#VALUE!</v>
      </c>
    </row>
    <row r="1341" spans="1:9" x14ac:dyDescent="0.25">
      <c r="A1341" s="180">
        <f t="shared" ca="1" si="154"/>
        <v>47413</v>
      </c>
      <c r="B1341" s="181">
        <v>1309</v>
      </c>
      <c r="C1341" s="182" t="e">
        <f t="shared" si="148"/>
        <v>#VALUE!</v>
      </c>
      <c r="D1341" s="182" t="e">
        <f t="shared" si="149"/>
        <v>#VALUE!</v>
      </c>
      <c r="E1341" s="182" t="e">
        <f t="shared" si="150"/>
        <v>#VALUE!</v>
      </c>
      <c r="F1341" s="182" t="e">
        <f>SUM($D$33:D1341)</f>
        <v>#VALUE!</v>
      </c>
      <c r="G1341" s="182">
        <f t="shared" ca="1" si="151"/>
        <v>0</v>
      </c>
      <c r="H1341" s="182" t="e">
        <f t="shared" si="152"/>
        <v>#VALUE!</v>
      </c>
      <c r="I1341" s="183" t="e">
        <f t="shared" si="153"/>
        <v>#VALUE!</v>
      </c>
    </row>
    <row r="1342" spans="1:9" x14ac:dyDescent="0.25">
      <c r="A1342" s="180">
        <f t="shared" ca="1" si="154"/>
        <v>47414</v>
      </c>
      <c r="B1342" s="181">
        <v>1310</v>
      </c>
      <c r="C1342" s="182" t="e">
        <f t="shared" si="148"/>
        <v>#VALUE!</v>
      </c>
      <c r="D1342" s="182" t="e">
        <f t="shared" si="149"/>
        <v>#VALUE!</v>
      </c>
      <c r="E1342" s="182" t="e">
        <f t="shared" si="150"/>
        <v>#VALUE!</v>
      </c>
      <c r="F1342" s="182" t="e">
        <f>SUM($D$33:D1342)</f>
        <v>#VALUE!</v>
      </c>
      <c r="G1342" s="182">
        <f t="shared" ca="1" si="151"/>
        <v>0</v>
      </c>
      <c r="H1342" s="182" t="e">
        <f t="shared" si="152"/>
        <v>#VALUE!</v>
      </c>
      <c r="I1342" s="183" t="e">
        <f t="shared" si="153"/>
        <v>#VALUE!</v>
      </c>
    </row>
    <row r="1343" spans="1:9" x14ac:dyDescent="0.25">
      <c r="A1343" s="180">
        <f t="shared" ca="1" si="154"/>
        <v>47415</v>
      </c>
      <c r="B1343" s="181">
        <v>1311</v>
      </c>
      <c r="C1343" s="182" t="e">
        <f t="shared" si="148"/>
        <v>#VALUE!</v>
      </c>
      <c r="D1343" s="182" t="e">
        <f t="shared" si="149"/>
        <v>#VALUE!</v>
      </c>
      <c r="E1343" s="182" t="e">
        <f t="shared" si="150"/>
        <v>#VALUE!</v>
      </c>
      <c r="F1343" s="182" t="e">
        <f>SUM($D$33:D1343)</f>
        <v>#VALUE!</v>
      </c>
      <c r="G1343" s="182">
        <f t="shared" ca="1" si="151"/>
        <v>0</v>
      </c>
      <c r="H1343" s="182" t="e">
        <f t="shared" si="152"/>
        <v>#VALUE!</v>
      </c>
      <c r="I1343" s="183" t="e">
        <f t="shared" si="153"/>
        <v>#VALUE!</v>
      </c>
    </row>
    <row r="1344" spans="1:9" x14ac:dyDescent="0.25">
      <c r="A1344" s="180">
        <f t="shared" ca="1" si="154"/>
        <v>47416</v>
      </c>
      <c r="B1344" s="181">
        <v>1312</v>
      </c>
      <c r="C1344" s="182" t="e">
        <f t="shared" si="148"/>
        <v>#VALUE!</v>
      </c>
      <c r="D1344" s="182" t="e">
        <f t="shared" si="149"/>
        <v>#VALUE!</v>
      </c>
      <c r="E1344" s="182" t="e">
        <f t="shared" si="150"/>
        <v>#VALUE!</v>
      </c>
      <c r="F1344" s="182" t="e">
        <f>SUM($D$33:D1344)</f>
        <v>#VALUE!</v>
      </c>
      <c r="G1344" s="182">
        <f t="shared" ca="1" si="151"/>
        <v>0</v>
      </c>
      <c r="H1344" s="182" t="e">
        <f t="shared" si="152"/>
        <v>#VALUE!</v>
      </c>
      <c r="I1344" s="183" t="e">
        <f t="shared" si="153"/>
        <v>#VALUE!</v>
      </c>
    </row>
    <row r="1345" spans="1:9" x14ac:dyDescent="0.25">
      <c r="A1345" s="180">
        <f t="shared" ca="1" si="154"/>
        <v>47417</v>
      </c>
      <c r="B1345" s="181">
        <v>1313</v>
      </c>
      <c r="C1345" s="182" t="e">
        <f t="shared" si="148"/>
        <v>#VALUE!</v>
      </c>
      <c r="D1345" s="182" t="e">
        <f t="shared" si="149"/>
        <v>#VALUE!</v>
      </c>
      <c r="E1345" s="182" t="e">
        <f t="shared" si="150"/>
        <v>#VALUE!</v>
      </c>
      <c r="F1345" s="182" t="e">
        <f>SUM($D$33:D1345)</f>
        <v>#VALUE!</v>
      </c>
      <c r="G1345" s="182">
        <f t="shared" ca="1" si="151"/>
        <v>0</v>
      </c>
      <c r="H1345" s="182" t="e">
        <f t="shared" si="152"/>
        <v>#VALUE!</v>
      </c>
      <c r="I1345" s="183" t="e">
        <f t="shared" si="153"/>
        <v>#VALUE!</v>
      </c>
    </row>
    <row r="1346" spans="1:9" x14ac:dyDescent="0.25">
      <c r="A1346" s="180">
        <f t="shared" ca="1" si="154"/>
        <v>47418</v>
      </c>
      <c r="B1346" s="181">
        <v>1314</v>
      </c>
      <c r="C1346" s="182" t="e">
        <f t="shared" si="148"/>
        <v>#VALUE!</v>
      </c>
      <c r="D1346" s="182" t="e">
        <f t="shared" si="149"/>
        <v>#VALUE!</v>
      </c>
      <c r="E1346" s="182" t="e">
        <f t="shared" si="150"/>
        <v>#VALUE!</v>
      </c>
      <c r="F1346" s="182" t="e">
        <f>SUM($D$33:D1346)</f>
        <v>#VALUE!</v>
      </c>
      <c r="G1346" s="182">
        <f t="shared" ca="1" si="151"/>
        <v>0</v>
      </c>
      <c r="H1346" s="182" t="e">
        <f t="shared" si="152"/>
        <v>#VALUE!</v>
      </c>
      <c r="I1346" s="183" t="e">
        <f t="shared" si="153"/>
        <v>#VALUE!</v>
      </c>
    </row>
    <row r="1347" spans="1:9" x14ac:dyDescent="0.25">
      <c r="A1347" s="180">
        <f t="shared" ca="1" si="154"/>
        <v>47419</v>
      </c>
      <c r="B1347" s="181">
        <v>1315</v>
      </c>
      <c r="C1347" s="182" t="e">
        <f t="shared" si="148"/>
        <v>#VALUE!</v>
      </c>
      <c r="D1347" s="182" t="e">
        <f t="shared" si="149"/>
        <v>#VALUE!</v>
      </c>
      <c r="E1347" s="182" t="e">
        <f t="shared" si="150"/>
        <v>#VALUE!</v>
      </c>
      <c r="F1347" s="182" t="e">
        <f>SUM($D$33:D1347)</f>
        <v>#VALUE!</v>
      </c>
      <c r="G1347" s="182">
        <f t="shared" ca="1" si="151"/>
        <v>0</v>
      </c>
      <c r="H1347" s="182" t="e">
        <f t="shared" si="152"/>
        <v>#VALUE!</v>
      </c>
      <c r="I1347" s="183" t="e">
        <f t="shared" si="153"/>
        <v>#VALUE!</v>
      </c>
    </row>
    <row r="1348" spans="1:9" x14ac:dyDescent="0.25">
      <c r="A1348" s="180">
        <f t="shared" ca="1" si="154"/>
        <v>47420</v>
      </c>
      <c r="B1348" s="181">
        <v>1316</v>
      </c>
      <c r="C1348" s="182" t="e">
        <f t="shared" si="148"/>
        <v>#VALUE!</v>
      </c>
      <c r="D1348" s="182" t="e">
        <f t="shared" si="149"/>
        <v>#VALUE!</v>
      </c>
      <c r="E1348" s="182" t="e">
        <f t="shared" si="150"/>
        <v>#VALUE!</v>
      </c>
      <c r="F1348" s="182" t="e">
        <f>SUM($D$33:D1348)</f>
        <v>#VALUE!</v>
      </c>
      <c r="G1348" s="182">
        <f t="shared" ca="1" si="151"/>
        <v>0</v>
      </c>
      <c r="H1348" s="182" t="e">
        <f t="shared" si="152"/>
        <v>#VALUE!</v>
      </c>
      <c r="I1348" s="183" t="e">
        <f t="shared" si="153"/>
        <v>#VALUE!</v>
      </c>
    </row>
    <row r="1349" spans="1:9" x14ac:dyDescent="0.25">
      <c r="A1349" s="180">
        <f t="shared" ca="1" si="154"/>
        <v>47421</v>
      </c>
      <c r="B1349" s="181">
        <v>1317</v>
      </c>
      <c r="C1349" s="182" t="e">
        <f t="shared" si="148"/>
        <v>#VALUE!</v>
      </c>
      <c r="D1349" s="182" t="e">
        <f t="shared" si="149"/>
        <v>#VALUE!</v>
      </c>
      <c r="E1349" s="182" t="e">
        <f t="shared" si="150"/>
        <v>#VALUE!</v>
      </c>
      <c r="F1349" s="182" t="e">
        <f>SUM($D$33:D1349)</f>
        <v>#VALUE!</v>
      </c>
      <c r="G1349" s="182">
        <f t="shared" ca="1" si="151"/>
        <v>0</v>
      </c>
      <c r="H1349" s="182" t="e">
        <f t="shared" si="152"/>
        <v>#VALUE!</v>
      </c>
      <c r="I1349" s="183" t="e">
        <f t="shared" si="153"/>
        <v>#VALUE!</v>
      </c>
    </row>
    <row r="1350" spans="1:9" x14ac:dyDescent="0.25">
      <c r="A1350" s="180">
        <f t="shared" ca="1" si="154"/>
        <v>47422</v>
      </c>
      <c r="B1350" s="181">
        <v>1318</v>
      </c>
      <c r="C1350" s="182" t="e">
        <f t="shared" si="148"/>
        <v>#VALUE!</v>
      </c>
      <c r="D1350" s="182" t="e">
        <f t="shared" si="149"/>
        <v>#VALUE!</v>
      </c>
      <c r="E1350" s="182" t="e">
        <f t="shared" si="150"/>
        <v>#VALUE!</v>
      </c>
      <c r="F1350" s="182" t="e">
        <f>SUM($D$33:D1350)</f>
        <v>#VALUE!</v>
      </c>
      <c r="G1350" s="182">
        <f t="shared" ca="1" si="151"/>
        <v>0</v>
      </c>
      <c r="H1350" s="182" t="e">
        <f t="shared" si="152"/>
        <v>#VALUE!</v>
      </c>
      <c r="I1350" s="183" t="e">
        <f t="shared" si="153"/>
        <v>#VALUE!</v>
      </c>
    </row>
    <row r="1351" spans="1:9" x14ac:dyDescent="0.25">
      <c r="A1351" s="180">
        <f t="shared" ca="1" si="154"/>
        <v>47423</v>
      </c>
      <c r="B1351" s="181">
        <v>1319</v>
      </c>
      <c r="C1351" s="182" t="e">
        <f t="shared" si="148"/>
        <v>#VALUE!</v>
      </c>
      <c r="D1351" s="182" t="e">
        <f t="shared" si="149"/>
        <v>#VALUE!</v>
      </c>
      <c r="E1351" s="182" t="e">
        <f t="shared" si="150"/>
        <v>#VALUE!</v>
      </c>
      <c r="F1351" s="182" t="e">
        <f>SUM($D$33:D1351)</f>
        <v>#VALUE!</v>
      </c>
      <c r="G1351" s="182">
        <f t="shared" ca="1" si="151"/>
        <v>0</v>
      </c>
      <c r="H1351" s="182" t="e">
        <f t="shared" si="152"/>
        <v>#VALUE!</v>
      </c>
      <c r="I1351" s="183" t="e">
        <f t="shared" si="153"/>
        <v>#VALUE!</v>
      </c>
    </row>
    <row r="1352" spans="1:9" x14ac:dyDescent="0.25">
      <c r="A1352" s="180">
        <f t="shared" ca="1" si="154"/>
        <v>47424</v>
      </c>
      <c r="B1352" s="181">
        <v>1320</v>
      </c>
      <c r="C1352" s="182" t="e">
        <f t="shared" si="148"/>
        <v>#VALUE!</v>
      </c>
      <c r="D1352" s="182" t="e">
        <f t="shared" si="149"/>
        <v>#VALUE!</v>
      </c>
      <c r="E1352" s="182" t="e">
        <f t="shared" si="150"/>
        <v>#VALUE!</v>
      </c>
      <c r="F1352" s="182" t="e">
        <f>SUM($D$33:D1352)</f>
        <v>#VALUE!</v>
      </c>
      <c r="G1352" s="182">
        <f t="shared" ca="1" si="151"/>
        <v>0</v>
      </c>
      <c r="H1352" s="182" t="e">
        <f t="shared" si="152"/>
        <v>#VALUE!</v>
      </c>
      <c r="I1352" s="183" t="e">
        <f t="shared" si="153"/>
        <v>#VALUE!</v>
      </c>
    </row>
    <row r="1353" spans="1:9" x14ac:dyDescent="0.25">
      <c r="A1353" s="180">
        <f t="shared" ca="1" si="154"/>
        <v>47425</v>
      </c>
      <c r="B1353" s="181">
        <v>1321</v>
      </c>
      <c r="C1353" s="182" t="e">
        <f t="shared" si="148"/>
        <v>#VALUE!</v>
      </c>
      <c r="D1353" s="182" t="e">
        <f t="shared" si="149"/>
        <v>#VALUE!</v>
      </c>
      <c r="E1353" s="182" t="e">
        <f t="shared" si="150"/>
        <v>#VALUE!</v>
      </c>
      <c r="F1353" s="182" t="e">
        <f>SUM($D$33:D1353)</f>
        <v>#VALUE!</v>
      </c>
      <c r="G1353" s="182">
        <f t="shared" ca="1" si="151"/>
        <v>0</v>
      </c>
      <c r="H1353" s="182" t="e">
        <f t="shared" si="152"/>
        <v>#VALUE!</v>
      </c>
      <c r="I1353" s="183" t="e">
        <f t="shared" si="153"/>
        <v>#VALUE!</v>
      </c>
    </row>
    <row r="1354" spans="1:9" x14ac:dyDescent="0.25">
      <c r="A1354" s="180">
        <f t="shared" ca="1" si="154"/>
        <v>47426</v>
      </c>
      <c r="B1354" s="181">
        <v>1322</v>
      </c>
      <c r="C1354" s="182" t="e">
        <f t="shared" si="148"/>
        <v>#VALUE!</v>
      </c>
      <c r="D1354" s="182" t="e">
        <f t="shared" si="149"/>
        <v>#VALUE!</v>
      </c>
      <c r="E1354" s="182" t="e">
        <f t="shared" si="150"/>
        <v>#VALUE!</v>
      </c>
      <c r="F1354" s="182" t="e">
        <f>SUM($D$33:D1354)</f>
        <v>#VALUE!</v>
      </c>
      <c r="G1354" s="182">
        <f t="shared" ca="1" si="151"/>
        <v>0</v>
      </c>
      <c r="H1354" s="182" t="e">
        <f t="shared" si="152"/>
        <v>#VALUE!</v>
      </c>
      <c r="I1354" s="183" t="e">
        <f t="shared" si="153"/>
        <v>#VALUE!</v>
      </c>
    </row>
    <row r="1355" spans="1:9" x14ac:dyDescent="0.25">
      <c r="A1355" s="180">
        <f t="shared" ca="1" si="154"/>
        <v>47427</v>
      </c>
      <c r="B1355" s="181">
        <v>1323</v>
      </c>
      <c r="C1355" s="182" t="e">
        <f t="shared" si="148"/>
        <v>#VALUE!</v>
      </c>
      <c r="D1355" s="182" t="e">
        <f t="shared" si="149"/>
        <v>#VALUE!</v>
      </c>
      <c r="E1355" s="182" t="e">
        <f t="shared" si="150"/>
        <v>#VALUE!</v>
      </c>
      <c r="F1355" s="182" t="e">
        <f>SUM($D$33:D1355)</f>
        <v>#VALUE!</v>
      </c>
      <c r="G1355" s="182">
        <f t="shared" ca="1" si="151"/>
        <v>0</v>
      </c>
      <c r="H1355" s="182" t="e">
        <f t="shared" si="152"/>
        <v>#VALUE!</v>
      </c>
      <c r="I1355" s="183" t="e">
        <f t="shared" si="153"/>
        <v>#VALUE!</v>
      </c>
    </row>
    <row r="1356" spans="1:9" x14ac:dyDescent="0.25">
      <c r="A1356" s="180">
        <f t="shared" ca="1" si="154"/>
        <v>47428</v>
      </c>
      <c r="B1356" s="181">
        <v>1324</v>
      </c>
      <c r="C1356" s="182" t="e">
        <f t="shared" si="148"/>
        <v>#VALUE!</v>
      </c>
      <c r="D1356" s="182" t="e">
        <f t="shared" si="149"/>
        <v>#VALUE!</v>
      </c>
      <c r="E1356" s="182" t="e">
        <f t="shared" si="150"/>
        <v>#VALUE!</v>
      </c>
      <c r="F1356" s="182" t="e">
        <f>SUM($D$33:D1356)</f>
        <v>#VALUE!</v>
      </c>
      <c r="G1356" s="182">
        <f t="shared" ca="1" si="151"/>
        <v>0</v>
      </c>
      <c r="H1356" s="182" t="e">
        <f t="shared" si="152"/>
        <v>#VALUE!</v>
      </c>
      <c r="I1356" s="183" t="e">
        <f t="shared" si="153"/>
        <v>#VALUE!</v>
      </c>
    </row>
    <row r="1357" spans="1:9" x14ac:dyDescent="0.25">
      <c r="A1357" s="180">
        <f t="shared" ca="1" si="154"/>
        <v>47429</v>
      </c>
      <c r="B1357" s="181">
        <v>1325</v>
      </c>
      <c r="C1357" s="182" t="e">
        <f t="shared" si="148"/>
        <v>#VALUE!</v>
      </c>
      <c r="D1357" s="182" t="e">
        <f t="shared" si="149"/>
        <v>#VALUE!</v>
      </c>
      <c r="E1357" s="182" t="e">
        <f t="shared" si="150"/>
        <v>#VALUE!</v>
      </c>
      <c r="F1357" s="182" t="e">
        <f>SUM($D$33:D1357)</f>
        <v>#VALUE!</v>
      </c>
      <c r="G1357" s="182">
        <f t="shared" ca="1" si="151"/>
        <v>0</v>
      </c>
      <c r="H1357" s="182" t="e">
        <f t="shared" si="152"/>
        <v>#VALUE!</v>
      </c>
      <c r="I1357" s="183" t="e">
        <f t="shared" si="153"/>
        <v>#VALUE!</v>
      </c>
    </row>
    <row r="1358" spans="1:9" x14ac:dyDescent="0.25">
      <c r="A1358" s="180">
        <f t="shared" ca="1" si="154"/>
        <v>47430</v>
      </c>
      <c r="B1358" s="181">
        <v>1326</v>
      </c>
      <c r="C1358" s="182" t="e">
        <f t="shared" si="148"/>
        <v>#VALUE!</v>
      </c>
      <c r="D1358" s="182" t="e">
        <f t="shared" si="149"/>
        <v>#VALUE!</v>
      </c>
      <c r="E1358" s="182" t="e">
        <f t="shared" si="150"/>
        <v>#VALUE!</v>
      </c>
      <c r="F1358" s="182" t="e">
        <f>SUM($D$33:D1358)</f>
        <v>#VALUE!</v>
      </c>
      <c r="G1358" s="182">
        <f t="shared" ca="1" si="151"/>
        <v>0</v>
      </c>
      <c r="H1358" s="182" t="e">
        <f t="shared" si="152"/>
        <v>#VALUE!</v>
      </c>
      <c r="I1358" s="183" t="e">
        <f t="shared" si="153"/>
        <v>#VALUE!</v>
      </c>
    </row>
    <row r="1359" spans="1:9" x14ac:dyDescent="0.25">
      <c r="A1359" s="180">
        <f t="shared" ca="1" si="154"/>
        <v>47431</v>
      </c>
      <c r="B1359" s="181">
        <v>1327</v>
      </c>
      <c r="C1359" s="182" t="e">
        <f t="shared" si="148"/>
        <v>#VALUE!</v>
      </c>
      <c r="D1359" s="182" t="e">
        <f t="shared" si="149"/>
        <v>#VALUE!</v>
      </c>
      <c r="E1359" s="182" t="e">
        <f t="shared" si="150"/>
        <v>#VALUE!</v>
      </c>
      <c r="F1359" s="182" t="e">
        <f>SUM($D$33:D1359)</f>
        <v>#VALUE!</v>
      </c>
      <c r="G1359" s="182">
        <f t="shared" ca="1" si="151"/>
        <v>0</v>
      </c>
      <c r="H1359" s="182" t="e">
        <f t="shared" si="152"/>
        <v>#VALUE!</v>
      </c>
      <c r="I1359" s="183" t="e">
        <f t="shared" si="153"/>
        <v>#VALUE!</v>
      </c>
    </row>
    <row r="1360" spans="1:9" x14ac:dyDescent="0.25">
      <c r="A1360" s="180">
        <f t="shared" ca="1" si="154"/>
        <v>47432</v>
      </c>
      <c r="B1360" s="181">
        <v>1328</v>
      </c>
      <c r="C1360" s="182" t="e">
        <f t="shared" ref="C1360:C1423" si="155">H1359</f>
        <v>#VALUE!</v>
      </c>
      <c r="D1360" s="182" t="e">
        <f t="shared" ref="D1360:D1423" si="156">IF(C1360&gt;$H$21,C1360*($L$16/360),$H$21*($L$16/360))</f>
        <v>#VALUE!</v>
      </c>
      <c r="E1360" s="182" t="e">
        <f t="shared" ref="E1360:E1423" si="157">IF(E1359&gt;0,E1359-D1360,0)</f>
        <v>#VALUE!</v>
      </c>
      <c r="F1360" s="182" t="e">
        <f>SUM($D$33:D1360)</f>
        <v>#VALUE!</v>
      </c>
      <c r="G1360" s="182">
        <f t="shared" ref="G1360:G1423" ca="1" si="158">IFERROR(-VLOOKUP(A1360,$K$30:$M$36,2,FALSE),0)</f>
        <v>0</v>
      </c>
      <c r="H1360" s="182" t="e">
        <f t="shared" ref="H1360:H1423" si="159">IF(E1360&gt;0,C1360+G1360,IF(E1360&lt;0,C1360+G1360+D1360-E1359,C1360+D1360+G1360))</f>
        <v>#VALUE!</v>
      </c>
      <c r="I1360" s="183" t="e">
        <f t="shared" ref="I1360:I1423" si="160">(C1360+D1360-E1360)</f>
        <v>#VALUE!</v>
      </c>
    </row>
    <row r="1361" spans="1:9" x14ac:dyDescent="0.25">
      <c r="A1361" s="180">
        <f t="shared" ca="1" si="154"/>
        <v>47433</v>
      </c>
      <c r="B1361" s="181">
        <v>1329</v>
      </c>
      <c r="C1361" s="182" t="e">
        <f t="shared" si="155"/>
        <v>#VALUE!</v>
      </c>
      <c r="D1361" s="182" t="e">
        <f t="shared" si="156"/>
        <v>#VALUE!</v>
      </c>
      <c r="E1361" s="182" t="e">
        <f t="shared" si="157"/>
        <v>#VALUE!</v>
      </c>
      <c r="F1361" s="182" t="e">
        <f>SUM($D$33:D1361)</f>
        <v>#VALUE!</v>
      </c>
      <c r="G1361" s="182">
        <f t="shared" ca="1" si="158"/>
        <v>0</v>
      </c>
      <c r="H1361" s="182" t="e">
        <f t="shared" si="159"/>
        <v>#VALUE!</v>
      </c>
      <c r="I1361" s="183" t="e">
        <f t="shared" si="160"/>
        <v>#VALUE!</v>
      </c>
    </row>
    <row r="1362" spans="1:9" x14ac:dyDescent="0.25">
      <c r="A1362" s="180">
        <f t="shared" ca="1" si="154"/>
        <v>47434</v>
      </c>
      <c r="B1362" s="181">
        <v>1330</v>
      </c>
      <c r="C1362" s="182" t="e">
        <f t="shared" si="155"/>
        <v>#VALUE!</v>
      </c>
      <c r="D1362" s="182" t="e">
        <f t="shared" si="156"/>
        <v>#VALUE!</v>
      </c>
      <c r="E1362" s="182" t="e">
        <f t="shared" si="157"/>
        <v>#VALUE!</v>
      </c>
      <c r="F1362" s="182" t="e">
        <f>SUM($D$33:D1362)</f>
        <v>#VALUE!</v>
      </c>
      <c r="G1362" s="182">
        <f t="shared" ca="1" si="158"/>
        <v>0</v>
      </c>
      <c r="H1362" s="182" t="e">
        <f t="shared" si="159"/>
        <v>#VALUE!</v>
      </c>
      <c r="I1362" s="183" t="e">
        <f t="shared" si="160"/>
        <v>#VALUE!</v>
      </c>
    </row>
    <row r="1363" spans="1:9" x14ac:dyDescent="0.25">
      <c r="A1363" s="180">
        <f t="shared" ca="1" si="154"/>
        <v>47435</v>
      </c>
      <c r="B1363" s="181">
        <v>1331</v>
      </c>
      <c r="C1363" s="182" t="e">
        <f t="shared" si="155"/>
        <v>#VALUE!</v>
      </c>
      <c r="D1363" s="182" t="e">
        <f t="shared" si="156"/>
        <v>#VALUE!</v>
      </c>
      <c r="E1363" s="182" t="e">
        <f t="shared" si="157"/>
        <v>#VALUE!</v>
      </c>
      <c r="F1363" s="182" t="e">
        <f>SUM($D$33:D1363)</f>
        <v>#VALUE!</v>
      </c>
      <c r="G1363" s="182">
        <f t="shared" ca="1" si="158"/>
        <v>0</v>
      </c>
      <c r="H1363" s="182" t="e">
        <f t="shared" si="159"/>
        <v>#VALUE!</v>
      </c>
      <c r="I1363" s="183" t="e">
        <f t="shared" si="160"/>
        <v>#VALUE!</v>
      </c>
    </row>
    <row r="1364" spans="1:9" x14ac:dyDescent="0.25">
      <c r="A1364" s="180">
        <f t="shared" ca="1" si="154"/>
        <v>47436</v>
      </c>
      <c r="B1364" s="181">
        <v>1332</v>
      </c>
      <c r="C1364" s="182" t="e">
        <f t="shared" si="155"/>
        <v>#VALUE!</v>
      </c>
      <c r="D1364" s="182" t="e">
        <f t="shared" si="156"/>
        <v>#VALUE!</v>
      </c>
      <c r="E1364" s="182" t="e">
        <f t="shared" si="157"/>
        <v>#VALUE!</v>
      </c>
      <c r="F1364" s="182" t="e">
        <f>SUM($D$33:D1364)</f>
        <v>#VALUE!</v>
      </c>
      <c r="G1364" s="182">
        <f t="shared" ca="1" si="158"/>
        <v>0</v>
      </c>
      <c r="H1364" s="182" t="e">
        <f t="shared" si="159"/>
        <v>#VALUE!</v>
      </c>
      <c r="I1364" s="183" t="e">
        <f t="shared" si="160"/>
        <v>#VALUE!</v>
      </c>
    </row>
    <row r="1365" spans="1:9" x14ac:dyDescent="0.25">
      <c r="A1365" s="180">
        <f t="shared" ca="1" si="154"/>
        <v>47437</v>
      </c>
      <c r="B1365" s="181">
        <v>1333</v>
      </c>
      <c r="C1365" s="182" t="e">
        <f t="shared" si="155"/>
        <v>#VALUE!</v>
      </c>
      <c r="D1365" s="182" t="e">
        <f t="shared" si="156"/>
        <v>#VALUE!</v>
      </c>
      <c r="E1365" s="182" t="e">
        <f t="shared" si="157"/>
        <v>#VALUE!</v>
      </c>
      <c r="F1365" s="182" t="e">
        <f>SUM($D$33:D1365)</f>
        <v>#VALUE!</v>
      </c>
      <c r="G1365" s="182">
        <f t="shared" ca="1" si="158"/>
        <v>0</v>
      </c>
      <c r="H1365" s="182" t="e">
        <f t="shared" si="159"/>
        <v>#VALUE!</v>
      </c>
      <c r="I1365" s="183" t="e">
        <f t="shared" si="160"/>
        <v>#VALUE!</v>
      </c>
    </row>
    <row r="1366" spans="1:9" x14ac:dyDescent="0.25">
      <c r="A1366" s="180">
        <f t="shared" ca="1" si="154"/>
        <v>47438</v>
      </c>
      <c r="B1366" s="181">
        <v>1334</v>
      </c>
      <c r="C1366" s="182" t="e">
        <f t="shared" si="155"/>
        <v>#VALUE!</v>
      </c>
      <c r="D1366" s="182" t="e">
        <f t="shared" si="156"/>
        <v>#VALUE!</v>
      </c>
      <c r="E1366" s="182" t="e">
        <f t="shared" si="157"/>
        <v>#VALUE!</v>
      </c>
      <c r="F1366" s="182" t="e">
        <f>SUM($D$33:D1366)</f>
        <v>#VALUE!</v>
      </c>
      <c r="G1366" s="182">
        <f t="shared" ca="1" si="158"/>
        <v>0</v>
      </c>
      <c r="H1366" s="182" t="e">
        <f t="shared" si="159"/>
        <v>#VALUE!</v>
      </c>
      <c r="I1366" s="183" t="e">
        <f t="shared" si="160"/>
        <v>#VALUE!</v>
      </c>
    </row>
    <row r="1367" spans="1:9" x14ac:dyDescent="0.25">
      <c r="A1367" s="180">
        <f t="shared" ca="1" si="154"/>
        <v>47439</v>
      </c>
      <c r="B1367" s="181">
        <v>1335</v>
      </c>
      <c r="C1367" s="182" t="e">
        <f t="shared" si="155"/>
        <v>#VALUE!</v>
      </c>
      <c r="D1367" s="182" t="e">
        <f t="shared" si="156"/>
        <v>#VALUE!</v>
      </c>
      <c r="E1367" s="182" t="e">
        <f t="shared" si="157"/>
        <v>#VALUE!</v>
      </c>
      <c r="F1367" s="182" t="e">
        <f>SUM($D$33:D1367)</f>
        <v>#VALUE!</v>
      </c>
      <c r="G1367" s="182">
        <f t="shared" ca="1" si="158"/>
        <v>0</v>
      </c>
      <c r="H1367" s="182" t="e">
        <f t="shared" si="159"/>
        <v>#VALUE!</v>
      </c>
      <c r="I1367" s="183" t="e">
        <f t="shared" si="160"/>
        <v>#VALUE!</v>
      </c>
    </row>
    <row r="1368" spans="1:9" x14ac:dyDescent="0.25">
      <c r="A1368" s="180">
        <f t="shared" ca="1" si="154"/>
        <v>47440</v>
      </c>
      <c r="B1368" s="181">
        <v>1336</v>
      </c>
      <c r="C1368" s="182" t="e">
        <f t="shared" si="155"/>
        <v>#VALUE!</v>
      </c>
      <c r="D1368" s="182" t="e">
        <f t="shared" si="156"/>
        <v>#VALUE!</v>
      </c>
      <c r="E1368" s="182" t="e">
        <f t="shared" si="157"/>
        <v>#VALUE!</v>
      </c>
      <c r="F1368" s="182" t="e">
        <f>SUM($D$33:D1368)</f>
        <v>#VALUE!</v>
      </c>
      <c r="G1368" s="182">
        <f t="shared" ca="1" si="158"/>
        <v>0</v>
      </c>
      <c r="H1368" s="182" t="e">
        <f t="shared" si="159"/>
        <v>#VALUE!</v>
      </c>
      <c r="I1368" s="183" t="e">
        <f t="shared" si="160"/>
        <v>#VALUE!</v>
      </c>
    </row>
    <row r="1369" spans="1:9" x14ac:dyDescent="0.25">
      <c r="A1369" s="180">
        <f t="shared" ca="1" si="154"/>
        <v>47441</v>
      </c>
      <c r="B1369" s="181">
        <v>1337</v>
      </c>
      <c r="C1369" s="182" t="e">
        <f t="shared" si="155"/>
        <v>#VALUE!</v>
      </c>
      <c r="D1369" s="182" t="e">
        <f t="shared" si="156"/>
        <v>#VALUE!</v>
      </c>
      <c r="E1369" s="182" t="e">
        <f t="shared" si="157"/>
        <v>#VALUE!</v>
      </c>
      <c r="F1369" s="182" t="e">
        <f>SUM($D$33:D1369)</f>
        <v>#VALUE!</v>
      </c>
      <c r="G1369" s="182">
        <f t="shared" ca="1" si="158"/>
        <v>0</v>
      </c>
      <c r="H1369" s="182" t="e">
        <f t="shared" si="159"/>
        <v>#VALUE!</v>
      </c>
      <c r="I1369" s="183" t="e">
        <f t="shared" si="160"/>
        <v>#VALUE!</v>
      </c>
    </row>
    <row r="1370" spans="1:9" x14ac:dyDescent="0.25">
      <c r="A1370" s="180">
        <f t="shared" ca="1" si="154"/>
        <v>47442</v>
      </c>
      <c r="B1370" s="181">
        <v>1338</v>
      </c>
      <c r="C1370" s="182" t="e">
        <f t="shared" si="155"/>
        <v>#VALUE!</v>
      </c>
      <c r="D1370" s="182" t="e">
        <f t="shared" si="156"/>
        <v>#VALUE!</v>
      </c>
      <c r="E1370" s="182" t="e">
        <f t="shared" si="157"/>
        <v>#VALUE!</v>
      </c>
      <c r="F1370" s="182" t="e">
        <f>SUM($D$33:D1370)</f>
        <v>#VALUE!</v>
      </c>
      <c r="G1370" s="182">
        <f t="shared" ca="1" si="158"/>
        <v>0</v>
      </c>
      <c r="H1370" s="182" t="e">
        <f t="shared" si="159"/>
        <v>#VALUE!</v>
      </c>
      <c r="I1370" s="183" t="e">
        <f t="shared" si="160"/>
        <v>#VALUE!</v>
      </c>
    </row>
    <row r="1371" spans="1:9" x14ac:dyDescent="0.25">
      <c r="A1371" s="180">
        <f t="shared" ca="1" si="154"/>
        <v>47443</v>
      </c>
      <c r="B1371" s="181">
        <v>1339</v>
      </c>
      <c r="C1371" s="182" t="e">
        <f t="shared" si="155"/>
        <v>#VALUE!</v>
      </c>
      <c r="D1371" s="182" t="e">
        <f t="shared" si="156"/>
        <v>#VALUE!</v>
      </c>
      <c r="E1371" s="182" t="e">
        <f t="shared" si="157"/>
        <v>#VALUE!</v>
      </c>
      <c r="F1371" s="182" t="e">
        <f>SUM($D$33:D1371)</f>
        <v>#VALUE!</v>
      </c>
      <c r="G1371" s="182">
        <f t="shared" ca="1" si="158"/>
        <v>0</v>
      </c>
      <c r="H1371" s="182" t="e">
        <f t="shared" si="159"/>
        <v>#VALUE!</v>
      </c>
      <c r="I1371" s="183" t="e">
        <f t="shared" si="160"/>
        <v>#VALUE!</v>
      </c>
    </row>
    <row r="1372" spans="1:9" x14ac:dyDescent="0.25">
      <c r="A1372" s="180">
        <f t="shared" ca="1" si="154"/>
        <v>47444</v>
      </c>
      <c r="B1372" s="181">
        <v>1340</v>
      </c>
      <c r="C1372" s="182" t="e">
        <f t="shared" si="155"/>
        <v>#VALUE!</v>
      </c>
      <c r="D1372" s="182" t="e">
        <f t="shared" si="156"/>
        <v>#VALUE!</v>
      </c>
      <c r="E1372" s="182" t="e">
        <f t="shared" si="157"/>
        <v>#VALUE!</v>
      </c>
      <c r="F1372" s="182" t="e">
        <f>SUM($D$33:D1372)</f>
        <v>#VALUE!</v>
      </c>
      <c r="G1372" s="182">
        <f t="shared" ca="1" si="158"/>
        <v>0</v>
      </c>
      <c r="H1372" s="182" t="e">
        <f t="shared" si="159"/>
        <v>#VALUE!</v>
      </c>
      <c r="I1372" s="183" t="e">
        <f t="shared" si="160"/>
        <v>#VALUE!</v>
      </c>
    </row>
    <row r="1373" spans="1:9" x14ac:dyDescent="0.25">
      <c r="A1373" s="180">
        <f t="shared" ca="1" si="154"/>
        <v>47445</v>
      </c>
      <c r="B1373" s="181">
        <v>1341</v>
      </c>
      <c r="C1373" s="182" t="e">
        <f t="shared" si="155"/>
        <v>#VALUE!</v>
      </c>
      <c r="D1373" s="182" t="e">
        <f t="shared" si="156"/>
        <v>#VALUE!</v>
      </c>
      <c r="E1373" s="182" t="e">
        <f t="shared" si="157"/>
        <v>#VALUE!</v>
      </c>
      <c r="F1373" s="182" t="e">
        <f>SUM($D$33:D1373)</f>
        <v>#VALUE!</v>
      </c>
      <c r="G1373" s="182">
        <f t="shared" ca="1" si="158"/>
        <v>0</v>
      </c>
      <c r="H1373" s="182" t="e">
        <f t="shared" si="159"/>
        <v>#VALUE!</v>
      </c>
      <c r="I1373" s="183" t="e">
        <f t="shared" si="160"/>
        <v>#VALUE!</v>
      </c>
    </row>
    <row r="1374" spans="1:9" x14ac:dyDescent="0.25">
      <c r="A1374" s="180">
        <f t="shared" ca="1" si="154"/>
        <v>47446</v>
      </c>
      <c r="B1374" s="181">
        <v>1342</v>
      </c>
      <c r="C1374" s="182" t="e">
        <f t="shared" si="155"/>
        <v>#VALUE!</v>
      </c>
      <c r="D1374" s="182" t="e">
        <f t="shared" si="156"/>
        <v>#VALUE!</v>
      </c>
      <c r="E1374" s="182" t="e">
        <f t="shared" si="157"/>
        <v>#VALUE!</v>
      </c>
      <c r="F1374" s="182" t="e">
        <f>SUM($D$33:D1374)</f>
        <v>#VALUE!</v>
      </c>
      <c r="G1374" s="182">
        <f t="shared" ca="1" si="158"/>
        <v>0</v>
      </c>
      <c r="H1374" s="182" t="e">
        <f t="shared" si="159"/>
        <v>#VALUE!</v>
      </c>
      <c r="I1374" s="183" t="e">
        <f t="shared" si="160"/>
        <v>#VALUE!</v>
      </c>
    </row>
    <row r="1375" spans="1:9" x14ac:dyDescent="0.25">
      <c r="A1375" s="180">
        <f t="shared" ca="1" si="154"/>
        <v>47447</v>
      </c>
      <c r="B1375" s="181">
        <v>1343</v>
      </c>
      <c r="C1375" s="182" t="e">
        <f t="shared" si="155"/>
        <v>#VALUE!</v>
      </c>
      <c r="D1375" s="182" t="e">
        <f t="shared" si="156"/>
        <v>#VALUE!</v>
      </c>
      <c r="E1375" s="182" t="e">
        <f t="shared" si="157"/>
        <v>#VALUE!</v>
      </c>
      <c r="F1375" s="182" t="e">
        <f>SUM($D$33:D1375)</f>
        <v>#VALUE!</v>
      </c>
      <c r="G1375" s="182">
        <f t="shared" ca="1" si="158"/>
        <v>0</v>
      </c>
      <c r="H1375" s="182" t="e">
        <f t="shared" si="159"/>
        <v>#VALUE!</v>
      </c>
      <c r="I1375" s="183" t="e">
        <f t="shared" si="160"/>
        <v>#VALUE!</v>
      </c>
    </row>
    <row r="1376" spans="1:9" x14ac:dyDescent="0.25">
      <c r="A1376" s="180">
        <f t="shared" ca="1" si="154"/>
        <v>47448</v>
      </c>
      <c r="B1376" s="181">
        <v>1344</v>
      </c>
      <c r="C1376" s="182" t="e">
        <f t="shared" si="155"/>
        <v>#VALUE!</v>
      </c>
      <c r="D1376" s="182" t="e">
        <f t="shared" si="156"/>
        <v>#VALUE!</v>
      </c>
      <c r="E1376" s="182" t="e">
        <f t="shared" si="157"/>
        <v>#VALUE!</v>
      </c>
      <c r="F1376" s="182" t="e">
        <f>SUM($D$33:D1376)</f>
        <v>#VALUE!</v>
      </c>
      <c r="G1376" s="182">
        <f t="shared" ca="1" si="158"/>
        <v>0</v>
      </c>
      <c r="H1376" s="182" t="e">
        <f t="shared" si="159"/>
        <v>#VALUE!</v>
      </c>
      <c r="I1376" s="183" t="e">
        <f t="shared" si="160"/>
        <v>#VALUE!</v>
      </c>
    </row>
    <row r="1377" spans="1:9" x14ac:dyDescent="0.25">
      <c r="A1377" s="180">
        <f t="shared" ca="1" si="154"/>
        <v>47449</v>
      </c>
      <c r="B1377" s="181">
        <v>1345</v>
      </c>
      <c r="C1377" s="182" t="e">
        <f t="shared" si="155"/>
        <v>#VALUE!</v>
      </c>
      <c r="D1377" s="182" t="e">
        <f t="shared" si="156"/>
        <v>#VALUE!</v>
      </c>
      <c r="E1377" s="182" t="e">
        <f t="shared" si="157"/>
        <v>#VALUE!</v>
      </c>
      <c r="F1377" s="182" t="e">
        <f>SUM($D$33:D1377)</f>
        <v>#VALUE!</v>
      </c>
      <c r="G1377" s="182">
        <f t="shared" ca="1" si="158"/>
        <v>0</v>
      </c>
      <c r="H1377" s="182" t="e">
        <f t="shared" si="159"/>
        <v>#VALUE!</v>
      </c>
      <c r="I1377" s="183" t="e">
        <f t="shared" si="160"/>
        <v>#VALUE!</v>
      </c>
    </row>
    <row r="1378" spans="1:9" x14ac:dyDescent="0.25">
      <c r="A1378" s="180">
        <f t="shared" ref="A1378:A1441" ca="1" si="161">A1377+1</f>
        <v>47450</v>
      </c>
      <c r="B1378" s="181">
        <v>1346</v>
      </c>
      <c r="C1378" s="182" t="e">
        <f t="shared" si="155"/>
        <v>#VALUE!</v>
      </c>
      <c r="D1378" s="182" t="e">
        <f t="shared" si="156"/>
        <v>#VALUE!</v>
      </c>
      <c r="E1378" s="182" t="e">
        <f t="shared" si="157"/>
        <v>#VALUE!</v>
      </c>
      <c r="F1378" s="182" t="e">
        <f>SUM($D$33:D1378)</f>
        <v>#VALUE!</v>
      </c>
      <c r="G1378" s="182">
        <f t="shared" ca="1" si="158"/>
        <v>0</v>
      </c>
      <c r="H1378" s="182" t="e">
        <f t="shared" si="159"/>
        <v>#VALUE!</v>
      </c>
      <c r="I1378" s="183" t="e">
        <f t="shared" si="160"/>
        <v>#VALUE!</v>
      </c>
    </row>
    <row r="1379" spans="1:9" x14ac:dyDescent="0.25">
      <c r="A1379" s="180">
        <f t="shared" ca="1" si="161"/>
        <v>47451</v>
      </c>
      <c r="B1379" s="181">
        <v>1347</v>
      </c>
      <c r="C1379" s="182" t="e">
        <f t="shared" si="155"/>
        <v>#VALUE!</v>
      </c>
      <c r="D1379" s="182" t="e">
        <f t="shared" si="156"/>
        <v>#VALUE!</v>
      </c>
      <c r="E1379" s="182" t="e">
        <f t="shared" si="157"/>
        <v>#VALUE!</v>
      </c>
      <c r="F1379" s="182" t="e">
        <f>SUM($D$33:D1379)</f>
        <v>#VALUE!</v>
      </c>
      <c r="G1379" s="182">
        <f t="shared" ca="1" si="158"/>
        <v>0</v>
      </c>
      <c r="H1379" s="182" t="e">
        <f t="shared" si="159"/>
        <v>#VALUE!</v>
      </c>
      <c r="I1379" s="183" t="e">
        <f t="shared" si="160"/>
        <v>#VALUE!</v>
      </c>
    </row>
    <row r="1380" spans="1:9" x14ac:dyDescent="0.25">
      <c r="A1380" s="180">
        <f t="shared" ca="1" si="161"/>
        <v>47452</v>
      </c>
      <c r="B1380" s="181">
        <v>1348</v>
      </c>
      <c r="C1380" s="182" t="e">
        <f t="shared" si="155"/>
        <v>#VALUE!</v>
      </c>
      <c r="D1380" s="182" t="e">
        <f t="shared" si="156"/>
        <v>#VALUE!</v>
      </c>
      <c r="E1380" s="182" t="e">
        <f t="shared" si="157"/>
        <v>#VALUE!</v>
      </c>
      <c r="F1380" s="182" t="e">
        <f>SUM($D$33:D1380)</f>
        <v>#VALUE!</v>
      </c>
      <c r="G1380" s="182">
        <f t="shared" ca="1" si="158"/>
        <v>0</v>
      </c>
      <c r="H1380" s="182" t="e">
        <f t="shared" si="159"/>
        <v>#VALUE!</v>
      </c>
      <c r="I1380" s="183" t="e">
        <f t="shared" si="160"/>
        <v>#VALUE!</v>
      </c>
    </row>
    <row r="1381" spans="1:9" x14ac:dyDescent="0.25">
      <c r="A1381" s="180">
        <f t="shared" ca="1" si="161"/>
        <v>47453</v>
      </c>
      <c r="B1381" s="181">
        <v>1349</v>
      </c>
      <c r="C1381" s="182" t="e">
        <f t="shared" si="155"/>
        <v>#VALUE!</v>
      </c>
      <c r="D1381" s="182" t="e">
        <f t="shared" si="156"/>
        <v>#VALUE!</v>
      </c>
      <c r="E1381" s="182" t="e">
        <f t="shared" si="157"/>
        <v>#VALUE!</v>
      </c>
      <c r="F1381" s="182" t="e">
        <f>SUM($D$33:D1381)</f>
        <v>#VALUE!</v>
      </c>
      <c r="G1381" s="182">
        <f t="shared" ca="1" si="158"/>
        <v>0</v>
      </c>
      <c r="H1381" s="182" t="e">
        <f t="shared" si="159"/>
        <v>#VALUE!</v>
      </c>
      <c r="I1381" s="183" t="e">
        <f t="shared" si="160"/>
        <v>#VALUE!</v>
      </c>
    </row>
    <row r="1382" spans="1:9" x14ac:dyDescent="0.25">
      <c r="A1382" s="180">
        <f t="shared" ca="1" si="161"/>
        <v>47454</v>
      </c>
      <c r="B1382" s="181">
        <v>1350</v>
      </c>
      <c r="C1382" s="182" t="e">
        <f t="shared" si="155"/>
        <v>#VALUE!</v>
      </c>
      <c r="D1382" s="182" t="e">
        <f t="shared" si="156"/>
        <v>#VALUE!</v>
      </c>
      <c r="E1382" s="182" t="e">
        <f t="shared" si="157"/>
        <v>#VALUE!</v>
      </c>
      <c r="F1382" s="182" t="e">
        <f>SUM($D$33:D1382)</f>
        <v>#VALUE!</v>
      </c>
      <c r="G1382" s="182">
        <f t="shared" ca="1" si="158"/>
        <v>0</v>
      </c>
      <c r="H1382" s="182" t="e">
        <f t="shared" si="159"/>
        <v>#VALUE!</v>
      </c>
      <c r="I1382" s="183" t="e">
        <f t="shared" si="160"/>
        <v>#VALUE!</v>
      </c>
    </row>
    <row r="1383" spans="1:9" x14ac:dyDescent="0.25">
      <c r="A1383" s="180">
        <f t="shared" ca="1" si="161"/>
        <v>47455</v>
      </c>
      <c r="B1383" s="181">
        <v>1351</v>
      </c>
      <c r="C1383" s="182" t="e">
        <f t="shared" si="155"/>
        <v>#VALUE!</v>
      </c>
      <c r="D1383" s="182" t="e">
        <f t="shared" si="156"/>
        <v>#VALUE!</v>
      </c>
      <c r="E1383" s="182" t="e">
        <f t="shared" si="157"/>
        <v>#VALUE!</v>
      </c>
      <c r="F1383" s="182" t="e">
        <f>SUM($D$33:D1383)</f>
        <v>#VALUE!</v>
      </c>
      <c r="G1383" s="182">
        <f t="shared" ca="1" si="158"/>
        <v>0</v>
      </c>
      <c r="H1383" s="182" t="e">
        <f t="shared" si="159"/>
        <v>#VALUE!</v>
      </c>
      <c r="I1383" s="183" t="e">
        <f t="shared" si="160"/>
        <v>#VALUE!</v>
      </c>
    </row>
    <row r="1384" spans="1:9" x14ac:dyDescent="0.25">
      <c r="A1384" s="180">
        <f t="shared" ca="1" si="161"/>
        <v>47456</v>
      </c>
      <c r="B1384" s="181">
        <v>1352</v>
      </c>
      <c r="C1384" s="182" t="e">
        <f t="shared" si="155"/>
        <v>#VALUE!</v>
      </c>
      <c r="D1384" s="182" t="e">
        <f t="shared" si="156"/>
        <v>#VALUE!</v>
      </c>
      <c r="E1384" s="182" t="e">
        <f t="shared" si="157"/>
        <v>#VALUE!</v>
      </c>
      <c r="F1384" s="182" t="e">
        <f>SUM($D$33:D1384)</f>
        <v>#VALUE!</v>
      </c>
      <c r="G1384" s="182">
        <f t="shared" ca="1" si="158"/>
        <v>0</v>
      </c>
      <c r="H1384" s="182" t="e">
        <f t="shared" si="159"/>
        <v>#VALUE!</v>
      </c>
      <c r="I1384" s="183" t="e">
        <f t="shared" si="160"/>
        <v>#VALUE!</v>
      </c>
    </row>
    <row r="1385" spans="1:9" x14ac:dyDescent="0.25">
      <c r="A1385" s="180">
        <f t="shared" ca="1" si="161"/>
        <v>47457</v>
      </c>
      <c r="B1385" s="181">
        <v>1353</v>
      </c>
      <c r="C1385" s="182" t="e">
        <f t="shared" si="155"/>
        <v>#VALUE!</v>
      </c>
      <c r="D1385" s="182" t="e">
        <f t="shared" si="156"/>
        <v>#VALUE!</v>
      </c>
      <c r="E1385" s="182" t="e">
        <f t="shared" si="157"/>
        <v>#VALUE!</v>
      </c>
      <c r="F1385" s="182" t="e">
        <f>SUM($D$33:D1385)</f>
        <v>#VALUE!</v>
      </c>
      <c r="G1385" s="182">
        <f t="shared" ca="1" si="158"/>
        <v>0</v>
      </c>
      <c r="H1385" s="182" t="e">
        <f t="shared" si="159"/>
        <v>#VALUE!</v>
      </c>
      <c r="I1385" s="183" t="e">
        <f t="shared" si="160"/>
        <v>#VALUE!</v>
      </c>
    </row>
    <row r="1386" spans="1:9" x14ac:dyDescent="0.25">
      <c r="A1386" s="180">
        <f t="shared" ca="1" si="161"/>
        <v>47458</v>
      </c>
      <c r="B1386" s="181">
        <v>1354</v>
      </c>
      <c r="C1386" s="182" t="e">
        <f t="shared" si="155"/>
        <v>#VALUE!</v>
      </c>
      <c r="D1386" s="182" t="e">
        <f t="shared" si="156"/>
        <v>#VALUE!</v>
      </c>
      <c r="E1386" s="182" t="e">
        <f t="shared" si="157"/>
        <v>#VALUE!</v>
      </c>
      <c r="F1386" s="182" t="e">
        <f>SUM($D$33:D1386)</f>
        <v>#VALUE!</v>
      </c>
      <c r="G1386" s="182">
        <f t="shared" ca="1" si="158"/>
        <v>0</v>
      </c>
      <c r="H1386" s="182" t="e">
        <f t="shared" si="159"/>
        <v>#VALUE!</v>
      </c>
      <c r="I1386" s="183" t="e">
        <f t="shared" si="160"/>
        <v>#VALUE!</v>
      </c>
    </row>
    <row r="1387" spans="1:9" x14ac:dyDescent="0.25">
      <c r="A1387" s="180">
        <f t="shared" ca="1" si="161"/>
        <v>47459</v>
      </c>
      <c r="B1387" s="181">
        <v>1355</v>
      </c>
      <c r="C1387" s="182" t="e">
        <f t="shared" si="155"/>
        <v>#VALUE!</v>
      </c>
      <c r="D1387" s="182" t="e">
        <f t="shared" si="156"/>
        <v>#VALUE!</v>
      </c>
      <c r="E1387" s="182" t="e">
        <f t="shared" si="157"/>
        <v>#VALUE!</v>
      </c>
      <c r="F1387" s="182" t="e">
        <f>SUM($D$33:D1387)</f>
        <v>#VALUE!</v>
      </c>
      <c r="G1387" s="182">
        <f t="shared" ca="1" si="158"/>
        <v>0</v>
      </c>
      <c r="H1387" s="182" t="e">
        <f t="shared" si="159"/>
        <v>#VALUE!</v>
      </c>
      <c r="I1387" s="183" t="e">
        <f t="shared" si="160"/>
        <v>#VALUE!</v>
      </c>
    </row>
    <row r="1388" spans="1:9" x14ac:dyDescent="0.25">
      <c r="A1388" s="180">
        <f t="shared" ca="1" si="161"/>
        <v>47460</v>
      </c>
      <c r="B1388" s="181">
        <v>1356</v>
      </c>
      <c r="C1388" s="182" t="e">
        <f t="shared" si="155"/>
        <v>#VALUE!</v>
      </c>
      <c r="D1388" s="182" t="e">
        <f t="shared" si="156"/>
        <v>#VALUE!</v>
      </c>
      <c r="E1388" s="182" t="e">
        <f t="shared" si="157"/>
        <v>#VALUE!</v>
      </c>
      <c r="F1388" s="182" t="e">
        <f>SUM($D$33:D1388)</f>
        <v>#VALUE!</v>
      </c>
      <c r="G1388" s="182">
        <f t="shared" ca="1" si="158"/>
        <v>0</v>
      </c>
      <c r="H1388" s="182" t="e">
        <f t="shared" si="159"/>
        <v>#VALUE!</v>
      </c>
      <c r="I1388" s="183" t="e">
        <f t="shared" si="160"/>
        <v>#VALUE!</v>
      </c>
    </row>
    <row r="1389" spans="1:9" x14ac:dyDescent="0.25">
      <c r="A1389" s="180">
        <f t="shared" ca="1" si="161"/>
        <v>47461</v>
      </c>
      <c r="B1389" s="181">
        <v>1357</v>
      </c>
      <c r="C1389" s="182" t="e">
        <f t="shared" si="155"/>
        <v>#VALUE!</v>
      </c>
      <c r="D1389" s="182" t="e">
        <f t="shared" si="156"/>
        <v>#VALUE!</v>
      </c>
      <c r="E1389" s="182" t="e">
        <f t="shared" si="157"/>
        <v>#VALUE!</v>
      </c>
      <c r="F1389" s="182" t="e">
        <f>SUM($D$33:D1389)</f>
        <v>#VALUE!</v>
      </c>
      <c r="G1389" s="182">
        <f t="shared" ca="1" si="158"/>
        <v>0</v>
      </c>
      <c r="H1389" s="182" t="e">
        <f t="shared" si="159"/>
        <v>#VALUE!</v>
      </c>
      <c r="I1389" s="183" t="e">
        <f t="shared" si="160"/>
        <v>#VALUE!</v>
      </c>
    </row>
    <row r="1390" spans="1:9" x14ac:dyDescent="0.25">
      <c r="A1390" s="180">
        <f t="shared" ca="1" si="161"/>
        <v>47462</v>
      </c>
      <c r="B1390" s="181">
        <v>1358</v>
      </c>
      <c r="C1390" s="182" t="e">
        <f t="shared" si="155"/>
        <v>#VALUE!</v>
      </c>
      <c r="D1390" s="182" t="e">
        <f t="shared" si="156"/>
        <v>#VALUE!</v>
      </c>
      <c r="E1390" s="182" t="e">
        <f t="shared" si="157"/>
        <v>#VALUE!</v>
      </c>
      <c r="F1390" s="182" t="e">
        <f>SUM($D$33:D1390)</f>
        <v>#VALUE!</v>
      </c>
      <c r="G1390" s="182">
        <f t="shared" ca="1" si="158"/>
        <v>0</v>
      </c>
      <c r="H1390" s="182" t="e">
        <f t="shared" si="159"/>
        <v>#VALUE!</v>
      </c>
      <c r="I1390" s="183" t="e">
        <f t="shared" si="160"/>
        <v>#VALUE!</v>
      </c>
    </row>
    <row r="1391" spans="1:9" x14ac:dyDescent="0.25">
      <c r="A1391" s="180">
        <f t="shared" ca="1" si="161"/>
        <v>47463</v>
      </c>
      <c r="B1391" s="181">
        <v>1359</v>
      </c>
      <c r="C1391" s="182" t="e">
        <f t="shared" si="155"/>
        <v>#VALUE!</v>
      </c>
      <c r="D1391" s="182" t="e">
        <f t="shared" si="156"/>
        <v>#VALUE!</v>
      </c>
      <c r="E1391" s="182" t="e">
        <f t="shared" si="157"/>
        <v>#VALUE!</v>
      </c>
      <c r="F1391" s="182" t="e">
        <f>SUM($D$33:D1391)</f>
        <v>#VALUE!</v>
      </c>
      <c r="G1391" s="182">
        <f t="shared" ca="1" si="158"/>
        <v>0</v>
      </c>
      <c r="H1391" s="182" t="e">
        <f t="shared" si="159"/>
        <v>#VALUE!</v>
      </c>
      <c r="I1391" s="183" t="e">
        <f t="shared" si="160"/>
        <v>#VALUE!</v>
      </c>
    </row>
    <row r="1392" spans="1:9" x14ac:dyDescent="0.25">
      <c r="A1392" s="180">
        <f t="shared" ca="1" si="161"/>
        <v>47464</v>
      </c>
      <c r="B1392" s="181">
        <v>1360</v>
      </c>
      <c r="C1392" s="182" t="e">
        <f t="shared" si="155"/>
        <v>#VALUE!</v>
      </c>
      <c r="D1392" s="182" t="e">
        <f t="shared" si="156"/>
        <v>#VALUE!</v>
      </c>
      <c r="E1392" s="182" t="e">
        <f t="shared" si="157"/>
        <v>#VALUE!</v>
      </c>
      <c r="F1392" s="182" t="e">
        <f>SUM($D$33:D1392)</f>
        <v>#VALUE!</v>
      </c>
      <c r="G1392" s="182">
        <f t="shared" ca="1" si="158"/>
        <v>0</v>
      </c>
      <c r="H1392" s="182" t="e">
        <f t="shared" si="159"/>
        <v>#VALUE!</v>
      </c>
      <c r="I1392" s="183" t="e">
        <f t="shared" si="160"/>
        <v>#VALUE!</v>
      </c>
    </row>
    <row r="1393" spans="1:9" x14ac:dyDescent="0.25">
      <c r="A1393" s="180">
        <f t="shared" ca="1" si="161"/>
        <v>47465</v>
      </c>
      <c r="B1393" s="181">
        <v>1361</v>
      </c>
      <c r="C1393" s="182" t="e">
        <f t="shared" si="155"/>
        <v>#VALUE!</v>
      </c>
      <c r="D1393" s="182" t="e">
        <f t="shared" si="156"/>
        <v>#VALUE!</v>
      </c>
      <c r="E1393" s="182" t="e">
        <f t="shared" si="157"/>
        <v>#VALUE!</v>
      </c>
      <c r="F1393" s="182" t="e">
        <f>SUM($D$33:D1393)</f>
        <v>#VALUE!</v>
      </c>
      <c r="G1393" s="182">
        <f t="shared" ca="1" si="158"/>
        <v>0</v>
      </c>
      <c r="H1393" s="182" t="e">
        <f t="shared" si="159"/>
        <v>#VALUE!</v>
      </c>
      <c r="I1393" s="183" t="e">
        <f t="shared" si="160"/>
        <v>#VALUE!</v>
      </c>
    </row>
    <row r="1394" spans="1:9" x14ac:dyDescent="0.25">
      <c r="A1394" s="180">
        <f t="shared" ca="1" si="161"/>
        <v>47466</v>
      </c>
      <c r="B1394" s="181">
        <v>1362</v>
      </c>
      <c r="C1394" s="182" t="e">
        <f t="shared" si="155"/>
        <v>#VALUE!</v>
      </c>
      <c r="D1394" s="182" t="e">
        <f t="shared" si="156"/>
        <v>#VALUE!</v>
      </c>
      <c r="E1394" s="182" t="e">
        <f t="shared" si="157"/>
        <v>#VALUE!</v>
      </c>
      <c r="F1394" s="182" t="e">
        <f>SUM($D$33:D1394)</f>
        <v>#VALUE!</v>
      </c>
      <c r="G1394" s="182">
        <f t="shared" ca="1" si="158"/>
        <v>0</v>
      </c>
      <c r="H1394" s="182" t="e">
        <f t="shared" si="159"/>
        <v>#VALUE!</v>
      </c>
      <c r="I1394" s="183" t="e">
        <f t="shared" si="160"/>
        <v>#VALUE!</v>
      </c>
    </row>
    <row r="1395" spans="1:9" x14ac:dyDescent="0.25">
      <c r="A1395" s="180">
        <f t="shared" ca="1" si="161"/>
        <v>47467</v>
      </c>
      <c r="B1395" s="181">
        <v>1363</v>
      </c>
      <c r="C1395" s="182" t="e">
        <f t="shared" si="155"/>
        <v>#VALUE!</v>
      </c>
      <c r="D1395" s="182" t="e">
        <f t="shared" si="156"/>
        <v>#VALUE!</v>
      </c>
      <c r="E1395" s="182" t="e">
        <f t="shared" si="157"/>
        <v>#VALUE!</v>
      </c>
      <c r="F1395" s="182" t="e">
        <f>SUM($D$33:D1395)</f>
        <v>#VALUE!</v>
      </c>
      <c r="G1395" s="182">
        <f t="shared" ca="1" si="158"/>
        <v>0</v>
      </c>
      <c r="H1395" s="182" t="e">
        <f t="shared" si="159"/>
        <v>#VALUE!</v>
      </c>
      <c r="I1395" s="183" t="e">
        <f t="shared" si="160"/>
        <v>#VALUE!</v>
      </c>
    </row>
    <row r="1396" spans="1:9" x14ac:dyDescent="0.25">
      <c r="A1396" s="180">
        <f t="shared" ca="1" si="161"/>
        <v>47468</v>
      </c>
      <c r="B1396" s="181">
        <v>1364</v>
      </c>
      <c r="C1396" s="182" t="e">
        <f t="shared" si="155"/>
        <v>#VALUE!</v>
      </c>
      <c r="D1396" s="182" t="e">
        <f t="shared" si="156"/>
        <v>#VALUE!</v>
      </c>
      <c r="E1396" s="182" t="e">
        <f t="shared" si="157"/>
        <v>#VALUE!</v>
      </c>
      <c r="F1396" s="182" t="e">
        <f>SUM($D$33:D1396)</f>
        <v>#VALUE!</v>
      </c>
      <c r="G1396" s="182">
        <f t="shared" ca="1" si="158"/>
        <v>0</v>
      </c>
      <c r="H1396" s="182" t="e">
        <f t="shared" si="159"/>
        <v>#VALUE!</v>
      </c>
      <c r="I1396" s="183" t="e">
        <f t="shared" si="160"/>
        <v>#VALUE!</v>
      </c>
    </row>
    <row r="1397" spans="1:9" x14ac:dyDescent="0.25">
      <c r="A1397" s="180">
        <f t="shared" ca="1" si="161"/>
        <v>47469</v>
      </c>
      <c r="B1397" s="181">
        <v>1365</v>
      </c>
      <c r="C1397" s="182" t="e">
        <f t="shared" si="155"/>
        <v>#VALUE!</v>
      </c>
      <c r="D1397" s="182" t="e">
        <f t="shared" si="156"/>
        <v>#VALUE!</v>
      </c>
      <c r="E1397" s="182" t="e">
        <f t="shared" si="157"/>
        <v>#VALUE!</v>
      </c>
      <c r="F1397" s="182" t="e">
        <f>SUM($D$33:D1397)</f>
        <v>#VALUE!</v>
      </c>
      <c r="G1397" s="182">
        <f t="shared" ca="1" si="158"/>
        <v>0</v>
      </c>
      <c r="H1397" s="182" t="e">
        <f t="shared" si="159"/>
        <v>#VALUE!</v>
      </c>
      <c r="I1397" s="183" t="e">
        <f t="shared" si="160"/>
        <v>#VALUE!</v>
      </c>
    </row>
    <row r="1398" spans="1:9" x14ac:dyDescent="0.25">
      <c r="A1398" s="180">
        <f t="shared" ca="1" si="161"/>
        <v>47470</v>
      </c>
      <c r="B1398" s="181">
        <v>1366</v>
      </c>
      <c r="C1398" s="182" t="e">
        <f t="shared" si="155"/>
        <v>#VALUE!</v>
      </c>
      <c r="D1398" s="182" t="e">
        <f t="shared" si="156"/>
        <v>#VALUE!</v>
      </c>
      <c r="E1398" s="182" t="e">
        <f t="shared" si="157"/>
        <v>#VALUE!</v>
      </c>
      <c r="F1398" s="182" t="e">
        <f>SUM($D$33:D1398)</f>
        <v>#VALUE!</v>
      </c>
      <c r="G1398" s="182">
        <f t="shared" ca="1" si="158"/>
        <v>0</v>
      </c>
      <c r="H1398" s="182" t="e">
        <f t="shared" si="159"/>
        <v>#VALUE!</v>
      </c>
      <c r="I1398" s="183" t="e">
        <f t="shared" si="160"/>
        <v>#VALUE!</v>
      </c>
    </row>
    <row r="1399" spans="1:9" x14ac:dyDescent="0.25">
      <c r="A1399" s="180">
        <f t="shared" ca="1" si="161"/>
        <v>47471</v>
      </c>
      <c r="B1399" s="181">
        <v>1367</v>
      </c>
      <c r="C1399" s="182" t="e">
        <f t="shared" si="155"/>
        <v>#VALUE!</v>
      </c>
      <c r="D1399" s="182" t="e">
        <f t="shared" si="156"/>
        <v>#VALUE!</v>
      </c>
      <c r="E1399" s="182" t="e">
        <f t="shared" si="157"/>
        <v>#VALUE!</v>
      </c>
      <c r="F1399" s="182" t="e">
        <f>SUM($D$33:D1399)</f>
        <v>#VALUE!</v>
      </c>
      <c r="G1399" s="182">
        <f t="shared" ca="1" si="158"/>
        <v>0</v>
      </c>
      <c r="H1399" s="182" t="e">
        <f t="shared" si="159"/>
        <v>#VALUE!</v>
      </c>
      <c r="I1399" s="183" t="e">
        <f t="shared" si="160"/>
        <v>#VALUE!</v>
      </c>
    </row>
    <row r="1400" spans="1:9" x14ac:dyDescent="0.25">
      <c r="A1400" s="180">
        <f t="shared" ca="1" si="161"/>
        <v>47472</v>
      </c>
      <c r="B1400" s="181">
        <v>1368</v>
      </c>
      <c r="C1400" s="182" t="e">
        <f t="shared" si="155"/>
        <v>#VALUE!</v>
      </c>
      <c r="D1400" s="182" t="e">
        <f t="shared" si="156"/>
        <v>#VALUE!</v>
      </c>
      <c r="E1400" s="182" t="e">
        <f t="shared" si="157"/>
        <v>#VALUE!</v>
      </c>
      <c r="F1400" s="182" t="e">
        <f>SUM($D$33:D1400)</f>
        <v>#VALUE!</v>
      </c>
      <c r="G1400" s="182">
        <f t="shared" ca="1" si="158"/>
        <v>0</v>
      </c>
      <c r="H1400" s="182" t="e">
        <f t="shared" si="159"/>
        <v>#VALUE!</v>
      </c>
      <c r="I1400" s="183" t="e">
        <f t="shared" si="160"/>
        <v>#VALUE!</v>
      </c>
    </row>
    <row r="1401" spans="1:9" x14ac:dyDescent="0.25">
      <c r="A1401" s="180">
        <f t="shared" ca="1" si="161"/>
        <v>47473</v>
      </c>
      <c r="B1401" s="181">
        <v>1369</v>
      </c>
      <c r="C1401" s="182" t="e">
        <f t="shared" si="155"/>
        <v>#VALUE!</v>
      </c>
      <c r="D1401" s="182" t="e">
        <f t="shared" si="156"/>
        <v>#VALUE!</v>
      </c>
      <c r="E1401" s="182" t="e">
        <f t="shared" si="157"/>
        <v>#VALUE!</v>
      </c>
      <c r="F1401" s="182" t="e">
        <f>SUM($D$33:D1401)</f>
        <v>#VALUE!</v>
      </c>
      <c r="G1401" s="182">
        <f t="shared" ca="1" si="158"/>
        <v>0</v>
      </c>
      <c r="H1401" s="182" t="e">
        <f t="shared" si="159"/>
        <v>#VALUE!</v>
      </c>
      <c r="I1401" s="183" t="e">
        <f t="shared" si="160"/>
        <v>#VALUE!</v>
      </c>
    </row>
    <row r="1402" spans="1:9" x14ac:dyDescent="0.25">
      <c r="A1402" s="180">
        <f t="shared" ca="1" si="161"/>
        <v>47474</v>
      </c>
      <c r="B1402" s="181">
        <v>1370</v>
      </c>
      <c r="C1402" s="182" t="e">
        <f t="shared" si="155"/>
        <v>#VALUE!</v>
      </c>
      <c r="D1402" s="182" t="e">
        <f t="shared" si="156"/>
        <v>#VALUE!</v>
      </c>
      <c r="E1402" s="182" t="e">
        <f t="shared" si="157"/>
        <v>#VALUE!</v>
      </c>
      <c r="F1402" s="182" t="e">
        <f>SUM($D$33:D1402)</f>
        <v>#VALUE!</v>
      </c>
      <c r="G1402" s="182">
        <f t="shared" ca="1" si="158"/>
        <v>0</v>
      </c>
      <c r="H1402" s="182" t="e">
        <f t="shared" si="159"/>
        <v>#VALUE!</v>
      </c>
      <c r="I1402" s="183" t="e">
        <f t="shared" si="160"/>
        <v>#VALUE!</v>
      </c>
    </row>
    <row r="1403" spans="1:9" x14ac:dyDescent="0.25">
      <c r="A1403" s="180">
        <f t="shared" ca="1" si="161"/>
        <v>47475</v>
      </c>
      <c r="B1403" s="181">
        <v>1371</v>
      </c>
      <c r="C1403" s="182" t="e">
        <f t="shared" si="155"/>
        <v>#VALUE!</v>
      </c>
      <c r="D1403" s="182" t="e">
        <f t="shared" si="156"/>
        <v>#VALUE!</v>
      </c>
      <c r="E1403" s="182" t="e">
        <f t="shared" si="157"/>
        <v>#VALUE!</v>
      </c>
      <c r="F1403" s="182" t="e">
        <f>SUM($D$33:D1403)</f>
        <v>#VALUE!</v>
      </c>
      <c r="G1403" s="182">
        <f t="shared" ca="1" si="158"/>
        <v>0</v>
      </c>
      <c r="H1403" s="182" t="e">
        <f t="shared" si="159"/>
        <v>#VALUE!</v>
      </c>
      <c r="I1403" s="183" t="e">
        <f t="shared" si="160"/>
        <v>#VALUE!</v>
      </c>
    </row>
    <row r="1404" spans="1:9" x14ac:dyDescent="0.25">
      <c r="A1404" s="180">
        <f t="shared" ca="1" si="161"/>
        <v>47476</v>
      </c>
      <c r="B1404" s="181">
        <v>1372</v>
      </c>
      <c r="C1404" s="182" t="e">
        <f t="shared" si="155"/>
        <v>#VALUE!</v>
      </c>
      <c r="D1404" s="182" t="e">
        <f t="shared" si="156"/>
        <v>#VALUE!</v>
      </c>
      <c r="E1404" s="182" t="e">
        <f t="shared" si="157"/>
        <v>#VALUE!</v>
      </c>
      <c r="F1404" s="182" t="e">
        <f>SUM($D$33:D1404)</f>
        <v>#VALUE!</v>
      </c>
      <c r="G1404" s="182">
        <f t="shared" ca="1" si="158"/>
        <v>0</v>
      </c>
      <c r="H1404" s="182" t="e">
        <f t="shared" si="159"/>
        <v>#VALUE!</v>
      </c>
      <c r="I1404" s="183" t="e">
        <f t="shared" si="160"/>
        <v>#VALUE!</v>
      </c>
    </row>
    <row r="1405" spans="1:9" x14ac:dyDescent="0.25">
      <c r="A1405" s="180">
        <f t="shared" ca="1" si="161"/>
        <v>47477</v>
      </c>
      <c r="B1405" s="181">
        <v>1373</v>
      </c>
      <c r="C1405" s="182" t="e">
        <f t="shared" si="155"/>
        <v>#VALUE!</v>
      </c>
      <c r="D1405" s="182" t="e">
        <f t="shared" si="156"/>
        <v>#VALUE!</v>
      </c>
      <c r="E1405" s="182" t="e">
        <f t="shared" si="157"/>
        <v>#VALUE!</v>
      </c>
      <c r="F1405" s="182" t="e">
        <f>SUM($D$33:D1405)</f>
        <v>#VALUE!</v>
      </c>
      <c r="G1405" s="182">
        <f t="shared" ca="1" si="158"/>
        <v>0</v>
      </c>
      <c r="H1405" s="182" t="e">
        <f t="shared" si="159"/>
        <v>#VALUE!</v>
      </c>
      <c r="I1405" s="183" t="e">
        <f t="shared" si="160"/>
        <v>#VALUE!</v>
      </c>
    </row>
    <row r="1406" spans="1:9" x14ac:dyDescent="0.25">
      <c r="A1406" s="180">
        <f t="shared" ca="1" si="161"/>
        <v>47478</v>
      </c>
      <c r="B1406" s="181">
        <v>1374</v>
      </c>
      <c r="C1406" s="182" t="e">
        <f t="shared" si="155"/>
        <v>#VALUE!</v>
      </c>
      <c r="D1406" s="182" t="e">
        <f t="shared" si="156"/>
        <v>#VALUE!</v>
      </c>
      <c r="E1406" s="182" t="e">
        <f t="shared" si="157"/>
        <v>#VALUE!</v>
      </c>
      <c r="F1406" s="182" t="e">
        <f>SUM($D$33:D1406)</f>
        <v>#VALUE!</v>
      </c>
      <c r="G1406" s="182">
        <f t="shared" ca="1" si="158"/>
        <v>0</v>
      </c>
      <c r="H1406" s="182" t="e">
        <f t="shared" si="159"/>
        <v>#VALUE!</v>
      </c>
      <c r="I1406" s="183" t="e">
        <f t="shared" si="160"/>
        <v>#VALUE!</v>
      </c>
    </row>
    <row r="1407" spans="1:9" x14ac:dyDescent="0.25">
      <c r="A1407" s="180">
        <f t="shared" ca="1" si="161"/>
        <v>47479</v>
      </c>
      <c r="B1407" s="181">
        <v>1375</v>
      </c>
      <c r="C1407" s="182" t="e">
        <f t="shared" si="155"/>
        <v>#VALUE!</v>
      </c>
      <c r="D1407" s="182" t="e">
        <f t="shared" si="156"/>
        <v>#VALUE!</v>
      </c>
      <c r="E1407" s="182" t="e">
        <f t="shared" si="157"/>
        <v>#VALUE!</v>
      </c>
      <c r="F1407" s="182" t="e">
        <f>SUM($D$33:D1407)</f>
        <v>#VALUE!</v>
      </c>
      <c r="G1407" s="182">
        <f t="shared" ca="1" si="158"/>
        <v>0</v>
      </c>
      <c r="H1407" s="182" t="e">
        <f t="shared" si="159"/>
        <v>#VALUE!</v>
      </c>
      <c r="I1407" s="183" t="e">
        <f t="shared" si="160"/>
        <v>#VALUE!</v>
      </c>
    </row>
    <row r="1408" spans="1:9" x14ac:dyDescent="0.25">
      <c r="A1408" s="180">
        <f t="shared" ca="1" si="161"/>
        <v>47480</v>
      </c>
      <c r="B1408" s="181">
        <v>1376</v>
      </c>
      <c r="C1408" s="182" t="e">
        <f t="shared" si="155"/>
        <v>#VALUE!</v>
      </c>
      <c r="D1408" s="182" t="e">
        <f t="shared" si="156"/>
        <v>#VALUE!</v>
      </c>
      <c r="E1408" s="182" t="e">
        <f t="shared" si="157"/>
        <v>#VALUE!</v>
      </c>
      <c r="F1408" s="182" t="e">
        <f>SUM($D$33:D1408)</f>
        <v>#VALUE!</v>
      </c>
      <c r="G1408" s="182">
        <f t="shared" ca="1" si="158"/>
        <v>0</v>
      </c>
      <c r="H1408" s="182" t="e">
        <f t="shared" si="159"/>
        <v>#VALUE!</v>
      </c>
      <c r="I1408" s="183" t="e">
        <f t="shared" si="160"/>
        <v>#VALUE!</v>
      </c>
    </row>
    <row r="1409" spans="1:9" x14ac:dyDescent="0.25">
      <c r="A1409" s="180">
        <f t="shared" ca="1" si="161"/>
        <v>47481</v>
      </c>
      <c r="B1409" s="181">
        <v>1377</v>
      </c>
      <c r="C1409" s="182" t="e">
        <f t="shared" si="155"/>
        <v>#VALUE!</v>
      </c>
      <c r="D1409" s="182" t="e">
        <f t="shared" si="156"/>
        <v>#VALUE!</v>
      </c>
      <c r="E1409" s="182" t="e">
        <f t="shared" si="157"/>
        <v>#VALUE!</v>
      </c>
      <c r="F1409" s="182" t="e">
        <f>SUM($D$33:D1409)</f>
        <v>#VALUE!</v>
      </c>
      <c r="G1409" s="182">
        <f t="shared" ca="1" si="158"/>
        <v>0</v>
      </c>
      <c r="H1409" s="182" t="e">
        <f t="shared" si="159"/>
        <v>#VALUE!</v>
      </c>
      <c r="I1409" s="183" t="e">
        <f t="shared" si="160"/>
        <v>#VALUE!</v>
      </c>
    </row>
    <row r="1410" spans="1:9" x14ac:dyDescent="0.25">
      <c r="A1410" s="180">
        <f t="shared" ca="1" si="161"/>
        <v>47482</v>
      </c>
      <c r="B1410" s="181">
        <v>1378</v>
      </c>
      <c r="C1410" s="182" t="e">
        <f t="shared" si="155"/>
        <v>#VALUE!</v>
      </c>
      <c r="D1410" s="182" t="e">
        <f t="shared" si="156"/>
        <v>#VALUE!</v>
      </c>
      <c r="E1410" s="182" t="e">
        <f t="shared" si="157"/>
        <v>#VALUE!</v>
      </c>
      <c r="F1410" s="182" t="e">
        <f>SUM($D$33:D1410)</f>
        <v>#VALUE!</v>
      </c>
      <c r="G1410" s="182">
        <f t="shared" ca="1" si="158"/>
        <v>0</v>
      </c>
      <c r="H1410" s="182" t="e">
        <f t="shared" si="159"/>
        <v>#VALUE!</v>
      </c>
      <c r="I1410" s="183" t="e">
        <f t="shared" si="160"/>
        <v>#VALUE!</v>
      </c>
    </row>
    <row r="1411" spans="1:9" x14ac:dyDescent="0.25">
      <c r="A1411" s="180">
        <f t="shared" ca="1" si="161"/>
        <v>47483</v>
      </c>
      <c r="B1411" s="181">
        <v>1379</v>
      </c>
      <c r="C1411" s="182" t="e">
        <f t="shared" si="155"/>
        <v>#VALUE!</v>
      </c>
      <c r="D1411" s="182" t="e">
        <f t="shared" si="156"/>
        <v>#VALUE!</v>
      </c>
      <c r="E1411" s="182" t="e">
        <f t="shared" si="157"/>
        <v>#VALUE!</v>
      </c>
      <c r="F1411" s="182" t="e">
        <f>SUM($D$33:D1411)</f>
        <v>#VALUE!</v>
      </c>
      <c r="G1411" s="182">
        <f t="shared" ca="1" si="158"/>
        <v>0</v>
      </c>
      <c r="H1411" s="182" t="e">
        <f t="shared" si="159"/>
        <v>#VALUE!</v>
      </c>
      <c r="I1411" s="183" t="e">
        <f t="shared" si="160"/>
        <v>#VALUE!</v>
      </c>
    </row>
    <row r="1412" spans="1:9" x14ac:dyDescent="0.25">
      <c r="A1412" s="180">
        <f t="shared" ca="1" si="161"/>
        <v>47484</v>
      </c>
      <c r="B1412" s="181">
        <v>1380</v>
      </c>
      <c r="C1412" s="182" t="e">
        <f t="shared" si="155"/>
        <v>#VALUE!</v>
      </c>
      <c r="D1412" s="182" t="e">
        <f t="shared" si="156"/>
        <v>#VALUE!</v>
      </c>
      <c r="E1412" s="182" t="e">
        <f t="shared" si="157"/>
        <v>#VALUE!</v>
      </c>
      <c r="F1412" s="182" t="e">
        <f>SUM($D$33:D1412)</f>
        <v>#VALUE!</v>
      </c>
      <c r="G1412" s="182">
        <f t="shared" ca="1" si="158"/>
        <v>0</v>
      </c>
      <c r="H1412" s="182" t="e">
        <f t="shared" si="159"/>
        <v>#VALUE!</v>
      </c>
      <c r="I1412" s="183" t="e">
        <f t="shared" si="160"/>
        <v>#VALUE!</v>
      </c>
    </row>
    <row r="1413" spans="1:9" x14ac:dyDescent="0.25">
      <c r="A1413" s="180">
        <f t="shared" ca="1" si="161"/>
        <v>47485</v>
      </c>
      <c r="B1413" s="181">
        <v>1381</v>
      </c>
      <c r="C1413" s="182" t="e">
        <f t="shared" si="155"/>
        <v>#VALUE!</v>
      </c>
      <c r="D1413" s="182" t="e">
        <f t="shared" si="156"/>
        <v>#VALUE!</v>
      </c>
      <c r="E1413" s="182" t="e">
        <f t="shared" si="157"/>
        <v>#VALUE!</v>
      </c>
      <c r="F1413" s="182" t="e">
        <f>SUM($D$33:D1413)</f>
        <v>#VALUE!</v>
      </c>
      <c r="G1413" s="182">
        <f t="shared" ca="1" si="158"/>
        <v>0</v>
      </c>
      <c r="H1413" s="182" t="e">
        <f t="shared" si="159"/>
        <v>#VALUE!</v>
      </c>
      <c r="I1413" s="183" t="e">
        <f t="shared" si="160"/>
        <v>#VALUE!</v>
      </c>
    </row>
    <row r="1414" spans="1:9" x14ac:dyDescent="0.25">
      <c r="A1414" s="180">
        <f t="shared" ca="1" si="161"/>
        <v>47486</v>
      </c>
      <c r="B1414" s="181">
        <v>1382</v>
      </c>
      <c r="C1414" s="182" t="e">
        <f t="shared" si="155"/>
        <v>#VALUE!</v>
      </c>
      <c r="D1414" s="182" t="e">
        <f t="shared" si="156"/>
        <v>#VALUE!</v>
      </c>
      <c r="E1414" s="182" t="e">
        <f t="shared" si="157"/>
        <v>#VALUE!</v>
      </c>
      <c r="F1414" s="182" t="e">
        <f>SUM($D$33:D1414)</f>
        <v>#VALUE!</v>
      </c>
      <c r="G1414" s="182">
        <f t="shared" ca="1" si="158"/>
        <v>0</v>
      </c>
      <c r="H1414" s="182" t="e">
        <f t="shared" si="159"/>
        <v>#VALUE!</v>
      </c>
      <c r="I1414" s="183" t="e">
        <f t="shared" si="160"/>
        <v>#VALUE!</v>
      </c>
    </row>
    <row r="1415" spans="1:9" x14ac:dyDescent="0.25">
      <c r="A1415" s="180">
        <f t="shared" ca="1" si="161"/>
        <v>47487</v>
      </c>
      <c r="B1415" s="181">
        <v>1383</v>
      </c>
      <c r="C1415" s="182" t="e">
        <f t="shared" si="155"/>
        <v>#VALUE!</v>
      </c>
      <c r="D1415" s="182" t="e">
        <f t="shared" si="156"/>
        <v>#VALUE!</v>
      </c>
      <c r="E1415" s="182" t="e">
        <f t="shared" si="157"/>
        <v>#VALUE!</v>
      </c>
      <c r="F1415" s="182" t="e">
        <f>SUM($D$33:D1415)</f>
        <v>#VALUE!</v>
      </c>
      <c r="G1415" s="182">
        <f t="shared" ca="1" si="158"/>
        <v>0</v>
      </c>
      <c r="H1415" s="182" t="e">
        <f t="shared" si="159"/>
        <v>#VALUE!</v>
      </c>
      <c r="I1415" s="183" t="e">
        <f t="shared" si="160"/>
        <v>#VALUE!</v>
      </c>
    </row>
    <row r="1416" spans="1:9" x14ac:dyDescent="0.25">
      <c r="A1416" s="180">
        <f t="shared" ca="1" si="161"/>
        <v>47488</v>
      </c>
      <c r="B1416" s="181">
        <v>1384</v>
      </c>
      <c r="C1416" s="182" t="e">
        <f t="shared" si="155"/>
        <v>#VALUE!</v>
      </c>
      <c r="D1416" s="182" t="e">
        <f t="shared" si="156"/>
        <v>#VALUE!</v>
      </c>
      <c r="E1416" s="182" t="e">
        <f t="shared" si="157"/>
        <v>#VALUE!</v>
      </c>
      <c r="F1416" s="182" t="e">
        <f>SUM($D$33:D1416)</f>
        <v>#VALUE!</v>
      </c>
      <c r="G1416" s="182">
        <f t="shared" ca="1" si="158"/>
        <v>0</v>
      </c>
      <c r="H1416" s="182" t="e">
        <f t="shared" si="159"/>
        <v>#VALUE!</v>
      </c>
      <c r="I1416" s="183" t="e">
        <f t="shared" si="160"/>
        <v>#VALUE!</v>
      </c>
    </row>
    <row r="1417" spans="1:9" x14ac:dyDescent="0.25">
      <c r="A1417" s="180">
        <f t="shared" ca="1" si="161"/>
        <v>47489</v>
      </c>
      <c r="B1417" s="181">
        <v>1385</v>
      </c>
      <c r="C1417" s="182" t="e">
        <f t="shared" si="155"/>
        <v>#VALUE!</v>
      </c>
      <c r="D1417" s="182" t="e">
        <f t="shared" si="156"/>
        <v>#VALUE!</v>
      </c>
      <c r="E1417" s="182" t="e">
        <f t="shared" si="157"/>
        <v>#VALUE!</v>
      </c>
      <c r="F1417" s="182" t="e">
        <f>SUM($D$33:D1417)</f>
        <v>#VALUE!</v>
      </c>
      <c r="G1417" s="182">
        <f t="shared" ca="1" si="158"/>
        <v>0</v>
      </c>
      <c r="H1417" s="182" t="e">
        <f t="shared" si="159"/>
        <v>#VALUE!</v>
      </c>
      <c r="I1417" s="183" t="e">
        <f t="shared" si="160"/>
        <v>#VALUE!</v>
      </c>
    </row>
    <row r="1418" spans="1:9" x14ac:dyDescent="0.25">
      <c r="A1418" s="180">
        <f t="shared" ca="1" si="161"/>
        <v>47490</v>
      </c>
      <c r="B1418" s="181">
        <v>1386</v>
      </c>
      <c r="C1418" s="182" t="e">
        <f t="shared" si="155"/>
        <v>#VALUE!</v>
      </c>
      <c r="D1418" s="182" t="e">
        <f t="shared" si="156"/>
        <v>#VALUE!</v>
      </c>
      <c r="E1418" s="182" t="e">
        <f t="shared" si="157"/>
        <v>#VALUE!</v>
      </c>
      <c r="F1418" s="182" t="e">
        <f>SUM($D$33:D1418)</f>
        <v>#VALUE!</v>
      </c>
      <c r="G1418" s="182">
        <f t="shared" ca="1" si="158"/>
        <v>0</v>
      </c>
      <c r="H1418" s="182" t="e">
        <f t="shared" si="159"/>
        <v>#VALUE!</v>
      </c>
      <c r="I1418" s="183" t="e">
        <f t="shared" si="160"/>
        <v>#VALUE!</v>
      </c>
    </row>
    <row r="1419" spans="1:9" x14ac:dyDescent="0.25">
      <c r="A1419" s="180">
        <f t="shared" ca="1" si="161"/>
        <v>47491</v>
      </c>
      <c r="B1419" s="181">
        <v>1387</v>
      </c>
      <c r="C1419" s="182" t="e">
        <f t="shared" si="155"/>
        <v>#VALUE!</v>
      </c>
      <c r="D1419" s="182" t="e">
        <f t="shared" si="156"/>
        <v>#VALUE!</v>
      </c>
      <c r="E1419" s="182" t="e">
        <f t="shared" si="157"/>
        <v>#VALUE!</v>
      </c>
      <c r="F1419" s="182" t="e">
        <f>SUM($D$33:D1419)</f>
        <v>#VALUE!</v>
      </c>
      <c r="G1419" s="182">
        <f t="shared" ca="1" si="158"/>
        <v>0</v>
      </c>
      <c r="H1419" s="182" t="e">
        <f t="shared" si="159"/>
        <v>#VALUE!</v>
      </c>
      <c r="I1419" s="183" t="e">
        <f t="shared" si="160"/>
        <v>#VALUE!</v>
      </c>
    </row>
    <row r="1420" spans="1:9" x14ac:dyDescent="0.25">
      <c r="A1420" s="180">
        <f t="shared" ca="1" si="161"/>
        <v>47492</v>
      </c>
      <c r="B1420" s="181">
        <v>1388</v>
      </c>
      <c r="C1420" s="182" t="e">
        <f t="shared" si="155"/>
        <v>#VALUE!</v>
      </c>
      <c r="D1420" s="182" t="e">
        <f t="shared" si="156"/>
        <v>#VALUE!</v>
      </c>
      <c r="E1420" s="182" t="e">
        <f t="shared" si="157"/>
        <v>#VALUE!</v>
      </c>
      <c r="F1420" s="182" t="e">
        <f>SUM($D$33:D1420)</f>
        <v>#VALUE!</v>
      </c>
      <c r="G1420" s="182">
        <f t="shared" ca="1" si="158"/>
        <v>0</v>
      </c>
      <c r="H1420" s="182" t="e">
        <f t="shared" si="159"/>
        <v>#VALUE!</v>
      </c>
      <c r="I1420" s="183" t="e">
        <f t="shared" si="160"/>
        <v>#VALUE!</v>
      </c>
    </row>
    <row r="1421" spans="1:9" x14ac:dyDescent="0.25">
      <c r="A1421" s="180">
        <f t="shared" ca="1" si="161"/>
        <v>47493</v>
      </c>
      <c r="B1421" s="181">
        <v>1389</v>
      </c>
      <c r="C1421" s="182" t="e">
        <f t="shared" si="155"/>
        <v>#VALUE!</v>
      </c>
      <c r="D1421" s="182" t="e">
        <f t="shared" si="156"/>
        <v>#VALUE!</v>
      </c>
      <c r="E1421" s="182" t="e">
        <f t="shared" si="157"/>
        <v>#VALUE!</v>
      </c>
      <c r="F1421" s="182" t="e">
        <f>SUM($D$33:D1421)</f>
        <v>#VALUE!</v>
      </c>
      <c r="G1421" s="182">
        <f t="shared" ca="1" si="158"/>
        <v>0</v>
      </c>
      <c r="H1421" s="182" t="e">
        <f t="shared" si="159"/>
        <v>#VALUE!</v>
      </c>
      <c r="I1421" s="183" t="e">
        <f t="shared" si="160"/>
        <v>#VALUE!</v>
      </c>
    </row>
    <row r="1422" spans="1:9" x14ac:dyDescent="0.25">
      <c r="A1422" s="180">
        <f t="shared" ca="1" si="161"/>
        <v>47494</v>
      </c>
      <c r="B1422" s="181">
        <v>1390</v>
      </c>
      <c r="C1422" s="182" t="e">
        <f t="shared" si="155"/>
        <v>#VALUE!</v>
      </c>
      <c r="D1422" s="182" t="e">
        <f t="shared" si="156"/>
        <v>#VALUE!</v>
      </c>
      <c r="E1422" s="182" t="e">
        <f t="shared" si="157"/>
        <v>#VALUE!</v>
      </c>
      <c r="F1422" s="182" t="e">
        <f>SUM($D$33:D1422)</f>
        <v>#VALUE!</v>
      </c>
      <c r="G1422" s="182">
        <f t="shared" ca="1" si="158"/>
        <v>0</v>
      </c>
      <c r="H1422" s="182" t="e">
        <f t="shared" si="159"/>
        <v>#VALUE!</v>
      </c>
      <c r="I1422" s="183" t="e">
        <f t="shared" si="160"/>
        <v>#VALUE!</v>
      </c>
    </row>
    <row r="1423" spans="1:9" x14ac:dyDescent="0.25">
      <c r="A1423" s="180">
        <f t="shared" ca="1" si="161"/>
        <v>47495</v>
      </c>
      <c r="B1423" s="181">
        <v>1391</v>
      </c>
      <c r="C1423" s="182" t="e">
        <f t="shared" si="155"/>
        <v>#VALUE!</v>
      </c>
      <c r="D1423" s="182" t="e">
        <f t="shared" si="156"/>
        <v>#VALUE!</v>
      </c>
      <c r="E1423" s="182" t="e">
        <f t="shared" si="157"/>
        <v>#VALUE!</v>
      </c>
      <c r="F1423" s="182" t="e">
        <f>SUM($D$33:D1423)</f>
        <v>#VALUE!</v>
      </c>
      <c r="G1423" s="182">
        <f t="shared" ca="1" si="158"/>
        <v>0</v>
      </c>
      <c r="H1423" s="182" t="e">
        <f t="shared" si="159"/>
        <v>#VALUE!</v>
      </c>
      <c r="I1423" s="183" t="e">
        <f t="shared" si="160"/>
        <v>#VALUE!</v>
      </c>
    </row>
    <row r="1424" spans="1:9" x14ac:dyDescent="0.25">
      <c r="A1424" s="180">
        <f t="shared" ca="1" si="161"/>
        <v>47496</v>
      </c>
      <c r="B1424" s="181">
        <v>1392</v>
      </c>
      <c r="C1424" s="182" t="e">
        <f t="shared" ref="C1424:C1487" si="162">H1423</f>
        <v>#VALUE!</v>
      </c>
      <c r="D1424" s="182" t="e">
        <f t="shared" ref="D1424:D1487" si="163">IF(C1424&gt;$H$21,C1424*($L$16/360),$H$21*($L$16/360))</f>
        <v>#VALUE!</v>
      </c>
      <c r="E1424" s="182" t="e">
        <f t="shared" ref="E1424:E1487" si="164">IF(E1423&gt;0,E1423-D1424,0)</f>
        <v>#VALUE!</v>
      </c>
      <c r="F1424" s="182" t="e">
        <f>SUM($D$33:D1424)</f>
        <v>#VALUE!</v>
      </c>
      <c r="G1424" s="182">
        <f t="shared" ref="G1424:G1487" ca="1" si="165">IFERROR(-VLOOKUP(A1424,$K$30:$M$36,2,FALSE),0)</f>
        <v>0</v>
      </c>
      <c r="H1424" s="182" t="e">
        <f t="shared" ref="H1424:H1487" si="166">IF(E1424&gt;0,C1424+G1424,IF(E1424&lt;0,C1424+G1424+D1424-E1423,C1424+D1424+G1424))</f>
        <v>#VALUE!</v>
      </c>
      <c r="I1424" s="183" t="e">
        <f t="shared" ref="I1424:I1487" si="167">(C1424+D1424-E1424)</f>
        <v>#VALUE!</v>
      </c>
    </row>
    <row r="1425" spans="1:9" x14ac:dyDescent="0.25">
      <c r="A1425" s="180">
        <f t="shared" ca="1" si="161"/>
        <v>47497</v>
      </c>
      <c r="B1425" s="181">
        <v>1393</v>
      </c>
      <c r="C1425" s="182" t="e">
        <f t="shared" si="162"/>
        <v>#VALUE!</v>
      </c>
      <c r="D1425" s="182" t="e">
        <f t="shared" si="163"/>
        <v>#VALUE!</v>
      </c>
      <c r="E1425" s="182" t="e">
        <f t="shared" si="164"/>
        <v>#VALUE!</v>
      </c>
      <c r="F1425" s="182" t="e">
        <f>SUM($D$33:D1425)</f>
        <v>#VALUE!</v>
      </c>
      <c r="G1425" s="182">
        <f t="shared" ca="1" si="165"/>
        <v>0</v>
      </c>
      <c r="H1425" s="182" t="e">
        <f t="shared" si="166"/>
        <v>#VALUE!</v>
      </c>
      <c r="I1425" s="183" t="e">
        <f t="shared" si="167"/>
        <v>#VALUE!</v>
      </c>
    </row>
    <row r="1426" spans="1:9" x14ac:dyDescent="0.25">
      <c r="A1426" s="180">
        <f t="shared" ca="1" si="161"/>
        <v>47498</v>
      </c>
      <c r="B1426" s="181">
        <v>1394</v>
      </c>
      <c r="C1426" s="182" t="e">
        <f t="shared" si="162"/>
        <v>#VALUE!</v>
      </c>
      <c r="D1426" s="182" t="e">
        <f t="shared" si="163"/>
        <v>#VALUE!</v>
      </c>
      <c r="E1426" s="182" t="e">
        <f t="shared" si="164"/>
        <v>#VALUE!</v>
      </c>
      <c r="F1426" s="182" t="e">
        <f>SUM($D$33:D1426)</f>
        <v>#VALUE!</v>
      </c>
      <c r="G1426" s="182">
        <f t="shared" ca="1" si="165"/>
        <v>0</v>
      </c>
      <c r="H1426" s="182" t="e">
        <f t="shared" si="166"/>
        <v>#VALUE!</v>
      </c>
      <c r="I1426" s="183" t="e">
        <f t="shared" si="167"/>
        <v>#VALUE!</v>
      </c>
    </row>
    <row r="1427" spans="1:9" x14ac:dyDescent="0.25">
      <c r="A1427" s="180">
        <f t="shared" ca="1" si="161"/>
        <v>47499</v>
      </c>
      <c r="B1427" s="181">
        <v>1395</v>
      </c>
      <c r="C1427" s="182" t="e">
        <f t="shared" si="162"/>
        <v>#VALUE!</v>
      </c>
      <c r="D1427" s="182" t="e">
        <f t="shared" si="163"/>
        <v>#VALUE!</v>
      </c>
      <c r="E1427" s="182" t="e">
        <f t="shared" si="164"/>
        <v>#VALUE!</v>
      </c>
      <c r="F1427" s="182" t="e">
        <f>SUM($D$33:D1427)</f>
        <v>#VALUE!</v>
      </c>
      <c r="G1427" s="182">
        <f t="shared" ca="1" si="165"/>
        <v>0</v>
      </c>
      <c r="H1427" s="182" t="e">
        <f t="shared" si="166"/>
        <v>#VALUE!</v>
      </c>
      <c r="I1427" s="183" t="e">
        <f t="shared" si="167"/>
        <v>#VALUE!</v>
      </c>
    </row>
    <row r="1428" spans="1:9" x14ac:dyDescent="0.25">
      <c r="A1428" s="180">
        <f t="shared" ca="1" si="161"/>
        <v>47500</v>
      </c>
      <c r="B1428" s="181">
        <v>1396</v>
      </c>
      <c r="C1428" s="182" t="e">
        <f t="shared" si="162"/>
        <v>#VALUE!</v>
      </c>
      <c r="D1428" s="182" t="e">
        <f t="shared" si="163"/>
        <v>#VALUE!</v>
      </c>
      <c r="E1428" s="182" t="e">
        <f t="shared" si="164"/>
        <v>#VALUE!</v>
      </c>
      <c r="F1428" s="182" t="e">
        <f>SUM($D$33:D1428)</f>
        <v>#VALUE!</v>
      </c>
      <c r="G1428" s="182">
        <f t="shared" ca="1" si="165"/>
        <v>0</v>
      </c>
      <c r="H1428" s="182" t="e">
        <f t="shared" si="166"/>
        <v>#VALUE!</v>
      </c>
      <c r="I1428" s="183" t="e">
        <f t="shared" si="167"/>
        <v>#VALUE!</v>
      </c>
    </row>
    <row r="1429" spans="1:9" x14ac:dyDescent="0.25">
      <c r="A1429" s="180">
        <f t="shared" ca="1" si="161"/>
        <v>47501</v>
      </c>
      <c r="B1429" s="181">
        <v>1397</v>
      </c>
      <c r="C1429" s="182" t="e">
        <f t="shared" si="162"/>
        <v>#VALUE!</v>
      </c>
      <c r="D1429" s="182" t="e">
        <f t="shared" si="163"/>
        <v>#VALUE!</v>
      </c>
      <c r="E1429" s="182" t="e">
        <f t="shared" si="164"/>
        <v>#VALUE!</v>
      </c>
      <c r="F1429" s="182" t="e">
        <f>SUM($D$33:D1429)</f>
        <v>#VALUE!</v>
      </c>
      <c r="G1429" s="182">
        <f t="shared" ca="1" si="165"/>
        <v>0</v>
      </c>
      <c r="H1429" s="182" t="e">
        <f t="shared" si="166"/>
        <v>#VALUE!</v>
      </c>
      <c r="I1429" s="183" t="e">
        <f t="shared" si="167"/>
        <v>#VALUE!</v>
      </c>
    </row>
    <row r="1430" spans="1:9" x14ac:dyDescent="0.25">
      <c r="A1430" s="180">
        <f t="shared" ca="1" si="161"/>
        <v>47502</v>
      </c>
      <c r="B1430" s="181">
        <v>1398</v>
      </c>
      <c r="C1430" s="182" t="e">
        <f t="shared" si="162"/>
        <v>#VALUE!</v>
      </c>
      <c r="D1430" s="182" t="e">
        <f t="shared" si="163"/>
        <v>#VALUE!</v>
      </c>
      <c r="E1430" s="182" t="e">
        <f t="shared" si="164"/>
        <v>#VALUE!</v>
      </c>
      <c r="F1430" s="182" t="e">
        <f>SUM($D$33:D1430)</f>
        <v>#VALUE!</v>
      </c>
      <c r="G1430" s="182">
        <f t="shared" ca="1" si="165"/>
        <v>0</v>
      </c>
      <c r="H1430" s="182" t="e">
        <f t="shared" si="166"/>
        <v>#VALUE!</v>
      </c>
      <c r="I1430" s="183" t="e">
        <f t="shared" si="167"/>
        <v>#VALUE!</v>
      </c>
    </row>
    <row r="1431" spans="1:9" x14ac:dyDescent="0.25">
      <c r="A1431" s="180">
        <f t="shared" ca="1" si="161"/>
        <v>47503</v>
      </c>
      <c r="B1431" s="181">
        <v>1399</v>
      </c>
      <c r="C1431" s="182" t="e">
        <f t="shared" si="162"/>
        <v>#VALUE!</v>
      </c>
      <c r="D1431" s="182" t="e">
        <f t="shared" si="163"/>
        <v>#VALUE!</v>
      </c>
      <c r="E1431" s="182" t="e">
        <f t="shared" si="164"/>
        <v>#VALUE!</v>
      </c>
      <c r="F1431" s="182" t="e">
        <f>SUM($D$33:D1431)</f>
        <v>#VALUE!</v>
      </c>
      <c r="G1431" s="182">
        <f t="shared" ca="1" si="165"/>
        <v>0</v>
      </c>
      <c r="H1431" s="182" t="e">
        <f t="shared" si="166"/>
        <v>#VALUE!</v>
      </c>
      <c r="I1431" s="183" t="e">
        <f t="shared" si="167"/>
        <v>#VALUE!</v>
      </c>
    </row>
    <row r="1432" spans="1:9" x14ac:dyDescent="0.25">
      <c r="A1432" s="180">
        <f t="shared" ca="1" si="161"/>
        <v>47504</v>
      </c>
      <c r="B1432" s="181">
        <v>1400</v>
      </c>
      <c r="C1432" s="182" t="e">
        <f t="shared" si="162"/>
        <v>#VALUE!</v>
      </c>
      <c r="D1432" s="182" t="e">
        <f t="shared" si="163"/>
        <v>#VALUE!</v>
      </c>
      <c r="E1432" s="182" t="e">
        <f t="shared" si="164"/>
        <v>#VALUE!</v>
      </c>
      <c r="F1432" s="182" t="e">
        <f>SUM($D$33:D1432)</f>
        <v>#VALUE!</v>
      </c>
      <c r="G1432" s="182">
        <f t="shared" ca="1" si="165"/>
        <v>0</v>
      </c>
      <c r="H1432" s="182" t="e">
        <f t="shared" si="166"/>
        <v>#VALUE!</v>
      </c>
      <c r="I1432" s="183" t="e">
        <f t="shared" si="167"/>
        <v>#VALUE!</v>
      </c>
    </row>
    <row r="1433" spans="1:9" x14ac:dyDescent="0.25">
      <c r="A1433" s="180">
        <f t="shared" ca="1" si="161"/>
        <v>47505</v>
      </c>
      <c r="B1433" s="181">
        <v>1401</v>
      </c>
      <c r="C1433" s="182" t="e">
        <f t="shared" si="162"/>
        <v>#VALUE!</v>
      </c>
      <c r="D1433" s="182" t="e">
        <f t="shared" si="163"/>
        <v>#VALUE!</v>
      </c>
      <c r="E1433" s="182" t="e">
        <f t="shared" si="164"/>
        <v>#VALUE!</v>
      </c>
      <c r="F1433" s="182" t="e">
        <f>SUM($D$33:D1433)</f>
        <v>#VALUE!</v>
      </c>
      <c r="G1433" s="182">
        <f t="shared" ca="1" si="165"/>
        <v>0</v>
      </c>
      <c r="H1433" s="182" t="e">
        <f t="shared" si="166"/>
        <v>#VALUE!</v>
      </c>
      <c r="I1433" s="183" t="e">
        <f t="shared" si="167"/>
        <v>#VALUE!</v>
      </c>
    </row>
    <row r="1434" spans="1:9" x14ac:dyDescent="0.25">
      <c r="A1434" s="180">
        <f t="shared" ca="1" si="161"/>
        <v>47506</v>
      </c>
      <c r="B1434" s="181">
        <v>1402</v>
      </c>
      <c r="C1434" s="182" t="e">
        <f t="shared" si="162"/>
        <v>#VALUE!</v>
      </c>
      <c r="D1434" s="182" t="e">
        <f t="shared" si="163"/>
        <v>#VALUE!</v>
      </c>
      <c r="E1434" s="182" t="e">
        <f t="shared" si="164"/>
        <v>#VALUE!</v>
      </c>
      <c r="F1434" s="182" t="e">
        <f>SUM($D$33:D1434)</f>
        <v>#VALUE!</v>
      </c>
      <c r="G1434" s="182">
        <f t="shared" ca="1" si="165"/>
        <v>0</v>
      </c>
      <c r="H1434" s="182" t="e">
        <f t="shared" si="166"/>
        <v>#VALUE!</v>
      </c>
      <c r="I1434" s="183" t="e">
        <f t="shared" si="167"/>
        <v>#VALUE!</v>
      </c>
    </row>
    <row r="1435" spans="1:9" x14ac:dyDescent="0.25">
      <c r="A1435" s="180">
        <f t="shared" ca="1" si="161"/>
        <v>47507</v>
      </c>
      <c r="B1435" s="181">
        <v>1403</v>
      </c>
      <c r="C1435" s="182" t="e">
        <f t="shared" si="162"/>
        <v>#VALUE!</v>
      </c>
      <c r="D1435" s="182" t="e">
        <f t="shared" si="163"/>
        <v>#VALUE!</v>
      </c>
      <c r="E1435" s="182" t="e">
        <f t="shared" si="164"/>
        <v>#VALUE!</v>
      </c>
      <c r="F1435" s="182" t="e">
        <f>SUM($D$33:D1435)</f>
        <v>#VALUE!</v>
      </c>
      <c r="G1435" s="182">
        <f t="shared" ca="1" si="165"/>
        <v>0</v>
      </c>
      <c r="H1435" s="182" t="e">
        <f t="shared" si="166"/>
        <v>#VALUE!</v>
      </c>
      <c r="I1435" s="183" t="e">
        <f t="shared" si="167"/>
        <v>#VALUE!</v>
      </c>
    </row>
    <row r="1436" spans="1:9" x14ac:dyDescent="0.25">
      <c r="A1436" s="180">
        <f t="shared" ca="1" si="161"/>
        <v>47508</v>
      </c>
      <c r="B1436" s="181">
        <v>1404</v>
      </c>
      <c r="C1436" s="182" t="e">
        <f t="shared" si="162"/>
        <v>#VALUE!</v>
      </c>
      <c r="D1436" s="182" t="e">
        <f t="shared" si="163"/>
        <v>#VALUE!</v>
      </c>
      <c r="E1436" s="182" t="e">
        <f t="shared" si="164"/>
        <v>#VALUE!</v>
      </c>
      <c r="F1436" s="182" t="e">
        <f>SUM($D$33:D1436)</f>
        <v>#VALUE!</v>
      </c>
      <c r="G1436" s="182">
        <f t="shared" ca="1" si="165"/>
        <v>0</v>
      </c>
      <c r="H1436" s="182" t="e">
        <f t="shared" si="166"/>
        <v>#VALUE!</v>
      </c>
      <c r="I1436" s="183" t="e">
        <f t="shared" si="167"/>
        <v>#VALUE!</v>
      </c>
    </row>
    <row r="1437" spans="1:9" x14ac:dyDescent="0.25">
      <c r="A1437" s="180">
        <f t="shared" ca="1" si="161"/>
        <v>47509</v>
      </c>
      <c r="B1437" s="181">
        <v>1405</v>
      </c>
      <c r="C1437" s="182" t="e">
        <f t="shared" si="162"/>
        <v>#VALUE!</v>
      </c>
      <c r="D1437" s="182" t="e">
        <f t="shared" si="163"/>
        <v>#VALUE!</v>
      </c>
      <c r="E1437" s="182" t="e">
        <f t="shared" si="164"/>
        <v>#VALUE!</v>
      </c>
      <c r="F1437" s="182" t="e">
        <f>SUM($D$33:D1437)</f>
        <v>#VALUE!</v>
      </c>
      <c r="G1437" s="182">
        <f t="shared" ca="1" si="165"/>
        <v>0</v>
      </c>
      <c r="H1437" s="182" t="e">
        <f t="shared" si="166"/>
        <v>#VALUE!</v>
      </c>
      <c r="I1437" s="183" t="e">
        <f t="shared" si="167"/>
        <v>#VALUE!</v>
      </c>
    </row>
    <row r="1438" spans="1:9" x14ac:dyDescent="0.25">
      <c r="A1438" s="180">
        <f t="shared" ca="1" si="161"/>
        <v>47510</v>
      </c>
      <c r="B1438" s="181">
        <v>1406</v>
      </c>
      <c r="C1438" s="182" t="e">
        <f t="shared" si="162"/>
        <v>#VALUE!</v>
      </c>
      <c r="D1438" s="182" t="e">
        <f t="shared" si="163"/>
        <v>#VALUE!</v>
      </c>
      <c r="E1438" s="182" t="e">
        <f t="shared" si="164"/>
        <v>#VALUE!</v>
      </c>
      <c r="F1438" s="182" t="e">
        <f>SUM($D$33:D1438)</f>
        <v>#VALUE!</v>
      </c>
      <c r="G1438" s="182">
        <f t="shared" ca="1" si="165"/>
        <v>0</v>
      </c>
      <c r="H1438" s="182" t="e">
        <f t="shared" si="166"/>
        <v>#VALUE!</v>
      </c>
      <c r="I1438" s="183" t="e">
        <f t="shared" si="167"/>
        <v>#VALUE!</v>
      </c>
    </row>
    <row r="1439" spans="1:9" x14ac:dyDescent="0.25">
      <c r="A1439" s="180">
        <f t="shared" ca="1" si="161"/>
        <v>47511</v>
      </c>
      <c r="B1439" s="181">
        <v>1407</v>
      </c>
      <c r="C1439" s="182" t="e">
        <f t="shared" si="162"/>
        <v>#VALUE!</v>
      </c>
      <c r="D1439" s="182" t="e">
        <f t="shared" si="163"/>
        <v>#VALUE!</v>
      </c>
      <c r="E1439" s="182" t="e">
        <f t="shared" si="164"/>
        <v>#VALUE!</v>
      </c>
      <c r="F1439" s="182" t="e">
        <f>SUM($D$33:D1439)</f>
        <v>#VALUE!</v>
      </c>
      <c r="G1439" s="182">
        <f t="shared" ca="1" si="165"/>
        <v>0</v>
      </c>
      <c r="H1439" s="182" t="e">
        <f t="shared" si="166"/>
        <v>#VALUE!</v>
      </c>
      <c r="I1439" s="183" t="e">
        <f t="shared" si="167"/>
        <v>#VALUE!</v>
      </c>
    </row>
    <row r="1440" spans="1:9" x14ac:dyDescent="0.25">
      <c r="A1440" s="180">
        <f t="shared" ca="1" si="161"/>
        <v>47512</v>
      </c>
      <c r="B1440" s="181">
        <v>1408</v>
      </c>
      <c r="C1440" s="182" t="e">
        <f t="shared" si="162"/>
        <v>#VALUE!</v>
      </c>
      <c r="D1440" s="182" t="e">
        <f t="shared" si="163"/>
        <v>#VALUE!</v>
      </c>
      <c r="E1440" s="182" t="e">
        <f t="shared" si="164"/>
        <v>#VALUE!</v>
      </c>
      <c r="F1440" s="182" t="e">
        <f>SUM($D$33:D1440)</f>
        <v>#VALUE!</v>
      </c>
      <c r="G1440" s="182">
        <f t="shared" ca="1" si="165"/>
        <v>0</v>
      </c>
      <c r="H1440" s="182" t="e">
        <f t="shared" si="166"/>
        <v>#VALUE!</v>
      </c>
      <c r="I1440" s="183" t="e">
        <f t="shared" si="167"/>
        <v>#VALUE!</v>
      </c>
    </row>
    <row r="1441" spans="1:9" x14ac:dyDescent="0.25">
      <c r="A1441" s="180">
        <f t="shared" ca="1" si="161"/>
        <v>47513</v>
      </c>
      <c r="B1441" s="181">
        <v>1409</v>
      </c>
      <c r="C1441" s="182" t="e">
        <f t="shared" si="162"/>
        <v>#VALUE!</v>
      </c>
      <c r="D1441" s="182" t="e">
        <f t="shared" si="163"/>
        <v>#VALUE!</v>
      </c>
      <c r="E1441" s="182" t="e">
        <f t="shared" si="164"/>
        <v>#VALUE!</v>
      </c>
      <c r="F1441" s="182" t="e">
        <f>SUM($D$33:D1441)</f>
        <v>#VALUE!</v>
      </c>
      <c r="G1441" s="182">
        <f t="shared" ca="1" si="165"/>
        <v>0</v>
      </c>
      <c r="H1441" s="182" t="e">
        <f t="shared" si="166"/>
        <v>#VALUE!</v>
      </c>
      <c r="I1441" s="183" t="e">
        <f t="shared" si="167"/>
        <v>#VALUE!</v>
      </c>
    </row>
    <row r="1442" spans="1:9" x14ac:dyDescent="0.25">
      <c r="A1442" s="180">
        <f t="shared" ref="A1442:A1505" ca="1" si="168">A1441+1</f>
        <v>47514</v>
      </c>
      <c r="B1442" s="181">
        <v>1410</v>
      </c>
      <c r="C1442" s="182" t="e">
        <f t="shared" si="162"/>
        <v>#VALUE!</v>
      </c>
      <c r="D1442" s="182" t="e">
        <f t="shared" si="163"/>
        <v>#VALUE!</v>
      </c>
      <c r="E1442" s="182" t="e">
        <f t="shared" si="164"/>
        <v>#VALUE!</v>
      </c>
      <c r="F1442" s="182" t="e">
        <f>SUM($D$33:D1442)</f>
        <v>#VALUE!</v>
      </c>
      <c r="G1442" s="182">
        <f t="shared" ca="1" si="165"/>
        <v>0</v>
      </c>
      <c r="H1442" s="182" t="e">
        <f t="shared" si="166"/>
        <v>#VALUE!</v>
      </c>
      <c r="I1442" s="183" t="e">
        <f t="shared" si="167"/>
        <v>#VALUE!</v>
      </c>
    </row>
    <row r="1443" spans="1:9" x14ac:dyDescent="0.25">
      <c r="A1443" s="180">
        <f t="shared" ca="1" si="168"/>
        <v>47515</v>
      </c>
      <c r="B1443" s="181">
        <v>1411</v>
      </c>
      <c r="C1443" s="182" t="e">
        <f t="shared" si="162"/>
        <v>#VALUE!</v>
      </c>
      <c r="D1443" s="182" t="e">
        <f t="shared" si="163"/>
        <v>#VALUE!</v>
      </c>
      <c r="E1443" s="182" t="e">
        <f t="shared" si="164"/>
        <v>#VALUE!</v>
      </c>
      <c r="F1443" s="182" t="e">
        <f>SUM($D$33:D1443)</f>
        <v>#VALUE!</v>
      </c>
      <c r="G1443" s="182">
        <f t="shared" ca="1" si="165"/>
        <v>0</v>
      </c>
      <c r="H1443" s="182" t="e">
        <f t="shared" si="166"/>
        <v>#VALUE!</v>
      </c>
      <c r="I1443" s="183" t="e">
        <f t="shared" si="167"/>
        <v>#VALUE!</v>
      </c>
    </row>
    <row r="1444" spans="1:9" x14ac:dyDescent="0.25">
      <c r="A1444" s="180">
        <f t="shared" ca="1" si="168"/>
        <v>47516</v>
      </c>
      <c r="B1444" s="181">
        <v>1412</v>
      </c>
      <c r="C1444" s="182" t="e">
        <f t="shared" si="162"/>
        <v>#VALUE!</v>
      </c>
      <c r="D1444" s="182" t="e">
        <f t="shared" si="163"/>
        <v>#VALUE!</v>
      </c>
      <c r="E1444" s="182" t="e">
        <f t="shared" si="164"/>
        <v>#VALUE!</v>
      </c>
      <c r="F1444" s="182" t="e">
        <f>SUM($D$33:D1444)</f>
        <v>#VALUE!</v>
      </c>
      <c r="G1444" s="182">
        <f t="shared" ca="1" si="165"/>
        <v>0</v>
      </c>
      <c r="H1444" s="182" t="e">
        <f t="shared" si="166"/>
        <v>#VALUE!</v>
      </c>
      <c r="I1444" s="183" t="e">
        <f t="shared" si="167"/>
        <v>#VALUE!</v>
      </c>
    </row>
    <row r="1445" spans="1:9" x14ac:dyDescent="0.25">
      <c r="A1445" s="180">
        <f t="shared" ca="1" si="168"/>
        <v>47517</v>
      </c>
      <c r="B1445" s="181">
        <v>1413</v>
      </c>
      <c r="C1445" s="182" t="e">
        <f t="shared" si="162"/>
        <v>#VALUE!</v>
      </c>
      <c r="D1445" s="182" t="e">
        <f t="shared" si="163"/>
        <v>#VALUE!</v>
      </c>
      <c r="E1445" s="182" t="e">
        <f t="shared" si="164"/>
        <v>#VALUE!</v>
      </c>
      <c r="F1445" s="182" t="e">
        <f>SUM($D$33:D1445)</f>
        <v>#VALUE!</v>
      </c>
      <c r="G1445" s="182">
        <f t="shared" ca="1" si="165"/>
        <v>0</v>
      </c>
      <c r="H1445" s="182" t="e">
        <f t="shared" si="166"/>
        <v>#VALUE!</v>
      </c>
      <c r="I1445" s="183" t="e">
        <f t="shared" si="167"/>
        <v>#VALUE!</v>
      </c>
    </row>
    <row r="1446" spans="1:9" x14ac:dyDescent="0.25">
      <c r="A1446" s="180">
        <f t="shared" ca="1" si="168"/>
        <v>47518</v>
      </c>
      <c r="B1446" s="181">
        <v>1414</v>
      </c>
      <c r="C1446" s="182" t="e">
        <f t="shared" si="162"/>
        <v>#VALUE!</v>
      </c>
      <c r="D1446" s="182" t="e">
        <f t="shared" si="163"/>
        <v>#VALUE!</v>
      </c>
      <c r="E1446" s="182" t="e">
        <f t="shared" si="164"/>
        <v>#VALUE!</v>
      </c>
      <c r="F1446" s="182" t="e">
        <f>SUM($D$33:D1446)</f>
        <v>#VALUE!</v>
      </c>
      <c r="G1446" s="182">
        <f t="shared" ca="1" si="165"/>
        <v>0</v>
      </c>
      <c r="H1446" s="182" t="e">
        <f t="shared" si="166"/>
        <v>#VALUE!</v>
      </c>
      <c r="I1446" s="183" t="e">
        <f t="shared" si="167"/>
        <v>#VALUE!</v>
      </c>
    </row>
    <row r="1447" spans="1:9" x14ac:dyDescent="0.25">
      <c r="A1447" s="180">
        <f t="shared" ca="1" si="168"/>
        <v>47519</v>
      </c>
      <c r="B1447" s="181">
        <v>1415</v>
      </c>
      <c r="C1447" s="182" t="e">
        <f t="shared" si="162"/>
        <v>#VALUE!</v>
      </c>
      <c r="D1447" s="182" t="e">
        <f t="shared" si="163"/>
        <v>#VALUE!</v>
      </c>
      <c r="E1447" s="182" t="e">
        <f t="shared" si="164"/>
        <v>#VALUE!</v>
      </c>
      <c r="F1447" s="182" t="e">
        <f>SUM($D$33:D1447)</f>
        <v>#VALUE!</v>
      </c>
      <c r="G1447" s="182">
        <f t="shared" ca="1" si="165"/>
        <v>0</v>
      </c>
      <c r="H1447" s="182" t="e">
        <f t="shared" si="166"/>
        <v>#VALUE!</v>
      </c>
      <c r="I1447" s="183" t="e">
        <f t="shared" si="167"/>
        <v>#VALUE!</v>
      </c>
    </row>
    <row r="1448" spans="1:9" x14ac:dyDescent="0.25">
      <c r="A1448" s="180">
        <f t="shared" ca="1" si="168"/>
        <v>47520</v>
      </c>
      <c r="B1448" s="181">
        <v>1416</v>
      </c>
      <c r="C1448" s="182" t="e">
        <f t="shared" si="162"/>
        <v>#VALUE!</v>
      </c>
      <c r="D1448" s="182" t="e">
        <f t="shared" si="163"/>
        <v>#VALUE!</v>
      </c>
      <c r="E1448" s="182" t="e">
        <f t="shared" si="164"/>
        <v>#VALUE!</v>
      </c>
      <c r="F1448" s="182" t="e">
        <f>SUM($D$33:D1448)</f>
        <v>#VALUE!</v>
      </c>
      <c r="G1448" s="182">
        <f t="shared" ca="1" si="165"/>
        <v>0</v>
      </c>
      <c r="H1448" s="182" t="e">
        <f t="shared" si="166"/>
        <v>#VALUE!</v>
      </c>
      <c r="I1448" s="183" t="e">
        <f t="shared" si="167"/>
        <v>#VALUE!</v>
      </c>
    </row>
    <row r="1449" spans="1:9" x14ac:dyDescent="0.25">
      <c r="A1449" s="180">
        <f t="shared" ca="1" si="168"/>
        <v>47521</v>
      </c>
      <c r="B1449" s="181">
        <v>1417</v>
      </c>
      <c r="C1449" s="182" t="e">
        <f t="shared" si="162"/>
        <v>#VALUE!</v>
      </c>
      <c r="D1449" s="182" t="e">
        <f t="shared" si="163"/>
        <v>#VALUE!</v>
      </c>
      <c r="E1449" s="182" t="e">
        <f t="shared" si="164"/>
        <v>#VALUE!</v>
      </c>
      <c r="F1449" s="182" t="e">
        <f>SUM($D$33:D1449)</f>
        <v>#VALUE!</v>
      </c>
      <c r="G1449" s="182">
        <f t="shared" ca="1" si="165"/>
        <v>0</v>
      </c>
      <c r="H1449" s="182" t="e">
        <f t="shared" si="166"/>
        <v>#VALUE!</v>
      </c>
      <c r="I1449" s="183" t="e">
        <f t="shared" si="167"/>
        <v>#VALUE!</v>
      </c>
    </row>
    <row r="1450" spans="1:9" x14ac:dyDescent="0.25">
      <c r="A1450" s="180">
        <f t="shared" ca="1" si="168"/>
        <v>47522</v>
      </c>
      <c r="B1450" s="181">
        <v>1418</v>
      </c>
      <c r="C1450" s="182" t="e">
        <f t="shared" si="162"/>
        <v>#VALUE!</v>
      </c>
      <c r="D1450" s="182" t="e">
        <f t="shared" si="163"/>
        <v>#VALUE!</v>
      </c>
      <c r="E1450" s="182" t="e">
        <f t="shared" si="164"/>
        <v>#VALUE!</v>
      </c>
      <c r="F1450" s="182" t="e">
        <f>SUM($D$33:D1450)</f>
        <v>#VALUE!</v>
      </c>
      <c r="G1450" s="182">
        <f t="shared" ca="1" si="165"/>
        <v>0</v>
      </c>
      <c r="H1450" s="182" t="e">
        <f t="shared" si="166"/>
        <v>#VALUE!</v>
      </c>
      <c r="I1450" s="183" t="e">
        <f t="shared" si="167"/>
        <v>#VALUE!</v>
      </c>
    </row>
    <row r="1451" spans="1:9" x14ac:dyDescent="0.25">
      <c r="A1451" s="180">
        <f t="shared" ca="1" si="168"/>
        <v>47523</v>
      </c>
      <c r="B1451" s="181">
        <v>1419</v>
      </c>
      <c r="C1451" s="182" t="e">
        <f t="shared" si="162"/>
        <v>#VALUE!</v>
      </c>
      <c r="D1451" s="182" t="e">
        <f t="shared" si="163"/>
        <v>#VALUE!</v>
      </c>
      <c r="E1451" s="182" t="e">
        <f t="shared" si="164"/>
        <v>#VALUE!</v>
      </c>
      <c r="F1451" s="182" t="e">
        <f>SUM($D$33:D1451)</f>
        <v>#VALUE!</v>
      </c>
      <c r="G1451" s="182">
        <f t="shared" ca="1" si="165"/>
        <v>0</v>
      </c>
      <c r="H1451" s="182" t="e">
        <f t="shared" si="166"/>
        <v>#VALUE!</v>
      </c>
      <c r="I1451" s="183" t="e">
        <f t="shared" si="167"/>
        <v>#VALUE!</v>
      </c>
    </row>
    <row r="1452" spans="1:9" x14ac:dyDescent="0.25">
      <c r="A1452" s="180">
        <f t="shared" ca="1" si="168"/>
        <v>47524</v>
      </c>
      <c r="B1452" s="181">
        <v>1420</v>
      </c>
      <c r="C1452" s="182" t="e">
        <f t="shared" si="162"/>
        <v>#VALUE!</v>
      </c>
      <c r="D1452" s="182" t="e">
        <f t="shared" si="163"/>
        <v>#VALUE!</v>
      </c>
      <c r="E1452" s="182" t="e">
        <f t="shared" si="164"/>
        <v>#VALUE!</v>
      </c>
      <c r="F1452" s="182" t="e">
        <f>SUM($D$33:D1452)</f>
        <v>#VALUE!</v>
      </c>
      <c r="G1452" s="182">
        <f t="shared" ca="1" si="165"/>
        <v>0</v>
      </c>
      <c r="H1452" s="182" t="e">
        <f t="shared" si="166"/>
        <v>#VALUE!</v>
      </c>
      <c r="I1452" s="183" t="e">
        <f t="shared" si="167"/>
        <v>#VALUE!</v>
      </c>
    </row>
    <row r="1453" spans="1:9" x14ac:dyDescent="0.25">
      <c r="A1453" s="180">
        <f t="shared" ca="1" si="168"/>
        <v>47525</v>
      </c>
      <c r="B1453" s="181">
        <v>1421</v>
      </c>
      <c r="C1453" s="182" t="e">
        <f t="shared" si="162"/>
        <v>#VALUE!</v>
      </c>
      <c r="D1453" s="182" t="e">
        <f t="shared" si="163"/>
        <v>#VALUE!</v>
      </c>
      <c r="E1453" s="182" t="e">
        <f t="shared" si="164"/>
        <v>#VALUE!</v>
      </c>
      <c r="F1453" s="182" t="e">
        <f>SUM($D$33:D1453)</f>
        <v>#VALUE!</v>
      </c>
      <c r="G1453" s="182">
        <f t="shared" ca="1" si="165"/>
        <v>0</v>
      </c>
      <c r="H1453" s="182" t="e">
        <f t="shared" si="166"/>
        <v>#VALUE!</v>
      </c>
      <c r="I1453" s="183" t="e">
        <f t="shared" si="167"/>
        <v>#VALUE!</v>
      </c>
    </row>
    <row r="1454" spans="1:9" x14ac:dyDescent="0.25">
      <c r="A1454" s="180">
        <f t="shared" ca="1" si="168"/>
        <v>47526</v>
      </c>
      <c r="B1454" s="181">
        <v>1422</v>
      </c>
      <c r="C1454" s="182" t="e">
        <f t="shared" si="162"/>
        <v>#VALUE!</v>
      </c>
      <c r="D1454" s="182" t="e">
        <f t="shared" si="163"/>
        <v>#VALUE!</v>
      </c>
      <c r="E1454" s="182" t="e">
        <f t="shared" si="164"/>
        <v>#VALUE!</v>
      </c>
      <c r="F1454" s="182" t="e">
        <f>SUM($D$33:D1454)</f>
        <v>#VALUE!</v>
      </c>
      <c r="G1454" s="182">
        <f t="shared" ca="1" si="165"/>
        <v>0</v>
      </c>
      <c r="H1454" s="182" t="e">
        <f t="shared" si="166"/>
        <v>#VALUE!</v>
      </c>
      <c r="I1454" s="183" t="e">
        <f t="shared" si="167"/>
        <v>#VALUE!</v>
      </c>
    </row>
    <row r="1455" spans="1:9" x14ac:dyDescent="0.25">
      <c r="A1455" s="180">
        <f t="shared" ca="1" si="168"/>
        <v>47527</v>
      </c>
      <c r="B1455" s="181">
        <v>1423</v>
      </c>
      <c r="C1455" s="182" t="e">
        <f t="shared" si="162"/>
        <v>#VALUE!</v>
      </c>
      <c r="D1455" s="182" t="e">
        <f t="shared" si="163"/>
        <v>#VALUE!</v>
      </c>
      <c r="E1455" s="182" t="e">
        <f t="shared" si="164"/>
        <v>#VALUE!</v>
      </c>
      <c r="F1455" s="182" t="e">
        <f>SUM($D$33:D1455)</f>
        <v>#VALUE!</v>
      </c>
      <c r="G1455" s="182">
        <f t="shared" ca="1" si="165"/>
        <v>0</v>
      </c>
      <c r="H1455" s="182" t="e">
        <f t="shared" si="166"/>
        <v>#VALUE!</v>
      </c>
      <c r="I1455" s="183" t="e">
        <f t="shared" si="167"/>
        <v>#VALUE!</v>
      </c>
    </row>
    <row r="1456" spans="1:9" x14ac:dyDescent="0.25">
      <c r="A1456" s="180">
        <f t="shared" ca="1" si="168"/>
        <v>47528</v>
      </c>
      <c r="B1456" s="181">
        <v>1424</v>
      </c>
      <c r="C1456" s="182" t="e">
        <f t="shared" si="162"/>
        <v>#VALUE!</v>
      </c>
      <c r="D1456" s="182" t="e">
        <f t="shared" si="163"/>
        <v>#VALUE!</v>
      </c>
      <c r="E1456" s="182" t="e">
        <f t="shared" si="164"/>
        <v>#VALUE!</v>
      </c>
      <c r="F1456" s="182" t="e">
        <f>SUM($D$33:D1456)</f>
        <v>#VALUE!</v>
      </c>
      <c r="G1456" s="182">
        <f t="shared" ca="1" si="165"/>
        <v>0</v>
      </c>
      <c r="H1456" s="182" t="e">
        <f t="shared" si="166"/>
        <v>#VALUE!</v>
      </c>
      <c r="I1456" s="183" t="e">
        <f t="shared" si="167"/>
        <v>#VALUE!</v>
      </c>
    </row>
    <row r="1457" spans="1:9" x14ac:dyDescent="0.25">
      <c r="A1457" s="180">
        <f t="shared" ca="1" si="168"/>
        <v>47529</v>
      </c>
      <c r="B1457" s="181">
        <v>1425</v>
      </c>
      <c r="C1457" s="182" t="e">
        <f t="shared" si="162"/>
        <v>#VALUE!</v>
      </c>
      <c r="D1457" s="182" t="e">
        <f t="shared" si="163"/>
        <v>#VALUE!</v>
      </c>
      <c r="E1457" s="182" t="e">
        <f t="shared" si="164"/>
        <v>#VALUE!</v>
      </c>
      <c r="F1457" s="182" t="e">
        <f>SUM($D$33:D1457)</f>
        <v>#VALUE!</v>
      </c>
      <c r="G1457" s="182">
        <f t="shared" ca="1" si="165"/>
        <v>0</v>
      </c>
      <c r="H1457" s="182" t="e">
        <f t="shared" si="166"/>
        <v>#VALUE!</v>
      </c>
      <c r="I1457" s="183" t="e">
        <f t="shared" si="167"/>
        <v>#VALUE!</v>
      </c>
    </row>
    <row r="1458" spans="1:9" x14ac:dyDescent="0.25">
      <c r="A1458" s="180">
        <f t="shared" ca="1" si="168"/>
        <v>47530</v>
      </c>
      <c r="B1458" s="181">
        <v>1426</v>
      </c>
      <c r="C1458" s="182" t="e">
        <f t="shared" si="162"/>
        <v>#VALUE!</v>
      </c>
      <c r="D1458" s="182" t="e">
        <f t="shared" si="163"/>
        <v>#VALUE!</v>
      </c>
      <c r="E1458" s="182" t="e">
        <f t="shared" si="164"/>
        <v>#VALUE!</v>
      </c>
      <c r="F1458" s="182" t="e">
        <f>SUM($D$33:D1458)</f>
        <v>#VALUE!</v>
      </c>
      <c r="G1458" s="182">
        <f t="shared" ca="1" si="165"/>
        <v>0</v>
      </c>
      <c r="H1458" s="182" t="e">
        <f t="shared" si="166"/>
        <v>#VALUE!</v>
      </c>
      <c r="I1458" s="183" t="e">
        <f t="shared" si="167"/>
        <v>#VALUE!</v>
      </c>
    </row>
    <row r="1459" spans="1:9" x14ac:dyDescent="0.25">
      <c r="A1459" s="180">
        <f t="shared" ca="1" si="168"/>
        <v>47531</v>
      </c>
      <c r="B1459" s="181">
        <v>1427</v>
      </c>
      <c r="C1459" s="182" t="e">
        <f t="shared" si="162"/>
        <v>#VALUE!</v>
      </c>
      <c r="D1459" s="182" t="e">
        <f t="shared" si="163"/>
        <v>#VALUE!</v>
      </c>
      <c r="E1459" s="182" t="e">
        <f t="shared" si="164"/>
        <v>#VALUE!</v>
      </c>
      <c r="F1459" s="182" t="e">
        <f>SUM($D$33:D1459)</f>
        <v>#VALUE!</v>
      </c>
      <c r="G1459" s="182">
        <f t="shared" ca="1" si="165"/>
        <v>0</v>
      </c>
      <c r="H1459" s="182" t="e">
        <f t="shared" si="166"/>
        <v>#VALUE!</v>
      </c>
      <c r="I1459" s="183" t="e">
        <f t="shared" si="167"/>
        <v>#VALUE!</v>
      </c>
    </row>
    <row r="1460" spans="1:9" x14ac:dyDescent="0.25">
      <c r="A1460" s="180">
        <f t="shared" ca="1" si="168"/>
        <v>47532</v>
      </c>
      <c r="B1460" s="181">
        <v>1428</v>
      </c>
      <c r="C1460" s="182" t="e">
        <f t="shared" si="162"/>
        <v>#VALUE!</v>
      </c>
      <c r="D1460" s="182" t="e">
        <f t="shared" si="163"/>
        <v>#VALUE!</v>
      </c>
      <c r="E1460" s="182" t="e">
        <f t="shared" si="164"/>
        <v>#VALUE!</v>
      </c>
      <c r="F1460" s="182" t="e">
        <f>SUM($D$33:D1460)</f>
        <v>#VALUE!</v>
      </c>
      <c r="G1460" s="182">
        <f t="shared" ca="1" si="165"/>
        <v>0</v>
      </c>
      <c r="H1460" s="182" t="e">
        <f t="shared" si="166"/>
        <v>#VALUE!</v>
      </c>
      <c r="I1460" s="183" t="e">
        <f t="shared" si="167"/>
        <v>#VALUE!</v>
      </c>
    </row>
    <row r="1461" spans="1:9" x14ac:dyDescent="0.25">
      <c r="A1461" s="180">
        <f t="shared" ca="1" si="168"/>
        <v>47533</v>
      </c>
      <c r="B1461" s="181">
        <v>1429</v>
      </c>
      <c r="C1461" s="182" t="e">
        <f t="shared" si="162"/>
        <v>#VALUE!</v>
      </c>
      <c r="D1461" s="182" t="e">
        <f t="shared" si="163"/>
        <v>#VALUE!</v>
      </c>
      <c r="E1461" s="182" t="e">
        <f t="shared" si="164"/>
        <v>#VALUE!</v>
      </c>
      <c r="F1461" s="182" t="e">
        <f>SUM($D$33:D1461)</f>
        <v>#VALUE!</v>
      </c>
      <c r="G1461" s="182">
        <f t="shared" ca="1" si="165"/>
        <v>0</v>
      </c>
      <c r="H1461" s="182" t="e">
        <f t="shared" si="166"/>
        <v>#VALUE!</v>
      </c>
      <c r="I1461" s="183" t="e">
        <f t="shared" si="167"/>
        <v>#VALUE!</v>
      </c>
    </row>
    <row r="1462" spans="1:9" x14ac:dyDescent="0.25">
      <c r="A1462" s="180">
        <f t="shared" ca="1" si="168"/>
        <v>47534</v>
      </c>
      <c r="B1462" s="181">
        <v>1430</v>
      </c>
      <c r="C1462" s="182" t="e">
        <f t="shared" si="162"/>
        <v>#VALUE!</v>
      </c>
      <c r="D1462" s="182" t="e">
        <f t="shared" si="163"/>
        <v>#VALUE!</v>
      </c>
      <c r="E1462" s="182" t="e">
        <f t="shared" si="164"/>
        <v>#VALUE!</v>
      </c>
      <c r="F1462" s="182" t="e">
        <f>SUM($D$33:D1462)</f>
        <v>#VALUE!</v>
      </c>
      <c r="G1462" s="182">
        <f t="shared" ca="1" si="165"/>
        <v>0</v>
      </c>
      <c r="H1462" s="182" t="e">
        <f t="shared" si="166"/>
        <v>#VALUE!</v>
      </c>
      <c r="I1462" s="183" t="e">
        <f t="shared" si="167"/>
        <v>#VALUE!</v>
      </c>
    </row>
    <row r="1463" spans="1:9" x14ac:dyDescent="0.25">
      <c r="A1463" s="180">
        <f t="shared" ca="1" si="168"/>
        <v>47535</v>
      </c>
      <c r="B1463" s="181">
        <v>1431</v>
      </c>
      <c r="C1463" s="182" t="e">
        <f t="shared" si="162"/>
        <v>#VALUE!</v>
      </c>
      <c r="D1463" s="182" t="e">
        <f t="shared" si="163"/>
        <v>#VALUE!</v>
      </c>
      <c r="E1463" s="182" t="e">
        <f t="shared" si="164"/>
        <v>#VALUE!</v>
      </c>
      <c r="F1463" s="182" t="e">
        <f>SUM($D$33:D1463)</f>
        <v>#VALUE!</v>
      </c>
      <c r="G1463" s="182">
        <f t="shared" ca="1" si="165"/>
        <v>0</v>
      </c>
      <c r="H1463" s="182" t="e">
        <f t="shared" si="166"/>
        <v>#VALUE!</v>
      </c>
      <c r="I1463" s="183" t="e">
        <f t="shared" si="167"/>
        <v>#VALUE!</v>
      </c>
    </row>
    <row r="1464" spans="1:9" x14ac:dyDescent="0.25">
      <c r="A1464" s="180">
        <f t="shared" ca="1" si="168"/>
        <v>47536</v>
      </c>
      <c r="B1464" s="181">
        <v>1432</v>
      </c>
      <c r="C1464" s="182" t="e">
        <f t="shared" si="162"/>
        <v>#VALUE!</v>
      </c>
      <c r="D1464" s="182" t="e">
        <f t="shared" si="163"/>
        <v>#VALUE!</v>
      </c>
      <c r="E1464" s="182" t="e">
        <f t="shared" si="164"/>
        <v>#VALUE!</v>
      </c>
      <c r="F1464" s="182" t="e">
        <f>SUM($D$33:D1464)</f>
        <v>#VALUE!</v>
      </c>
      <c r="G1464" s="182">
        <f t="shared" ca="1" si="165"/>
        <v>0</v>
      </c>
      <c r="H1464" s="182" t="e">
        <f t="shared" si="166"/>
        <v>#VALUE!</v>
      </c>
      <c r="I1464" s="183" t="e">
        <f t="shared" si="167"/>
        <v>#VALUE!</v>
      </c>
    </row>
    <row r="1465" spans="1:9" x14ac:dyDescent="0.25">
      <c r="A1465" s="180">
        <f t="shared" ca="1" si="168"/>
        <v>47537</v>
      </c>
      <c r="B1465" s="181">
        <v>1433</v>
      </c>
      <c r="C1465" s="182" t="e">
        <f t="shared" si="162"/>
        <v>#VALUE!</v>
      </c>
      <c r="D1465" s="182" t="e">
        <f t="shared" si="163"/>
        <v>#VALUE!</v>
      </c>
      <c r="E1465" s="182" t="e">
        <f t="shared" si="164"/>
        <v>#VALUE!</v>
      </c>
      <c r="F1465" s="182" t="e">
        <f>SUM($D$33:D1465)</f>
        <v>#VALUE!</v>
      </c>
      <c r="G1465" s="182">
        <f t="shared" ca="1" si="165"/>
        <v>0</v>
      </c>
      <c r="H1465" s="182" t="e">
        <f t="shared" si="166"/>
        <v>#VALUE!</v>
      </c>
      <c r="I1465" s="183" t="e">
        <f t="shared" si="167"/>
        <v>#VALUE!</v>
      </c>
    </row>
    <row r="1466" spans="1:9" x14ac:dyDescent="0.25">
      <c r="A1466" s="180">
        <f t="shared" ca="1" si="168"/>
        <v>47538</v>
      </c>
      <c r="B1466" s="181">
        <v>1434</v>
      </c>
      <c r="C1466" s="182" t="e">
        <f t="shared" si="162"/>
        <v>#VALUE!</v>
      </c>
      <c r="D1466" s="182" t="e">
        <f t="shared" si="163"/>
        <v>#VALUE!</v>
      </c>
      <c r="E1466" s="182" t="e">
        <f t="shared" si="164"/>
        <v>#VALUE!</v>
      </c>
      <c r="F1466" s="182" t="e">
        <f>SUM($D$33:D1466)</f>
        <v>#VALUE!</v>
      </c>
      <c r="G1466" s="182">
        <f t="shared" ca="1" si="165"/>
        <v>0</v>
      </c>
      <c r="H1466" s="182" t="e">
        <f t="shared" si="166"/>
        <v>#VALUE!</v>
      </c>
      <c r="I1466" s="183" t="e">
        <f t="shared" si="167"/>
        <v>#VALUE!</v>
      </c>
    </row>
    <row r="1467" spans="1:9" x14ac:dyDescent="0.25">
      <c r="A1467" s="180">
        <f t="shared" ca="1" si="168"/>
        <v>47539</v>
      </c>
      <c r="B1467" s="181">
        <v>1435</v>
      </c>
      <c r="C1467" s="182" t="e">
        <f t="shared" si="162"/>
        <v>#VALUE!</v>
      </c>
      <c r="D1467" s="182" t="e">
        <f t="shared" si="163"/>
        <v>#VALUE!</v>
      </c>
      <c r="E1467" s="182" t="e">
        <f t="shared" si="164"/>
        <v>#VALUE!</v>
      </c>
      <c r="F1467" s="182" t="e">
        <f>SUM($D$33:D1467)</f>
        <v>#VALUE!</v>
      </c>
      <c r="G1467" s="182">
        <f t="shared" ca="1" si="165"/>
        <v>0</v>
      </c>
      <c r="H1467" s="182" t="e">
        <f t="shared" si="166"/>
        <v>#VALUE!</v>
      </c>
      <c r="I1467" s="183" t="e">
        <f t="shared" si="167"/>
        <v>#VALUE!</v>
      </c>
    </row>
    <row r="1468" spans="1:9" x14ac:dyDescent="0.25">
      <c r="A1468" s="180">
        <f t="shared" ca="1" si="168"/>
        <v>47540</v>
      </c>
      <c r="B1468" s="181">
        <v>1436</v>
      </c>
      <c r="C1468" s="182" t="e">
        <f t="shared" si="162"/>
        <v>#VALUE!</v>
      </c>
      <c r="D1468" s="182" t="e">
        <f t="shared" si="163"/>
        <v>#VALUE!</v>
      </c>
      <c r="E1468" s="182" t="e">
        <f t="shared" si="164"/>
        <v>#VALUE!</v>
      </c>
      <c r="F1468" s="182" t="e">
        <f>SUM($D$33:D1468)</f>
        <v>#VALUE!</v>
      </c>
      <c r="G1468" s="182">
        <f t="shared" ca="1" si="165"/>
        <v>0</v>
      </c>
      <c r="H1468" s="182" t="e">
        <f t="shared" si="166"/>
        <v>#VALUE!</v>
      </c>
      <c r="I1468" s="183" t="e">
        <f t="shared" si="167"/>
        <v>#VALUE!</v>
      </c>
    </row>
    <row r="1469" spans="1:9" x14ac:dyDescent="0.25">
      <c r="A1469" s="180">
        <f t="shared" ca="1" si="168"/>
        <v>47541</v>
      </c>
      <c r="B1469" s="181">
        <v>1437</v>
      </c>
      <c r="C1469" s="182" t="e">
        <f t="shared" si="162"/>
        <v>#VALUE!</v>
      </c>
      <c r="D1469" s="182" t="e">
        <f t="shared" si="163"/>
        <v>#VALUE!</v>
      </c>
      <c r="E1469" s="182" t="e">
        <f t="shared" si="164"/>
        <v>#VALUE!</v>
      </c>
      <c r="F1469" s="182" t="e">
        <f>SUM($D$33:D1469)</f>
        <v>#VALUE!</v>
      </c>
      <c r="G1469" s="182">
        <f t="shared" ca="1" si="165"/>
        <v>0</v>
      </c>
      <c r="H1469" s="182" t="e">
        <f t="shared" si="166"/>
        <v>#VALUE!</v>
      </c>
      <c r="I1469" s="183" t="e">
        <f t="shared" si="167"/>
        <v>#VALUE!</v>
      </c>
    </row>
    <row r="1470" spans="1:9" x14ac:dyDescent="0.25">
      <c r="A1470" s="180">
        <f t="shared" ca="1" si="168"/>
        <v>47542</v>
      </c>
      <c r="B1470" s="181">
        <v>1438</v>
      </c>
      <c r="C1470" s="182" t="e">
        <f t="shared" si="162"/>
        <v>#VALUE!</v>
      </c>
      <c r="D1470" s="182" t="e">
        <f t="shared" si="163"/>
        <v>#VALUE!</v>
      </c>
      <c r="E1470" s="182" t="e">
        <f t="shared" si="164"/>
        <v>#VALUE!</v>
      </c>
      <c r="F1470" s="182" t="e">
        <f>SUM($D$33:D1470)</f>
        <v>#VALUE!</v>
      </c>
      <c r="G1470" s="182">
        <f t="shared" ca="1" si="165"/>
        <v>0</v>
      </c>
      <c r="H1470" s="182" t="e">
        <f t="shared" si="166"/>
        <v>#VALUE!</v>
      </c>
      <c r="I1470" s="183" t="e">
        <f t="shared" si="167"/>
        <v>#VALUE!</v>
      </c>
    </row>
    <row r="1471" spans="1:9" x14ac:dyDescent="0.25">
      <c r="A1471" s="180">
        <f t="shared" ca="1" si="168"/>
        <v>47543</v>
      </c>
      <c r="B1471" s="181">
        <v>1439</v>
      </c>
      <c r="C1471" s="182" t="e">
        <f t="shared" si="162"/>
        <v>#VALUE!</v>
      </c>
      <c r="D1471" s="182" t="e">
        <f t="shared" si="163"/>
        <v>#VALUE!</v>
      </c>
      <c r="E1471" s="182" t="e">
        <f t="shared" si="164"/>
        <v>#VALUE!</v>
      </c>
      <c r="F1471" s="182" t="e">
        <f>SUM($D$33:D1471)</f>
        <v>#VALUE!</v>
      </c>
      <c r="G1471" s="182">
        <f t="shared" ca="1" si="165"/>
        <v>0</v>
      </c>
      <c r="H1471" s="182" t="e">
        <f t="shared" si="166"/>
        <v>#VALUE!</v>
      </c>
      <c r="I1471" s="183" t="e">
        <f t="shared" si="167"/>
        <v>#VALUE!</v>
      </c>
    </row>
    <row r="1472" spans="1:9" x14ac:dyDescent="0.25">
      <c r="A1472" s="180">
        <f t="shared" ca="1" si="168"/>
        <v>47544</v>
      </c>
      <c r="B1472" s="181">
        <v>1440</v>
      </c>
      <c r="C1472" s="182" t="e">
        <f t="shared" si="162"/>
        <v>#VALUE!</v>
      </c>
      <c r="D1472" s="182" t="e">
        <f t="shared" si="163"/>
        <v>#VALUE!</v>
      </c>
      <c r="E1472" s="182" t="e">
        <f t="shared" si="164"/>
        <v>#VALUE!</v>
      </c>
      <c r="F1472" s="182" t="e">
        <f>SUM($D$33:D1472)</f>
        <v>#VALUE!</v>
      </c>
      <c r="G1472" s="182">
        <f t="shared" ca="1" si="165"/>
        <v>0</v>
      </c>
      <c r="H1472" s="182" t="e">
        <f t="shared" si="166"/>
        <v>#VALUE!</v>
      </c>
      <c r="I1472" s="183" t="e">
        <f t="shared" si="167"/>
        <v>#VALUE!</v>
      </c>
    </row>
    <row r="1473" spans="1:9" x14ac:dyDescent="0.25">
      <c r="A1473" s="180">
        <f t="shared" ca="1" si="168"/>
        <v>47545</v>
      </c>
      <c r="B1473" s="181">
        <v>1441</v>
      </c>
      <c r="C1473" s="182" t="e">
        <f t="shared" si="162"/>
        <v>#VALUE!</v>
      </c>
      <c r="D1473" s="182" t="e">
        <f t="shared" si="163"/>
        <v>#VALUE!</v>
      </c>
      <c r="E1473" s="182" t="e">
        <f t="shared" si="164"/>
        <v>#VALUE!</v>
      </c>
      <c r="F1473" s="182" t="e">
        <f>SUM($D$33:D1473)</f>
        <v>#VALUE!</v>
      </c>
      <c r="G1473" s="182">
        <f t="shared" ca="1" si="165"/>
        <v>0</v>
      </c>
      <c r="H1473" s="182" t="e">
        <f t="shared" si="166"/>
        <v>#VALUE!</v>
      </c>
      <c r="I1473" s="183" t="e">
        <f t="shared" si="167"/>
        <v>#VALUE!</v>
      </c>
    </row>
    <row r="1474" spans="1:9" x14ac:dyDescent="0.25">
      <c r="A1474" s="180">
        <f t="shared" ca="1" si="168"/>
        <v>47546</v>
      </c>
      <c r="B1474" s="181">
        <v>1442</v>
      </c>
      <c r="C1474" s="182" t="e">
        <f t="shared" si="162"/>
        <v>#VALUE!</v>
      </c>
      <c r="D1474" s="182" t="e">
        <f t="shared" si="163"/>
        <v>#VALUE!</v>
      </c>
      <c r="E1474" s="182" t="e">
        <f t="shared" si="164"/>
        <v>#VALUE!</v>
      </c>
      <c r="F1474" s="182" t="e">
        <f>SUM($D$33:D1474)</f>
        <v>#VALUE!</v>
      </c>
      <c r="G1474" s="182">
        <f t="shared" ca="1" si="165"/>
        <v>0</v>
      </c>
      <c r="H1474" s="182" t="e">
        <f t="shared" si="166"/>
        <v>#VALUE!</v>
      </c>
      <c r="I1474" s="183" t="e">
        <f t="shared" si="167"/>
        <v>#VALUE!</v>
      </c>
    </row>
    <row r="1475" spans="1:9" x14ac:dyDescent="0.25">
      <c r="A1475" s="180">
        <f t="shared" ca="1" si="168"/>
        <v>47547</v>
      </c>
      <c r="B1475" s="181">
        <v>1443</v>
      </c>
      <c r="C1475" s="182" t="e">
        <f t="shared" si="162"/>
        <v>#VALUE!</v>
      </c>
      <c r="D1475" s="182" t="e">
        <f t="shared" si="163"/>
        <v>#VALUE!</v>
      </c>
      <c r="E1475" s="182" t="e">
        <f t="shared" si="164"/>
        <v>#VALUE!</v>
      </c>
      <c r="F1475" s="182" t="e">
        <f>SUM($D$33:D1475)</f>
        <v>#VALUE!</v>
      </c>
      <c r="G1475" s="182">
        <f t="shared" ca="1" si="165"/>
        <v>0</v>
      </c>
      <c r="H1475" s="182" t="e">
        <f t="shared" si="166"/>
        <v>#VALUE!</v>
      </c>
      <c r="I1475" s="183" t="e">
        <f t="shared" si="167"/>
        <v>#VALUE!</v>
      </c>
    </row>
    <row r="1476" spans="1:9" x14ac:dyDescent="0.25">
      <c r="A1476" s="180">
        <f t="shared" ca="1" si="168"/>
        <v>47548</v>
      </c>
      <c r="B1476" s="181">
        <v>1444</v>
      </c>
      <c r="C1476" s="182" t="e">
        <f t="shared" si="162"/>
        <v>#VALUE!</v>
      </c>
      <c r="D1476" s="182" t="e">
        <f t="shared" si="163"/>
        <v>#VALUE!</v>
      </c>
      <c r="E1476" s="182" t="e">
        <f t="shared" si="164"/>
        <v>#VALUE!</v>
      </c>
      <c r="F1476" s="182" t="e">
        <f>SUM($D$33:D1476)</f>
        <v>#VALUE!</v>
      </c>
      <c r="G1476" s="182">
        <f t="shared" ca="1" si="165"/>
        <v>0</v>
      </c>
      <c r="H1476" s="182" t="e">
        <f t="shared" si="166"/>
        <v>#VALUE!</v>
      </c>
      <c r="I1476" s="183" t="e">
        <f t="shared" si="167"/>
        <v>#VALUE!</v>
      </c>
    </row>
    <row r="1477" spans="1:9" x14ac:dyDescent="0.25">
      <c r="A1477" s="180">
        <f t="shared" ca="1" si="168"/>
        <v>47549</v>
      </c>
      <c r="B1477" s="181">
        <v>1445</v>
      </c>
      <c r="C1477" s="182" t="e">
        <f t="shared" si="162"/>
        <v>#VALUE!</v>
      </c>
      <c r="D1477" s="182" t="e">
        <f t="shared" si="163"/>
        <v>#VALUE!</v>
      </c>
      <c r="E1477" s="182" t="e">
        <f t="shared" si="164"/>
        <v>#VALUE!</v>
      </c>
      <c r="F1477" s="182" t="e">
        <f>SUM($D$33:D1477)</f>
        <v>#VALUE!</v>
      </c>
      <c r="G1477" s="182">
        <f t="shared" ca="1" si="165"/>
        <v>0</v>
      </c>
      <c r="H1477" s="182" t="e">
        <f t="shared" si="166"/>
        <v>#VALUE!</v>
      </c>
      <c r="I1477" s="183" t="e">
        <f t="shared" si="167"/>
        <v>#VALUE!</v>
      </c>
    </row>
    <row r="1478" spans="1:9" x14ac:dyDescent="0.25">
      <c r="A1478" s="180">
        <f t="shared" ca="1" si="168"/>
        <v>47550</v>
      </c>
      <c r="B1478" s="181">
        <v>1446</v>
      </c>
      <c r="C1478" s="182" t="e">
        <f t="shared" si="162"/>
        <v>#VALUE!</v>
      </c>
      <c r="D1478" s="182" t="e">
        <f t="shared" si="163"/>
        <v>#VALUE!</v>
      </c>
      <c r="E1478" s="182" t="e">
        <f t="shared" si="164"/>
        <v>#VALUE!</v>
      </c>
      <c r="F1478" s="182" t="e">
        <f>SUM($D$33:D1478)</f>
        <v>#VALUE!</v>
      </c>
      <c r="G1478" s="182">
        <f t="shared" ca="1" si="165"/>
        <v>0</v>
      </c>
      <c r="H1478" s="182" t="e">
        <f t="shared" si="166"/>
        <v>#VALUE!</v>
      </c>
      <c r="I1478" s="183" t="e">
        <f t="shared" si="167"/>
        <v>#VALUE!</v>
      </c>
    </row>
    <row r="1479" spans="1:9" x14ac:dyDescent="0.25">
      <c r="A1479" s="180">
        <f t="shared" ca="1" si="168"/>
        <v>47551</v>
      </c>
      <c r="B1479" s="181">
        <v>1447</v>
      </c>
      <c r="C1479" s="182" t="e">
        <f t="shared" si="162"/>
        <v>#VALUE!</v>
      </c>
      <c r="D1479" s="182" t="e">
        <f t="shared" si="163"/>
        <v>#VALUE!</v>
      </c>
      <c r="E1479" s="182" t="e">
        <f t="shared" si="164"/>
        <v>#VALUE!</v>
      </c>
      <c r="F1479" s="182" t="e">
        <f>SUM($D$33:D1479)</f>
        <v>#VALUE!</v>
      </c>
      <c r="G1479" s="182">
        <f t="shared" ca="1" si="165"/>
        <v>0</v>
      </c>
      <c r="H1479" s="182" t="e">
        <f t="shared" si="166"/>
        <v>#VALUE!</v>
      </c>
      <c r="I1479" s="183" t="e">
        <f t="shared" si="167"/>
        <v>#VALUE!</v>
      </c>
    </row>
    <row r="1480" spans="1:9" x14ac:dyDescent="0.25">
      <c r="A1480" s="180">
        <f t="shared" ca="1" si="168"/>
        <v>47552</v>
      </c>
      <c r="B1480" s="181">
        <v>1448</v>
      </c>
      <c r="C1480" s="182" t="e">
        <f t="shared" si="162"/>
        <v>#VALUE!</v>
      </c>
      <c r="D1480" s="182" t="e">
        <f t="shared" si="163"/>
        <v>#VALUE!</v>
      </c>
      <c r="E1480" s="182" t="e">
        <f t="shared" si="164"/>
        <v>#VALUE!</v>
      </c>
      <c r="F1480" s="182" t="e">
        <f>SUM($D$33:D1480)</f>
        <v>#VALUE!</v>
      </c>
      <c r="G1480" s="182">
        <f t="shared" ca="1" si="165"/>
        <v>0</v>
      </c>
      <c r="H1480" s="182" t="e">
        <f t="shared" si="166"/>
        <v>#VALUE!</v>
      </c>
      <c r="I1480" s="183" t="e">
        <f t="shared" si="167"/>
        <v>#VALUE!</v>
      </c>
    </row>
    <row r="1481" spans="1:9" x14ac:dyDescent="0.25">
      <c r="A1481" s="180">
        <f t="shared" ca="1" si="168"/>
        <v>47553</v>
      </c>
      <c r="B1481" s="181">
        <v>1449</v>
      </c>
      <c r="C1481" s="182" t="e">
        <f t="shared" si="162"/>
        <v>#VALUE!</v>
      </c>
      <c r="D1481" s="182" t="e">
        <f t="shared" si="163"/>
        <v>#VALUE!</v>
      </c>
      <c r="E1481" s="182" t="e">
        <f t="shared" si="164"/>
        <v>#VALUE!</v>
      </c>
      <c r="F1481" s="182" t="e">
        <f>SUM($D$33:D1481)</f>
        <v>#VALUE!</v>
      </c>
      <c r="G1481" s="182">
        <f t="shared" ca="1" si="165"/>
        <v>0</v>
      </c>
      <c r="H1481" s="182" t="e">
        <f t="shared" si="166"/>
        <v>#VALUE!</v>
      </c>
      <c r="I1481" s="183" t="e">
        <f t="shared" si="167"/>
        <v>#VALUE!</v>
      </c>
    </row>
    <row r="1482" spans="1:9" x14ac:dyDescent="0.25">
      <c r="A1482" s="180">
        <f t="shared" ca="1" si="168"/>
        <v>47554</v>
      </c>
      <c r="B1482" s="181">
        <v>1450</v>
      </c>
      <c r="C1482" s="182" t="e">
        <f t="shared" si="162"/>
        <v>#VALUE!</v>
      </c>
      <c r="D1482" s="182" t="e">
        <f t="shared" si="163"/>
        <v>#VALUE!</v>
      </c>
      <c r="E1482" s="182" t="e">
        <f t="shared" si="164"/>
        <v>#VALUE!</v>
      </c>
      <c r="F1482" s="182" t="e">
        <f>SUM($D$33:D1482)</f>
        <v>#VALUE!</v>
      </c>
      <c r="G1482" s="182">
        <f t="shared" ca="1" si="165"/>
        <v>0</v>
      </c>
      <c r="H1482" s="182" t="e">
        <f t="shared" si="166"/>
        <v>#VALUE!</v>
      </c>
      <c r="I1482" s="183" t="e">
        <f t="shared" si="167"/>
        <v>#VALUE!</v>
      </c>
    </row>
    <row r="1483" spans="1:9" x14ac:dyDescent="0.25">
      <c r="A1483" s="180">
        <f t="shared" ca="1" si="168"/>
        <v>47555</v>
      </c>
      <c r="B1483" s="181">
        <v>1451</v>
      </c>
      <c r="C1483" s="182" t="e">
        <f t="shared" si="162"/>
        <v>#VALUE!</v>
      </c>
      <c r="D1483" s="182" t="e">
        <f t="shared" si="163"/>
        <v>#VALUE!</v>
      </c>
      <c r="E1483" s="182" t="e">
        <f t="shared" si="164"/>
        <v>#VALUE!</v>
      </c>
      <c r="F1483" s="182" t="e">
        <f>SUM($D$33:D1483)</f>
        <v>#VALUE!</v>
      </c>
      <c r="G1483" s="182">
        <f t="shared" ca="1" si="165"/>
        <v>0</v>
      </c>
      <c r="H1483" s="182" t="e">
        <f t="shared" si="166"/>
        <v>#VALUE!</v>
      </c>
      <c r="I1483" s="183" t="e">
        <f t="shared" si="167"/>
        <v>#VALUE!</v>
      </c>
    </row>
    <row r="1484" spans="1:9" x14ac:dyDescent="0.25">
      <c r="A1484" s="180">
        <f t="shared" ca="1" si="168"/>
        <v>47556</v>
      </c>
      <c r="B1484" s="181">
        <v>1452</v>
      </c>
      <c r="C1484" s="182" t="e">
        <f t="shared" si="162"/>
        <v>#VALUE!</v>
      </c>
      <c r="D1484" s="182" t="e">
        <f t="shared" si="163"/>
        <v>#VALUE!</v>
      </c>
      <c r="E1484" s="182" t="e">
        <f t="shared" si="164"/>
        <v>#VALUE!</v>
      </c>
      <c r="F1484" s="182" t="e">
        <f>SUM($D$33:D1484)</f>
        <v>#VALUE!</v>
      </c>
      <c r="G1484" s="182">
        <f t="shared" ca="1" si="165"/>
        <v>0</v>
      </c>
      <c r="H1484" s="182" t="e">
        <f t="shared" si="166"/>
        <v>#VALUE!</v>
      </c>
      <c r="I1484" s="183" t="e">
        <f t="shared" si="167"/>
        <v>#VALUE!</v>
      </c>
    </row>
    <row r="1485" spans="1:9" x14ac:dyDescent="0.25">
      <c r="A1485" s="180">
        <f t="shared" ca="1" si="168"/>
        <v>47557</v>
      </c>
      <c r="B1485" s="181">
        <v>1453</v>
      </c>
      <c r="C1485" s="182" t="e">
        <f t="shared" si="162"/>
        <v>#VALUE!</v>
      </c>
      <c r="D1485" s="182" t="e">
        <f t="shared" si="163"/>
        <v>#VALUE!</v>
      </c>
      <c r="E1485" s="182" t="e">
        <f t="shared" si="164"/>
        <v>#VALUE!</v>
      </c>
      <c r="F1485" s="182" t="e">
        <f>SUM($D$33:D1485)</f>
        <v>#VALUE!</v>
      </c>
      <c r="G1485" s="182">
        <f t="shared" ca="1" si="165"/>
        <v>0</v>
      </c>
      <c r="H1485" s="182" t="e">
        <f t="shared" si="166"/>
        <v>#VALUE!</v>
      </c>
      <c r="I1485" s="183" t="e">
        <f t="shared" si="167"/>
        <v>#VALUE!</v>
      </c>
    </row>
    <row r="1486" spans="1:9" x14ac:dyDescent="0.25">
      <c r="A1486" s="180">
        <f t="shared" ca="1" si="168"/>
        <v>47558</v>
      </c>
      <c r="B1486" s="181">
        <v>1454</v>
      </c>
      <c r="C1486" s="182" t="e">
        <f t="shared" si="162"/>
        <v>#VALUE!</v>
      </c>
      <c r="D1486" s="182" t="e">
        <f t="shared" si="163"/>
        <v>#VALUE!</v>
      </c>
      <c r="E1486" s="182" t="e">
        <f t="shared" si="164"/>
        <v>#VALUE!</v>
      </c>
      <c r="F1486" s="182" t="e">
        <f>SUM($D$33:D1486)</f>
        <v>#VALUE!</v>
      </c>
      <c r="G1486" s="182">
        <f t="shared" ca="1" si="165"/>
        <v>0</v>
      </c>
      <c r="H1486" s="182" t="e">
        <f t="shared" si="166"/>
        <v>#VALUE!</v>
      </c>
      <c r="I1486" s="183" t="e">
        <f t="shared" si="167"/>
        <v>#VALUE!</v>
      </c>
    </row>
    <row r="1487" spans="1:9" x14ac:dyDescent="0.25">
      <c r="A1487" s="180">
        <f t="shared" ca="1" si="168"/>
        <v>47559</v>
      </c>
      <c r="B1487" s="181">
        <v>1455</v>
      </c>
      <c r="C1487" s="182" t="e">
        <f t="shared" si="162"/>
        <v>#VALUE!</v>
      </c>
      <c r="D1487" s="182" t="e">
        <f t="shared" si="163"/>
        <v>#VALUE!</v>
      </c>
      <c r="E1487" s="182" t="e">
        <f t="shared" si="164"/>
        <v>#VALUE!</v>
      </c>
      <c r="F1487" s="182" t="e">
        <f>SUM($D$33:D1487)</f>
        <v>#VALUE!</v>
      </c>
      <c r="G1487" s="182">
        <f t="shared" ca="1" si="165"/>
        <v>0</v>
      </c>
      <c r="H1487" s="182" t="e">
        <f t="shared" si="166"/>
        <v>#VALUE!</v>
      </c>
      <c r="I1487" s="183" t="e">
        <f t="shared" si="167"/>
        <v>#VALUE!</v>
      </c>
    </row>
    <row r="1488" spans="1:9" x14ac:dyDescent="0.25">
      <c r="A1488" s="180">
        <f t="shared" ca="1" si="168"/>
        <v>47560</v>
      </c>
      <c r="B1488" s="181">
        <v>1456</v>
      </c>
      <c r="C1488" s="182" t="e">
        <f t="shared" ref="C1488:C1551" si="169">H1487</f>
        <v>#VALUE!</v>
      </c>
      <c r="D1488" s="182" t="e">
        <f t="shared" ref="D1488:D1551" si="170">IF(C1488&gt;$H$21,C1488*($L$16/360),$H$21*($L$16/360))</f>
        <v>#VALUE!</v>
      </c>
      <c r="E1488" s="182" t="e">
        <f t="shared" ref="E1488:E1551" si="171">IF(E1487&gt;0,E1487-D1488,0)</f>
        <v>#VALUE!</v>
      </c>
      <c r="F1488" s="182" t="e">
        <f>SUM($D$33:D1488)</f>
        <v>#VALUE!</v>
      </c>
      <c r="G1488" s="182">
        <f t="shared" ref="G1488:G1551" ca="1" si="172">IFERROR(-VLOOKUP(A1488,$K$30:$M$36,2,FALSE),0)</f>
        <v>0</v>
      </c>
      <c r="H1488" s="182" t="e">
        <f t="shared" ref="H1488:H1551" si="173">IF(E1488&gt;0,C1488+G1488,IF(E1488&lt;0,C1488+G1488+D1488-E1487,C1488+D1488+G1488))</f>
        <v>#VALUE!</v>
      </c>
      <c r="I1488" s="183" t="e">
        <f t="shared" ref="I1488:I1551" si="174">(C1488+D1488-E1488)</f>
        <v>#VALUE!</v>
      </c>
    </row>
    <row r="1489" spans="1:9" x14ac:dyDescent="0.25">
      <c r="A1489" s="180">
        <f t="shared" ca="1" si="168"/>
        <v>47561</v>
      </c>
      <c r="B1489" s="181">
        <v>1457</v>
      </c>
      <c r="C1489" s="182" t="e">
        <f t="shared" si="169"/>
        <v>#VALUE!</v>
      </c>
      <c r="D1489" s="182" t="e">
        <f t="shared" si="170"/>
        <v>#VALUE!</v>
      </c>
      <c r="E1489" s="182" t="e">
        <f t="shared" si="171"/>
        <v>#VALUE!</v>
      </c>
      <c r="F1489" s="182" t="e">
        <f>SUM($D$33:D1489)</f>
        <v>#VALUE!</v>
      </c>
      <c r="G1489" s="182">
        <f t="shared" ca="1" si="172"/>
        <v>0</v>
      </c>
      <c r="H1489" s="182" t="e">
        <f t="shared" si="173"/>
        <v>#VALUE!</v>
      </c>
      <c r="I1489" s="183" t="e">
        <f t="shared" si="174"/>
        <v>#VALUE!</v>
      </c>
    </row>
    <row r="1490" spans="1:9" x14ac:dyDescent="0.25">
      <c r="A1490" s="180">
        <f t="shared" ca="1" si="168"/>
        <v>47562</v>
      </c>
      <c r="B1490" s="181">
        <v>1458</v>
      </c>
      <c r="C1490" s="182" t="e">
        <f t="shared" si="169"/>
        <v>#VALUE!</v>
      </c>
      <c r="D1490" s="182" t="e">
        <f t="shared" si="170"/>
        <v>#VALUE!</v>
      </c>
      <c r="E1490" s="182" t="e">
        <f t="shared" si="171"/>
        <v>#VALUE!</v>
      </c>
      <c r="F1490" s="182" t="e">
        <f>SUM($D$33:D1490)</f>
        <v>#VALUE!</v>
      </c>
      <c r="G1490" s="182">
        <f t="shared" ca="1" si="172"/>
        <v>0</v>
      </c>
      <c r="H1490" s="182" t="e">
        <f t="shared" si="173"/>
        <v>#VALUE!</v>
      </c>
      <c r="I1490" s="183" t="e">
        <f t="shared" si="174"/>
        <v>#VALUE!</v>
      </c>
    </row>
    <row r="1491" spans="1:9" x14ac:dyDescent="0.25">
      <c r="A1491" s="180">
        <f t="shared" ca="1" si="168"/>
        <v>47563</v>
      </c>
      <c r="B1491" s="181">
        <v>1459</v>
      </c>
      <c r="C1491" s="182" t="e">
        <f t="shared" si="169"/>
        <v>#VALUE!</v>
      </c>
      <c r="D1491" s="182" t="e">
        <f t="shared" si="170"/>
        <v>#VALUE!</v>
      </c>
      <c r="E1491" s="182" t="e">
        <f t="shared" si="171"/>
        <v>#VALUE!</v>
      </c>
      <c r="F1491" s="182" t="e">
        <f>SUM($D$33:D1491)</f>
        <v>#VALUE!</v>
      </c>
      <c r="G1491" s="182">
        <f t="shared" ca="1" si="172"/>
        <v>0</v>
      </c>
      <c r="H1491" s="182" t="e">
        <f t="shared" si="173"/>
        <v>#VALUE!</v>
      </c>
      <c r="I1491" s="183" t="e">
        <f t="shared" si="174"/>
        <v>#VALUE!</v>
      </c>
    </row>
    <row r="1492" spans="1:9" x14ac:dyDescent="0.25">
      <c r="A1492" s="180">
        <f t="shared" ca="1" si="168"/>
        <v>47564</v>
      </c>
      <c r="B1492" s="181">
        <v>1460</v>
      </c>
      <c r="C1492" s="182" t="e">
        <f t="shared" si="169"/>
        <v>#VALUE!</v>
      </c>
      <c r="D1492" s="182" t="e">
        <f t="shared" si="170"/>
        <v>#VALUE!</v>
      </c>
      <c r="E1492" s="182" t="e">
        <f t="shared" si="171"/>
        <v>#VALUE!</v>
      </c>
      <c r="F1492" s="182" t="e">
        <f>SUM($D$33:D1492)</f>
        <v>#VALUE!</v>
      </c>
      <c r="G1492" s="182">
        <f t="shared" ca="1" si="172"/>
        <v>0</v>
      </c>
      <c r="H1492" s="182" t="e">
        <f t="shared" si="173"/>
        <v>#VALUE!</v>
      </c>
      <c r="I1492" s="183" t="e">
        <f t="shared" si="174"/>
        <v>#VALUE!</v>
      </c>
    </row>
    <row r="1493" spans="1:9" x14ac:dyDescent="0.25">
      <c r="A1493" s="180">
        <f t="shared" ca="1" si="168"/>
        <v>47565</v>
      </c>
      <c r="B1493" s="181">
        <v>1461</v>
      </c>
      <c r="C1493" s="182" t="e">
        <f t="shared" si="169"/>
        <v>#VALUE!</v>
      </c>
      <c r="D1493" s="182" t="e">
        <f t="shared" si="170"/>
        <v>#VALUE!</v>
      </c>
      <c r="E1493" s="182" t="e">
        <f t="shared" si="171"/>
        <v>#VALUE!</v>
      </c>
      <c r="F1493" s="182" t="e">
        <f>SUM($D$33:D1493)</f>
        <v>#VALUE!</v>
      </c>
      <c r="G1493" s="182">
        <f t="shared" ca="1" si="172"/>
        <v>0</v>
      </c>
      <c r="H1493" s="182" t="e">
        <f t="shared" si="173"/>
        <v>#VALUE!</v>
      </c>
      <c r="I1493" s="183" t="e">
        <f t="shared" si="174"/>
        <v>#VALUE!</v>
      </c>
    </row>
    <row r="1494" spans="1:9" x14ac:dyDescent="0.25">
      <c r="A1494" s="180">
        <f t="shared" ca="1" si="168"/>
        <v>47566</v>
      </c>
      <c r="B1494" s="181">
        <v>1462</v>
      </c>
      <c r="C1494" s="182" t="e">
        <f t="shared" si="169"/>
        <v>#VALUE!</v>
      </c>
      <c r="D1494" s="182" t="e">
        <f t="shared" si="170"/>
        <v>#VALUE!</v>
      </c>
      <c r="E1494" s="182" t="e">
        <f t="shared" si="171"/>
        <v>#VALUE!</v>
      </c>
      <c r="F1494" s="182" t="e">
        <f>SUM($D$33:D1494)</f>
        <v>#VALUE!</v>
      </c>
      <c r="G1494" s="182">
        <f t="shared" ca="1" si="172"/>
        <v>0</v>
      </c>
      <c r="H1494" s="182" t="e">
        <f t="shared" si="173"/>
        <v>#VALUE!</v>
      </c>
      <c r="I1494" s="183" t="e">
        <f t="shared" si="174"/>
        <v>#VALUE!</v>
      </c>
    </row>
    <row r="1495" spans="1:9" x14ac:dyDescent="0.25">
      <c r="A1495" s="180">
        <f t="shared" ca="1" si="168"/>
        <v>47567</v>
      </c>
      <c r="B1495" s="181">
        <v>1463</v>
      </c>
      <c r="C1495" s="182" t="e">
        <f t="shared" si="169"/>
        <v>#VALUE!</v>
      </c>
      <c r="D1495" s="182" t="e">
        <f t="shared" si="170"/>
        <v>#VALUE!</v>
      </c>
      <c r="E1495" s="182" t="e">
        <f t="shared" si="171"/>
        <v>#VALUE!</v>
      </c>
      <c r="F1495" s="182" t="e">
        <f>SUM($D$33:D1495)</f>
        <v>#VALUE!</v>
      </c>
      <c r="G1495" s="182">
        <f t="shared" ca="1" si="172"/>
        <v>0</v>
      </c>
      <c r="H1495" s="182" t="e">
        <f t="shared" si="173"/>
        <v>#VALUE!</v>
      </c>
      <c r="I1495" s="183" t="e">
        <f t="shared" si="174"/>
        <v>#VALUE!</v>
      </c>
    </row>
    <row r="1496" spans="1:9" x14ac:dyDescent="0.25">
      <c r="A1496" s="180">
        <f t="shared" ca="1" si="168"/>
        <v>47568</v>
      </c>
      <c r="B1496" s="181">
        <v>1464</v>
      </c>
      <c r="C1496" s="182" t="e">
        <f t="shared" si="169"/>
        <v>#VALUE!</v>
      </c>
      <c r="D1496" s="182" t="e">
        <f t="shared" si="170"/>
        <v>#VALUE!</v>
      </c>
      <c r="E1496" s="182" t="e">
        <f t="shared" si="171"/>
        <v>#VALUE!</v>
      </c>
      <c r="F1496" s="182" t="e">
        <f>SUM($D$33:D1496)</f>
        <v>#VALUE!</v>
      </c>
      <c r="G1496" s="182">
        <f t="shared" ca="1" si="172"/>
        <v>0</v>
      </c>
      <c r="H1496" s="182" t="e">
        <f t="shared" si="173"/>
        <v>#VALUE!</v>
      </c>
      <c r="I1496" s="183" t="e">
        <f t="shared" si="174"/>
        <v>#VALUE!</v>
      </c>
    </row>
    <row r="1497" spans="1:9" x14ac:dyDescent="0.25">
      <c r="A1497" s="180">
        <f t="shared" ca="1" si="168"/>
        <v>47569</v>
      </c>
      <c r="B1497" s="181">
        <v>1465</v>
      </c>
      <c r="C1497" s="182" t="e">
        <f t="shared" si="169"/>
        <v>#VALUE!</v>
      </c>
      <c r="D1497" s="182" t="e">
        <f t="shared" si="170"/>
        <v>#VALUE!</v>
      </c>
      <c r="E1497" s="182" t="e">
        <f t="shared" si="171"/>
        <v>#VALUE!</v>
      </c>
      <c r="F1497" s="182" t="e">
        <f>SUM($D$33:D1497)</f>
        <v>#VALUE!</v>
      </c>
      <c r="G1497" s="182">
        <f t="shared" ca="1" si="172"/>
        <v>0</v>
      </c>
      <c r="H1497" s="182" t="e">
        <f t="shared" si="173"/>
        <v>#VALUE!</v>
      </c>
      <c r="I1497" s="183" t="e">
        <f t="shared" si="174"/>
        <v>#VALUE!</v>
      </c>
    </row>
    <row r="1498" spans="1:9" x14ac:dyDescent="0.25">
      <c r="A1498" s="180">
        <f t="shared" ca="1" si="168"/>
        <v>47570</v>
      </c>
      <c r="B1498" s="181">
        <v>1466</v>
      </c>
      <c r="C1498" s="182" t="e">
        <f t="shared" si="169"/>
        <v>#VALUE!</v>
      </c>
      <c r="D1498" s="182" t="e">
        <f t="shared" si="170"/>
        <v>#VALUE!</v>
      </c>
      <c r="E1498" s="182" t="e">
        <f t="shared" si="171"/>
        <v>#VALUE!</v>
      </c>
      <c r="F1498" s="182" t="e">
        <f>SUM($D$33:D1498)</f>
        <v>#VALUE!</v>
      </c>
      <c r="G1498" s="182">
        <f t="shared" ca="1" si="172"/>
        <v>0</v>
      </c>
      <c r="H1498" s="182" t="e">
        <f t="shared" si="173"/>
        <v>#VALUE!</v>
      </c>
      <c r="I1498" s="183" t="e">
        <f t="shared" si="174"/>
        <v>#VALUE!</v>
      </c>
    </row>
    <row r="1499" spans="1:9" x14ac:dyDescent="0.25">
      <c r="A1499" s="180">
        <f t="shared" ca="1" si="168"/>
        <v>47571</v>
      </c>
      <c r="B1499" s="181">
        <v>1467</v>
      </c>
      <c r="C1499" s="182" t="e">
        <f t="shared" si="169"/>
        <v>#VALUE!</v>
      </c>
      <c r="D1499" s="182" t="e">
        <f t="shared" si="170"/>
        <v>#VALUE!</v>
      </c>
      <c r="E1499" s="182" t="e">
        <f t="shared" si="171"/>
        <v>#VALUE!</v>
      </c>
      <c r="F1499" s="182" t="e">
        <f>SUM($D$33:D1499)</f>
        <v>#VALUE!</v>
      </c>
      <c r="G1499" s="182">
        <f t="shared" ca="1" si="172"/>
        <v>0</v>
      </c>
      <c r="H1499" s="182" t="e">
        <f t="shared" si="173"/>
        <v>#VALUE!</v>
      </c>
      <c r="I1499" s="183" t="e">
        <f t="shared" si="174"/>
        <v>#VALUE!</v>
      </c>
    </row>
    <row r="1500" spans="1:9" x14ac:dyDescent="0.25">
      <c r="A1500" s="180">
        <f t="shared" ca="1" si="168"/>
        <v>47572</v>
      </c>
      <c r="B1500" s="181">
        <v>1468</v>
      </c>
      <c r="C1500" s="182" t="e">
        <f t="shared" si="169"/>
        <v>#VALUE!</v>
      </c>
      <c r="D1500" s="182" t="e">
        <f t="shared" si="170"/>
        <v>#VALUE!</v>
      </c>
      <c r="E1500" s="182" t="e">
        <f t="shared" si="171"/>
        <v>#VALUE!</v>
      </c>
      <c r="F1500" s="182" t="e">
        <f>SUM($D$33:D1500)</f>
        <v>#VALUE!</v>
      </c>
      <c r="G1500" s="182">
        <f t="shared" ca="1" si="172"/>
        <v>0</v>
      </c>
      <c r="H1500" s="182" t="e">
        <f t="shared" si="173"/>
        <v>#VALUE!</v>
      </c>
      <c r="I1500" s="183" t="e">
        <f t="shared" si="174"/>
        <v>#VALUE!</v>
      </c>
    </row>
    <row r="1501" spans="1:9" x14ac:dyDescent="0.25">
      <c r="A1501" s="180">
        <f t="shared" ca="1" si="168"/>
        <v>47573</v>
      </c>
      <c r="B1501" s="181">
        <v>1469</v>
      </c>
      <c r="C1501" s="182" t="e">
        <f t="shared" si="169"/>
        <v>#VALUE!</v>
      </c>
      <c r="D1501" s="182" t="e">
        <f t="shared" si="170"/>
        <v>#VALUE!</v>
      </c>
      <c r="E1501" s="182" t="e">
        <f t="shared" si="171"/>
        <v>#VALUE!</v>
      </c>
      <c r="F1501" s="182" t="e">
        <f>SUM($D$33:D1501)</f>
        <v>#VALUE!</v>
      </c>
      <c r="G1501" s="182">
        <f t="shared" ca="1" si="172"/>
        <v>0</v>
      </c>
      <c r="H1501" s="182" t="e">
        <f t="shared" si="173"/>
        <v>#VALUE!</v>
      </c>
      <c r="I1501" s="183" t="e">
        <f t="shared" si="174"/>
        <v>#VALUE!</v>
      </c>
    </row>
    <row r="1502" spans="1:9" x14ac:dyDescent="0.25">
      <c r="A1502" s="180">
        <f t="shared" ca="1" si="168"/>
        <v>47574</v>
      </c>
      <c r="B1502" s="181">
        <v>1470</v>
      </c>
      <c r="C1502" s="182" t="e">
        <f t="shared" si="169"/>
        <v>#VALUE!</v>
      </c>
      <c r="D1502" s="182" t="e">
        <f t="shared" si="170"/>
        <v>#VALUE!</v>
      </c>
      <c r="E1502" s="182" t="e">
        <f t="shared" si="171"/>
        <v>#VALUE!</v>
      </c>
      <c r="F1502" s="182" t="e">
        <f>SUM($D$33:D1502)</f>
        <v>#VALUE!</v>
      </c>
      <c r="G1502" s="182">
        <f t="shared" ca="1" si="172"/>
        <v>0</v>
      </c>
      <c r="H1502" s="182" t="e">
        <f t="shared" si="173"/>
        <v>#VALUE!</v>
      </c>
      <c r="I1502" s="183" t="e">
        <f t="shared" si="174"/>
        <v>#VALUE!</v>
      </c>
    </row>
    <row r="1503" spans="1:9" x14ac:dyDescent="0.25">
      <c r="A1503" s="180">
        <f t="shared" ca="1" si="168"/>
        <v>47575</v>
      </c>
      <c r="B1503" s="181">
        <v>1471</v>
      </c>
      <c r="C1503" s="182" t="e">
        <f t="shared" si="169"/>
        <v>#VALUE!</v>
      </c>
      <c r="D1503" s="182" t="e">
        <f t="shared" si="170"/>
        <v>#VALUE!</v>
      </c>
      <c r="E1503" s="182" t="e">
        <f t="shared" si="171"/>
        <v>#VALUE!</v>
      </c>
      <c r="F1503" s="182" t="e">
        <f>SUM($D$33:D1503)</f>
        <v>#VALUE!</v>
      </c>
      <c r="G1503" s="182">
        <f t="shared" ca="1" si="172"/>
        <v>0</v>
      </c>
      <c r="H1503" s="182" t="e">
        <f t="shared" si="173"/>
        <v>#VALUE!</v>
      </c>
      <c r="I1503" s="183" t="e">
        <f t="shared" si="174"/>
        <v>#VALUE!</v>
      </c>
    </row>
    <row r="1504" spans="1:9" x14ac:dyDescent="0.25">
      <c r="A1504" s="180">
        <f t="shared" ca="1" si="168"/>
        <v>47576</v>
      </c>
      <c r="B1504" s="181">
        <v>1472</v>
      </c>
      <c r="C1504" s="182" t="e">
        <f t="shared" si="169"/>
        <v>#VALUE!</v>
      </c>
      <c r="D1504" s="182" t="e">
        <f t="shared" si="170"/>
        <v>#VALUE!</v>
      </c>
      <c r="E1504" s="182" t="e">
        <f t="shared" si="171"/>
        <v>#VALUE!</v>
      </c>
      <c r="F1504" s="182" t="e">
        <f>SUM($D$33:D1504)</f>
        <v>#VALUE!</v>
      </c>
      <c r="G1504" s="182">
        <f t="shared" ca="1" si="172"/>
        <v>0</v>
      </c>
      <c r="H1504" s="182" t="e">
        <f t="shared" si="173"/>
        <v>#VALUE!</v>
      </c>
      <c r="I1504" s="183" t="e">
        <f t="shared" si="174"/>
        <v>#VALUE!</v>
      </c>
    </row>
    <row r="1505" spans="1:9" x14ac:dyDescent="0.25">
      <c r="A1505" s="180">
        <f t="shared" ca="1" si="168"/>
        <v>47577</v>
      </c>
      <c r="B1505" s="181">
        <v>1473</v>
      </c>
      <c r="C1505" s="182" t="e">
        <f t="shared" si="169"/>
        <v>#VALUE!</v>
      </c>
      <c r="D1505" s="182" t="e">
        <f t="shared" si="170"/>
        <v>#VALUE!</v>
      </c>
      <c r="E1505" s="182" t="e">
        <f t="shared" si="171"/>
        <v>#VALUE!</v>
      </c>
      <c r="F1505" s="182" t="e">
        <f>SUM($D$33:D1505)</f>
        <v>#VALUE!</v>
      </c>
      <c r="G1505" s="182">
        <f t="shared" ca="1" si="172"/>
        <v>0</v>
      </c>
      <c r="H1505" s="182" t="e">
        <f t="shared" si="173"/>
        <v>#VALUE!</v>
      </c>
      <c r="I1505" s="183" t="e">
        <f t="shared" si="174"/>
        <v>#VALUE!</v>
      </c>
    </row>
    <row r="1506" spans="1:9" x14ac:dyDescent="0.25">
      <c r="A1506" s="180">
        <f t="shared" ref="A1506:A1569" ca="1" si="175">A1505+1</f>
        <v>47578</v>
      </c>
      <c r="B1506" s="181">
        <v>1474</v>
      </c>
      <c r="C1506" s="182" t="e">
        <f t="shared" si="169"/>
        <v>#VALUE!</v>
      </c>
      <c r="D1506" s="182" t="e">
        <f t="shared" si="170"/>
        <v>#VALUE!</v>
      </c>
      <c r="E1506" s="182" t="e">
        <f t="shared" si="171"/>
        <v>#VALUE!</v>
      </c>
      <c r="F1506" s="182" t="e">
        <f>SUM($D$33:D1506)</f>
        <v>#VALUE!</v>
      </c>
      <c r="G1506" s="182">
        <f t="shared" ca="1" si="172"/>
        <v>0</v>
      </c>
      <c r="H1506" s="182" t="e">
        <f t="shared" si="173"/>
        <v>#VALUE!</v>
      </c>
      <c r="I1506" s="183" t="e">
        <f t="shared" si="174"/>
        <v>#VALUE!</v>
      </c>
    </row>
    <row r="1507" spans="1:9" x14ac:dyDescent="0.25">
      <c r="A1507" s="180">
        <f t="shared" ca="1" si="175"/>
        <v>47579</v>
      </c>
      <c r="B1507" s="181">
        <v>1475</v>
      </c>
      <c r="C1507" s="182" t="e">
        <f t="shared" si="169"/>
        <v>#VALUE!</v>
      </c>
      <c r="D1507" s="182" t="e">
        <f t="shared" si="170"/>
        <v>#VALUE!</v>
      </c>
      <c r="E1507" s="182" t="e">
        <f t="shared" si="171"/>
        <v>#VALUE!</v>
      </c>
      <c r="F1507" s="182" t="e">
        <f>SUM($D$33:D1507)</f>
        <v>#VALUE!</v>
      </c>
      <c r="G1507" s="182">
        <f t="shared" ca="1" si="172"/>
        <v>0</v>
      </c>
      <c r="H1507" s="182" t="e">
        <f t="shared" si="173"/>
        <v>#VALUE!</v>
      </c>
      <c r="I1507" s="183" t="e">
        <f t="shared" si="174"/>
        <v>#VALUE!</v>
      </c>
    </row>
    <row r="1508" spans="1:9" x14ac:dyDescent="0.25">
      <c r="A1508" s="180">
        <f t="shared" ca="1" si="175"/>
        <v>47580</v>
      </c>
      <c r="B1508" s="181">
        <v>1476</v>
      </c>
      <c r="C1508" s="182" t="e">
        <f t="shared" si="169"/>
        <v>#VALUE!</v>
      </c>
      <c r="D1508" s="182" t="e">
        <f t="shared" si="170"/>
        <v>#VALUE!</v>
      </c>
      <c r="E1508" s="182" t="e">
        <f t="shared" si="171"/>
        <v>#VALUE!</v>
      </c>
      <c r="F1508" s="182" t="e">
        <f>SUM($D$33:D1508)</f>
        <v>#VALUE!</v>
      </c>
      <c r="G1508" s="182">
        <f t="shared" ca="1" si="172"/>
        <v>0</v>
      </c>
      <c r="H1508" s="182" t="e">
        <f t="shared" si="173"/>
        <v>#VALUE!</v>
      </c>
      <c r="I1508" s="183" t="e">
        <f t="shared" si="174"/>
        <v>#VALUE!</v>
      </c>
    </row>
    <row r="1509" spans="1:9" x14ac:dyDescent="0.25">
      <c r="A1509" s="180">
        <f t="shared" ca="1" si="175"/>
        <v>47581</v>
      </c>
      <c r="B1509" s="181">
        <v>1477</v>
      </c>
      <c r="C1509" s="182" t="e">
        <f t="shared" si="169"/>
        <v>#VALUE!</v>
      </c>
      <c r="D1509" s="182" t="e">
        <f t="shared" si="170"/>
        <v>#VALUE!</v>
      </c>
      <c r="E1509" s="182" t="e">
        <f t="shared" si="171"/>
        <v>#VALUE!</v>
      </c>
      <c r="F1509" s="182" t="e">
        <f>SUM($D$33:D1509)</f>
        <v>#VALUE!</v>
      </c>
      <c r="G1509" s="182">
        <f t="shared" ca="1" si="172"/>
        <v>0</v>
      </c>
      <c r="H1509" s="182" t="e">
        <f t="shared" si="173"/>
        <v>#VALUE!</v>
      </c>
      <c r="I1509" s="183" t="e">
        <f t="shared" si="174"/>
        <v>#VALUE!</v>
      </c>
    </row>
    <row r="1510" spans="1:9" x14ac:dyDescent="0.25">
      <c r="A1510" s="180">
        <f t="shared" ca="1" si="175"/>
        <v>47582</v>
      </c>
      <c r="B1510" s="181">
        <v>1478</v>
      </c>
      <c r="C1510" s="182" t="e">
        <f t="shared" si="169"/>
        <v>#VALUE!</v>
      </c>
      <c r="D1510" s="182" t="e">
        <f t="shared" si="170"/>
        <v>#VALUE!</v>
      </c>
      <c r="E1510" s="182" t="e">
        <f t="shared" si="171"/>
        <v>#VALUE!</v>
      </c>
      <c r="F1510" s="182" t="e">
        <f>SUM($D$33:D1510)</f>
        <v>#VALUE!</v>
      </c>
      <c r="G1510" s="182">
        <f t="shared" ca="1" si="172"/>
        <v>0</v>
      </c>
      <c r="H1510" s="182" t="e">
        <f t="shared" si="173"/>
        <v>#VALUE!</v>
      </c>
      <c r="I1510" s="183" t="e">
        <f t="shared" si="174"/>
        <v>#VALUE!</v>
      </c>
    </row>
    <row r="1511" spans="1:9" x14ac:dyDescent="0.25">
      <c r="A1511" s="180">
        <f t="shared" ca="1" si="175"/>
        <v>47583</v>
      </c>
      <c r="B1511" s="181">
        <v>1479</v>
      </c>
      <c r="C1511" s="182" t="e">
        <f t="shared" si="169"/>
        <v>#VALUE!</v>
      </c>
      <c r="D1511" s="182" t="e">
        <f t="shared" si="170"/>
        <v>#VALUE!</v>
      </c>
      <c r="E1511" s="182" t="e">
        <f t="shared" si="171"/>
        <v>#VALUE!</v>
      </c>
      <c r="F1511" s="182" t="e">
        <f>SUM($D$33:D1511)</f>
        <v>#VALUE!</v>
      </c>
      <c r="G1511" s="182">
        <f t="shared" ca="1" si="172"/>
        <v>0</v>
      </c>
      <c r="H1511" s="182" t="e">
        <f t="shared" si="173"/>
        <v>#VALUE!</v>
      </c>
      <c r="I1511" s="183" t="e">
        <f t="shared" si="174"/>
        <v>#VALUE!</v>
      </c>
    </row>
    <row r="1512" spans="1:9" x14ac:dyDescent="0.25">
      <c r="A1512" s="180">
        <f t="shared" ca="1" si="175"/>
        <v>47584</v>
      </c>
      <c r="B1512" s="181">
        <v>1480</v>
      </c>
      <c r="C1512" s="182" t="e">
        <f t="shared" si="169"/>
        <v>#VALUE!</v>
      </c>
      <c r="D1512" s="182" t="e">
        <f t="shared" si="170"/>
        <v>#VALUE!</v>
      </c>
      <c r="E1512" s="182" t="e">
        <f t="shared" si="171"/>
        <v>#VALUE!</v>
      </c>
      <c r="F1512" s="182" t="e">
        <f>SUM($D$33:D1512)</f>
        <v>#VALUE!</v>
      </c>
      <c r="G1512" s="182">
        <f t="shared" ca="1" si="172"/>
        <v>0</v>
      </c>
      <c r="H1512" s="182" t="e">
        <f t="shared" si="173"/>
        <v>#VALUE!</v>
      </c>
      <c r="I1512" s="183" t="e">
        <f t="shared" si="174"/>
        <v>#VALUE!</v>
      </c>
    </row>
    <row r="1513" spans="1:9" x14ac:dyDescent="0.25">
      <c r="A1513" s="180">
        <f t="shared" ca="1" si="175"/>
        <v>47585</v>
      </c>
      <c r="B1513" s="181">
        <v>1481</v>
      </c>
      <c r="C1513" s="182" t="e">
        <f t="shared" si="169"/>
        <v>#VALUE!</v>
      </c>
      <c r="D1513" s="182" t="e">
        <f t="shared" si="170"/>
        <v>#VALUE!</v>
      </c>
      <c r="E1513" s="182" t="e">
        <f t="shared" si="171"/>
        <v>#VALUE!</v>
      </c>
      <c r="F1513" s="182" t="e">
        <f>SUM($D$33:D1513)</f>
        <v>#VALUE!</v>
      </c>
      <c r="G1513" s="182">
        <f t="shared" ca="1" si="172"/>
        <v>0</v>
      </c>
      <c r="H1513" s="182" t="e">
        <f t="shared" si="173"/>
        <v>#VALUE!</v>
      </c>
      <c r="I1513" s="183" t="e">
        <f t="shared" si="174"/>
        <v>#VALUE!</v>
      </c>
    </row>
    <row r="1514" spans="1:9" x14ac:dyDescent="0.25">
      <c r="A1514" s="180">
        <f t="shared" ca="1" si="175"/>
        <v>47586</v>
      </c>
      <c r="B1514" s="181">
        <v>1482</v>
      </c>
      <c r="C1514" s="182" t="e">
        <f t="shared" si="169"/>
        <v>#VALUE!</v>
      </c>
      <c r="D1514" s="182" t="e">
        <f t="shared" si="170"/>
        <v>#VALUE!</v>
      </c>
      <c r="E1514" s="182" t="e">
        <f t="shared" si="171"/>
        <v>#VALUE!</v>
      </c>
      <c r="F1514" s="182" t="e">
        <f>SUM($D$33:D1514)</f>
        <v>#VALUE!</v>
      </c>
      <c r="G1514" s="182">
        <f t="shared" ca="1" si="172"/>
        <v>0</v>
      </c>
      <c r="H1514" s="182" t="e">
        <f t="shared" si="173"/>
        <v>#VALUE!</v>
      </c>
      <c r="I1514" s="183" t="e">
        <f t="shared" si="174"/>
        <v>#VALUE!</v>
      </c>
    </row>
    <row r="1515" spans="1:9" x14ac:dyDescent="0.25">
      <c r="A1515" s="180">
        <f t="shared" ca="1" si="175"/>
        <v>47587</v>
      </c>
      <c r="B1515" s="181">
        <v>1483</v>
      </c>
      <c r="C1515" s="182" t="e">
        <f t="shared" si="169"/>
        <v>#VALUE!</v>
      </c>
      <c r="D1515" s="182" t="e">
        <f t="shared" si="170"/>
        <v>#VALUE!</v>
      </c>
      <c r="E1515" s="182" t="e">
        <f t="shared" si="171"/>
        <v>#VALUE!</v>
      </c>
      <c r="F1515" s="182" t="e">
        <f>SUM($D$33:D1515)</f>
        <v>#VALUE!</v>
      </c>
      <c r="G1515" s="182">
        <f t="shared" ca="1" si="172"/>
        <v>0</v>
      </c>
      <c r="H1515" s="182" t="e">
        <f t="shared" si="173"/>
        <v>#VALUE!</v>
      </c>
      <c r="I1515" s="183" t="e">
        <f t="shared" si="174"/>
        <v>#VALUE!</v>
      </c>
    </row>
    <row r="1516" spans="1:9" x14ac:dyDescent="0.25">
      <c r="A1516" s="180">
        <f t="shared" ca="1" si="175"/>
        <v>47588</v>
      </c>
      <c r="B1516" s="181">
        <v>1484</v>
      </c>
      <c r="C1516" s="182" t="e">
        <f t="shared" si="169"/>
        <v>#VALUE!</v>
      </c>
      <c r="D1516" s="182" t="e">
        <f t="shared" si="170"/>
        <v>#VALUE!</v>
      </c>
      <c r="E1516" s="182" t="e">
        <f t="shared" si="171"/>
        <v>#VALUE!</v>
      </c>
      <c r="F1516" s="182" t="e">
        <f>SUM($D$33:D1516)</f>
        <v>#VALUE!</v>
      </c>
      <c r="G1516" s="182">
        <f t="shared" ca="1" si="172"/>
        <v>0</v>
      </c>
      <c r="H1516" s="182" t="e">
        <f t="shared" si="173"/>
        <v>#VALUE!</v>
      </c>
      <c r="I1516" s="183" t="e">
        <f t="shared" si="174"/>
        <v>#VALUE!</v>
      </c>
    </row>
    <row r="1517" spans="1:9" x14ac:dyDescent="0.25">
      <c r="A1517" s="180">
        <f t="shared" ca="1" si="175"/>
        <v>47589</v>
      </c>
      <c r="B1517" s="181">
        <v>1485</v>
      </c>
      <c r="C1517" s="182" t="e">
        <f t="shared" si="169"/>
        <v>#VALUE!</v>
      </c>
      <c r="D1517" s="182" t="e">
        <f t="shared" si="170"/>
        <v>#VALUE!</v>
      </c>
      <c r="E1517" s="182" t="e">
        <f t="shared" si="171"/>
        <v>#VALUE!</v>
      </c>
      <c r="F1517" s="182" t="e">
        <f>SUM($D$33:D1517)</f>
        <v>#VALUE!</v>
      </c>
      <c r="G1517" s="182">
        <f t="shared" ca="1" si="172"/>
        <v>0</v>
      </c>
      <c r="H1517" s="182" t="e">
        <f t="shared" si="173"/>
        <v>#VALUE!</v>
      </c>
      <c r="I1517" s="183" t="e">
        <f t="shared" si="174"/>
        <v>#VALUE!</v>
      </c>
    </row>
    <row r="1518" spans="1:9" x14ac:dyDescent="0.25">
      <c r="A1518" s="180">
        <f t="shared" ca="1" si="175"/>
        <v>47590</v>
      </c>
      <c r="B1518" s="181">
        <v>1486</v>
      </c>
      <c r="C1518" s="182" t="e">
        <f t="shared" si="169"/>
        <v>#VALUE!</v>
      </c>
      <c r="D1518" s="182" t="e">
        <f t="shared" si="170"/>
        <v>#VALUE!</v>
      </c>
      <c r="E1518" s="182" t="e">
        <f t="shared" si="171"/>
        <v>#VALUE!</v>
      </c>
      <c r="F1518" s="182" t="e">
        <f>SUM($D$33:D1518)</f>
        <v>#VALUE!</v>
      </c>
      <c r="G1518" s="182">
        <f t="shared" ca="1" si="172"/>
        <v>0</v>
      </c>
      <c r="H1518" s="182" t="e">
        <f t="shared" si="173"/>
        <v>#VALUE!</v>
      </c>
      <c r="I1518" s="183" t="e">
        <f t="shared" si="174"/>
        <v>#VALUE!</v>
      </c>
    </row>
    <row r="1519" spans="1:9" x14ac:dyDescent="0.25">
      <c r="A1519" s="180">
        <f t="shared" ca="1" si="175"/>
        <v>47591</v>
      </c>
      <c r="B1519" s="181">
        <v>1487</v>
      </c>
      <c r="C1519" s="182" t="e">
        <f t="shared" si="169"/>
        <v>#VALUE!</v>
      </c>
      <c r="D1519" s="182" t="e">
        <f t="shared" si="170"/>
        <v>#VALUE!</v>
      </c>
      <c r="E1519" s="182" t="e">
        <f t="shared" si="171"/>
        <v>#VALUE!</v>
      </c>
      <c r="F1519" s="182" t="e">
        <f>SUM($D$33:D1519)</f>
        <v>#VALUE!</v>
      </c>
      <c r="G1519" s="182">
        <f t="shared" ca="1" si="172"/>
        <v>0</v>
      </c>
      <c r="H1519" s="182" t="e">
        <f t="shared" si="173"/>
        <v>#VALUE!</v>
      </c>
      <c r="I1519" s="183" t="e">
        <f t="shared" si="174"/>
        <v>#VALUE!</v>
      </c>
    </row>
    <row r="1520" spans="1:9" x14ac:dyDescent="0.25">
      <c r="A1520" s="180">
        <f t="shared" ca="1" si="175"/>
        <v>47592</v>
      </c>
      <c r="B1520" s="181">
        <v>1488</v>
      </c>
      <c r="C1520" s="182" t="e">
        <f t="shared" si="169"/>
        <v>#VALUE!</v>
      </c>
      <c r="D1520" s="182" t="e">
        <f t="shared" si="170"/>
        <v>#VALUE!</v>
      </c>
      <c r="E1520" s="182" t="e">
        <f t="shared" si="171"/>
        <v>#VALUE!</v>
      </c>
      <c r="F1520" s="182" t="e">
        <f>SUM($D$33:D1520)</f>
        <v>#VALUE!</v>
      </c>
      <c r="G1520" s="182">
        <f t="shared" ca="1" si="172"/>
        <v>0</v>
      </c>
      <c r="H1520" s="182" t="e">
        <f t="shared" si="173"/>
        <v>#VALUE!</v>
      </c>
      <c r="I1520" s="183" t="e">
        <f t="shared" si="174"/>
        <v>#VALUE!</v>
      </c>
    </row>
    <row r="1521" spans="1:9" x14ac:dyDescent="0.25">
      <c r="A1521" s="180">
        <f t="shared" ca="1" si="175"/>
        <v>47593</v>
      </c>
      <c r="B1521" s="181">
        <v>1489</v>
      </c>
      <c r="C1521" s="182" t="e">
        <f t="shared" si="169"/>
        <v>#VALUE!</v>
      </c>
      <c r="D1521" s="182" t="e">
        <f t="shared" si="170"/>
        <v>#VALUE!</v>
      </c>
      <c r="E1521" s="182" t="e">
        <f t="shared" si="171"/>
        <v>#VALUE!</v>
      </c>
      <c r="F1521" s="182" t="e">
        <f>SUM($D$33:D1521)</f>
        <v>#VALUE!</v>
      </c>
      <c r="G1521" s="182">
        <f t="shared" ca="1" si="172"/>
        <v>0</v>
      </c>
      <c r="H1521" s="182" t="e">
        <f t="shared" si="173"/>
        <v>#VALUE!</v>
      </c>
      <c r="I1521" s="183" t="e">
        <f t="shared" si="174"/>
        <v>#VALUE!</v>
      </c>
    </row>
    <row r="1522" spans="1:9" x14ac:dyDescent="0.25">
      <c r="A1522" s="180">
        <f t="shared" ca="1" si="175"/>
        <v>47594</v>
      </c>
      <c r="B1522" s="181">
        <v>1490</v>
      </c>
      <c r="C1522" s="182" t="e">
        <f t="shared" si="169"/>
        <v>#VALUE!</v>
      </c>
      <c r="D1522" s="182" t="e">
        <f t="shared" si="170"/>
        <v>#VALUE!</v>
      </c>
      <c r="E1522" s="182" t="e">
        <f t="shared" si="171"/>
        <v>#VALUE!</v>
      </c>
      <c r="F1522" s="182" t="e">
        <f>SUM($D$33:D1522)</f>
        <v>#VALUE!</v>
      </c>
      <c r="G1522" s="182">
        <f t="shared" ca="1" si="172"/>
        <v>0</v>
      </c>
      <c r="H1522" s="182" t="e">
        <f t="shared" si="173"/>
        <v>#VALUE!</v>
      </c>
      <c r="I1522" s="183" t="e">
        <f t="shared" si="174"/>
        <v>#VALUE!</v>
      </c>
    </row>
    <row r="1523" spans="1:9" x14ac:dyDescent="0.25">
      <c r="A1523" s="180">
        <f t="shared" ca="1" si="175"/>
        <v>47595</v>
      </c>
      <c r="B1523" s="181">
        <v>1491</v>
      </c>
      <c r="C1523" s="182" t="e">
        <f t="shared" si="169"/>
        <v>#VALUE!</v>
      </c>
      <c r="D1523" s="182" t="e">
        <f t="shared" si="170"/>
        <v>#VALUE!</v>
      </c>
      <c r="E1523" s="182" t="e">
        <f t="shared" si="171"/>
        <v>#VALUE!</v>
      </c>
      <c r="F1523" s="182" t="e">
        <f>SUM($D$33:D1523)</f>
        <v>#VALUE!</v>
      </c>
      <c r="G1523" s="182">
        <f t="shared" ca="1" si="172"/>
        <v>0</v>
      </c>
      <c r="H1523" s="182" t="e">
        <f t="shared" si="173"/>
        <v>#VALUE!</v>
      </c>
      <c r="I1523" s="183" t="e">
        <f t="shared" si="174"/>
        <v>#VALUE!</v>
      </c>
    </row>
    <row r="1524" spans="1:9" x14ac:dyDescent="0.25">
      <c r="A1524" s="180">
        <f t="shared" ca="1" si="175"/>
        <v>47596</v>
      </c>
      <c r="B1524" s="181">
        <v>1492</v>
      </c>
      <c r="C1524" s="182" t="e">
        <f t="shared" si="169"/>
        <v>#VALUE!</v>
      </c>
      <c r="D1524" s="182" t="e">
        <f t="shared" si="170"/>
        <v>#VALUE!</v>
      </c>
      <c r="E1524" s="182" t="e">
        <f t="shared" si="171"/>
        <v>#VALUE!</v>
      </c>
      <c r="F1524" s="182" t="e">
        <f>SUM($D$33:D1524)</f>
        <v>#VALUE!</v>
      </c>
      <c r="G1524" s="182">
        <f t="shared" ca="1" si="172"/>
        <v>0</v>
      </c>
      <c r="H1524" s="182" t="e">
        <f t="shared" si="173"/>
        <v>#VALUE!</v>
      </c>
      <c r="I1524" s="183" t="e">
        <f t="shared" si="174"/>
        <v>#VALUE!</v>
      </c>
    </row>
    <row r="1525" spans="1:9" x14ac:dyDescent="0.25">
      <c r="A1525" s="180">
        <f t="shared" ca="1" si="175"/>
        <v>47597</v>
      </c>
      <c r="B1525" s="181">
        <v>1493</v>
      </c>
      <c r="C1525" s="182" t="e">
        <f t="shared" si="169"/>
        <v>#VALUE!</v>
      </c>
      <c r="D1525" s="182" t="e">
        <f t="shared" si="170"/>
        <v>#VALUE!</v>
      </c>
      <c r="E1525" s="182" t="e">
        <f t="shared" si="171"/>
        <v>#VALUE!</v>
      </c>
      <c r="F1525" s="182" t="e">
        <f>SUM($D$33:D1525)</f>
        <v>#VALUE!</v>
      </c>
      <c r="G1525" s="182">
        <f t="shared" ca="1" si="172"/>
        <v>0</v>
      </c>
      <c r="H1525" s="182" t="e">
        <f t="shared" si="173"/>
        <v>#VALUE!</v>
      </c>
      <c r="I1525" s="183" t="e">
        <f t="shared" si="174"/>
        <v>#VALUE!</v>
      </c>
    </row>
    <row r="1526" spans="1:9" x14ac:dyDescent="0.25">
      <c r="A1526" s="180">
        <f t="shared" ca="1" si="175"/>
        <v>47598</v>
      </c>
      <c r="B1526" s="181">
        <v>1494</v>
      </c>
      <c r="C1526" s="182" t="e">
        <f t="shared" si="169"/>
        <v>#VALUE!</v>
      </c>
      <c r="D1526" s="182" t="e">
        <f t="shared" si="170"/>
        <v>#VALUE!</v>
      </c>
      <c r="E1526" s="182" t="e">
        <f t="shared" si="171"/>
        <v>#VALUE!</v>
      </c>
      <c r="F1526" s="182" t="e">
        <f>SUM($D$33:D1526)</f>
        <v>#VALUE!</v>
      </c>
      <c r="G1526" s="182">
        <f t="shared" ca="1" si="172"/>
        <v>0</v>
      </c>
      <c r="H1526" s="182" t="e">
        <f t="shared" si="173"/>
        <v>#VALUE!</v>
      </c>
      <c r="I1526" s="183" t="e">
        <f t="shared" si="174"/>
        <v>#VALUE!</v>
      </c>
    </row>
    <row r="1527" spans="1:9" x14ac:dyDescent="0.25">
      <c r="A1527" s="180">
        <f t="shared" ca="1" si="175"/>
        <v>47599</v>
      </c>
      <c r="B1527" s="181">
        <v>1495</v>
      </c>
      <c r="C1527" s="182" t="e">
        <f t="shared" si="169"/>
        <v>#VALUE!</v>
      </c>
      <c r="D1527" s="182" t="e">
        <f t="shared" si="170"/>
        <v>#VALUE!</v>
      </c>
      <c r="E1527" s="182" t="e">
        <f t="shared" si="171"/>
        <v>#VALUE!</v>
      </c>
      <c r="F1527" s="182" t="e">
        <f>SUM($D$33:D1527)</f>
        <v>#VALUE!</v>
      </c>
      <c r="G1527" s="182">
        <f t="shared" ca="1" si="172"/>
        <v>0</v>
      </c>
      <c r="H1527" s="182" t="e">
        <f t="shared" si="173"/>
        <v>#VALUE!</v>
      </c>
      <c r="I1527" s="183" t="e">
        <f t="shared" si="174"/>
        <v>#VALUE!</v>
      </c>
    </row>
    <row r="1528" spans="1:9" x14ac:dyDescent="0.25">
      <c r="A1528" s="180">
        <f t="shared" ca="1" si="175"/>
        <v>47600</v>
      </c>
      <c r="B1528" s="181">
        <v>1496</v>
      </c>
      <c r="C1528" s="182" t="e">
        <f t="shared" si="169"/>
        <v>#VALUE!</v>
      </c>
      <c r="D1528" s="182" t="e">
        <f t="shared" si="170"/>
        <v>#VALUE!</v>
      </c>
      <c r="E1528" s="182" t="e">
        <f t="shared" si="171"/>
        <v>#VALUE!</v>
      </c>
      <c r="F1528" s="182" t="e">
        <f>SUM($D$33:D1528)</f>
        <v>#VALUE!</v>
      </c>
      <c r="G1528" s="182">
        <f t="shared" ca="1" si="172"/>
        <v>0</v>
      </c>
      <c r="H1528" s="182" t="e">
        <f t="shared" si="173"/>
        <v>#VALUE!</v>
      </c>
      <c r="I1528" s="183" t="e">
        <f t="shared" si="174"/>
        <v>#VALUE!</v>
      </c>
    </row>
    <row r="1529" spans="1:9" x14ac:dyDescent="0.25">
      <c r="A1529" s="180">
        <f t="shared" ca="1" si="175"/>
        <v>47601</v>
      </c>
      <c r="B1529" s="181">
        <v>1497</v>
      </c>
      <c r="C1529" s="182" t="e">
        <f t="shared" si="169"/>
        <v>#VALUE!</v>
      </c>
      <c r="D1529" s="182" t="e">
        <f t="shared" si="170"/>
        <v>#VALUE!</v>
      </c>
      <c r="E1529" s="182" t="e">
        <f t="shared" si="171"/>
        <v>#VALUE!</v>
      </c>
      <c r="F1529" s="182" t="e">
        <f>SUM($D$33:D1529)</f>
        <v>#VALUE!</v>
      </c>
      <c r="G1529" s="182">
        <f t="shared" ca="1" si="172"/>
        <v>0</v>
      </c>
      <c r="H1529" s="182" t="e">
        <f t="shared" si="173"/>
        <v>#VALUE!</v>
      </c>
      <c r="I1529" s="183" t="e">
        <f t="shared" si="174"/>
        <v>#VALUE!</v>
      </c>
    </row>
    <row r="1530" spans="1:9" x14ac:dyDescent="0.25">
      <c r="A1530" s="180">
        <f t="shared" ca="1" si="175"/>
        <v>47602</v>
      </c>
      <c r="B1530" s="181">
        <v>1498</v>
      </c>
      <c r="C1530" s="182" t="e">
        <f t="shared" si="169"/>
        <v>#VALUE!</v>
      </c>
      <c r="D1530" s="182" t="e">
        <f t="shared" si="170"/>
        <v>#VALUE!</v>
      </c>
      <c r="E1530" s="182" t="e">
        <f t="shared" si="171"/>
        <v>#VALUE!</v>
      </c>
      <c r="F1530" s="182" t="e">
        <f>SUM($D$33:D1530)</f>
        <v>#VALUE!</v>
      </c>
      <c r="G1530" s="182">
        <f t="shared" ca="1" si="172"/>
        <v>0</v>
      </c>
      <c r="H1530" s="182" t="e">
        <f t="shared" si="173"/>
        <v>#VALUE!</v>
      </c>
      <c r="I1530" s="183" t="e">
        <f t="shared" si="174"/>
        <v>#VALUE!</v>
      </c>
    </row>
    <row r="1531" spans="1:9" x14ac:dyDescent="0.25">
      <c r="A1531" s="180">
        <f t="shared" ca="1" si="175"/>
        <v>47603</v>
      </c>
      <c r="B1531" s="181">
        <v>1499</v>
      </c>
      <c r="C1531" s="182" t="e">
        <f t="shared" si="169"/>
        <v>#VALUE!</v>
      </c>
      <c r="D1531" s="182" t="e">
        <f t="shared" si="170"/>
        <v>#VALUE!</v>
      </c>
      <c r="E1531" s="182" t="e">
        <f t="shared" si="171"/>
        <v>#VALUE!</v>
      </c>
      <c r="F1531" s="182" t="e">
        <f>SUM($D$33:D1531)</f>
        <v>#VALUE!</v>
      </c>
      <c r="G1531" s="182">
        <f t="shared" ca="1" si="172"/>
        <v>0</v>
      </c>
      <c r="H1531" s="182" t="e">
        <f t="shared" si="173"/>
        <v>#VALUE!</v>
      </c>
      <c r="I1531" s="183" t="e">
        <f t="shared" si="174"/>
        <v>#VALUE!</v>
      </c>
    </row>
    <row r="1532" spans="1:9" x14ac:dyDescent="0.25">
      <c r="A1532" s="180">
        <f t="shared" ca="1" si="175"/>
        <v>47604</v>
      </c>
      <c r="B1532" s="181">
        <v>1500</v>
      </c>
      <c r="C1532" s="182" t="e">
        <f t="shared" si="169"/>
        <v>#VALUE!</v>
      </c>
      <c r="D1532" s="182" t="e">
        <f t="shared" si="170"/>
        <v>#VALUE!</v>
      </c>
      <c r="E1532" s="182" t="e">
        <f t="shared" si="171"/>
        <v>#VALUE!</v>
      </c>
      <c r="F1532" s="182" t="e">
        <f>SUM($D$33:D1532)</f>
        <v>#VALUE!</v>
      </c>
      <c r="G1532" s="182">
        <f t="shared" ca="1" si="172"/>
        <v>0</v>
      </c>
      <c r="H1532" s="182" t="e">
        <f t="shared" si="173"/>
        <v>#VALUE!</v>
      </c>
      <c r="I1532" s="183" t="e">
        <f t="shared" si="174"/>
        <v>#VALUE!</v>
      </c>
    </row>
    <row r="1533" spans="1:9" x14ac:dyDescent="0.25">
      <c r="A1533" s="180">
        <f t="shared" ca="1" si="175"/>
        <v>47605</v>
      </c>
      <c r="B1533" s="181">
        <v>1501</v>
      </c>
      <c r="C1533" s="182" t="e">
        <f t="shared" si="169"/>
        <v>#VALUE!</v>
      </c>
      <c r="D1533" s="182" t="e">
        <f t="shared" si="170"/>
        <v>#VALUE!</v>
      </c>
      <c r="E1533" s="182" t="e">
        <f t="shared" si="171"/>
        <v>#VALUE!</v>
      </c>
      <c r="F1533" s="182" t="e">
        <f>SUM($D$33:D1533)</f>
        <v>#VALUE!</v>
      </c>
      <c r="G1533" s="182">
        <f t="shared" ca="1" si="172"/>
        <v>0</v>
      </c>
      <c r="H1533" s="182" t="e">
        <f t="shared" si="173"/>
        <v>#VALUE!</v>
      </c>
      <c r="I1533" s="183" t="e">
        <f t="shared" si="174"/>
        <v>#VALUE!</v>
      </c>
    </row>
    <row r="1534" spans="1:9" x14ac:dyDescent="0.25">
      <c r="A1534" s="180">
        <f t="shared" ca="1" si="175"/>
        <v>47606</v>
      </c>
      <c r="B1534" s="181">
        <v>1502</v>
      </c>
      <c r="C1534" s="182" t="e">
        <f t="shared" si="169"/>
        <v>#VALUE!</v>
      </c>
      <c r="D1534" s="182" t="e">
        <f t="shared" si="170"/>
        <v>#VALUE!</v>
      </c>
      <c r="E1534" s="182" t="e">
        <f t="shared" si="171"/>
        <v>#VALUE!</v>
      </c>
      <c r="F1534" s="182" t="e">
        <f>SUM($D$33:D1534)</f>
        <v>#VALUE!</v>
      </c>
      <c r="G1534" s="182">
        <f t="shared" ca="1" si="172"/>
        <v>0</v>
      </c>
      <c r="H1534" s="182" t="e">
        <f t="shared" si="173"/>
        <v>#VALUE!</v>
      </c>
      <c r="I1534" s="183" t="e">
        <f t="shared" si="174"/>
        <v>#VALUE!</v>
      </c>
    </row>
    <row r="1535" spans="1:9" x14ac:dyDescent="0.25">
      <c r="A1535" s="180">
        <f t="shared" ca="1" si="175"/>
        <v>47607</v>
      </c>
      <c r="B1535" s="181">
        <v>1503</v>
      </c>
      <c r="C1535" s="182" t="e">
        <f t="shared" si="169"/>
        <v>#VALUE!</v>
      </c>
      <c r="D1535" s="182" t="e">
        <f t="shared" si="170"/>
        <v>#VALUE!</v>
      </c>
      <c r="E1535" s="182" t="e">
        <f t="shared" si="171"/>
        <v>#VALUE!</v>
      </c>
      <c r="F1535" s="182" t="e">
        <f>SUM($D$33:D1535)</f>
        <v>#VALUE!</v>
      </c>
      <c r="G1535" s="182">
        <f t="shared" ca="1" si="172"/>
        <v>0</v>
      </c>
      <c r="H1535" s="182" t="e">
        <f t="shared" si="173"/>
        <v>#VALUE!</v>
      </c>
      <c r="I1535" s="183" t="e">
        <f t="shared" si="174"/>
        <v>#VALUE!</v>
      </c>
    </row>
    <row r="1536" spans="1:9" x14ac:dyDescent="0.25">
      <c r="A1536" s="180">
        <f t="shared" ca="1" si="175"/>
        <v>47608</v>
      </c>
      <c r="B1536" s="181">
        <v>1504</v>
      </c>
      <c r="C1536" s="182" t="e">
        <f t="shared" si="169"/>
        <v>#VALUE!</v>
      </c>
      <c r="D1536" s="182" t="e">
        <f t="shared" si="170"/>
        <v>#VALUE!</v>
      </c>
      <c r="E1536" s="182" t="e">
        <f t="shared" si="171"/>
        <v>#VALUE!</v>
      </c>
      <c r="F1536" s="182" t="e">
        <f>SUM($D$33:D1536)</f>
        <v>#VALUE!</v>
      </c>
      <c r="G1536" s="182">
        <f t="shared" ca="1" si="172"/>
        <v>0</v>
      </c>
      <c r="H1536" s="182" t="e">
        <f t="shared" si="173"/>
        <v>#VALUE!</v>
      </c>
      <c r="I1536" s="183" t="e">
        <f t="shared" si="174"/>
        <v>#VALUE!</v>
      </c>
    </row>
    <row r="1537" spans="1:9" x14ac:dyDescent="0.25">
      <c r="A1537" s="180">
        <f t="shared" ca="1" si="175"/>
        <v>47609</v>
      </c>
      <c r="B1537" s="181">
        <v>1505</v>
      </c>
      <c r="C1537" s="182" t="e">
        <f t="shared" si="169"/>
        <v>#VALUE!</v>
      </c>
      <c r="D1537" s="182" t="e">
        <f t="shared" si="170"/>
        <v>#VALUE!</v>
      </c>
      <c r="E1537" s="182" t="e">
        <f t="shared" si="171"/>
        <v>#VALUE!</v>
      </c>
      <c r="F1537" s="182" t="e">
        <f>SUM($D$33:D1537)</f>
        <v>#VALUE!</v>
      </c>
      <c r="G1537" s="182">
        <f t="shared" ca="1" si="172"/>
        <v>0</v>
      </c>
      <c r="H1537" s="182" t="e">
        <f t="shared" si="173"/>
        <v>#VALUE!</v>
      </c>
      <c r="I1537" s="183" t="e">
        <f t="shared" si="174"/>
        <v>#VALUE!</v>
      </c>
    </row>
    <row r="1538" spans="1:9" x14ac:dyDescent="0.25">
      <c r="A1538" s="180">
        <f t="shared" ca="1" si="175"/>
        <v>47610</v>
      </c>
      <c r="B1538" s="181">
        <v>1506</v>
      </c>
      <c r="C1538" s="182" t="e">
        <f t="shared" si="169"/>
        <v>#VALUE!</v>
      </c>
      <c r="D1538" s="182" t="e">
        <f t="shared" si="170"/>
        <v>#VALUE!</v>
      </c>
      <c r="E1538" s="182" t="e">
        <f t="shared" si="171"/>
        <v>#VALUE!</v>
      </c>
      <c r="F1538" s="182" t="e">
        <f>SUM($D$33:D1538)</f>
        <v>#VALUE!</v>
      </c>
      <c r="G1538" s="182">
        <f t="shared" ca="1" si="172"/>
        <v>0</v>
      </c>
      <c r="H1538" s="182" t="e">
        <f t="shared" si="173"/>
        <v>#VALUE!</v>
      </c>
      <c r="I1538" s="183" t="e">
        <f t="shared" si="174"/>
        <v>#VALUE!</v>
      </c>
    </row>
    <row r="1539" spans="1:9" x14ac:dyDescent="0.25">
      <c r="A1539" s="180">
        <f t="shared" ca="1" si="175"/>
        <v>47611</v>
      </c>
      <c r="B1539" s="181">
        <v>1507</v>
      </c>
      <c r="C1539" s="182" t="e">
        <f t="shared" si="169"/>
        <v>#VALUE!</v>
      </c>
      <c r="D1539" s="182" t="e">
        <f t="shared" si="170"/>
        <v>#VALUE!</v>
      </c>
      <c r="E1539" s="182" t="e">
        <f t="shared" si="171"/>
        <v>#VALUE!</v>
      </c>
      <c r="F1539" s="182" t="e">
        <f>SUM($D$33:D1539)</f>
        <v>#VALUE!</v>
      </c>
      <c r="G1539" s="182">
        <f t="shared" ca="1" si="172"/>
        <v>0</v>
      </c>
      <c r="H1539" s="182" t="e">
        <f t="shared" si="173"/>
        <v>#VALUE!</v>
      </c>
      <c r="I1539" s="183" t="e">
        <f t="shared" si="174"/>
        <v>#VALUE!</v>
      </c>
    </row>
    <row r="1540" spans="1:9" x14ac:dyDescent="0.25">
      <c r="A1540" s="180">
        <f t="shared" ca="1" si="175"/>
        <v>47612</v>
      </c>
      <c r="B1540" s="181">
        <v>1508</v>
      </c>
      <c r="C1540" s="182" t="e">
        <f t="shared" si="169"/>
        <v>#VALUE!</v>
      </c>
      <c r="D1540" s="182" t="e">
        <f t="shared" si="170"/>
        <v>#VALUE!</v>
      </c>
      <c r="E1540" s="182" t="e">
        <f t="shared" si="171"/>
        <v>#VALUE!</v>
      </c>
      <c r="F1540" s="182" t="e">
        <f>SUM($D$33:D1540)</f>
        <v>#VALUE!</v>
      </c>
      <c r="G1540" s="182">
        <f t="shared" ca="1" si="172"/>
        <v>0</v>
      </c>
      <c r="H1540" s="182" t="e">
        <f t="shared" si="173"/>
        <v>#VALUE!</v>
      </c>
      <c r="I1540" s="183" t="e">
        <f t="shared" si="174"/>
        <v>#VALUE!</v>
      </c>
    </row>
    <row r="1541" spans="1:9" x14ac:dyDescent="0.25">
      <c r="A1541" s="180">
        <f t="shared" ca="1" si="175"/>
        <v>47613</v>
      </c>
      <c r="B1541" s="181">
        <v>1509</v>
      </c>
      <c r="C1541" s="182" t="e">
        <f t="shared" si="169"/>
        <v>#VALUE!</v>
      </c>
      <c r="D1541" s="182" t="e">
        <f t="shared" si="170"/>
        <v>#VALUE!</v>
      </c>
      <c r="E1541" s="182" t="e">
        <f t="shared" si="171"/>
        <v>#VALUE!</v>
      </c>
      <c r="F1541" s="182" t="e">
        <f>SUM($D$33:D1541)</f>
        <v>#VALUE!</v>
      </c>
      <c r="G1541" s="182">
        <f t="shared" ca="1" si="172"/>
        <v>0</v>
      </c>
      <c r="H1541" s="182" t="e">
        <f t="shared" si="173"/>
        <v>#VALUE!</v>
      </c>
      <c r="I1541" s="183" t="e">
        <f t="shared" si="174"/>
        <v>#VALUE!</v>
      </c>
    </row>
    <row r="1542" spans="1:9" x14ac:dyDescent="0.25">
      <c r="A1542" s="180">
        <f t="shared" ca="1" si="175"/>
        <v>47614</v>
      </c>
      <c r="B1542" s="181">
        <v>1510</v>
      </c>
      <c r="C1542" s="182" t="e">
        <f t="shared" si="169"/>
        <v>#VALUE!</v>
      </c>
      <c r="D1542" s="182" t="e">
        <f t="shared" si="170"/>
        <v>#VALUE!</v>
      </c>
      <c r="E1542" s="182" t="e">
        <f t="shared" si="171"/>
        <v>#VALUE!</v>
      </c>
      <c r="F1542" s="182" t="e">
        <f>SUM($D$33:D1542)</f>
        <v>#VALUE!</v>
      </c>
      <c r="G1542" s="182">
        <f t="shared" ca="1" si="172"/>
        <v>0</v>
      </c>
      <c r="H1542" s="182" t="e">
        <f t="shared" si="173"/>
        <v>#VALUE!</v>
      </c>
      <c r="I1542" s="183" t="e">
        <f t="shared" si="174"/>
        <v>#VALUE!</v>
      </c>
    </row>
    <row r="1543" spans="1:9" x14ac:dyDescent="0.25">
      <c r="A1543" s="180">
        <f t="shared" ca="1" si="175"/>
        <v>47615</v>
      </c>
      <c r="B1543" s="181">
        <v>1511</v>
      </c>
      <c r="C1543" s="182" t="e">
        <f t="shared" si="169"/>
        <v>#VALUE!</v>
      </c>
      <c r="D1543" s="182" t="e">
        <f t="shared" si="170"/>
        <v>#VALUE!</v>
      </c>
      <c r="E1543" s="182" t="e">
        <f t="shared" si="171"/>
        <v>#VALUE!</v>
      </c>
      <c r="F1543" s="182" t="e">
        <f>SUM($D$33:D1543)</f>
        <v>#VALUE!</v>
      </c>
      <c r="G1543" s="182">
        <f t="shared" ca="1" si="172"/>
        <v>0</v>
      </c>
      <c r="H1543" s="182" t="e">
        <f t="shared" si="173"/>
        <v>#VALUE!</v>
      </c>
      <c r="I1543" s="183" t="e">
        <f t="shared" si="174"/>
        <v>#VALUE!</v>
      </c>
    </row>
    <row r="1544" spans="1:9" x14ac:dyDescent="0.25">
      <c r="A1544" s="180">
        <f t="shared" ca="1" si="175"/>
        <v>47616</v>
      </c>
      <c r="B1544" s="181">
        <v>1512</v>
      </c>
      <c r="C1544" s="182" t="e">
        <f t="shared" si="169"/>
        <v>#VALUE!</v>
      </c>
      <c r="D1544" s="182" t="e">
        <f t="shared" si="170"/>
        <v>#VALUE!</v>
      </c>
      <c r="E1544" s="182" t="e">
        <f t="shared" si="171"/>
        <v>#VALUE!</v>
      </c>
      <c r="F1544" s="182" t="e">
        <f>SUM($D$33:D1544)</f>
        <v>#VALUE!</v>
      </c>
      <c r="G1544" s="182">
        <f t="shared" ca="1" si="172"/>
        <v>0</v>
      </c>
      <c r="H1544" s="182" t="e">
        <f t="shared" si="173"/>
        <v>#VALUE!</v>
      </c>
      <c r="I1544" s="183" t="e">
        <f t="shared" si="174"/>
        <v>#VALUE!</v>
      </c>
    </row>
    <row r="1545" spans="1:9" x14ac:dyDescent="0.25">
      <c r="A1545" s="180">
        <f t="shared" ca="1" si="175"/>
        <v>47617</v>
      </c>
      <c r="B1545" s="181">
        <v>1513</v>
      </c>
      <c r="C1545" s="182" t="e">
        <f t="shared" si="169"/>
        <v>#VALUE!</v>
      </c>
      <c r="D1545" s="182" t="e">
        <f t="shared" si="170"/>
        <v>#VALUE!</v>
      </c>
      <c r="E1545" s="182" t="e">
        <f t="shared" si="171"/>
        <v>#VALUE!</v>
      </c>
      <c r="F1545" s="182" t="e">
        <f>SUM($D$33:D1545)</f>
        <v>#VALUE!</v>
      </c>
      <c r="G1545" s="182">
        <f t="shared" ca="1" si="172"/>
        <v>0</v>
      </c>
      <c r="H1545" s="182" t="e">
        <f t="shared" si="173"/>
        <v>#VALUE!</v>
      </c>
      <c r="I1545" s="183" t="e">
        <f t="shared" si="174"/>
        <v>#VALUE!</v>
      </c>
    </row>
    <row r="1546" spans="1:9" x14ac:dyDescent="0.25">
      <c r="A1546" s="180">
        <f t="shared" ca="1" si="175"/>
        <v>47618</v>
      </c>
      <c r="B1546" s="181">
        <v>1514</v>
      </c>
      <c r="C1546" s="182" t="e">
        <f t="shared" si="169"/>
        <v>#VALUE!</v>
      </c>
      <c r="D1546" s="182" t="e">
        <f t="shared" si="170"/>
        <v>#VALUE!</v>
      </c>
      <c r="E1546" s="182" t="e">
        <f t="shared" si="171"/>
        <v>#VALUE!</v>
      </c>
      <c r="F1546" s="182" t="e">
        <f>SUM($D$33:D1546)</f>
        <v>#VALUE!</v>
      </c>
      <c r="G1546" s="182">
        <f t="shared" ca="1" si="172"/>
        <v>0</v>
      </c>
      <c r="H1546" s="182" t="e">
        <f t="shared" si="173"/>
        <v>#VALUE!</v>
      </c>
      <c r="I1546" s="183" t="e">
        <f t="shared" si="174"/>
        <v>#VALUE!</v>
      </c>
    </row>
    <row r="1547" spans="1:9" x14ac:dyDescent="0.25">
      <c r="A1547" s="180">
        <f t="shared" ca="1" si="175"/>
        <v>47619</v>
      </c>
      <c r="B1547" s="181">
        <v>1515</v>
      </c>
      <c r="C1547" s="182" t="e">
        <f t="shared" si="169"/>
        <v>#VALUE!</v>
      </c>
      <c r="D1547" s="182" t="e">
        <f t="shared" si="170"/>
        <v>#VALUE!</v>
      </c>
      <c r="E1547" s="182" t="e">
        <f t="shared" si="171"/>
        <v>#VALUE!</v>
      </c>
      <c r="F1547" s="182" t="e">
        <f>SUM($D$33:D1547)</f>
        <v>#VALUE!</v>
      </c>
      <c r="G1547" s="182">
        <f t="shared" ca="1" si="172"/>
        <v>0</v>
      </c>
      <c r="H1547" s="182" t="e">
        <f t="shared" si="173"/>
        <v>#VALUE!</v>
      </c>
      <c r="I1547" s="183" t="e">
        <f t="shared" si="174"/>
        <v>#VALUE!</v>
      </c>
    </row>
    <row r="1548" spans="1:9" x14ac:dyDescent="0.25">
      <c r="A1548" s="180">
        <f t="shared" ca="1" si="175"/>
        <v>47620</v>
      </c>
      <c r="B1548" s="181">
        <v>1516</v>
      </c>
      <c r="C1548" s="182" t="e">
        <f t="shared" si="169"/>
        <v>#VALUE!</v>
      </c>
      <c r="D1548" s="182" t="e">
        <f t="shared" si="170"/>
        <v>#VALUE!</v>
      </c>
      <c r="E1548" s="182" t="e">
        <f t="shared" si="171"/>
        <v>#VALUE!</v>
      </c>
      <c r="F1548" s="182" t="e">
        <f>SUM($D$33:D1548)</f>
        <v>#VALUE!</v>
      </c>
      <c r="G1548" s="182">
        <f t="shared" ca="1" si="172"/>
        <v>0</v>
      </c>
      <c r="H1548" s="182" t="e">
        <f t="shared" si="173"/>
        <v>#VALUE!</v>
      </c>
      <c r="I1548" s="183" t="e">
        <f t="shared" si="174"/>
        <v>#VALUE!</v>
      </c>
    </row>
    <row r="1549" spans="1:9" x14ac:dyDescent="0.25">
      <c r="A1549" s="180">
        <f t="shared" ca="1" si="175"/>
        <v>47621</v>
      </c>
      <c r="B1549" s="181">
        <v>1517</v>
      </c>
      <c r="C1549" s="182" t="e">
        <f t="shared" si="169"/>
        <v>#VALUE!</v>
      </c>
      <c r="D1549" s="182" t="e">
        <f t="shared" si="170"/>
        <v>#VALUE!</v>
      </c>
      <c r="E1549" s="182" t="e">
        <f t="shared" si="171"/>
        <v>#VALUE!</v>
      </c>
      <c r="F1549" s="182" t="e">
        <f>SUM($D$33:D1549)</f>
        <v>#VALUE!</v>
      </c>
      <c r="G1549" s="182">
        <f t="shared" ca="1" si="172"/>
        <v>0</v>
      </c>
      <c r="H1549" s="182" t="e">
        <f t="shared" si="173"/>
        <v>#VALUE!</v>
      </c>
      <c r="I1549" s="183" t="e">
        <f t="shared" si="174"/>
        <v>#VALUE!</v>
      </c>
    </row>
    <row r="1550" spans="1:9" x14ac:dyDescent="0.25">
      <c r="A1550" s="180">
        <f t="shared" ca="1" si="175"/>
        <v>47622</v>
      </c>
      <c r="B1550" s="181">
        <v>1518</v>
      </c>
      <c r="C1550" s="182" t="e">
        <f t="shared" si="169"/>
        <v>#VALUE!</v>
      </c>
      <c r="D1550" s="182" t="e">
        <f t="shared" si="170"/>
        <v>#VALUE!</v>
      </c>
      <c r="E1550" s="182" t="e">
        <f t="shared" si="171"/>
        <v>#VALUE!</v>
      </c>
      <c r="F1550" s="182" t="e">
        <f>SUM($D$33:D1550)</f>
        <v>#VALUE!</v>
      </c>
      <c r="G1550" s="182">
        <f t="shared" ca="1" si="172"/>
        <v>0</v>
      </c>
      <c r="H1550" s="182" t="e">
        <f t="shared" si="173"/>
        <v>#VALUE!</v>
      </c>
      <c r="I1550" s="183" t="e">
        <f t="shared" si="174"/>
        <v>#VALUE!</v>
      </c>
    </row>
    <row r="1551" spans="1:9" x14ac:dyDescent="0.25">
      <c r="A1551" s="180">
        <f t="shared" ca="1" si="175"/>
        <v>47623</v>
      </c>
      <c r="B1551" s="181">
        <v>1519</v>
      </c>
      <c r="C1551" s="182" t="e">
        <f t="shared" si="169"/>
        <v>#VALUE!</v>
      </c>
      <c r="D1551" s="182" t="e">
        <f t="shared" si="170"/>
        <v>#VALUE!</v>
      </c>
      <c r="E1551" s="182" t="e">
        <f t="shared" si="171"/>
        <v>#VALUE!</v>
      </c>
      <c r="F1551" s="182" t="e">
        <f>SUM($D$33:D1551)</f>
        <v>#VALUE!</v>
      </c>
      <c r="G1551" s="182">
        <f t="shared" ca="1" si="172"/>
        <v>0</v>
      </c>
      <c r="H1551" s="182" t="e">
        <f t="shared" si="173"/>
        <v>#VALUE!</v>
      </c>
      <c r="I1551" s="183" t="e">
        <f t="shared" si="174"/>
        <v>#VALUE!</v>
      </c>
    </row>
    <row r="1552" spans="1:9" x14ac:dyDescent="0.25">
      <c r="A1552" s="180">
        <f t="shared" ca="1" si="175"/>
        <v>47624</v>
      </c>
      <c r="B1552" s="181">
        <v>1520</v>
      </c>
      <c r="C1552" s="182" t="e">
        <f t="shared" ref="C1552:C1615" si="176">H1551</f>
        <v>#VALUE!</v>
      </c>
      <c r="D1552" s="182" t="e">
        <f t="shared" ref="D1552:D1615" si="177">IF(C1552&gt;$H$21,C1552*($L$16/360),$H$21*($L$16/360))</f>
        <v>#VALUE!</v>
      </c>
      <c r="E1552" s="182" t="e">
        <f t="shared" ref="E1552:E1615" si="178">IF(E1551&gt;0,E1551-D1552,0)</f>
        <v>#VALUE!</v>
      </c>
      <c r="F1552" s="182" t="e">
        <f>SUM($D$33:D1552)</f>
        <v>#VALUE!</v>
      </c>
      <c r="G1552" s="182">
        <f t="shared" ref="G1552:G1615" ca="1" si="179">IFERROR(-VLOOKUP(A1552,$K$30:$M$36,2,FALSE),0)</f>
        <v>0</v>
      </c>
      <c r="H1552" s="182" t="e">
        <f t="shared" ref="H1552:H1615" si="180">IF(E1552&gt;0,C1552+G1552,IF(E1552&lt;0,C1552+G1552+D1552-E1551,C1552+D1552+G1552))</f>
        <v>#VALUE!</v>
      </c>
      <c r="I1552" s="183" t="e">
        <f t="shared" ref="I1552:I1615" si="181">(C1552+D1552-E1552)</f>
        <v>#VALUE!</v>
      </c>
    </row>
    <row r="1553" spans="1:9" x14ac:dyDescent="0.25">
      <c r="A1553" s="180">
        <f t="shared" ca="1" si="175"/>
        <v>47625</v>
      </c>
      <c r="B1553" s="181">
        <v>1521</v>
      </c>
      <c r="C1553" s="182" t="e">
        <f t="shared" si="176"/>
        <v>#VALUE!</v>
      </c>
      <c r="D1553" s="182" t="e">
        <f t="shared" si="177"/>
        <v>#VALUE!</v>
      </c>
      <c r="E1553" s="182" t="e">
        <f t="shared" si="178"/>
        <v>#VALUE!</v>
      </c>
      <c r="F1553" s="182" t="e">
        <f>SUM($D$33:D1553)</f>
        <v>#VALUE!</v>
      </c>
      <c r="G1553" s="182">
        <f t="shared" ca="1" si="179"/>
        <v>0</v>
      </c>
      <c r="H1553" s="182" t="e">
        <f t="shared" si="180"/>
        <v>#VALUE!</v>
      </c>
      <c r="I1553" s="183" t="e">
        <f t="shared" si="181"/>
        <v>#VALUE!</v>
      </c>
    </row>
    <row r="1554" spans="1:9" x14ac:dyDescent="0.25">
      <c r="A1554" s="180">
        <f t="shared" ca="1" si="175"/>
        <v>47626</v>
      </c>
      <c r="B1554" s="181">
        <v>1522</v>
      </c>
      <c r="C1554" s="182" t="e">
        <f t="shared" si="176"/>
        <v>#VALUE!</v>
      </c>
      <c r="D1554" s="182" t="e">
        <f t="shared" si="177"/>
        <v>#VALUE!</v>
      </c>
      <c r="E1554" s="182" t="e">
        <f t="shared" si="178"/>
        <v>#VALUE!</v>
      </c>
      <c r="F1554" s="182" t="e">
        <f>SUM($D$33:D1554)</f>
        <v>#VALUE!</v>
      </c>
      <c r="G1554" s="182">
        <f t="shared" ca="1" si="179"/>
        <v>0</v>
      </c>
      <c r="H1554" s="182" t="e">
        <f t="shared" si="180"/>
        <v>#VALUE!</v>
      </c>
      <c r="I1554" s="183" t="e">
        <f t="shared" si="181"/>
        <v>#VALUE!</v>
      </c>
    </row>
    <row r="1555" spans="1:9" x14ac:dyDescent="0.25">
      <c r="A1555" s="180">
        <f t="shared" ca="1" si="175"/>
        <v>47627</v>
      </c>
      <c r="B1555" s="181">
        <v>1523</v>
      </c>
      <c r="C1555" s="182" t="e">
        <f t="shared" si="176"/>
        <v>#VALUE!</v>
      </c>
      <c r="D1555" s="182" t="e">
        <f t="shared" si="177"/>
        <v>#VALUE!</v>
      </c>
      <c r="E1555" s="182" t="e">
        <f t="shared" si="178"/>
        <v>#VALUE!</v>
      </c>
      <c r="F1555" s="182" t="e">
        <f>SUM($D$33:D1555)</f>
        <v>#VALUE!</v>
      </c>
      <c r="G1555" s="182">
        <f t="shared" ca="1" si="179"/>
        <v>0</v>
      </c>
      <c r="H1555" s="182" t="e">
        <f t="shared" si="180"/>
        <v>#VALUE!</v>
      </c>
      <c r="I1555" s="183" t="e">
        <f t="shared" si="181"/>
        <v>#VALUE!</v>
      </c>
    </row>
    <row r="1556" spans="1:9" x14ac:dyDescent="0.25">
      <c r="A1556" s="180">
        <f t="shared" ca="1" si="175"/>
        <v>47628</v>
      </c>
      <c r="B1556" s="181">
        <v>1524</v>
      </c>
      <c r="C1556" s="182" t="e">
        <f t="shared" si="176"/>
        <v>#VALUE!</v>
      </c>
      <c r="D1556" s="182" t="e">
        <f t="shared" si="177"/>
        <v>#VALUE!</v>
      </c>
      <c r="E1556" s="182" t="e">
        <f t="shared" si="178"/>
        <v>#VALUE!</v>
      </c>
      <c r="F1556" s="182" t="e">
        <f>SUM($D$33:D1556)</f>
        <v>#VALUE!</v>
      </c>
      <c r="G1556" s="182">
        <f t="shared" ca="1" si="179"/>
        <v>0</v>
      </c>
      <c r="H1556" s="182" t="e">
        <f t="shared" si="180"/>
        <v>#VALUE!</v>
      </c>
      <c r="I1556" s="183" t="e">
        <f t="shared" si="181"/>
        <v>#VALUE!</v>
      </c>
    </row>
    <row r="1557" spans="1:9" x14ac:dyDescent="0.25">
      <c r="A1557" s="180">
        <f t="shared" ca="1" si="175"/>
        <v>47629</v>
      </c>
      <c r="B1557" s="181">
        <v>1525</v>
      </c>
      <c r="C1557" s="182" t="e">
        <f t="shared" si="176"/>
        <v>#VALUE!</v>
      </c>
      <c r="D1557" s="182" t="e">
        <f t="shared" si="177"/>
        <v>#VALUE!</v>
      </c>
      <c r="E1557" s="182" t="e">
        <f t="shared" si="178"/>
        <v>#VALUE!</v>
      </c>
      <c r="F1557" s="182" t="e">
        <f>SUM($D$33:D1557)</f>
        <v>#VALUE!</v>
      </c>
      <c r="G1557" s="182">
        <f t="shared" ca="1" si="179"/>
        <v>0</v>
      </c>
      <c r="H1557" s="182" t="e">
        <f t="shared" si="180"/>
        <v>#VALUE!</v>
      </c>
      <c r="I1557" s="183" t="e">
        <f t="shared" si="181"/>
        <v>#VALUE!</v>
      </c>
    </row>
    <row r="1558" spans="1:9" x14ac:dyDescent="0.25">
      <c r="A1558" s="180">
        <f t="shared" ca="1" si="175"/>
        <v>47630</v>
      </c>
      <c r="B1558" s="181">
        <v>1526</v>
      </c>
      <c r="C1558" s="182" t="e">
        <f t="shared" si="176"/>
        <v>#VALUE!</v>
      </c>
      <c r="D1558" s="182" t="e">
        <f t="shared" si="177"/>
        <v>#VALUE!</v>
      </c>
      <c r="E1558" s="182" t="e">
        <f t="shared" si="178"/>
        <v>#VALUE!</v>
      </c>
      <c r="F1558" s="182" t="e">
        <f>SUM($D$33:D1558)</f>
        <v>#VALUE!</v>
      </c>
      <c r="G1558" s="182">
        <f t="shared" ca="1" si="179"/>
        <v>0</v>
      </c>
      <c r="H1558" s="182" t="e">
        <f t="shared" si="180"/>
        <v>#VALUE!</v>
      </c>
      <c r="I1558" s="183" t="e">
        <f t="shared" si="181"/>
        <v>#VALUE!</v>
      </c>
    </row>
    <row r="1559" spans="1:9" x14ac:dyDescent="0.25">
      <c r="A1559" s="180">
        <f t="shared" ca="1" si="175"/>
        <v>47631</v>
      </c>
      <c r="B1559" s="181">
        <v>1527</v>
      </c>
      <c r="C1559" s="182" t="e">
        <f t="shared" si="176"/>
        <v>#VALUE!</v>
      </c>
      <c r="D1559" s="182" t="e">
        <f t="shared" si="177"/>
        <v>#VALUE!</v>
      </c>
      <c r="E1559" s="182" t="e">
        <f t="shared" si="178"/>
        <v>#VALUE!</v>
      </c>
      <c r="F1559" s="182" t="e">
        <f>SUM($D$33:D1559)</f>
        <v>#VALUE!</v>
      </c>
      <c r="G1559" s="182">
        <f t="shared" ca="1" si="179"/>
        <v>0</v>
      </c>
      <c r="H1559" s="182" t="e">
        <f t="shared" si="180"/>
        <v>#VALUE!</v>
      </c>
      <c r="I1559" s="183" t="e">
        <f t="shared" si="181"/>
        <v>#VALUE!</v>
      </c>
    </row>
    <row r="1560" spans="1:9" x14ac:dyDescent="0.25">
      <c r="A1560" s="180">
        <f t="shared" ca="1" si="175"/>
        <v>47632</v>
      </c>
      <c r="B1560" s="181">
        <v>1528</v>
      </c>
      <c r="C1560" s="182" t="e">
        <f t="shared" si="176"/>
        <v>#VALUE!</v>
      </c>
      <c r="D1560" s="182" t="e">
        <f t="shared" si="177"/>
        <v>#VALUE!</v>
      </c>
      <c r="E1560" s="182" t="e">
        <f t="shared" si="178"/>
        <v>#VALUE!</v>
      </c>
      <c r="F1560" s="182" t="e">
        <f>SUM($D$33:D1560)</f>
        <v>#VALUE!</v>
      </c>
      <c r="G1560" s="182">
        <f t="shared" ca="1" si="179"/>
        <v>0</v>
      </c>
      <c r="H1560" s="182" t="e">
        <f t="shared" si="180"/>
        <v>#VALUE!</v>
      </c>
      <c r="I1560" s="183" t="e">
        <f t="shared" si="181"/>
        <v>#VALUE!</v>
      </c>
    </row>
    <row r="1561" spans="1:9" x14ac:dyDescent="0.25">
      <c r="A1561" s="180">
        <f t="shared" ca="1" si="175"/>
        <v>47633</v>
      </c>
      <c r="B1561" s="181">
        <v>1529</v>
      </c>
      <c r="C1561" s="182" t="e">
        <f t="shared" si="176"/>
        <v>#VALUE!</v>
      </c>
      <c r="D1561" s="182" t="e">
        <f t="shared" si="177"/>
        <v>#VALUE!</v>
      </c>
      <c r="E1561" s="182" t="e">
        <f t="shared" si="178"/>
        <v>#VALUE!</v>
      </c>
      <c r="F1561" s="182" t="e">
        <f>SUM($D$33:D1561)</f>
        <v>#VALUE!</v>
      </c>
      <c r="G1561" s="182">
        <f t="shared" ca="1" si="179"/>
        <v>0</v>
      </c>
      <c r="H1561" s="182" t="e">
        <f t="shared" si="180"/>
        <v>#VALUE!</v>
      </c>
      <c r="I1561" s="183" t="e">
        <f t="shared" si="181"/>
        <v>#VALUE!</v>
      </c>
    </row>
    <row r="1562" spans="1:9" x14ac:dyDescent="0.25">
      <c r="A1562" s="180">
        <f t="shared" ca="1" si="175"/>
        <v>47634</v>
      </c>
      <c r="B1562" s="181">
        <v>1530</v>
      </c>
      <c r="C1562" s="182" t="e">
        <f t="shared" si="176"/>
        <v>#VALUE!</v>
      </c>
      <c r="D1562" s="182" t="e">
        <f t="shared" si="177"/>
        <v>#VALUE!</v>
      </c>
      <c r="E1562" s="182" t="e">
        <f t="shared" si="178"/>
        <v>#VALUE!</v>
      </c>
      <c r="F1562" s="182" t="e">
        <f>SUM($D$33:D1562)</f>
        <v>#VALUE!</v>
      </c>
      <c r="G1562" s="182">
        <f t="shared" ca="1" si="179"/>
        <v>0</v>
      </c>
      <c r="H1562" s="182" t="e">
        <f t="shared" si="180"/>
        <v>#VALUE!</v>
      </c>
      <c r="I1562" s="183" t="e">
        <f t="shared" si="181"/>
        <v>#VALUE!</v>
      </c>
    </row>
    <row r="1563" spans="1:9" x14ac:dyDescent="0.25">
      <c r="A1563" s="180">
        <f t="shared" ca="1" si="175"/>
        <v>47635</v>
      </c>
      <c r="B1563" s="181">
        <v>1531</v>
      </c>
      <c r="C1563" s="182" t="e">
        <f t="shared" si="176"/>
        <v>#VALUE!</v>
      </c>
      <c r="D1563" s="182" t="e">
        <f t="shared" si="177"/>
        <v>#VALUE!</v>
      </c>
      <c r="E1563" s="182" t="e">
        <f t="shared" si="178"/>
        <v>#VALUE!</v>
      </c>
      <c r="F1563" s="182" t="e">
        <f>SUM($D$33:D1563)</f>
        <v>#VALUE!</v>
      </c>
      <c r="G1563" s="182">
        <f t="shared" ca="1" si="179"/>
        <v>0</v>
      </c>
      <c r="H1563" s="182" t="e">
        <f t="shared" si="180"/>
        <v>#VALUE!</v>
      </c>
      <c r="I1563" s="183" t="e">
        <f t="shared" si="181"/>
        <v>#VALUE!</v>
      </c>
    </row>
    <row r="1564" spans="1:9" x14ac:dyDescent="0.25">
      <c r="A1564" s="180">
        <f t="shared" ca="1" si="175"/>
        <v>47636</v>
      </c>
      <c r="B1564" s="181">
        <v>1532</v>
      </c>
      <c r="C1564" s="182" t="e">
        <f t="shared" si="176"/>
        <v>#VALUE!</v>
      </c>
      <c r="D1564" s="182" t="e">
        <f t="shared" si="177"/>
        <v>#VALUE!</v>
      </c>
      <c r="E1564" s="182" t="e">
        <f t="shared" si="178"/>
        <v>#VALUE!</v>
      </c>
      <c r="F1564" s="182" t="e">
        <f>SUM($D$33:D1564)</f>
        <v>#VALUE!</v>
      </c>
      <c r="G1564" s="182">
        <f t="shared" ca="1" si="179"/>
        <v>0</v>
      </c>
      <c r="H1564" s="182" t="e">
        <f t="shared" si="180"/>
        <v>#VALUE!</v>
      </c>
      <c r="I1564" s="183" t="e">
        <f t="shared" si="181"/>
        <v>#VALUE!</v>
      </c>
    </row>
    <row r="1565" spans="1:9" x14ac:dyDescent="0.25">
      <c r="A1565" s="180">
        <f t="shared" ca="1" si="175"/>
        <v>47637</v>
      </c>
      <c r="B1565" s="181">
        <v>1533</v>
      </c>
      <c r="C1565" s="182" t="e">
        <f t="shared" si="176"/>
        <v>#VALUE!</v>
      </c>
      <c r="D1565" s="182" t="e">
        <f t="shared" si="177"/>
        <v>#VALUE!</v>
      </c>
      <c r="E1565" s="182" t="e">
        <f t="shared" si="178"/>
        <v>#VALUE!</v>
      </c>
      <c r="F1565" s="182" t="e">
        <f>SUM($D$33:D1565)</f>
        <v>#VALUE!</v>
      </c>
      <c r="G1565" s="182">
        <f t="shared" ca="1" si="179"/>
        <v>0</v>
      </c>
      <c r="H1565" s="182" t="e">
        <f t="shared" si="180"/>
        <v>#VALUE!</v>
      </c>
      <c r="I1565" s="183" t="e">
        <f t="shared" si="181"/>
        <v>#VALUE!</v>
      </c>
    </row>
    <row r="1566" spans="1:9" x14ac:dyDescent="0.25">
      <c r="A1566" s="180">
        <f t="shared" ca="1" si="175"/>
        <v>47638</v>
      </c>
      <c r="B1566" s="181">
        <v>1534</v>
      </c>
      <c r="C1566" s="182" t="e">
        <f t="shared" si="176"/>
        <v>#VALUE!</v>
      </c>
      <c r="D1566" s="182" t="e">
        <f t="shared" si="177"/>
        <v>#VALUE!</v>
      </c>
      <c r="E1566" s="182" t="e">
        <f t="shared" si="178"/>
        <v>#VALUE!</v>
      </c>
      <c r="F1566" s="182" t="e">
        <f>SUM($D$33:D1566)</f>
        <v>#VALUE!</v>
      </c>
      <c r="G1566" s="182">
        <f t="shared" ca="1" si="179"/>
        <v>0</v>
      </c>
      <c r="H1566" s="182" t="e">
        <f t="shared" si="180"/>
        <v>#VALUE!</v>
      </c>
      <c r="I1566" s="183" t="e">
        <f t="shared" si="181"/>
        <v>#VALUE!</v>
      </c>
    </row>
    <row r="1567" spans="1:9" x14ac:dyDescent="0.25">
      <c r="A1567" s="180">
        <f t="shared" ca="1" si="175"/>
        <v>47639</v>
      </c>
      <c r="B1567" s="181">
        <v>1535</v>
      </c>
      <c r="C1567" s="182" t="e">
        <f t="shared" si="176"/>
        <v>#VALUE!</v>
      </c>
      <c r="D1567" s="182" t="e">
        <f t="shared" si="177"/>
        <v>#VALUE!</v>
      </c>
      <c r="E1567" s="182" t="e">
        <f t="shared" si="178"/>
        <v>#VALUE!</v>
      </c>
      <c r="F1567" s="182" t="e">
        <f>SUM($D$33:D1567)</f>
        <v>#VALUE!</v>
      </c>
      <c r="G1567" s="182">
        <f t="shared" ca="1" si="179"/>
        <v>0</v>
      </c>
      <c r="H1567" s="182" t="e">
        <f t="shared" si="180"/>
        <v>#VALUE!</v>
      </c>
      <c r="I1567" s="183" t="e">
        <f t="shared" si="181"/>
        <v>#VALUE!</v>
      </c>
    </row>
    <row r="1568" spans="1:9" x14ac:dyDescent="0.25">
      <c r="A1568" s="180">
        <f t="shared" ca="1" si="175"/>
        <v>47640</v>
      </c>
      <c r="B1568" s="181">
        <v>1536</v>
      </c>
      <c r="C1568" s="182" t="e">
        <f t="shared" si="176"/>
        <v>#VALUE!</v>
      </c>
      <c r="D1568" s="182" t="e">
        <f t="shared" si="177"/>
        <v>#VALUE!</v>
      </c>
      <c r="E1568" s="182" t="e">
        <f t="shared" si="178"/>
        <v>#VALUE!</v>
      </c>
      <c r="F1568" s="182" t="e">
        <f>SUM($D$33:D1568)</f>
        <v>#VALUE!</v>
      </c>
      <c r="G1568" s="182">
        <f t="shared" ca="1" si="179"/>
        <v>0</v>
      </c>
      <c r="H1568" s="182" t="e">
        <f t="shared" si="180"/>
        <v>#VALUE!</v>
      </c>
      <c r="I1568" s="183" t="e">
        <f t="shared" si="181"/>
        <v>#VALUE!</v>
      </c>
    </row>
    <row r="1569" spans="1:9" x14ac:dyDescent="0.25">
      <c r="A1569" s="180">
        <f t="shared" ca="1" si="175"/>
        <v>47641</v>
      </c>
      <c r="B1569" s="181">
        <v>1537</v>
      </c>
      <c r="C1569" s="182" t="e">
        <f t="shared" si="176"/>
        <v>#VALUE!</v>
      </c>
      <c r="D1569" s="182" t="e">
        <f t="shared" si="177"/>
        <v>#VALUE!</v>
      </c>
      <c r="E1569" s="182" t="e">
        <f t="shared" si="178"/>
        <v>#VALUE!</v>
      </c>
      <c r="F1569" s="182" t="e">
        <f>SUM($D$33:D1569)</f>
        <v>#VALUE!</v>
      </c>
      <c r="G1569" s="182">
        <f t="shared" ca="1" si="179"/>
        <v>0</v>
      </c>
      <c r="H1569" s="182" t="e">
        <f t="shared" si="180"/>
        <v>#VALUE!</v>
      </c>
      <c r="I1569" s="183" t="e">
        <f t="shared" si="181"/>
        <v>#VALUE!</v>
      </c>
    </row>
    <row r="1570" spans="1:9" x14ac:dyDescent="0.25">
      <c r="A1570" s="180">
        <f t="shared" ref="A1570:A1633" ca="1" si="182">A1569+1</f>
        <v>47642</v>
      </c>
      <c r="B1570" s="181">
        <v>1538</v>
      </c>
      <c r="C1570" s="182" t="e">
        <f t="shared" si="176"/>
        <v>#VALUE!</v>
      </c>
      <c r="D1570" s="182" t="e">
        <f t="shared" si="177"/>
        <v>#VALUE!</v>
      </c>
      <c r="E1570" s="182" t="e">
        <f t="shared" si="178"/>
        <v>#VALUE!</v>
      </c>
      <c r="F1570" s="182" t="e">
        <f>SUM($D$33:D1570)</f>
        <v>#VALUE!</v>
      </c>
      <c r="G1570" s="182">
        <f t="shared" ca="1" si="179"/>
        <v>0</v>
      </c>
      <c r="H1570" s="182" t="e">
        <f t="shared" si="180"/>
        <v>#VALUE!</v>
      </c>
      <c r="I1570" s="183" t="e">
        <f t="shared" si="181"/>
        <v>#VALUE!</v>
      </c>
    </row>
    <row r="1571" spans="1:9" x14ac:dyDescent="0.25">
      <c r="A1571" s="180">
        <f t="shared" ca="1" si="182"/>
        <v>47643</v>
      </c>
      <c r="B1571" s="181">
        <v>1539</v>
      </c>
      <c r="C1571" s="182" t="e">
        <f t="shared" si="176"/>
        <v>#VALUE!</v>
      </c>
      <c r="D1571" s="182" t="e">
        <f t="shared" si="177"/>
        <v>#VALUE!</v>
      </c>
      <c r="E1571" s="182" t="e">
        <f t="shared" si="178"/>
        <v>#VALUE!</v>
      </c>
      <c r="F1571" s="182" t="e">
        <f>SUM($D$33:D1571)</f>
        <v>#VALUE!</v>
      </c>
      <c r="G1571" s="182">
        <f t="shared" ca="1" si="179"/>
        <v>0</v>
      </c>
      <c r="H1571" s="182" t="e">
        <f t="shared" si="180"/>
        <v>#VALUE!</v>
      </c>
      <c r="I1571" s="183" t="e">
        <f t="shared" si="181"/>
        <v>#VALUE!</v>
      </c>
    </row>
    <row r="1572" spans="1:9" x14ac:dyDescent="0.25">
      <c r="A1572" s="180">
        <f t="shared" ca="1" si="182"/>
        <v>47644</v>
      </c>
      <c r="B1572" s="181">
        <v>1540</v>
      </c>
      <c r="C1572" s="182" t="e">
        <f t="shared" si="176"/>
        <v>#VALUE!</v>
      </c>
      <c r="D1572" s="182" t="e">
        <f t="shared" si="177"/>
        <v>#VALUE!</v>
      </c>
      <c r="E1572" s="182" t="e">
        <f t="shared" si="178"/>
        <v>#VALUE!</v>
      </c>
      <c r="F1572" s="182" t="e">
        <f>SUM($D$33:D1572)</f>
        <v>#VALUE!</v>
      </c>
      <c r="G1572" s="182">
        <f t="shared" ca="1" si="179"/>
        <v>0</v>
      </c>
      <c r="H1572" s="182" t="e">
        <f t="shared" si="180"/>
        <v>#VALUE!</v>
      </c>
      <c r="I1572" s="183" t="e">
        <f t="shared" si="181"/>
        <v>#VALUE!</v>
      </c>
    </row>
    <row r="1573" spans="1:9" x14ac:dyDescent="0.25">
      <c r="A1573" s="180">
        <f t="shared" ca="1" si="182"/>
        <v>47645</v>
      </c>
      <c r="B1573" s="181">
        <v>1541</v>
      </c>
      <c r="C1573" s="182" t="e">
        <f t="shared" si="176"/>
        <v>#VALUE!</v>
      </c>
      <c r="D1573" s="182" t="e">
        <f t="shared" si="177"/>
        <v>#VALUE!</v>
      </c>
      <c r="E1573" s="182" t="e">
        <f t="shared" si="178"/>
        <v>#VALUE!</v>
      </c>
      <c r="F1573" s="182" t="e">
        <f>SUM($D$33:D1573)</f>
        <v>#VALUE!</v>
      </c>
      <c r="G1573" s="182">
        <f t="shared" ca="1" si="179"/>
        <v>0</v>
      </c>
      <c r="H1573" s="182" t="e">
        <f t="shared" si="180"/>
        <v>#VALUE!</v>
      </c>
      <c r="I1573" s="183" t="e">
        <f t="shared" si="181"/>
        <v>#VALUE!</v>
      </c>
    </row>
    <row r="1574" spans="1:9" x14ac:dyDescent="0.25">
      <c r="A1574" s="180">
        <f t="shared" ca="1" si="182"/>
        <v>47646</v>
      </c>
      <c r="B1574" s="181">
        <v>1542</v>
      </c>
      <c r="C1574" s="182" t="e">
        <f t="shared" si="176"/>
        <v>#VALUE!</v>
      </c>
      <c r="D1574" s="182" t="e">
        <f t="shared" si="177"/>
        <v>#VALUE!</v>
      </c>
      <c r="E1574" s="182" t="e">
        <f t="shared" si="178"/>
        <v>#VALUE!</v>
      </c>
      <c r="F1574" s="182" t="e">
        <f>SUM($D$33:D1574)</f>
        <v>#VALUE!</v>
      </c>
      <c r="G1574" s="182">
        <f t="shared" ca="1" si="179"/>
        <v>0</v>
      </c>
      <c r="H1574" s="182" t="e">
        <f t="shared" si="180"/>
        <v>#VALUE!</v>
      </c>
      <c r="I1574" s="183" t="e">
        <f t="shared" si="181"/>
        <v>#VALUE!</v>
      </c>
    </row>
    <row r="1575" spans="1:9" x14ac:dyDescent="0.25">
      <c r="A1575" s="180">
        <f t="shared" ca="1" si="182"/>
        <v>47647</v>
      </c>
      <c r="B1575" s="181">
        <v>1543</v>
      </c>
      <c r="C1575" s="182" t="e">
        <f t="shared" si="176"/>
        <v>#VALUE!</v>
      </c>
      <c r="D1575" s="182" t="e">
        <f t="shared" si="177"/>
        <v>#VALUE!</v>
      </c>
      <c r="E1575" s="182" t="e">
        <f t="shared" si="178"/>
        <v>#VALUE!</v>
      </c>
      <c r="F1575" s="182" t="e">
        <f>SUM($D$33:D1575)</f>
        <v>#VALUE!</v>
      </c>
      <c r="G1575" s="182">
        <f t="shared" ca="1" si="179"/>
        <v>0</v>
      </c>
      <c r="H1575" s="182" t="e">
        <f t="shared" si="180"/>
        <v>#VALUE!</v>
      </c>
      <c r="I1575" s="183" t="e">
        <f t="shared" si="181"/>
        <v>#VALUE!</v>
      </c>
    </row>
    <row r="1576" spans="1:9" x14ac:dyDescent="0.25">
      <c r="A1576" s="180">
        <f t="shared" ca="1" si="182"/>
        <v>47648</v>
      </c>
      <c r="B1576" s="181">
        <v>1544</v>
      </c>
      <c r="C1576" s="182" t="e">
        <f t="shared" si="176"/>
        <v>#VALUE!</v>
      </c>
      <c r="D1576" s="182" t="e">
        <f t="shared" si="177"/>
        <v>#VALUE!</v>
      </c>
      <c r="E1576" s="182" t="e">
        <f t="shared" si="178"/>
        <v>#VALUE!</v>
      </c>
      <c r="F1576" s="182" t="e">
        <f>SUM($D$33:D1576)</f>
        <v>#VALUE!</v>
      </c>
      <c r="G1576" s="182">
        <f t="shared" ca="1" si="179"/>
        <v>0</v>
      </c>
      <c r="H1576" s="182" t="e">
        <f t="shared" si="180"/>
        <v>#VALUE!</v>
      </c>
      <c r="I1576" s="183" t="e">
        <f t="shared" si="181"/>
        <v>#VALUE!</v>
      </c>
    </row>
    <row r="1577" spans="1:9" x14ac:dyDescent="0.25">
      <c r="A1577" s="180">
        <f t="shared" ca="1" si="182"/>
        <v>47649</v>
      </c>
      <c r="B1577" s="181">
        <v>1545</v>
      </c>
      <c r="C1577" s="182" t="e">
        <f t="shared" si="176"/>
        <v>#VALUE!</v>
      </c>
      <c r="D1577" s="182" t="e">
        <f t="shared" si="177"/>
        <v>#VALUE!</v>
      </c>
      <c r="E1577" s="182" t="e">
        <f t="shared" si="178"/>
        <v>#VALUE!</v>
      </c>
      <c r="F1577" s="182" t="e">
        <f>SUM($D$33:D1577)</f>
        <v>#VALUE!</v>
      </c>
      <c r="G1577" s="182">
        <f t="shared" ca="1" si="179"/>
        <v>0</v>
      </c>
      <c r="H1577" s="182" t="e">
        <f t="shared" si="180"/>
        <v>#VALUE!</v>
      </c>
      <c r="I1577" s="183" t="e">
        <f t="shared" si="181"/>
        <v>#VALUE!</v>
      </c>
    </row>
    <row r="1578" spans="1:9" x14ac:dyDescent="0.25">
      <c r="A1578" s="180">
        <f t="shared" ca="1" si="182"/>
        <v>47650</v>
      </c>
      <c r="B1578" s="181">
        <v>1546</v>
      </c>
      <c r="C1578" s="182" t="e">
        <f t="shared" si="176"/>
        <v>#VALUE!</v>
      </c>
      <c r="D1578" s="182" t="e">
        <f t="shared" si="177"/>
        <v>#VALUE!</v>
      </c>
      <c r="E1578" s="182" t="e">
        <f t="shared" si="178"/>
        <v>#VALUE!</v>
      </c>
      <c r="F1578" s="182" t="e">
        <f>SUM($D$33:D1578)</f>
        <v>#VALUE!</v>
      </c>
      <c r="G1578" s="182">
        <f t="shared" ca="1" si="179"/>
        <v>0</v>
      </c>
      <c r="H1578" s="182" t="e">
        <f t="shared" si="180"/>
        <v>#VALUE!</v>
      </c>
      <c r="I1578" s="183" t="e">
        <f t="shared" si="181"/>
        <v>#VALUE!</v>
      </c>
    </row>
    <row r="1579" spans="1:9" x14ac:dyDescent="0.25">
      <c r="A1579" s="180">
        <f t="shared" ca="1" si="182"/>
        <v>47651</v>
      </c>
      <c r="B1579" s="181">
        <v>1547</v>
      </c>
      <c r="C1579" s="182" t="e">
        <f t="shared" si="176"/>
        <v>#VALUE!</v>
      </c>
      <c r="D1579" s="182" t="e">
        <f t="shared" si="177"/>
        <v>#VALUE!</v>
      </c>
      <c r="E1579" s="182" t="e">
        <f t="shared" si="178"/>
        <v>#VALUE!</v>
      </c>
      <c r="F1579" s="182" t="e">
        <f>SUM($D$33:D1579)</f>
        <v>#VALUE!</v>
      </c>
      <c r="G1579" s="182">
        <f t="shared" ca="1" si="179"/>
        <v>0</v>
      </c>
      <c r="H1579" s="182" t="e">
        <f t="shared" si="180"/>
        <v>#VALUE!</v>
      </c>
      <c r="I1579" s="183" t="e">
        <f t="shared" si="181"/>
        <v>#VALUE!</v>
      </c>
    </row>
    <row r="1580" spans="1:9" x14ac:dyDescent="0.25">
      <c r="A1580" s="180">
        <f t="shared" ca="1" si="182"/>
        <v>47652</v>
      </c>
      <c r="B1580" s="181">
        <v>1548</v>
      </c>
      <c r="C1580" s="182" t="e">
        <f t="shared" si="176"/>
        <v>#VALUE!</v>
      </c>
      <c r="D1580" s="182" t="e">
        <f t="shared" si="177"/>
        <v>#VALUE!</v>
      </c>
      <c r="E1580" s="182" t="e">
        <f t="shared" si="178"/>
        <v>#VALUE!</v>
      </c>
      <c r="F1580" s="182" t="e">
        <f>SUM($D$33:D1580)</f>
        <v>#VALUE!</v>
      </c>
      <c r="G1580" s="182">
        <f t="shared" ca="1" si="179"/>
        <v>0</v>
      </c>
      <c r="H1580" s="182" t="e">
        <f t="shared" si="180"/>
        <v>#VALUE!</v>
      </c>
      <c r="I1580" s="183" t="e">
        <f t="shared" si="181"/>
        <v>#VALUE!</v>
      </c>
    </row>
    <row r="1581" spans="1:9" x14ac:dyDescent="0.25">
      <c r="A1581" s="180">
        <f t="shared" ca="1" si="182"/>
        <v>47653</v>
      </c>
      <c r="B1581" s="181">
        <v>1549</v>
      </c>
      <c r="C1581" s="182" t="e">
        <f t="shared" si="176"/>
        <v>#VALUE!</v>
      </c>
      <c r="D1581" s="182" t="e">
        <f t="shared" si="177"/>
        <v>#VALUE!</v>
      </c>
      <c r="E1581" s="182" t="e">
        <f t="shared" si="178"/>
        <v>#VALUE!</v>
      </c>
      <c r="F1581" s="182" t="e">
        <f>SUM($D$33:D1581)</f>
        <v>#VALUE!</v>
      </c>
      <c r="G1581" s="182">
        <f t="shared" ca="1" si="179"/>
        <v>0</v>
      </c>
      <c r="H1581" s="182" t="e">
        <f t="shared" si="180"/>
        <v>#VALUE!</v>
      </c>
      <c r="I1581" s="183" t="e">
        <f t="shared" si="181"/>
        <v>#VALUE!</v>
      </c>
    </row>
    <row r="1582" spans="1:9" x14ac:dyDescent="0.25">
      <c r="A1582" s="180">
        <f t="shared" ca="1" si="182"/>
        <v>47654</v>
      </c>
      <c r="B1582" s="181">
        <v>1550</v>
      </c>
      <c r="C1582" s="182" t="e">
        <f t="shared" si="176"/>
        <v>#VALUE!</v>
      </c>
      <c r="D1582" s="182" t="e">
        <f t="shared" si="177"/>
        <v>#VALUE!</v>
      </c>
      <c r="E1582" s="182" t="e">
        <f t="shared" si="178"/>
        <v>#VALUE!</v>
      </c>
      <c r="F1582" s="182" t="e">
        <f>SUM($D$33:D1582)</f>
        <v>#VALUE!</v>
      </c>
      <c r="G1582" s="182">
        <f t="shared" ca="1" si="179"/>
        <v>0</v>
      </c>
      <c r="H1582" s="182" t="e">
        <f t="shared" si="180"/>
        <v>#VALUE!</v>
      </c>
      <c r="I1582" s="183" t="e">
        <f t="shared" si="181"/>
        <v>#VALUE!</v>
      </c>
    </row>
    <row r="1583" spans="1:9" x14ac:dyDescent="0.25">
      <c r="A1583" s="180">
        <f t="shared" ca="1" si="182"/>
        <v>47655</v>
      </c>
      <c r="B1583" s="181">
        <v>1551</v>
      </c>
      <c r="C1583" s="182" t="e">
        <f t="shared" si="176"/>
        <v>#VALUE!</v>
      </c>
      <c r="D1583" s="182" t="e">
        <f t="shared" si="177"/>
        <v>#VALUE!</v>
      </c>
      <c r="E1583" s="182" t="e">
        <f t="shared" si="178"/>
        <v>#VALUE!</v>
      </c>
      <c r="F1583" s="182" t="e">
        <f>SUM($D$33:D1583)</f>
        <v>#VALUE!</v>
      </c>
      <c r="G1583" s="182">
        <f t="shared" ca="1" si="179"/>
        <v>0</v>
      </c>
      <c r="H1583" s="182" t="e">
        <f t="shared" si="180"/>
        <v>#VALUE!</v>
      </c>
      <c r="I1583" s="183" t="e">
        <f t="shared" si="181"/>
        <v>#VALUE!</v>
      </c>
    </row>
    <row r="1584" spans="1:9" x14ac:dyDescent="0.25">
      <c r="A1584" s="180">
        <f t="shared" ca="1" si="182"/>
        <v>47656</v>
      </c>
      <c r="B1584" s="181">
        <v>1552</v>
      </c>
      <c r="C1584" s="182" t="e">
        <f t="shared" si="176"/>
        <v>#VALUE!</v>
      </c>
      <c r="D1584" s="182" t="e">
        <f t="shared" si="177"/>
        <v>#VALUE!</v>
      </c>
      <c r="E1584" s="182" t="e">
        <f t="shared" si="178"/>
        <v>#VALUE!</v>
      </c>
      <c r="F1584" s="182" t="e">
        <f>SUM($D$33:D1584)</f>
        <v>#VALUE!</v>
      </c>
      <c r="G1584" s="182">
        <f t="shared" ca="1" si="179"/>
        <v>0</v>
      </c>
      <c r="H1584" s="182" t="e">
        <f t="shared" si="180"/>
        <v>#VALUE!</v>
      </c>
      <c r="I1584" s="183" t="e">
        <f t="shared" si="181"/>
        <v>#VALUE!</v>
      </c>
    </row>
    <row r="1585" spans="1:9" x14ac:dyDescent="0.25">
      <c r="A1585" s="180">
        <f t="shared" ca="1" si="182"/>
        <v>47657</v>
      </c>
      <c r="B1585" s="181">
        <v>1553</v>
      </c>
      <c r="C1585" s="182" t="e">
        <f t="shared" si="176"/>
        <v>#VALUE!</v>
      </c>
      <c r="D1585" s="182" t="e">
        <f t="shared" si="177"/>
        <v>#VALUE!</v>
      </c>
      <c r="E1585" s="182" t="e">
        <f t="shared" si="178"/>
        <v>#VALUE!</v>
      </c>
      <c r="F1585" s="182" t="e">
        <f>SUM($D$33:D1585)</f>
        <v>#VALUE!</v>
      </c>
      <c r="G1585" s="182">
        <f t="shared" ca="1" si="179"/>
        <v>0</v>
      </c>
      <c r="H1585" s="182" t="e">
        <f t="shared" si="180"/>
        <v>#VALUE!</v>
      </c>
      <c r="I1585" s="183" t="e">
        <f t="shared" si="181"/>
        <v>#VALUE!</v>
      </c>
    </row>
    <row r="1586" spans="1:9" x14ac:dyDescent="0.25">
      <c r="A1586" s="180">
        <f t="shared" ca="1" si="182"/>
        <v>47658</v>
      </c>
      <c r="B1586" s="181">
        <v>1554</v>
      </c>
      <c r="C1586" s="182" t="e">
        <f t="shared" si="176"/>
        <v>#VALUE!</v>
      </c>
      <c r="D1586" s="182" t="e">
        <f t="shared" si="177"/>
        <v>#VALUE!</v>
      </c>
      <c r="E1586" s="182" t="e">
        <f t="shared" si="178"/>
        <v>#VALUE!</v>
      </c>
      <c r="F1586" s="182" t="e">
        <f>SUM($D$33:D1586)</f>
        <v>#VALUE!</v>
      </c>
      <c r="G1586" s="182">
        <f t="shared" ca="1" si="179"/>
        <v>0</v>
      </c>
      <c r="H1586" s="182" t="e">
        <f t="shared" si="180"/>
        <v>#VALUE!</v>
      </c>
      <c r="I1586" s="183" t="e">
        <f t="shared" si="181"/>
        <v>#VALUE!</v>
      </c>
    </row>
    <row r="1587" spans="1:9" x14ac:dyDescent="0.25">
      <c r="A1587" s="180">
        <f t="shared" ca="1" si="182"/>
        <v>47659</v>
      </c>
      <c r="B1587" s="181">
        <v>1555</v>
      </c>
      <c r="C1587" s="182" t="e">
        <f t="shared" si="176"/>
        <v>#VALUE!</v>
      </c>
      <c r="D1587" s="182" t="e">
        <f t="shared" si="177"/>
        <v>#VALUE!</v>
      </c>
      <c r="E1587" s="182" t="e">
        <f t="shared" si="178"/>
        <v>#VALUE!</v>
      </c>
      <c r="F1587" s="182" t="e">
        <f>SUM($D$33:D1587)</f>
        <v>#VALUE!</v>
      </c>
      <c r="G1587" s="182">
        <f t="shared" ca="1" si="179"/>
        <v>0</v>
      </c>
      <c r="H1587" s="182" t="e">
        <f t="shared" si="180"/>
        <v>#VALUE!</v>
      </c>
      <c r="I1587" s="183" t="e">
        <f t="shared" si="181"/>
        <v>#VALUE!</v>
      </c>
    </row>
    <row r="1588" spans="1:9" x14ac:dyDescent="0.25">
      <c r="A1588" s="180">
        <f t="shared" ca="1" si="182"/>
        <v>47660</v>
      </c>
      <c r="B1588" s="181">
        <v>1556</v>
      </c>
      <c r="C1588" s="182" t="e">
        <f t="shared" si="176"/>
        <v>#VALUE!</v>
      </c>
      <c r="D1588" s="182" t="e">
        <f t="shared" si="177"/>
        <v>#VALUE!</v>
      </c>
      <c r="E1588" s="182" t="e">
        <f t="shared" si="178"/>
        <v>#VALUE!</v>
      </c>
      <c r="F1588" s="182" t="e">
        <f>SUM($D$33:D1588)</f>
        <v>#VALUE!</v>
      </c>
      <c r="G1588" s="182">
        <f t="shared" ca="1" si="179"/>
        <v>0</v>
      </c>
      <c r="H1588" s="182" t="e">
        <f t="shared" si="180"/>
        <v>#VALUE!</v>
      </c>
      <c r="I1588" s="183" t="e">
        <f t="shared" si="181"/>
        <v>#VALUE!</v>
      </c>
    </row>
    <row r="1589" spans="1:9" x14ac:dyDescent="0.25">
      <c r="A1589" s="180">
        <f t="shared" ca="1" si="182"/>
        <v>47661</v>
      </c>
      <c r="B1589" s="181">
        <v>1557</v>
      </c>
      <c r="C1589" s="182" t="e">
        <f t="shared" si="176"/>
        <v>#VALUE!</v>
      </c>
      <c r="D1589" s="182" t="e">
        <f t="shared" si="177"/>
        <v>#VALUE!</v>
      </c>
      <c r="E1589" s="182" t="e">
        <f t="shared" si="178"/>
        <v>#VALUE!</v>
      </c>
      <c r="F1589" s="182" t="e">
        <f>SUM($D$33:D1589)</f>
        <v>#VALUE!</v>
      </c>
      <c r="G1589" s="182">
        <f t="shared" ca="1" si="179"/>
        <v>0</v>
      </c>
      <c r="H1589" s="182" t="e">
        <f t="shared" si="180"/>
        <v>#VALUE!</v>
      </c>
      <c r="I1589" s="183" t="e">
        <f t="shared" si="181"/>
        <v>#VALUE!</v>
      </c>
    </row>
    <row r="1590" spans="1:9" x14ac:dyDescent="0.25">
      <c r="A1590" s="180">
        <f t="shared" ca="1" si="182"/>
        <v>47662</v>
      </c>
      <c r="B1590" s="181">
        <v>1558</v>
      </c>
      <c r="C1590" s="182" t="e">
        <f t="shared" si="176"/>
        <v>#VALUE!</v>
      </c>
      <c r="D1590" s="182" t="e">
        <f t="shared" si="177"/>
        <v>#VALUE!</v>
      </c>
      <c r="E1590" s="182" t="e">
        <f t="shared" si="178"/>
        <v>#VALUE!</v>
      </c>
      <c r="F1590" s="182" t="e">
        <f>SUM($D$33:D1590)</f>
        <v>#VALUE!</v>
      </c>
      <c r="G1590" s="182">
        <f t="shared" ca="1" si="179"/>
        <v>0</v>
      </c>
      <c r="H1590" s="182" t="e">
        <f t="shared" si="180"/>
        <v>#VALUE!</v>
      </c>
      <c r="I1590" s="183" t="e">
        <f t="shared" si="181"/>
        <v>#VALUE!</v>
      </c>
    </row>
    <row r="1591" spans="1:9" x14ac:dyDescent="0.25">
      <c r="A1591" s="180">
        <f t="shared" ca="1" si="182"/>
        <v>47663</v>
      </c>
      <c r="B1591" s="181">
        <v>1559</v>
      </c>
      <c r="C1591" s="182" t="e">
        <f t="shared" si="176"/>
        <v>#VALUE!</v>
      </c>
      <c r="D1591" s="182" t="e">
        <f t="shared" si="177"/>
        <v>#VALUE!</v>
      </c>
      <c r="E1591" s="182" t="e">
        <f t="shared" si="178"/>
        <v>#VALUE!</v>
      </c>
      <c r="F1591" s="182" t="e">
        <f>SUM($D$33:D1591)</f>
        <v>#VALUE!</v>
      </c>
      <c r="G1591" s="182">
        <f t="shared" ca="1" si="179"/>
        <v>0</v>
      </c>
      <c r="H1591" s="182" t="e">
        <f t="shared" si="180"/>
        <v>#VALUE!</v>
      </c>
      <c r="I1591" s="183" t="e">
        <f t="shared" si="181"/>
        <v>#VALUE!</v>
      </c>
    </row>
    <row r="1592" spans="1:9" x14ac:dyDescent="0.25">
      <c r="A1592" s="180">
        <f t="shared" ca="1" si="182"/>
        <v>47664</v>
      </c>
      <c r="B1592" s="181">
        <v>1560</v>
      </c>
      <c r="C1592" s="182" t="e">
        <f t="shared" si="176"/>
        <v>#VALUE!</v>
      </c>
      <c r="D1592" s="182" t="e">
        <f t="shared" si="177"/>
        <v>#VALUE!</v>
      </c>
      <c r="E1592" s="182" t="e">
        <f t="shared" si="178"/>
        <v>#VALUE!</v>
      </c>
      <c r="F1592" s="182" t="e">
        <f>SUM($D$33:D1592)</f>
        <v>#VALUE!</v>
      </c>
      <c r="G1592" s="182">
        <f t="shared" ca="1" si="179"/>
        <v>0</v>
      </c>
      <c r="H1592" s="182" t="e">
        <f t="shared" si="180"/>
        <v>#VALUE!</v>
      </c>
      <c r="I1592" s="183" t="e">
        <f t="shared" si="181"/>
        <v>#VALUE!</v>
      </c>
    </row>
    <row r="1593" spans="1:9" x14ac:dyDescent="0.25">
      <c r="A1593" s="180">
        <f t="shared" ca="1" si="182"/>
        <v>47665</v>
      </c>
      <c r="B1593" s="181">
        <v>1561</v>
      </c>
      <c r="C1593" s="182" t="e">
        <f t="shared" si="176"/>
        <v>#VALUE!</v>
      </c>
      <c r="D1593" s="182" t="e">
        <f t="shared" si="177"/>
        <v>#VALUE!</v>
      </c>
      <c r="E1593" s="182" t="e">
        <f t="shared" si="178"/>
        <v>#VALUE!</v>
      </c>
      <c r="F1593" s="182" t="e">
        <f>SUM($D$33:D1593)</f>
        <v>#VALUE!</v>
      </c>
      <c r="G1593" s="182">
        <f t="shared" ca="1" si="179"/>
        <v>0</v>
      </c>
      <c r="H1593" s="182" t="e">
        <f t="shared" si="180"/>
        <v>#VALUE!</v>
      </c>
      <c r="I1593" s="183" t="e">
        <f t="shared" si="181"/>
        <v>#VALUE!</v>
      </c>
    </row>
    <row r="1594" spans="1:9" x14ac:dyDescent="0.25">
      <c r="A1594" s="180">
        <f t="shared" ca="1" si="182"/>
        <v>47666</v>
      </c>
      <c r="B1594" s="181">
        <v>1562</v>
      </c>
      <c r="C1594" s="182" t="e">
        <f t="shared" si="176"/>
        <v>#VALUE!</v>
      </c>
      <c r="D1594" s="182" t="e">
        <f t="shared" si="177"/>
        <v>#VALUE!</v>
      </c>
      <c r="E1594" s="182" t="e">
        <f t="shared" si="178"/>
        <v>#VALUE!</v>
      </c>
      <c r="F1594" s="182" t="e">
        <f>SUM($D$33:D1594)</f>
        <v>#VALUE!</v>
      </c>
      <c r="G1594" s="182">
        <f t="shared" ca="1" si="179"/>
        <v>0</v>
      </c>
      <c r="H1594" s="182" t="e">
        <f t="shared" si="180"/>
        <v>#VALUE!</v>
      </c>
      <c r="I1594" s="183" t="e">
        <f t="shared" si="181"/>
        <v>#VALUE!</v>
      </c>
    </row>
    <row r="1595" spans="1:9" x14ac:dyDescent="0.25">
      <c r="A1595" s="180">
        <f t="shared" ca="1" si="182"/>
        <v>47667</v>
      </c>
      <c r="B1595" s="181">
        <v>1563</v>
      </c>
      <c r="C1595" s="182" t="e">
        <f t="shared" si="176"/>
        <v>#VALUE!</v>
      </c>
      <c r="D1595" s="182" t="e">
        <f t="shared" si="177"/>
        <v>#VALUE!</v>
      </c>
      <c r="E1595" s="182" t="e">
        <f t="shared" si="178"/>
        <v>#VALUE!</v>
      </c>
      <c r="F1595" s="182" t="e">
        <f>SUM($D$33:D1595)</f>
        <v>#VALUE!</v>
      </c>
      <c r="G1595" s="182">
        <f t="shared" ca="1" si="179"/>
        <v>0</v>
      </c>
      <c r="H1595" s="182" t="e">
        <f t="shared" si="180"/>
        <v>#VALUE!</v>
      </c>
      <c r="I1595" s="183" t="e">
        <f t="shared" si="181"/>
        <v>#VALUE!</v>
      </c>
    </row>
    <row r="1596" spans="1:9" x14ac:dyDescent="0.25">
      <c r="A1596" s="180">
        <f t="shared" ca="1" si="182"/>
        <v>47668</v>
      </c>
      <c r="B1596" s="181">
        <v>1564</v>
      </c>
      <c r="C1596" s="182" t="e">
        <f t="shared" si="176"/>
        <v>#VALUE!</v>
      </c>
      <c r="D1596" s="182" t="e">
        <f t="shared" si="177"/>
        <v>#VALUE!</v>
      </c>
      <c r="E1596" s="182" t="e">
        <f t="shared" si="178"/>
        <v>#VALUE!</v>
      </c>
      <c r="F1596" s="182" t="e">
        <f>SUM($D$33:D1596)</f>
        <v>#VALUE!</v>
      </c>
      <c r="G1596" s="182">
        <f t="shared" ca="1" si="179"/>
        <v>0</v>
      </c>
      <c r="H1596" s="182" t="e">
        <f t="shared" si="180"/>
        <v>#VALUE!</v>
      </c>
      <c r="I1596" s="183" t="e">
        <f t="shared" si="181"/>
        <v>#VALUE!</v>
      </c>
    </row>
    <row r="1597" spans="1:9" x14ac:dyDescent="0.25">
      <c r="A1597" s="180">
        <f t="shared" ca="1" si="182"/>
        <v>47669</v>
      </c>
      <c r="B1597" s="181">
        <v>1565</v>
      </c>
      <c r="C1597" s="182" t="e">
        <f t="shared" si="176"/>
        <v>#VALUE!</v>
      </c>
      <c r="D1597" s="182" t="e">
        <f t="shared" si="177"/>
        <v>#VALUE!</v>
      </c>
      <c r="E1597" s="182" t="e">
        <f t="shared" si="178"/>
        <v>#VALUE!</v>
      </c>
      <c r="F1597" s="182" t="e">
        <f>SUM($D$33:D1597)</f>
        <v>#VALUE!</v>
      </c>
      <c r="G1597" s="182">
        <f t="shared" ca="1" si="179"/>
        <v>0</v>
      </c>
      <c r="H1597" s="182" t="e">
        <f t="shared" si="180"/>
        <v>#VALUE!</v>
      </c>
      <c r="I1597" s="183" t="e">
        <f t="shared" si="181"/>
        <v>#VALUE!</v>
      </c>
    </row>
    <row r="1598" spans="1:9" x14ac:dyDescent="0.25">
      <c r="A1598" s="180">
        <f t="shared" ca="1" si="182"/>
        <v>47670</v>
      </c>
      <c r="B1598" s="181">
        <v>1566</v>
      </c>
      <c r="C1598" s="182" t="e">
        <f t="shared" si="176"/>
        <v>#VALUE!</v>
      </c>
      <c r="D1598" s="182" t="e">
        <f t="shared" si="177"/>
        <v>#VALUE!</v>
      </c>
      <c r="E1598" s="182" t="e">
        <f t="shared" si="178"/>
        <v>#VALUE!</v>
      </c>
      <c r="F1598" s="182" t="e">
        <f>SUM($D$33:D1598)</f>
        <v>#VALUE!</v>
      </c>
      <c r="G1598" s="182">
        <f t="shared" ca="1" si="179"/>
        <v>0</v>
      </c>
      <c r="H1598" s="182" t="e">
        <f t="shared" si="180"/>
        <v>#VALUE!</v>
      </c>
      <c r="I1598" s="183" t="e">
        <f t="shared" si="181"/>
        <v>#VALUE!</v>
      </c>
    </row>
    <row r="1599" spans="1:9" x14ac:dyDescent="0.25">
      <c r="A1599" s="180">
        <f t="shared" ca="1" si="182"/>
        <v>47671</v>
      </c>
      <c r="B1599" s="181">
        <v>1567</v>
      </c>
      <c r="C1599" s="182" t="e">
        <f t="shared" si="176"/>
        <v>#VALUE!</v>
      </c>
      <c r="D1599" s="182" t="e">
        <f t="shared" si="177"/>
        <v>#VALUE!</v>
      </c>
      <c r="E1599" s="182" t="e">
        <f t="shared" si="178"/>
        <v>#VALUE!</v>
      </c>
      <c r="F1599" s="182" t="e">
        <f>SUM($D$33:D1599)</f>
        <v>#VALUE!</v>
      </c>
      <c r="G1599" s="182">
        <f t="shared" ca="1" si="179"/>
        <v>0</v>
      </c>
      <c r="H1599" s="182" t="e">
        <f t="shared" si="180"/>
        <v>#VALUE!</v>
      </c>
      <c r="I1599" s="183" t="e">
        <f t="shared" si="181"/>
        <v>#VALUE!</v>
      </c>
    </row>
    <row r="1600" spans="1:9" x14ac:dyDescent="0.25">
      <c r="A1600" s="180">
        <f t="shared" ca="1" si="182"/>
        <v>47672</v>
      </c>
      <c r="B1600" s="181">
        <v>1568</v>
      </c>
      <c r="C1600" s="182" t="e">
        <f t="shared" si="176"/>
        <v>#VALUE!</v>
      </c>
      <c r="D1600" s="182" t="e">
        <f t="shared" si="177"/>
        <v>#VALUE!</v>
      </c>
      <c r="E1600" s="182" t="e">
        <f t="shared" si="178"/>
        <v>#VALUE!</v>
      </c>
      <c r="F1600" s="182" t="e">
        <f>SUM($D$33:D1600)</f>
        <v>#VALUE!</v>
      </c>
      <c r="G1600" s="182">
        <f t="shared" ca="1" si="179"/>
        <v>0</v>
      </c>
      <c r="H1600" s="182" t="e">
        <f t="shared" si="180"/>
        <v>#VALUE!</v>
      </c>
      <c r="I1600" s="183" t="e">
        <f t="shared" si="181"/>
        <v>#VALUE!</v>
      </c>
    </row>
    <row r="1601" spans="1:9" x14ac:dyDescent="0.25">
      <c r="A1601" s="180">
        <f t="shared" ca="1" si="182"/>
        <v>47673</v>
      </c>
      <c r="B1601" s="181">
        <v>1569</v>
      </c>
      <c r="C1601" s="182" t="e">
        <f t="shared" si="176"/>
        <v>#VALUE!</v>
      </c>
      <c r="D1601" s="182" t="e">
        <f t="shared" si="177"/>
        <v>#VALUE!</v>
      </c>
      <c r="E1601" s="182" t="e">
        <f t="shared" si="178"/>
        <v>#VALUE!</v>
      </c>
      <c r="F1601" s="182" t="e">
        <f>SUM($D$33:D1601)</f>
        <v>#VALUE!</v>
      </c>
      <c r="G1601" s="182">
        <f t="shared" ca="1" si="179"/>
        <v>0</v>
      </c>
      <c r="H1601" s="182" t="e">
        <f t="shared" si="180"/>
        <v>#VALUE!</v>
      </c>
      <c r="I1601" s="183" t="e">
        <f t="shared" si="181"/>
        <v>#VALUE!</v>
      </c>
    </row>
    <row r="1602" spans="1:9" x14ac:dyDescent="0.25">
      <c r="A1602" s="180">
        <f t="shared" ca="1" si="182"/>
        <v>47674</v>
      </c>
      <c r="B1602" s="181">
        <v>1570</v>
      </c>
      <c r="C1602" s="182" t="e">
        <f t="shared" si="176"/>
        <v>#VALUE!</v>
      </c>
      <c r="D1602" s="182" t="e">
        <f t="shared" si="177"/>
        <v>#VALUE!</v>
      </c>
      <c r="E1602" s="182" t="e">
        <f t="shared" si="178"/>
        <v>#VALUE!</v>
      </c>
      <c r="F1602" s="182" t="e">
        <f>SUM($D$33:D1602)</f>
        <v>#VALUE!</v>
      </c>
      <c r="G1602" s="182">
        <f t="shared" ca="1" si="179"/>
        <v>0</v>
      </c>
      <c r="H1602" s="182" t="e">
        <f t="shared" si="180"/>
        <v>#VALUE!</v>
      </c>
      <c r="I1602" s="183" t="e">
        <f t="shared" si="181"/>
        <v>#VALUE!</v>
      </c>
    </row>
    <row r="1603" spans="1:9" x14ac:dyDescent="0.25">
      <c r="A1603" s="180">
        <f t="shared" ca="1" si="182"/>
        <v>47675</v>
      </c>
      <c r="B1603" s="181">
        <v>1571</v>
      </c>
      <c r="C1603" s="182" t="e">
        <f t="shared" si="176"/>
        <v>#VALUE!</v>
      </c>
      <c r="D1603" s="182" t="e">
        <f t="shared" si="177"/>
        <v>#VALUE!</v>
      </c>
      <c r="E1603" s="182" t="e">
        <f t="shared" si="178"/>
        <v>#VALUE!</v>
      </c>
      <c r="F1603" s="182" t="e">
        <f>SUM($D$33:D1603)</f>
        <v>#VALUE!</v>
      </c>
      <c r="G1603" s="182">
        <f t="shared" ca="1" si="179"/>
        <v>0</v>
      </c>
      <c r="H1603" s="182" t="e">
        <f t="shared" si="180"/>
        <v>#VALUE!</v>
      </c>
      <c r="I1603" s="183" t="e">
        <f t="shared" si="181"/>
        <v>#VALUE!</v>
      </c>
    </row>
    <row r="1604" spans="1:9" x14ac:dyDescent="0.25">
      <c r="A1604" s="180">
        <f t="shared" ca="1" si="182"/>
        <v>47676</v>
      </c>
      <c r="B1604" s="181">
        <v>1572</v>
      </c>
      <c r="C1604" s="182" t="e">
        <f t="shared" si="176"/>
        <v>#VALUE!</v>
      </c>
      <c r="D1604" s="182" t="e">
        <f t="shared" si="177"/>
        <v>#VALUE!</v>
      </c>
      <c r="E1604" s="182" t="e">
        <f t="shared" si="178"/>
        <v>#VALUE!</v>
      </c>
      <c r="F1604" s="182" t="e">
        <f>SUM($D$33:D1604)</f>
        <v>#VALUE!</v>
      </c>
      <c r="G1604" s="182">
        <f t="shared" ca="1" si="179"/>
        <v>0</v>
      </c>
      <c r="H1604" s="182" t="e">
        <f t="shared" si="180"/>
        <v>#VALUE!</v>
      </c>
      <c r="I1604" s="183" t="e">
        <f t="shared" si="181"/>
        <v>#VALUE!</v>
      </c>
    </row>
    <row r="1605" spans="1:9" x14ac:dyDescent="0.25">
      <c r="A1605" s="180">
        <f t="shared" ca="1" si="182"/>
        <v>47677</v>
      </c>
      <c r="B1605" s="181">
        <v>1573</v>
      </c>
      <c r="C1605" s="182" t="e">
        <f t="shared" si="176"/>
        <v>#VALUE!</v>
      </c>
      <c r="D1605" s="182" t="e">
        <f t="shared" si="177"/>
        <v>#VALUE!</v>
      </c>
      <c r="E1605" s="182" t="e">
        <f t="shared" si="178"/>
        <v>#VALUE!</v>
      </c>
      <c r="F1605" s="182" t="e">
        <f>SUM($D$33:D1605)</f>
        <v>#VALUE!</v>
      </c>
      <c r="G1605" s="182">
        <f t="shared" ca="1" si="179"/>
        <v>0</v>
      </c>
      <c r="H1605" s="182" t="e">
        <f t="shared" si="180"/>
        <v>#VALUE!</v>
      </c>
      <c r="I1605" s="183" t="e">
        <f t="shared" si="181"/>
        <v>#VALUE!</v>
      </c>
    </row>
    <row r="1606" spans="1:9" x14ac:dyDescent="0.25">
      <c r="A1606" s="180">
        <f t="shared" ca="1" si="182"/>
        <v>47678</v>
      </c>
      <c r="B1606" s="181">
        <v>1574</v>
      </c>
      <c r="C1606" s="182" t="e">
        <f t="shared" si="176"/>
        <v>#VALUE!</v>
      </c>
      <c r="D1606" s="182" t="e">
        <f t="shared" si="177"/>
        <v>#VALUE!</v>
      </c>
      <c r="E1606" s="182" t="e">
        <f t="shared" si="178"/>
        <v>#VALUE!</v>
      </c>
      <c r="F1606" s="182" t="e">
        <f>SUM($D$33:D1606)</f>
        <v>#VALUE!</v>
      </c>
      <c r="G1606" s="182">
        <f t="shared" ca="1" si="179"/>
        <v>0</v>
      </c>
      <c r="H1606" s="182" t="e">
        <f t="shared" si="180"/>
        <v>#VALUE!</v>
      </c>
      <c r="I1606" s="183" t="e">
        <f t="shared" si="181"/>
        <v>#VALUE!</v>
      </c>
    </row>
    <row r="1607" spans="1:9" x14ac:dyDescent="0.25">
      <c r="A1607" s="180">
        <f t="shared" ca="1" si="182"/>
        <v>47679</v>
      </c>
      <c r="B1607" s="181">
        <v>1575</v>
      </c>
      <c r="C1607" s="182" t="e">
        <f t="shared" si="176"/>
        <v>#VALUE!</v>
      </c>
      <c r="D1607" s="182" t="e">
        <f t="shared" si="177"/>
        <v>#VALUE!</v>
      </c>
      <c r="E1607" s="182" t="e">
        <f t="shared" si="178"/>
        <v>#VALUE!</v>
      </c>
      <c r="F1607" s="182" t="e">
        <f>SUM($D$33:D1607)</f>
        <v>#VALUE!</v>
      </c>
      <c r="G1607" s="182">
        <f t="shared" ca="1" si="179"/>
        <v>0</v>
      </c>
      <c r="H1607" s="182" t="e">
        <f t="shared" si="180"/>
        <v>#VALUE!</v>
      </c>
      <c r="I1607" s="183" t="e">
        <f t="shared" si="181"/>
        <v>#VALUE!</v>
      </c>
    </row>
    <row r="1608" spans="1:9" x14ac:dyDescent="0.25">
      <c r="A1608" s="180">
        <f t="shared" ca="1" si="182"/>
        <v>47680</v>
      </c>
      <c r="B1608" s="181">
        <v>1576</v>
      </c>
      <c r="C1608" s="182" t="e">
        <f t="shared" si="176"/>
        <v>#VALUE!</v>
      </c>
      <c r="D1608" s="182" t="e">
        <f t="shared" si="177"/>
        <v>#VALUE!</v>
      </c>
      <c r="E1608" s="182" t="e">
        <f t="shared" si="178"/>
        <v>#VALUE!</v>
      </c>
      <c r="F1608" s="182" t="e">
        <f>SUM($D$33:D1608)</f>
        <v>#VALUE!</v>
      </c>
      <c r="G1608" s="182">
        <f t="shared" ca="1" si="179"/>
        <v>0</v>
      </c>
      <c r="H1608" s="182" t="e">
        <f t="shared" si="180"/>
        <v>#VALUE!</v>
      </c>
      <c r="I1608" s="183" t="e">
        <f t="shared" si="181"/>
        <v>#VALUE!</v>
      </c>
    </row>
    <row r="1609" spans="1:9" x14ac:dyDescent="0.25">
      <c r="A1609" s="180">
        <f t="shared" ca="1" si="182"/>
        <v>47681</v>
      </c>
      <c r="B1609" s="181">
        <v>1577</v>
      </c>
      <c r="C1609" s="182" t="e">
        <f t="shared" si="176"/>
        <v>#VALUE!</v>
      </c>
      <c r="D1609" s="182" t="e">
        <f t="shared" si="177"/>
        <v>#VALUE!</v>
      </c>
      <c r="E1609" s="182" t="e">
        <f t="shared" si="178"/>
        <v>#VALUE!</v>
      </c>
      <c r="F1609" s="182" t="e">
        <f>SUM($D$33:D1609)</f>
        <v>#VALUE!</v>
      </c>
      <c r="G1609" s="182">
        <f t="shared" ca="1" si="179"/>
        <v>0</v>
      </c>
      <c r="H1609" s="182" t="e">
        <f t="shared" si="180"/>
        <v>#VALUE!</v>
      </c>
      <c r="I1609" s="183" t="e">
        <f t="shared" si="181"/>
        <v>#VALUE!</v>
      </c>
    </row>
    <row r="1610" spans="1:9" x14ac:dyDescent="0.25">
      <c r="A1610" s="180">
        <f t="shared" ca="1" si="182"/>
        <v>47682</v>
      </c>
      <c r="B1610" s="181">
        <v>1578</v>
      </c>
      <c r="C1610" s="182" t="e">
        <f t="shared" si="176"/>
        <v>#VALUE!</v>
      </c>
      <c r="D1610" s="182" t="e">
        <f t="shared" si="177"/>
        <v>#VALUE!</v>
      </c>
      <c r="E1610" s="182" t="e">
        <f t="shared" si="178"/>
        <v>#VALUE!</v>
      </c>
      <c r="F1610" s="182" t="e">
        <f>SUM($D$33:D1610)</f>
        <v>#VALUE!</v>
      </c>
      <c r="G1610" s="182">
        <f t="shared" ca="1" si="179"/>
        <v>0</v>
      </c>
      <c r="H1610" s="182" t="e">
        <f t="shared" si="180"/>
        <v>#VALUE!</v>
      </c>
      <c r="I1610" s="183" t="e">
        <f t="shared" si="181"/>
        <v>#VALUE!</v>
      </c>
    </row>
    <row r="1611" spans="1:9" x14ac:dyDescent="0.25">
      <c r="A1611" s="180">
        <f t="shared" ca="1" si="182"/>
        <v>47683</v>
      </c>
      <c r="B1611" s="181">
        <v>1579</v>
      </c>
      <c r="C1611" s="182" t="e">
        <f t="shared" si="176"/>
        <v>#VALUE!</v>
      </c>
      <c r="D1611" s="182" t="e">
        <f t="shared" si="177"/>
        <v>#VALUE!</v>
      </c>
      <c r="E1611" s="182" t="e">
        <f t="shared" si="178"/>
        <v>#VALUE!</v>
      </c>
      <c r="F1611" s="182" t="e">
        <f>SUM($D$33:D1611)</f>
        <v>#VALUE!</v>
      </c>
      <c r="G1611" s="182">
        <f t="shared" ca="1" si="179"/>
        <v>0</v>
      </c>
      <c r="H1611" s="182" t="e">
        <f t="shared" si="180"/>
        <v>#VALUE!</v>
      </c>
      <c r="I1611" s="183" t="e">
        <f t="shared" si="181"/>
        <v>#VALUE!</v>
      </c>
    </row>
    <row r="1612" spans="1:9" x14ac:dyDescent="0.25">
      <c r="A1612" s="180">
        <f t="shared" ca="1" si="182"/>
        <v>47684</v>
      </c>
      <c r="B1612" s="181">
        <v>1580</v>
      </c>
      <c r="C1612" s="182" t="e">
        <f t="shared" si="176"/>
        <v>#VALUE!</v>
      </c>
      <c r="D1612" s="182" t="e">
        <f t="shared" si="177"/>
        <v>#VALUE!</v>
      </c>
      <c r="E1612" s="182" t="e">
        <f t="shared" si="178"/>
        <v>#VALUE!</v>
      </c>
      <c r="F1612" s="182" t="e">
        <f>SUM($D$33:D1612)</f>
        <v>#VALUE!</v>
      </c>
      <c r="G1612" s="182">
        <f t="shared" ca="1" si="179"/>
        <v>0</v>
      </c>
      <c r="H1612" s="182" t="e">
        <f t="shared" si="180"/>
        <v>#VALUE!</v>
      </c>
      <c r="I1612" s="183" t="e">
        <f t="shared" si="181"/>
        <v>#VALUE!</v>
      </c>
    </row>
    <row r="1613" spans="1:9" x14ac:dyDescent="0.25">
      <c r="A1613" s="180">
        <f t="shared" ca="1" si="182"/>
        <v>47685</v>
      </c>
      <c r="B1613" s="181">
        <v>1581</v>
      </c>
      <c r="C1613" s="182" t="e">
        <f t="shared" si="176"/>
        <v>#VALUE!</v>
      </c>
      <c r="D1613" s="182" t="e">
        <f t="shared" si="177"/>
        <v>#VALUE!</v>
      </c>
      <c r="E1613" s="182" t="e">
        <f t="shared" si="178"/>
        <v>#VALUE!</v>
      </c>
      <c r="F1613" s="182" t="e">
        <f>SUM($D$33:D1613)</f>
        <v>#VALUE!</v>
      </c>
      <c r="G1613" s="182">
        <f t="shared" ca="1" si="179"/>
        <v>0</v>
      </c>
      <c r="H1613" s="182" t="e">
        <f t="shared" si="180"/>
        <v>#VALUE!</v>
      </c>
      <c r="I1613" s="183" t="e">
        <f t="shared" si="181"/>
        <v>#VALUE!</v>
      </c>
    </row>
    <row r="1614" spans="1:9" x14ac:dyDescent="0.25">
      <c r="A1614" s="180">
        <f t="shared" ca="1" si="182"/>
        <v>47686</v>
      </c>
      <c r="B1614" s="181">
        <v>1582</v>
      </c>
      <c r="C1614" s="182" t="e">
        <f t="shared" si="176"/>
        <v>#VALUE!</v>
      </c>
      <c r="D1614" s="182" t="e">
        <f t="shared" si="177"/>
        <v>#VALUE!</v>
      </c>
      <c r="E1614" s="182" t="e">
        <f t="shared" si="178"/>
        <v>#VALUE!</v>
      </c>
      <c r="F1614" s="182" t="e">
        <f>SUM($D$33:D1614)</f>
        <v>#VALUE!</v>
      </c>
      <c r="G1614" s="182">
        <f t="shared" ca="1" si="179"/>
        <v>0</v>
      </c>
      <c r="H1614" s="182" t="e">
        <f t="shared" si="180"/>
        <v>#VALUE!</v>
      </c>
      <c r="I1614" s="183" t="e">
        <f t="shared" si="181"/>
        <v>#VALUE!</v>
      </c>
    </row>
    <row r="1615" spans="1:9" x14ac:dyDescent="0.25">
      <c r="A1615" s="180">
        <f t="shared" ca="1" si="182"/>
        <v>47687</v>
      </c>
      <c r="B1615" s="181">
        <v>1583</v>
      </c>
      <c r="C1615" s="182" t="e">
        <f t="shared" si="176"/>
        <v>#VALUE!</v>
      </c>
      <c r="D1615" s="182" t="e">
        <f t="shared" si="177"/>
        <v>#VALUE!</v>
      </c>
      <c r="E1615" s="182" t="e">
        <f t="shared" si="178"/>
        <v>#VALUE!</v>
      </c>
      <c r="F1615" s="182" t="e">
        <f>SUM($D$33:D1615)</f>
        <v>#VALUE!</v>
      </c>
      <c r="G1615" s="182">
        <f t="shared" ca="1" si="179"/>
        <v>0</v>
      </c>
      <c r="H1615" s="182" t="e">
        <f t="shared" si="180"/>
        <v>#VALUE!</v>
      </c>
      <c r="I1615" s="183" t="e">
        <f t="shared" si="181"/>
        <v>#VALUE!</v>
      </c>
    </row>
    <row r="1616" spans="1:9" x14ac:dyDescent="0.25">
      <c r="A1616" s="180">
        <f t="shared" ca="1" si="182"/>
        <v>47688</v>
      </c>
      <c r="B1616" s="181">
        <v>1584</v>
      </c>
      <c r="C1616" s="182" t="e">
        <f t="shared" ref="C1616:C1679" si="183">H1615</f>
        <v>#VALUE!</v>
      </c>
      <c r="D1616" s="182" t="e">
        <f t="shared" ref="D1616:D1679" si="184">IF(C1616&gt;$H$21,C1616*($L$16/360),$H$21*($L$16/360))</f>
        <v>#VALUE!</v>
      </c>
      <c r="E1616" s="182" t="e">
        <f t="shared" ref="E1616:E1679" si="185">IF(E1615&gt;0,E1615-D1616,0)</f>
        <v>#VALUE!</v>
      </c>
      <c r="F1616" s="182" t="e">
        <f>SUM($D$33:D1616)</f>
        <v>#VALUE!</v>
      </c>
      <c r="G1616" s="182">
        <f t="shared" ref="G1616:G1679" ca="1" si="186">IFERROR(-VLOOKUP(A1616,$K$30:$M$36,2,FALSE),0)</f>
        <v>0</v>
      </c>
      <c r="H1616" s="182" t="e">
        <f t="shared" ref="H1616:H1679" si="187">IF(E1616&gt;0,C1616+G1616,IF(E1616&lt;0,C1616+G1616+D1616-E1615,C1616+D1616+G1616))</f>
        <v>#VALUE!</v>
      </c>
      <c r="I1616" s="183" t="e">
        <f t="shared" ref="I1616:I1679" si="188">(C1616+D1616-E1616)</f>
        <v>#VALUE!</v>
      </c>
    </row>
    <row r="1617" spans="1:9" x14ac:dyDescent="0.25">
      <c r="A1617" s="180">
        <f t="shared" ca="1" si="182"/>
        <v>47689</v>
      </c>
      <c r="B1617" s="181">
        <v>1585</v>
      </c>
      <c r="C1617" s="182" t="e">
        <f t="shared" si="183"/>
        <v>#VALUE!</v>
      </c>
      <c r="D1617" s="182" t="e">
        <f t="shared" si="184"/>
        <v>#VALUE!</v>
      </c>
      <c r="E1617" s="182" t="e">
        <f t="shared" si="185"/>
        <v>#VALUE!</v>
      </c>
      <c r="F1617" s="182" t="e">
        <f>SUM($D$33:D1617)</f>
        <v>#VALUE!</v>
      </c>
      <c r="G1617" s="182">
        <f t="shared" ca="1" si="186"/>
        <v>0</v>
      </c>
      <c r="H1617" s="182" t="e">
        <f t="shared" si="187"/>
        <v>#VALUE!</v>
      </c>
      <c r="I1617" s="183" t="e">
        <f t="shared" si="188"/>
        <v>#VALUE!</v>
      </c>
    </row>
    <row r="1618" spans="1:9" x14ac:dyDescent="0.25">
      <c r="A1618" s="180">
        <f t="shared" ca="1" si="182"/>
        <v>47690</v>
      </c>
      <c r="B1618" s="181">
        <v>1586</v>
      </c>
      <c r="C1618" s="182" t="e">
        <f t="shared" si="183"/>
        <v>#VALUE!</v>
      </c>
      <c r="D1618" s="182" t="e">
        <f t="shared" si="184"/>
        <v>#VALUE!</v>
      </c>
      <c r="E1618" s="182" t="e">
        <f t="shared" si="185"/>
        <v>#VALUE!</v>
      </c>
      <c r="F1618" s="182" t="e">
        <f>SUM($D$33:D1618)</f>
        <v>#VALUE!</v>
      </c>
      <c r="G1618" s="182">
        <f t="shared" ca="1" si="186"/>
        <v>0</v>
      </c>
      <c r="H1618" s="182" t="e">
        <f t="shared" si="187"/>
        <v>#VALUE!</v>
      </c>
      <c r="I1618" s="183" t="e">
        <f t="shared" si="188"/>
        <v>#VALUE!</v>
      </c>
    </row>
    <row r="1619" spans="1:9" x14ac:dyDescent="0.25">
      <c r="A1619" s="180">
        <f t="shared" ca="1" si="182"/>
        <v>47691</v>
      </c>
      <c r="B1619" s="181">
        <v>1587</v>
      </c>
      <c r="C1619" s="182" t="e">
        <f t="shared" si="183"/>
        <v>#VALUE!</v>
      </c>
      <c r="D1619" s="182" t="e">
        <f t="shared" si="184"/>
        <v>#VALUE!</v>
      </c>
      <c r="E1619" s="182" t="e">
        <f t="shared" si="185"/>
        <v>#VALUE!</v>
      </c>
      <c r="F1619" s="182" t="e">
        <f>SUM($D$33:D1619)</f>
        <v>#VALUE!</v>
      </c>
      <c r="G1619" s="182">
        <f t="shared" ca="1" si="186"/>
        <v>0</v>
      </c>
      <c r="H1619" s="182" t="e">
        <f t="shared" si="187"/>
        <v>#VALUE!</v>
      </c>
      <c r="I1619" s="183" t="e">
        <f t="shared" si="188"/>
        <v>#VALUE!</v>
      </c>
    </row>
    <row r="1620" spans="1:9" x14ac:dyDescent="0.25">
      <c r="A1620" s="180">
        <f t="shared" ca="1" si="182"/>
        <v>47692</v>
      </c>
      <c r="B1620" s="181">
        <v>1588</v>
      </c>
      <c r="C1620" s="182" t="e">
        <f t="shared" si="183"/>
        <v>#VALUE!</v>
      </c>
      <c r="D1620" s="182" t="e">
        <f t="shared" si="184"/>
        <v>#VALUE!</v>
      </c>
      <c r="E1620" s="182" t="e">
        <f t="shared" si="185"/>
        <v>#VALUE!</v>
      </c>
      <c r="F1620" s="182" t="e">
        <f>SUM($D$33:D1620)</f>
        <v>#VALUE!</v>
      </c>
      <c r="G1620" s="182">
        <f t="shared" ca="1" si="186"/>
        <v>0</v>
      </c>
      <c r="H1620" s="182" t="e">
        <f t="shared" si="187"/>
        <v>#VALUE!</v>
      </c>
      <c r="I1620" s="183" t="e">
        <f t="shared" si="188"/>
        <v>#VALUE!</v>
      </c>
    </row>
    <row r="1621" spans="1:9" x14ac:dyDescent="0.25">
      <c r="A1621" s="180">
        <f t="shared" ca="1" si="182"/>
        <v>47693</v>
      </c>
      <c r="B1621" s="181">
        <v>1589</v>
      </c>
      <c r="C1621" s="182" t="e">
        <f t="shared" si="183"/>
        <v>#VALUE!</v>
      </c>
      <c r="D1621" s="182" t="e">
        <f t="shared" si="184"/>
        <v>#VALUE!</v>
      </c>
      <c r="E1621" s="182" t="e">
        <f t="shared" si="185"/>
        <v>#VALUE!</v>
      </c>
      <c r="F1621" s="182" t="e">
        <f>SUM($D$33:D1621)</f>
        <v>#VALUE!</v>
      </c>
      <c r="G1621" s="182">
        <f t="shared" ca="1" si="186"/>
        <v>0</v>
      </c>
      <c r="H1621" s="182" t="e">
        <f t="shared" si="187"/>
        <v>#VALUE!</v>
      </c>
      <c r="I1621" s="183" t="e">
        <f t="shared" si="188"/>
        <v>#VALUE!</v>
      </c>
    </row>
    <row r="1622" spans="1:9" x14ac:dyDescent="0.25">
      <c r="A1622" s="180">
        <f t="shared" ca="1" si="182"/>
        <v>47694</v>
      </c>
      <c r="B1622" s="181">
        <v>1590</v>
      </c>
      <c r="C1622" s="182" t="e">
        <f t="shared" si="183"/>
        <v>#VALUE!</v>
      </c>
      <c r="D1622" s="182" t="e">
        <f t="shared" si="184"/>
        <v>#VALUE!</v>
      </c>
      <c r="E1622" s="182" t="e">
        <f t="shared" si="185"/>
        <v>#VALUE!</v>
      </c>
      <c r="F1622" s="182" t="e">
        <f>SUM($D$33:D1622)</f>
        <v>#VALUE!</v>
      </c>
      <c r="G1622" s="182">
        <f t="shared" ca="1" si="186"/>
        <v>0</v>
      </c>
      <c r="H1622" s="182" t="e">
        <f t="shared" si="187"/>
        <v>#VALUE!</v>
      </c>
      <c r="I1622" s="183" t="e">
        <f t="shared" si="188"/>
        <v>#VALUE!</v>
      </c>
    </row>
    <row r="1623" spans="1:9" x14ac:dyDescent="0.25">
      <c r="A1623" s="180">
        <f t="shared" ca="1" si="182"/>
        <v>47695</v>
      </c>
      <c r="B1623" s="181">
        <v>1591</v>
      </c>
      <c r="C1623" s="182" t="e">
        <f t="shared" si="183"/>
        <v>#VALUE!</v>
      </c>
      <c r="D1623" s="182" t="e">
        <f t="shared" si="184"/>
        <v>#VALUE!</v>
      </c>
      <c r="E1623" s="182" t="e">
        <f t="shared" si="185"/>
        <v>#VALUE!</v>
      </c>
      <c r="F1623" s="182" t="e">
        <f>SUM($D$33:D1623)</f>
        <v>#VALUE!</v>
      </c>
      <c r="G1623" s="182">
        <f t="shared" ca="1" si="186"/>
        <v>0</v>
      </c>
      <c r="H1623" s="182" t="e">
        <f t="shared" si="187"/>
        <v>#VALUE!</v>
      </c>
      <c r="I1623" s="183" t="e">
        <f t="shared" si="188"/>
        <v>#VALUE!</v>
      </c>
    </row>
    <row r="1624" spans="1:9" x14ac:dyDescent="0.25">
      <c r="A1624" s="180">
        <f t="shared" ca="1" si="182"/>
        <v>47696</v>
      </c>
      <c r="B1624" s="181">
        <v>1592</v>
      </c>
      <c r="C1624" s="182" t="e">
        <f t="shared" si="183"/>
        <v>#VALUE!</v>
      </c>
      <c r="D1624" s="182" t="e">
        <f t="shared" si="184"/>
        <v>#VALUE!</v>
      </c>
      <c r="E1624" s="182" t="e">
        <f t="shared" si="185"/>
        <v>#VALUE!</v>
      </c>
      <c r="F1624" s="182" t="e">
        <f>SUM($D$33:D1624)</f>
        <v>#VALUE!</v>
      </c>
      <c r="G1624" s="182">
        <f t="shared" ca="1" si="186"/>
        <v>0</v>
      </c>
      <c r="H1624" s="182" t="e">
        <f t="shared" si="187"/>
        <v>#VALUE!</v>
      </c>
      <c r="I1624" s="183" t="e">
        <f t="shared" si="188"/>
        <v>#VALUE!</v>
      </c>
    </row>
    <row r="1625" spans="1:9" x14ac:dyDescent="0.25">
      <c r="A1625" s="180">
        <f t="shared" ca="1" si="182"/>
        <v>47697</v>
      </c>
      <c r="B1625" s="181">
        <v>1593</v>
      </c>
      <c r="C1625" s="182" t="e">
        <f t="shared" si="183"/>
        <v>#VALUE!</v>
      </c>
      <c r="D1625" s="182" t="e">
        <f t="shared" si="184"/>
        <v>#VALUE!</v>
      </c>
      <c r="E1625" s="182" t="e">
        <f t="shared" si="185"/>
        <v>#VALUE!</v>
      </c>
      <c r="F1625" s="182" t="e">
        <f>SUM($D$33:D1625)</f>
        <v>#VALUE!</v>
      </c>
      <c r="G1625" s="182">
        <f t="shared" ca="1" si="186"/>
        <v>0</v>
      </c>
      <c r="H1625" s="182" t="e">
        <f t="shared" si="187"/>
        <v>#VALUE!</v>
      </c>
      <c r="I1625" s="183" t="e">
        <f t="shared" si="188"/>
        <v>#VALUE!</v>
      </c>
    </row>
    <row r="1626" spans="1:9" x14ac:dyDescent="0.25">
      <c r="A1626" s="180">
        <f t="shared" ca="1" si="182"/>
        <v>47698</v>
      </c>
      <c r="B1626" s="181">
        <v>1594</v>
      </c>
      <c r="C1626" s="182" t="e">
        <f t="shared" si="183"/>
        <v>#VALUE!</v>
      </c>
      <c r="D1626" s="182" t="e">
        <f t="shared" si="184"/>
        <v>#VALUE!</v>
      </c>
      <c r="E1626" s="182" t="e">
        <f t="shared" si="185"/>
        <v>#VALUE!</v>
      </c>
      <c r="F1626" s="182" t="e">
        <f>SUM($D$33:D1626)</f>
        <v>#VALUE!</v>
      </c>
      <c r="G1626" s="182">
        <f t="shared" ca="1" si="186"/>
        <v>0</v>
      </c>
      <c r="H1626" s="182" t="e">
        <f t="shared" si="187"/>
        <v>#VALUE!</v>
      </c>
      <c r="I1626" s="183" t="e">
        <f t="shared" si="188"/>
        <v>#VALUE!</v>
      </c>
    </row>
    <row r="1627" spans="1:9" x14ac:dyDescent="0.25">
      <c r="A1627" s="180">
        <f t="shared" ca="1" si="182"/>
        <v>47699</v>
      </c>
      <c r="B1627" s="181">
        <v>1595</v>
      </c>
      <c r="C1627" s="182" t="e">
        <f t="shared" si="183"/>
        <v>#VALUE!</v>
      </c>
      <c r="D1627" s="182" t="e">
        <f t="shared" si="184"/>
        <v>#VALUE!</v>
      </c>
      <c r="E1627" s="182" t="e">
        <f t="shared" si="185"/>
        <v>#VALUE!</v>
      </c>
      <c r="F1627" s="182" t="e">
        <f>SUM($D$33:D1627)</f>
        <v>#VALUE!</v>
      </c>
      <c r="G1627" s="182">
        <f t="shared" ca="1" si="186"/>
        <v>0</v>
      </c>
      <c r="H1627" s="182" t="e">
        <f t="shared" si="187"/>
        <v>#VALUE!</v>
      </c>
      <c r="I1627" s="183" t="e">
        <f t="shared" si="188"/>
        <v>#VALUE!</v>
      </c>
    </row>
    <row r="1628" spans="1:9" x14ac:dyDescent="0.25">
      <c r="A1628" s="180">
        <f t="shared" ca="1" si="182"/>
        <v>47700</v>
      </c>
      <c r="B1628" s="181">
        <v>1596</v>
      </c>
      <c r="C1628" s="182" t="e">
        <f t="shared" si="183"/>
        <v>#VALUE!</v>
      </c>
      <c r="D1628" s="182" t="e">
        <f t="shared" si="184"/>
        <v>#VALUE!</v>
      </c>
      <c r="E1628" s="182" t="e">
        <f t="shared" si="185"/>
        <v>#VALUE!</v>
      </c>
      <c r="F1628" s="182" t="e">
        <f>SUM($D$33:D1628)</f>
        <v>#VALUE!</v>
      </c>
      <c r="G1628" s="182">
        <f t="shared" ca="1" si="186"/>
        <v>0</v>
      </c>
      <c r="H1628" s="182" t="e">
        <f t="shared" si="187"/>
        <v>#VALUE!</v>
      </c>
      <c r="I1628" s="183" t="e">
        <f t="shared" si="188"/>
        <v>#VALUE!</v>
      </c>
    </row>
    <row r="1629" spans="1:9" x14ac:dyDescent="0.25">
      <c r="A1629" s="180">
        <f t="shared" ca="1" si="182"/>
        <v>47701</v>
      </c>
      <c r="B1629" s="181">
        <v>1597</v>
      </c>
      <c r="C1629" s="182" t="e">
        <f t="shared" si="183"/>
        <v>#VALUE!</v>
      </c>
      <c r="D1629" s="182" t="e">
        <f t="shared" si="184"/>
        <v>#VALUE!</v>
      </c>
      <c r="E1629" s="182" t="e">
        <f t="shared" si="185"/>
        <v>#VALUE!</v>
      </c>
      <c r="F1629" s="182" t="e">
        <f>SUM($D$33:D1629)</f>
        <v>#VALUE!</v>
      </c>
      <c r="G1629" s="182">
        <f t="shared" ca="1" si="186"/>
        <v>0</v>
      </c>
      <c r="H1629" s="182" t="e">
        <f t="shared" si="187"/>
        <v>#VALUE!</v>
      </c>
      <c r="I1629" s="183" t="e">
        <f t="shared" si="188"/>
        <v>#VALUE!</v>
      </c>
    </row>
    <row r="1630" spans="1:9" x14ac:dyDescent="0.25">
      <c r="A1630" s="180">
        <f t="shared" ca="1" si="182"/>
        <v>47702</v>
      </c>
      <c r="B1630" s="181">
        <v>1598</v>
      </c>
      <c r="C1630" s="182" t="e">
        <f t="shared" si="183"/>
        <v>#VALUE!</v>
      </c>
      <c r="D1630" s="182" t="e">
        <f t="shared" si="184"/>
        <v>#VALUE!</v>
      </c>
      <c r="E1630" s="182" t="e">
        <f t="shared" si="185"/>
        <v>#VALUE!</v>
      </c>
      <c r="F1630" s="182" t="e">
        <f>SUM($D$33:D1630)</f>
        <v>#VALUE!</v>
      </c>
      <c r="G1630" s="182">
        <f t="shared" ca="1" si="186"/>
        <v>0</v>
      </c>
      <c r="H1630" s="182" t="e">
        <f t="shared" si="187"/>
        <v>#VALUE!</v>
      </c>
      <c r="I1630" s="183" t="e">
        <f t="shared" si="188"/>
        <v>#VALUE!</v>
      </c>
    </row>
    <row r="1631" spans="1:9" x14ac:dyDescent="0.25">
      <c r="A1631" s="180">
        <f t="shared" ca="1" si="182"/>
        <v>47703</v>
      </c>
      <c r="B1631" s="181">
        <v>1599</v>
      </c>
      <c r="C1631" s="182" t="e">
        <f t="shared" si="183"/>
        <v>#VALUE!</v>
      </c>
      <c r="D1631" s="182" t="e">
        <f t="shared" si="184"/>
        <v>#VALUE!</v>
      </c>
      <c r="E1631" s="182" t="e">
        <f t="shared" si="185"/>
        <v>#VALUE!</v>
      </c>
      <c r="F1631" s="182" t="e">
        <f>SUM($D$33:D1631)</f>
        <v>#VALUE!</v>
      </c>
      <c r="G1631" s="182">
        <f t="shared" ca="1" si="186"/>
        <v>0</v>
      </c>
      <c r="H1631" s="182" t="e">
        <f t="shared" si="187"/>
        <v>#VALUE!</v>
      </c>
      <c r="I1631" s="183" t="e">
        <f t="shared" si="188"/>
        <v>#VALUE!</v>
      </c>
    </row>
    <row r="1632" spans="1:9" x14ac:dyDescent="0.25">
      <c r="A1632" s="180">
        <f t="shared" ca="1" si="182"/>
        <v>47704</v>
      </c>
      <c r="B1632" s="181">
        <v>1600</v>
      </c>
      <c r="C1632" s="182" t="e">
        <f t="shared" si="183"/>
        <v>#VALUE!</v>
      </c>
      <c r="D1632" s="182" t="e">
        <f t="shared" si="184"/>
        <v>#VALUE!</v>
      </c>
      <c r="E1632" s="182" t="e">
        <f t="shared" si="185"/>
        <v>#VALUE!</v>
      </c>
      <c r="F1632" s="182" t="e">
        <f>SUM($D$33:D1632)</f>
        <v>#VALUE!</v>
      </c>
      <c r="G1632" s="182">
        <f t="shared" ca="1" si="186"/>
        <v>0</v>
      </c>
      <c r="H1632" s="182" t="e">
        <f t="shared" si="187"/>
        <v>#VALUE!</v>
      </c>
      <c r="I1632" s="183" t="e">
        <f t="shared" si="188"/>
        <v>#VALUE!</v>
      </c>
    </row>
    <row r="1633" spans="1:9" x14ac:dyDescent="0.25">
      <c r="A1633" s="180">
        <f t="shared" ca="1" si="182"/>
        <v>47705</v>
      </c>
      <c r="B1633" s="181">
        <v>1601</v>
      </c>
      <c r="C1633" s="182" t="e">
        <f t="shared" si="183"/>
        <v>#VALUE!</v>
      </c>
      <c r="D1633" s="182" t="e">
        <f t="shared" si="184"/>
        <v>#VALUE!</v>
      </c>
      <c r="E1633" s="182" t="e">
        <f t="shared" si="185"/>
        <v>#VALUE!</v>
      </c>
      <c r="F1633" s="182" t="e">
        <f>SUM($D$33:D1633)</f>
        <v>#VALUE!</v>
      </c>
      <c r="G1633" s="182">
        <f t="shared" ca="1" si="186"/>
        <v>0</v>
      </c>
      <c r="H1633" s="182" t="e">
        <f t="shared" si="187"/>
        <v>#VALUE!</v>
      </c>
      <c r="I1633" s="183" t="e">
        <f t="shared" si="188"/>
        <v>#VALUE!</v>
      </c>
    </row>
    <row r="1634" spans="1:9" x14ac:dyDescent="0.25">
      <c r="A1634" s="180">
        <f t="shared" ref="A1634:A1697" ca="1" si="189">A1633+1</f>
        <v>47706</v>
      </c>
      <c r="B1634" s="181">
        <v>1602</v>
      </c>
      <c r="C1634" s="182" t="e">
        <f t="shared" si="183"/>
        <v>#VALUE!</v>
      </c>
      <c r="D1634" s="182" t="e">
        <f t="shared" si="184"/>
        <v>#VALUE!</v>
      </c>
      <c r="E1634" s="182" t="e">
        <f t="shared" si="185"/>
        <v>#VALUE!</v>
      </c>
      <c r="F1634" s="182" t="e">
        <f>SUM($D$33:D1634)</f>
        <v>#VALUE!</v>
      </c>
      <c r="G1634" s="182">
        <f t="shared" ca="1" si="186"/>
        <v>0</v>
      </c>
      <c r="H1634" s="182" t="e">
        <f t="shared" si="187"/>
        <v>#VALUE!</v>
      </c>
      <c r="I1634" s="183" t="e">
        <f t="shared" si="188"/>
        <v>#VALUE!</v>
      </c>
    </row>
    <row r="1635" spans="1:9" x14ac:dyDescent="0.25">
      <c r="A1635" s="180">
        <f t="shared" ca="1" si="189"/>
        <v>47707</v>
      </c>
      <c r="B1635" s="181">
        <v>1603</v>
      </c>
      <c r="C1635" s="182" t="e">
        <f t="shared" si="183"/>
        <v>#VALUE!</v>
      </c>
      <c r="D1635" s="182" t="e">
        <f t="shared" si="184"/>
        <v>#VALUE!</v>
      </c>
      <c r="E1635" s="182" t="e">
        <f t="shared" si="185"/>
        <v>#VALUE!</v>
      </c>
      <c r="F1635" s="182" t="e">
        <f>SUM($D$33:D1635)</f>
        <v>#VALUE!</v>
      </c>
      <c r="G1635" s="182">
        <f t="shared" ca="1" si="186"/>
        <v>0</v>
      </c>
      <c r="H1635" s="182" t="e">
        <f t="shared" si="187"/>
        <v>#VALUE!</v>
      </c>
      <c r="I1635" s="183" t="e">
        <f t="shared" si="188"/>
        <v>#VALUE!</v>
      </c>
    </row>
    <row r="1636" spans="1:9" x14ac:dyDescent="0.25">
      <c r="A1636" s="180">
        <f t="shared" ca="1" si="189"/>
        <v>47708</v>
      </c>
      <c r="B1636" s="181">
        <v>1604</v>
      </c>
      <c r="C1636" s="182" t="e">
        <f t="shared" si="183"/>
        <v>#VALUE!</v>
      </c>
      <c r="D1636" s="182" t="e">
        <f t="shared" si="184"/>
        <v>#VALUE!</v>
      </c>
      <c r="E1636" s="182" t="e">
        <f t="shared" si="185"/>
        <v>#VALUE!</v>
      </c>
      <c r="F1636" s="182" t="e">
        <f>SUM($D$33:D1636)</f>
        <v>#VALUE!</v>
      </c>
      <c r="G1636" s="182">
        <f t="shared" ca="1" si="186"/>
        <v>0</v>
      </c>
      <c r="H1636" s="182" t="e">
        <f t="shared" si="187"/>
        <v>#VALUE!</v>
      </c>
      <c r="I1636" s="183" t="e">
        <f t="shared" si="188"/>
        <v>#VALUE!</v>
      </c>
    </row>
    <row r="1637" spans="1:9" x14ac:dyDescent="0.25">
      <c r="A1637" s="180">
        <f t="shared" ca="1" si="189"/>
        <v>47709</v>
      </c>
      <c r="B1637" s="181">
        <v>1605</v>
      </c>
      <c r="C1637" s="182" t="e">
        <f t="shared" si="183"/>
        <v>#VALUE!</v>
      </c>
      <c r="D1637" s="182" t="e">
        <f t="shared" si="184"/>
        <v>#VALUE!</v>
      </c>
      <c r="E1637" s="182" t="e">
        <f t="shared" si="185"/>
        <v>#VALUE!</v>
      </c>
      <c r="F1637" s="182" t="e">
        <f>SUM($D$33:D1637)</f>
        <v>#VALUE!</v>
      </c>
      <c r="G1637" s="182">
        <f t="shared" ca="1" si="186"/>
        <v>0</v>
      </c>
      <c r="H1637" s="182" t="e">
        <f t="shared" si="187"/>
        <v>#VALUE!</v>
      </c>
      <c r="I1637" s="183" t="e">
        <f t="shared" si="188"/>
        <v>#VALUE!</v>
      </c>
    </row>
    <row r="1638" spans="1:9" x14ac:dyDescent="0.25">
      <c r="A1638" s="180">
        <f t="shared" ca="1" si="189"/>
        <v>47710</v>
      </c>
      <c r="B1638" s="181">
        <v>1606</v>
      </c>
      <c r="C1638" s="182" t="e">
        <f t="shared" si="183"/>
        <v>#VALUE!</v>
      </c>
      <c r="D1638" s="182" t="e">
        <f t="shared" si="184"/>
        <v>#VALUE!</v>
      </c>
      <c r="E1638" s="182" t="e">
        <f t="shared" si="185"/>
        <v>#VALUE!</v>
      </c>
      <c r="F1638" s="182" t="e">
        <f>SUM($D$33:D1638)</f>
        <v>#VALUE!</v>
      </c>
      <c r="G1638" s="182">
        <f t="shared" ca="1" si="186"/>
        <v>0</v>
      </c>
      <c r="H1638" s="182" t="e">
        <f t="shared" si="187"/>
        <v>#VALUE!</v>
      </c>
      <c r="I1638" s="183" t="e">
        <f t="shared" si="188"/>
        <v>#VALUE!</v>
      </c>
    </row>
    <row r="1639" spans="1:9" x14ac:dyDescent="0.25">
      <c r="A1639" s="180">
        <f t="shared" ca="1" si="189"/>
        <v>47711</v>
      </c>
      <c r="B1639" s="181">
        <v>1607</v>
      </c>
      <c r="C1639" s="182" t="e">
        <f t="shared" si="183"/>
        <v>#VALUE!</v>
      </c>
      <c r="D1639" s="182" t="e">
        <f t="shared" si="184"/>
        <v>#VALUE!</v>
      </c>
      <c r="E1639" s="182" t="e">
        <f t="shared" si="185"/>
        <v>#VALUE!</v>
      </c>
      <c r="F1639" s="182" t="e">
        <f>SUM($D$33:D1639)</f>
        <v>#VALUE!</v>
      </c>
      <c r="G1639" s="182">
        <f t="shared" ca="1" si="186"/>
        <v>0</v>
      </c>
      <c r="H1639" s="182" t="e">
        <f t="shared" si="187"/>
        <v>#VALUE!</v>
      </c>
      <c r="I1639" s="183" t="e">
        <f t="shared" si="188"/>
        <v>#VALUE!</v>
      </c>
    </row>
    <row r="1640" spans="1:9" x14ac:dyDescent="0.25">
      <c r="A1640" s="180">
        <f t="shared" ca="1" si="189"/>
        <v>47712</v>
      </c>
      <c r="B1640" s="181">
        <v>1608</v>
      </c>
      <c r="C1640" s="182" t="e">
        <f t="shared" si="183"/>
        <v>#VALUE!</v>
      </c>
      <c r="D1640" s="182" t="e">
        <f t="shared" si="184"/>
        <v>#VALUE!</v>
      </c>
      <c r="E1640" s="182" t="e">
        <f t="shared" si="185"/>
        <v>#VALUE!</v>
      </c>
      <c r="F1640" s="182" t="e">
        <f>SUM($D$33:D1640)</f>
        <v>#VALUE!</v>
      </c>
      <c r="G1640" s="182">
        <f t="shared" ca="1" si="186"/>
        <v>0</v>
      </c>
      <c r="H1640" s="182" t="e">
        <f t="shared" si="187"/>
        <v>#VALUE!</v>
      </c>
      <c r="I1640" s="183" t="e">
        <f t="shared" si="188"/>
        <v>#VALUE!</v>
      </c>
    </row>
    <row r="1641" spans="1:9" x14ac:dyDescent="0.25">
      <c r="A1641" s="180">
        <f t="shared" ca="1" si="189"/>
        <v>47713</v>
      </c>
      <c r="B1641" s="181">
        <v>1609</v>
      </c>
      <c r="C1641" s="182" t="e">
        <f t="shared" si="183"/>
        <v>#VALUE!</v>
      </c>
      <c r="D1641" s="182" t="e">
        <f t="shared" si="184"/>
        <v>#VALUE!</v>
      </c>
      <c r="E1641" s="182" t="e">
        <f t="shared" si="185"/>
        <v>#VALUE!</v>
      </c>
      <c r="F1641" s="182" t="e">
        <f>SUM($D$33:D1641)</f>
        <v>#VALUE!</v>
      </c>
      <c r="G1641" s="182">
        <f t="shared" ca="1" si="186"/>
        <v>0</v>
      </c>
      <c r="H1641" s="182" t="e">
        <f t="shared" si="187"/>
        <v>#VALUE!</v>
      </c>
      <c r="I1641" s="183" t="e">
        <f t="shared" si="188"/>
        <v>#VALUE!</v>
      </c>
    </row>
    <row r="1642" spans="1:9" x14ac:dyDescent="0.25">
      <c r="A1642" s="180">
        <f t="shared" ca="1" si="189"/>
        <v>47714</v>
      </c>
      <c r="B1642" s="181">
        <v>1610</v>
      </c>
      <c r="C1642" s="182" t="e">
        <f t="shared" si="183"/>
        <v>#VALUE!</v>
      </c>
      <c r="D1642" s="182" t="e">
        <f t="shared" si="184"/>
        <v>#VALUE!</v>
      </c>
      <c r="E1642" s="182" t="e">
        <f t="shared" si="185"/>
        <v>#VALUE!</v>
      </c>
      <c r="F1642" s="182" t="e">
        <f>SUM($D$33:D1642)</f>
        <v>#VALUE!</v>
      </c>
      <c r="G1642" s="182">
        <f t="shared" ca="1" si="186"/>
        <v>0</v>
      </c>
      <c r="H1642" s="182" t="e">
        <f t="shared" si="187"/>
        <v>#VALUE!</v>
      </c>
      <c r="I1642" s="183" t="e">
        <f t="shared" si="188"/>
        <v>#VALUE!</v>
      </c>
    </row>
    <row r="1643" spans="1:9" x14ac:dyDescent="0.25">
      <c r="A1643" s="180">
        <f t="shared" ca="1" si="189"/>
        <v>47715</v>
      </c>
      <c r="B1643" s="181">
        <v>1611</v>
      </c>
      <c r="C1643" s="182" t="e">
        <f t="shared" si="183"/>
        <v>#VALUE!</v>
      </c>
      <c r="D1643" s="182" t="e">
        <f t="shared" si="184"/>
        <v>#VALUE!</v>
      </c>
      <c r="E1643" s="182" t="e">
        <f t="shared" si="185"/>
        <v>#VALUE!</v>
      </c>
      <c r="F1643" s="182" t="e">
        <f>SUM($D$33:D1643)</f>
        <v>#VALUE!</v>
      </c>
      <c r="G1643" s="182">
        <f t="shared" ca="1" si="186"/>
        <v>0</v>
      </c>
      <c r="H1643" s="182" t="e">
        <f t="shared" si="187"/>
        <v>#VALUE!</v>
      </c>
      <c r="I1643" s="183" t="e">
        <f t="shared" si="188"/>
        <v>#VALUE!</v>
      </c>
    </row>
    <row r="1644" spans="1:9" x14ac:dyDescent="0.25">
      <c r="A1644" s="180">
        <f t="shared" ca="1" si="189"/>
        <v>47716</v>
      </c>
      <c r="B1644" s="181">
        <v>1612</v>
      </c>
      <c r="C1644" s="182" t="e">
        <f t="shared" si="183"/>
        <v>#VALUE!</v>
      </c>
      <c r="D1644" s="182" t="e">
        <f t="shared" si="184"/>
        <v>#VALUE!</v>
      </c>
      <c r="E1644" s="182" t="e">
        <f t="shared" si="185"/>
        <v>#VALUE!</v>
      </c>
      <c r="F1644" s="182" t="e">
        <f>SUM($D$33:D1644)</f>
        <v>#VALUE!</v>
      </c>
      <c r="G1644" s="182">
        <f t="shared" ca="1" si="186"/>
        <v>0</v>
      </c>
      <c r="H1644" s="182" t="e">
        <f t="shared" si="187"/>
        <v>#VALUE!</v>
      </c>
      <c r="I1644" s="183" t="e">
        <f t="shared" si="188"/>
        <v>#VALUE!</v>
      </c>
    </row>
    <row r="1645" spans="1:9" x14ac:dyDescent="0.25">
      <c r="A1645" s="180">
        <f t="shared" ca="1" si="189"/>
        <v>47717</v>
      </c>
      <c r="B1645" s="181">
        <v>1613</v>
      </c>
      <c r="C1645" s="182" t="e">
        <f t="shared" si="183"/>
        <v>#VALUE!</v>
      </c>
      <c r="D1645" s="182" t="e">
        <f t="shared" si="184"/>
        <v>#VALUE!</v>
      </c>
      <c r="E1645" s="182" t="e">
        <f t="shared" si="185"/>
        <v>#VALUE!</v>
      </c>
      <c r="F1645" s="182" t="e">
        <f>SUM($D$33:D1645)</f>
        <v>#VALUE!</v>
      </c>
      <c r="G1645" s="182">
        <f t="shared" ca="1" si="186"/>
        <v>0</v>
      </c>
      <c r="H1645" s="182" t="e">
        <f t="shared" si="187"/>
        <v>#VALUE!</v>
      </c>
      <c r="I1645" s="183" t="e">
        <f t="shared" si="188"/>
        <v>#VALUE!</v>
      </c>
    </row>
    <row r="1646" spans="1:9" x14ac:dyDescent="0.25">
      <c r="A1646" s="180">
        <f t="shared" ca="1" si="189"/>
        <v>47718</v>
      </c>
      <c r="B1646" s="181">
        <v>1614</v>
      </c>
      <c r="C1646" s="182" t="e">
        <f t="shared" si="183"/>
        <v>#VALUE!</v>
      </c>
      <c r="D1646" s="182" t="e">
        <f t="shared" si="184"/>
        <v>#VALUE!</v>
      </c>
      <c r="E1646" s="182" t="e">
        <f t="shared" si="185"/>
        <v>#VALUE!</v>
      </c>
      <c r="F1646" s="182" t="e">
        <f>SUM($D$33:D1646)</f>
        <v>#VALUE!</v>
      </c>
      <c r="G1646" s="182">
        <f t="shared" ca="1" si="186"/>
        <v>0</v>
      </c>
      <c r="H1646" s="182" t="e">
        <f t="shared" si="187"/>
        <v>#VALUE!</v>
      </c>
      <c r="I1646" s="183" t="e">
        <f t="shared" si="188"/>
        <v>#VALUE!</v>
      </c>
    </row>
    <row r="1647" spans="1:9" x14ac:dyDescent="0.25">
      <c r="A1647" s="180">
        <f t="shared" ca="1" si="189"/>
        <v>47719</v>
      </c>
      <c r="B1647" s="181">
        <v>1615</v>
      </c>
      <c r="C1647" s="182" t="e">
        <f t="shared" si="183"/>
        <v>#VALUE!</v>
      </c>
      <c r="D1647" s="182" t="e">
        <f t="shared" si="184"/>
        <v>#VALUE!</v>
      </c>
      <c r="E1647" s="182" t="e">
        <f t="shared" si="185"/>
        <v>#VALUE!</v>
      </c>
      <c r="F1647" s="182" t="e">
        <f>SUM($D$33:D1647)</f>
        <v>#VALUE!</v>
      </c>
      <c r="G1647" s="182">
        <f t="shared" ca="1" si="186"/>
        <v>0</v>
      </c>
      <c r="H1647" s="182" t="e">
        <f t="shared" si="187"/>
        <v>#VALUE!</v>
      </c>
      <c r="I1647" s="183" t="e">
        <f t="shared" si="188"/>
        <v>#VALUE!</v>
      </c>
    </row>
    <row r="1648" spans="1:9" x14ac:dyDescent="0.25">
      <c r="A1648" s="180">
        <f t="shared" ca="1" si="189"/>
        <v>47720</v>
      </c>
      <c r="B1648" s="181">
        <v>1616</v>
      </c>
      <c r="C1648" s="182" t="e">
        <f t="shared" si="183"/>
        <v>#VALUE!</v>
      </c>
      <c r="D1648" s="182" t="e">
        <f t="shared" si="184"/>
        <v>#VALUE!</v>
      </c>
      <c r="E1648" s="182" t="e">
        <f t="shared" si="185"/>
        <v>#VALUE!</v>
      </c>
      <c r="F1648" s="182" t="e">
        <f>SUM($D$33:D1648)</f>
        <v>#VALUE!</v>
      </c>
      <c r="G1648" s="182">
        <f t="shared" ca="1" si="186"/>
        <v>0</v>
      </c>
      <c r="H1648" s="182" t="e">
        <f t="shared" si="187"/>
        <v>#VALUE!</v>
      </c>
      <c r="I1648" s="183" t="e">
        <f t="shared" si="188"/>
        <v>#VALUE!</v>
      </c>
    </row>
    <row r="1649" spans="1:9" x14ac:dyDescent="0.25">
      <c r="A1649" s="180">
        <f t="shared" ca="1" si="189"/>
        <v>47721</v>
      </c>
      <c r="B1649" s="181">
        <v>1617</v>
      </c>
      <c r="C1649" s="182" t="e">
        <f t="shared" si="183"/>
        <v>#VALUE!</v>
      </c>
      <c r="D1649" s="182" t="e">
        <f t="shared" si="184"/>
        <v>#VALUE!</v>
      </c>
      <c r="E1649" s="182" t="e">
        <f t="shared" si="185"/>
        <v>#VALUE!</v>
      </c>
      <c r="F1649" s="182" t="e">
        <f>SUM($D$33:D1649)</f>
        <v>#VALUE!</v>
      </c>
      <c r="G1649" s="182">
        <f t="shared" ca="1" si="186"/>
        <v>0</v>
      </c>
      <c r="H1649" s="182" t="e">
        <f t="shared" si="187"/>
        <v>#VALUE!</v>
      </c>
      <c r="I1649" s="183" t="e">
        <f t="shared" si="188"/>
        <v>#VALUE!</v>
      </c>
    </row>
    <row r="1650" spans="1:9" x14ac:dyDescent="0.25">
      <c r="A1650" s="180">
        <f t="shared" ca="1" si="189"/>
        <v>47722</v>
      </c>
      <c r="B1650" s="181">
        <v>1618</v>
      </c>
      <c r="C1650" s="182" t="e">
        <f t="shared" si="183"/>
        <v>#VALUE!</v>
      </c>
      <c r="D1650" s="182" t="e">
        <f t="shared" si="184"/>
        <v>#VALUE!</v>
      </c>
      <c r="E1650" s="182" t="e">
        <f t="shared" si="185"/>
        <v>#VALUE!</v>
      </c>
      <c r="F1650" s="182" t="e">
        <f>SUM($D$33:D1650)</f>
        <v>#VALUE!</v>
      </c>
      <c r="G1650" s="182">
        <f t="shared" ca="1" si="186"/>
        <v>0</v>
      </c>
      <c r="H1650" s="182" t="e">
        <f t="shared" si="187"/>
        <v>#VALUE!</v>
      </c>
      <c r="I1650" s="183" t="e">
        <f t="shared" si="188"/>
        <v>#VALUE!</v>
      </c>
    </row>
    <row r="1651" spans="1:9" x14ac:dyDescent="0.25">
      <c r="A1651" s="180">
        <f t="shared" ca="1" si="189"/>
        <v>47723</v>
      </c>
      <c r="B1651" s="181">
        <v>1619</v>
      </c>
      <c r="C1651" s="182" t="e">
        <f t="shared" si="183"/>
        <v>#VALUE!</v>
      </c>
      <c r="D1651" s="182" t="e">
        <f t="shared" si="184"/>
        <v>#VALUE!</v>
      </c>
      <c r="E1651" s="182" t="e">
        <f t="shared" si="185"/>
        <v>#VALUE!</v>
      </c>
      <c r="F1651" s="182" t="e">
        <f>SUM($D$33:D1651)</f>
        <v>#VALUE!</v>
      </c>
      <c r="G1651" s="182">
        <f t="shared" ca="1" si="186"/>
        <v>0</v>
      </c>
      <c r="H1651" s="182" t="e">
        <f t="shared" si="187"/>
        <v>#VALUE!</v>
      </c>
      <c r="I1651" s="183" t="e">
        <f t="shared" si="188"/>
        <v>#VALUE!</v>
      </c>
    </row>
    <row r="1652" spans="1:9" x14ac:dyDescent="0.25">
      <c r="A1652" s="180">
        <f t="shared" ca="1" si="189"/>
        <v>47724</v>
      </c>
      <c r="B1652" s="181">
        <v>1620</v>
      </c>
      <c r="C1652" s="182" t="e">
        <f t="shared" si="183"/>
        <v>#VALUE!</v>
      </c>
      <c r="D1652" s="182" t="e">
        <f t="shared" si="184"/>
        <v>#VALUE!</v>
      </c>
      <c r="E1652" s="182" t="e">
        <f t="shared" si="185"/>
        <v>#VALUE!</v>
      </c>
      <c r="F1652" s="182" t="e">
        <f>SUM($D$33:D1652)</f>
        <v>#VALUE!</v>
      </c>
      <c r="G1652" s="182">
        <f t="shared" ca="1" si="186"/>
        <v>0</v>
      </c>
      <c r="H1652" s="182" t="e">
        <f t="shared" si="187"/>
        <v>#VALUE!</v>
      </c>
      <c r="I1652" s="183" t="e">
        <f t="shared" si="188"/>
        <v>#VALUE!</v>
      </c>
    </row>
    <row r="1653" spans="1:9" x14ac:dyDescent="0.25">
      <c r="A1653" s="180">
        <f t="shared" ca="1" si="189"/>
        <v>47725</v>
      </c>
      <c r="B1653" s="181">
        <v>1621</v>
      </c>
      <c r="C1653" s="182" t="e">
        <f t="shared" si="183"/>
        <v>#VALUE!</v>
      </c>
      <c r="D1653" s="182" t="e">
        <f t="shared" si="184"/>
        <v>#VALUE!</v>
      </c>
      <c r="E1653" s="182" t="e">
        <f t="shared" si="185"/>
        <v>#VALUE!</v>
      </c>
      <c r="F1653" s="182" t="e">
        <f>SUM($D$33:D1653)</f>
        <v>#VALUE!</v>
      </c>
      <c r="G1653" s="182">
        <f t="shared" ca="1" si="186"/>
        <v>0</v>
      </c>
      <c r="H1653" s="182" t="e">
        <f t="shared" si="187"/>
        <v>#VALUE!</v>
      </c>
      <c r="I1653" s="183" t="e">
        <f t="shared" si="188"/>
        <v>#VALUE!</v>
      </c>
    </row>
    <row r="1654" spans="1:9" x14ac:dyDescent="0.25">
      <c r="A1654" s="180">
        <f t="shared" ca="1" si="189"/>
        <v>47726</v>
      </c>
      <c r="B1654" s="181">
        <v>1622</v>
      </c>
      <c r="C1654" s="182" t="e">
        <f t="shared" si="183"/>
        <v>#VALUE!</v>
      </c>
      <c r="D1654" s="182" t="e">
        <f t="shared" si="184"/>
        <v>#VALUE!</v>
      </c>
      <c r="E1654" s="182" t="e">
        <f t="shared" si="185"/>
        <v>#VALUE!</v>
      </c>
      <c r="F1654" s="182" t="e">
        <f>SUM($D$33:D1654)</f>
        <v>#VALUE!</v>
      </c>
      <c r="G1654" s="182">
        <f t="shared" ca="1" si="186"/>
        <v>0</v>
      </c>
      <c r="H1654" s="182" t="e">
        <f t="shared" si="187"/>
        <v>#VALUE!</v>
      </c>
      <c r="I1654" s="183" t="e">
        <f t="shared" si="188"/>
        <v>#VALUE!</v>
      </c>
    </row>
    <row r="1655" spans="1:9" x14ac:dyDescent="0.25">
      <c r="A1655" s="180">
        <f t="shared" ca="1" si="189"/>
        <v>47727</v>
      </c>
      <c r="B1655" s="181">
        <v>1623</v>
      </c>
      <c r="C1655" s="182" t="e">
        <f t="shared" si="183"/>
        <v>#VALUE!</v>
      </c>
      <c r="D1655" s="182" t="e">
        <f t="shared" si="184"/>
        <v>#VALUE!</v>
      </c>
      <c r="E1655" s="182" t="e">
        <f t="shared" si="185"/>
        <v>#VALUE!</v>
      </c>
      <c r="F1655" s="182" t="e">
        <f>SUM($D$33:D1655)</f>
        <v>#VALUE!</v>
      </c>
      <c r="G1655" s="182">
        <f t="shared" ca="1" si="186"/>
        <v>0</v>
      </c>
      <c r="H1655" s="182" t="e">
        <f t="shared" si="187"/>
        <v>#VALUE!</v>
      </c>
      <c r="I1655" s="183" t="e">
        <f t="shared" si="188"/>
        <v>#VALUE!</v>
      </c>
    </row>
    <row r="1656" spans="1:9" x14ac:dyDescent="0.25">
      <c r="A1656" s="180">
        <f t="shared" ca="1" si="189"/>
        <v>47728</v>
      </c>
      <c r="B1656" s="181">
        <v>1624</v>
      </c>
      <c r="C1656" s="182" t="e">
        <f t="shared" si="183"/>
        <v>#VALUE!</v>
      </c>
      <c r="D1656" s="182" t="e">
        <f t="shared" si="184"/>
        <v>#VALUE!</v>
      </c>
      <c r="E1656" s="182" t="e">
        <f t="shared" si="185"/>
        <v>#VALUE!</v>
      </c>
      <c r="F1656" s="182" t="e">
        <f>SUM($D$33:D1656)</f>
        <v>#VALUE!</v>
      </c>
      <c r="G1656" s="182">
        <f t="shared" ca="1" si="186"/>
        <v>0</v>
      </c>
      <c r="H1656" s="182" t="e">
        <f t="shared" si="187"/>
        <v>#VALUE!</v>
      </c>
      <c r="I1656" s="183" t="e">
        <f t="shared" si="188"/>
        <v>#VALUE!</v>
      </c>
    </row>
    <row r="1657" spans="1:9" x14ac:dyDescent="0.25">
      <c r="A1657" s="180">
        <f t="shared" ca="1" si="189"/>
        <v>47729</v>
      </c>
      <c r="B1657" s="181">
        <v>1625</v>
      </c>
      <c r="C1657" s="182" t="e">
        <f t="shared" si="183"/>
        <v>#VALUE!</v>
      </c>
      <c r="D1657" s="182" t="e">
        <f t="shared" si="184"/>
        <v>#VALUE!</v>
      </c>
      <c r="E1657" s="182" t="e">
        <f t="shared" si="185"/>
        <v>#VALUE!</v>
      </c>
      <c r="F1657" s="182" t="e">
        <f>SUM($D$33:D1657)</f>
        <v>#VALUE!</v>
      </c>
      <c r="G1657" s="182">
        <f t="shared" ca="1" si="186"/>
        <v>0</v>
      </c>
      <c r="H1657" s="182" t="e">
        <f t="shared" si="187"/>
        <v>#VALUE!</v>
      </c>
      <c r="I1657" s="183" t="e">
        <f t="shared" si="188"/>
        <v>#VALUE!</v>
      </c>
    </row>
    <row r="1658" spans="1:9" x14ac:dyDescent="0.25">
      <c r="A1658" s="180">
        <f t="shared" ca="1" si="189"/>
        <v>47730</v>
      </c>
      <c r="B1658" s="181">
        <v>1626</v>
      </c>
      <c r="C1658" s="182" t="e">
        <f t="shared" si="183"/>
        <v>#VALUE!</v>
      </c>
      <c r="D1658" s="182" t="e">
        <f t="shared" si="184"/>
        <v>#VALUE!</v>
      </c>
      <c r="E1658" s="182" t="e">
        <f t="shared" si="185"/>
        <v>#VALUE!</v>
      </c>
      <c r="F1658" s="182" t="e">
        <f>SUM($D$33:D1658)</f>
        <v>#VALUE!</v>
      </c>
      <c r="G1658" s="182">
        <f t="shared" ca="1" si="186"/>
        <v>0</v>
      </c>
      <c r="H1658" s="182" t="e">
        <f t="shared" si="187"/>
        <v>#VALUE!</v>
      </c>
      <c r="I1658" s="183" t="e">
        <f t="shared" si="188"/>
        <v>#VALUE!</v>
      </c>
    </row>
    <row r="1659" spans="1:9" x14ac:dyDescent="0.25">
      <c r="A1659" s="180">
        <f t="shared" ca="1" si="189"/>
        <v>47731</v>
      </c>
      <c r="B1659" s="181">
        <v>1627</v>
      </c>
      <c r="C1659" s="182" t="e">
        <f t="shared" si="183"/>
        <v>#VALUE!</v>
      </c>
      <c r="D1659" s="182" t="e">
        <f t="shared" si="184"/>
        <v>#VALUE!</v>
      </c>
      <c r="E1659" s="182" t="e">
        <f t="shared" si="185"/>
        <v>#VALUE!</v>
      </c>
      <c r="F1659" s="182" t="e">
        <f>SUM($D$33:D1659)</f>
        <v>#VALUE!</v>
      </c>
      <c r="G1659" s="182">
        <f t="shared" ca="1" si="186"/>
        <v>0</v>
      </c>
      <c r="H1659" s="182" t="e">
        <f t="shared" si="187"/>
        <v>#VALUE!</v>
      </c>
      <c r="I1659" s="183" t="e">
        <f t="shared" si="188"/>
        <v>#VALUE!</v>
      </c>
    </row>
    <row r="1660" spans="1:9" x14ac:dyDescent="0.25">
      <c r="A1660" s="180">
        <f t="shared" ca="1" si="189"/>
        <v>47732</v>
      </c>
      <c r="B1660" s="181">
        <v>1628</v>
      </c>
      <c r="C1660" s="182" t="e">
        <f t="shared" si="183"/>
        <v>#VALUE!</v>
      </c>
      <c r="D1660" s="182" t="e">
        <f t="shared" si="184"/>
        <v>#VALUE!</v>
      </c>
      <c r="E1660" s="182" t="e">
        <f t="shared" si="185"/>
        <v>#VALUE!</v>
      </c>
      <c r="F1660" s="182" t="e">
        <f>SUM($D$33:D1660)</f>
        <v>#VALUE!</v>
      </c>
      <c r="G1660" s="182">
        <f t="shared" ca="1" si="186"/>
        <v>0</v>
      </c>
      <c r="H1660" s="182" t="e">
        <f t="shared" si="187"/>
        <v>#VALUE!</v>
      </c>
      <c r="I1660" s="183" t="e">
        <f t="shared" si="188"/>
        <v>#VALUE!</v>
      </c>
    </row>
    <row r="1661" spans="1:9" x14ac:dyDescent="0.25">
      <c r="A1661" s="180">
        <f t="shared" ca="1" si="189"/>
        <v>47733</v>
      </c>
      <c r="B1661" s="181">
        <v>1629</v>
      </c>
      <c r="C1661" s="182" t="e">
        <f t="shared" si="183"/>
        <v>#VALUE!</v>
      </c>
      <c r="D1661" s="182" t="e">
        <f t="shared" si="184"/>
        <v>#VALUE!</v>
      </c>
      <c r="E1661" s="182" t="e">
        <f t="shared" si="185"/>
        <v>#VALUE!</v>
      </c>
      <c r="F1661" s="182" t="e">
        <f>SUM($D$33:D1661)</f>
        <v>#VALUE!</v>
      </c>
      <c r="G1661" s="182">
        <f t="shared" ca="1" si="186"/>
        <v>0</v>
      </c>
      <c r="H1661" s="182" t="e">
        <f t="shared" si="187"/>
        <v>#VALUE!</v>
      </c>
      <c r="I1661" s="183" t="e">
        <f t="shared" si="188"/>
        <v>#VALUE!</v>
      </c>
    </row>
    <row r="1662" spans="1:9" x14ac:dyDescent="0.25">
      <c r="A1662" s="180">
        <f t="shared" ca="1" si="189"/>
        <v>47734</v>
      </c>
      <c r="B1662" s="181">
        <v>1630</v>
      </c>
      <c r="C1662" s="182" t="e">
        <f t="shared" si="183"/>
        <v>#VALUE!</v>
      </c>
      <c r="D1662" s="182" t="e">
        <f t="shared" si="184"/>
        <v>#VALUE!</v>
      </c>
      <c r="E1662" s="182" t="e">
        <f t="shared" si="185"/>
        <v>#VALUE!</v>
      </c>
      <c r="F1662" s="182" t="e">
        <f>SUM($D$33:D1662)</f>
        <v>#VALUE!</v>
      </c>
      <c r="G1662" s="182">
        <f t="shared" ca="1" si="186"/>
        <v>0</v>
      </c>
      <c r="H1662" s="182" t="e">
        <f t="shared" si="187"/>
        <v>#VALUE!</v>
      </c>
      <c r="I1662" s="183" t="e">
        <f t="shared" si="188"/>
        <v>#VALUE!</v>
      </c>
    </row>
    <row r="1663" spans="1:9" x14ac:dyDescent="0.25">
      <c r="A1663" s="180">
        <f t="shared" ca="1" si="189"/>
        <v>47735</v>
      </c>
      <c r="B1663" s="181">
        <v>1631</v>
      </c>
      <c r="C1663" s="182" t="e">
        <f t="shared" si="183"/>
        <v>#VALUE!</v>
      </c>
      <c r="D1663" s="182" t="e">
        <f t="shared" si="184"/>
        <v>#VALUE!</v>
      </c>
      <c r="E1663" s="182" t="e">
        <f t="shared" si="185"/>
        <v>#VALUE!</v>
      </c>
      <c r="F1663" s="182" t="e">
        <f>SUM($D$33:D1663)</f>
        <v>#VALUE!</v>
      </c>
      <c r="G1663" s="182">
        <f t="shared" ca="1" si="186"/>
        <v>0</v>
      </c>
      <c r="H1663" s="182" t="e">
        <f t="shared" si="187"/>
        <v>#VALUE!</v>
      </c>
      <c r="I1663" s="183" t="e">
        <f t="shared" si="188"/>
        <v>#VALUE!</v>
      </c>
    </row>
    <row r="1664" spans="1:9" x14ac:dyDescent="0.25">
      <c r="A1664" s="180">
        <f t="shared" ca="1" si="189"/>
        <v>47736</v>
      </c>
      <c r="B1664" s="181">
        <v>1632</v>
      </c>
      <c r="C1664" s="182" t="e">
        <f t="shared" si="183"/>
        <v>#VALUE!</v>
      </c>
      <c r="D1664" s="182" t="e">
        <f t="shared" si="184"/>
        <v>#VALUE!</v>
      </c>
      <c r="E1664" s="182" t="e">
        <f t="shared" si="185"/>
        <v>#VALUE!</v>
      </c>
      <c r="F1664" s="182" t="e">
        <f>SUM($D$33:D1664)</f>
        <v>#VALUE!</v>
      </c>
      <c r="G1664" s="182">
        <f t="shared" ca="1" si="186"/>
        <v>0</v>
      </c>
      <c r="H1664" s="182" t="e">
        <f t="shared" si="187"/>
        <v>#VALUE!</v>
      </c>
      <c r="I1664" s="183" t="e">
        <f t="shared" si="188"/>
        <v>#VALUE!</v>
      </c>
    </row>
    <row r="1665" spans="1:9" x14ac:dyDescent="0.25">
      <c r="A1665" s="180">
        <f t="shared" ca="1" si="189"/>
        <v>47737</v>
      </c>
      <c r="B1665" s="181">
        <v>1633</v>
      </c>
      <c r="C1665" s="182" t="e">
        <f t="shared" si="183"/>
        <v>#VALUE!</v>
      </c>
      <c r="D1665" s="182" t="e">
        <f t="shared" si="184"/>
        <v>#VALUE!</v>
      </c>
      <c r="E1665" s="182" t="e">
        <f t="shared" si="185"/>
        <v>#VALUE!</v>
      </c>
      <c r="F1665" s="182" t="e">
        <f>SUM($D$33:D1665)</f>
        <v>#VALUE!</v>
      </c>
      <c r="G1665" s="182">
        <f t="shared" ca="1" si="186"/>
        <v>0</v>
      </c>
      <c r="H1665" s="182" t="e">
        <f t="shared" si="187"/>
        <v>#VALUE!</v>
      </c>
      <c r="I1665" s="183" t="e">
        <f t="shared" si="188"/>
        <v>#VALUE!</v>
      </c>
    </row>
    <row r="1666" spans="1:9" x14ac:dyDescent="0.25">
      <c r="A1666" s="180">
        <f t="shared" ca="1" si="189"/>
        <v>47738</v>
      </c>
      <c r="B1666" s="181">
        <v>1634</v>
      </c>
      <c r="C1666" s="182" t="e">
        <f t="shared" si="183"/>
        <v>#VALUE!</v>
      </c>
      <c r="D1666" s="182" t="e">
        <f t="shared" si="184"/>
        <v>#VALUE!</v>
      </c>
      <c r="E1666" s="182" t="e">
        <f t="shared" si="185"/>
        <v>#VALUE!</v>
      </c>
      <c r="F1666" s="182" t="e">
        <f>SUM($D$33:D1666)</f>
        <v>#VALUE!</v>
      </c>
      <c r="G1666" s="182">
        <f t="shared" ca="1" si="186"/>
        <v>0</v>
      </c>
      <c r="H1666" s="182" t="e">
        <f t="shared" si="187"/>
        <v>#VALUE!</v>
      </c>
      <c r="I1666" s="183" t="e">
        <f t="shared" si="188"/>
        <v>#VALUE!</v>
      </c>
    </row>
    <row r="1667" spans="1:9" x14ac:dyDescent="0.25">
      <c r="A1667" s="180">
        <f t="shared" ca="1" si="189"/>
        <v>47739</v>
      </c>
      <c r="B1667" s="181">
        <v>1635</v>
      </c>
      <c r="C1667" s="182" t="e">
        <f t="shared" si="183"/>
        <v>#VALUE!</v>
      </c>
      <c r="D1667" s="182" t="e">
        <f t="shared" si="184"/>
        <v>#VALUE!</v>
      </c>
      <c r="E1667" s="182" t="e">
        <f t="shared" si="185"/>
        <v>#VALUE!</v>
      </c>
      <c r="F1667" s="182" t="e">
        <f>SUM($D$33:D1667)</f>
        <v>#VALUE!</v>
      </c>
      <c r="G1667" s="182">
        <f t="shared" ca="1" si="186"/>
        <v>0</v>
      </c>
      <c r="H1667" s="182" t="e">
        <f t="shared" si="187"/>
        <v>#VALUE!</v>
      </c>
      <c r="I1667" s="183" t="e">
        <f t="shared" si="188"/>
        <v>#VALUE!</v>
      </c>
    </row>
    <row r="1668" spans="1:9" x14ac:dyDescent="0.25">
      <c r="A1668" s="180">
        <f t="shared" ca="1" si="189"/>
        <v>47740</v>
      </c>
      <c r="B1668" s="181">
        <v>1636</v>
      </c>
      <c r="C1668" s="182" t="e">
        <f t="shared" si="183"/>
        <v>#VALUE!</v>
      </c>
      <c r="D1668" s="182" t="e">
        <f t="shared" si="184"/>
        <v>#VALUE!</v>
      </c>
      <c r="E1668" s="182" t="e">
        <f t="shared" si="185"/>
        <v>#VALUE!</v>
      </c>
      <c r="F1668" s="182" t="e">
        <f>SUM($D$33:D1668)</f>
        <v>#VALUE!</v>
      </c>
      <c r="G1668" s="182">
        <f t="shared" ca="1" si="186"/>
        <v>0</v>
      </c>
      <c r="H1668" s="182" t="e">
        <f t="shared" si="187"/>
        <v>#VALUE!</v>
      </c>
      <c r="I1668" s="183" t="e">
        <f t="shared" si="188"/>
        <v>#VALUE!</v>
      </c>
    </row>
    <row r="1669" spans="1:9" x14ac:dyDescent="0.25">
      <c r="A1669" s="180">
        <f t="shared" ca="1" si="189"/>
        <v>47741</v>
      </c>
      <c r="B1669" s="181">
        <v>1637</v>
      </c>
      <c r="C1669" s="182" t="e">
        <f t="shared" si="183"/>
        <v>#VALUE!</v>
      </c>
      <c r="D1669" s="182" t="e">
        <f t="shared" si="184"/>
        <v>#VALUE!</v>
      </c>
      <c r="E1669" s="182" t="e">
        <f t="shared" si="185"/>
        <v>#VALUE!</v>
      </c>
      <c r="F1669" s="182" t="e">
        <f>SUM($D$33:D1669)</f>
        <v>#VALUE!</v>
      </c>
      <c r="G1669" s="182">
        <f t="shared" ca="1" si="186"/>
        <v>0</v>
      </c>
      <c r="H1669" s="182" t="e">
        <f t="shared" si="187"/>
        <v>#VALUE!</v>
      </c>
      <c r="I1669" s="183" t="e">
        <f t="shared" si="188"/>
        <v>#VALUE!</v>
      </c>
    </row>
    <row r="1670" spans="1:9" x14ac:dyDescent="0.25">
      <c r="A1670" s="180">
        <f t="shared" ca="1" si="189"/>
        <v>47742</v>
      </c>
      <c r="B1670" s="181">
        <v>1638</v>
      </c>
      <c r="C1670" s="182" t="e">
        <f t="shared" si="183"/>
        <v>#VALUE!</v>
      </c>
      <c r="D1670" s="182" t="e">
        <f t="shared" si="184"/>
        <v>#VALUE!</v>
      </c>
      <c r="E1670" s="182" t="e">
        <f t="shared" si="185"/>
        <v>#VALUE!</v>
      </c>
      <c r="F1670" s="182" t="e">
        <f>SUM($D$33:D1670)</f>
        <v>#VALUE!</v>
      </c>
      <c r="G1670" s="182">
        <f t="shared" ca="1" si="186"/>
        <v>0</v>
      </c>
      <c r="H1670" s="182" t="e">
        <f t="shared" si="187"/>
        <v>#VALUE!</v>
      </c>
      <c r="I1670" s="183" t="e">
        <f t="shared" si="188"/>
        <v>#VALUE!</v>
      </c>
    </row>
    <row r="1671" spans="1:9" x14ac:dyDescent="0.25">
      <c r="A1671" s="180">
        <f t="shared" ca="1" si="189"/>
        <v>47743</v>
      </c>
      <c r="B1671" s="181">
        <v>1639</v>
      </c>
      <c r="C1671" s="182" t="e">
        <f t="shared" si="183"/>
        <v>#VALUE!</v>
      </c>
      <c r="D1671" s="182" t="e">
        <f t="shared" si="184"/>
        <v>#VALUE!</v>
      </c>
      <c r="E1671" s="182" t="e">
        <f t="shared" si="185"/>
        <v>#VALUE!</v>
      </c>
      <c r="F1671" s="182" t="e">
        <f>SUM($D$33:D1671)</f>
        <v>#VALUE!</v>
      </c>
      <c r="G1671" s="182">
        <f t="shared" ca="1" si="186"/>
        <v>0</v>
      </c>
      <c r="H1671" s="182" t="e">
        <f t="shared" si="187"/>
        <v>#VALUE!</v>
      </c>
      <c r="I1671" s="183" t="e">
        <f t="shared" si="188"/>
        <v>#VALUE!</v>
      </c>
    </row>
    <row r="1672" spans="1:9" x14ac:dyDescent="0.25">
      <c r="A1672" s="180">
        <f t="shared" ca="1" si="189"/>
        <v>47744</v>
      </c>
      <c r="B1672" s="181">
        <v>1640</v>
      </c>
      <c r="C1672" s="182" t="e">
        <f t="shared" si="183"/>
        <v>#VALUE!</v>
      </c>
      <c r="D1672" s="182" t="e">
        <f t="shared" si="184"/>
        <v>#VALUE!</v>
      </c>
      <c r="E1672" s="182" t="e">
        <f t="shared" si="185"/>
        <v>#VALUE!</v>
      </c>
      <c r="F1672" s="182" t="e">
        <f>SUM($D$33:D1672)</f>
        <v>#VALUE!</v>
      </c>
      <c r="G1672" s="182">
        <f t="shared" ca="1" si="186"/>
        <v>0</v>
      </c>
      <c r="H1672" s="182" t="e">
        <f t="shared" si="187"/>
        <v>#VALUE!</v>
      </c>
      <c r="I1672" s="183" t="e">
        <f t="shared" si="188"/>
        <v>#VALUE!</v>
      </c>
    </row>
    <row r="1673" spans="1:9" x14ac:dyDescent="0.25">
      <c r="A1673" s="180">
        <f t="shared" ca="1" si="189"/>
        <v>47745</v>
      </c>
      <c r="B1673" s="181">
        <v>1641</v>
      </c>
      <c r="C1673" s="182" t="e">
        <f t="shared" si="183"/>
        <v>#VALUE!</v>
      </c>
      <c r="D1673" s="182" t="e">
        <f t="shared" si="184"/>
        <v>#VALUE!</v>
      </c>
      <c r="E1673" s="182" t="e">
        <f t="shared" si="185"/>
        <v>#VALUE!</v>
      </c>
      <c r="F1673" s="182" t="e">
        <f>SUM($D$33:D1673)</f>
        <v>#VALUE!</v>
      </c>
      <c r="G1673" s="182">
        <f t="shared" ca="1" si="186"/>
        <v>0</v>
      </c>
      <c r="H1673" s="182" t="e">
        <f t="shared" si="187"/>
        <v>#VALUE!</v>
      </c>
      <c r="I1673" s="183" t="e">
        <f t="shared" si="188"/>
        <v>#VALUE!</v>
      </c>
    </row>
    <row r="1674" spans="1:9" x14ac:dyDescent="0.25">
      <c r="A1674" s="180">
        <f t="shared" ca="1" si="189"/>
        <v>47746</v>
      </c>
      <c r="B1674" s="181">
        <v>1642</v>
      </c>
      <c r="C1674" s="182" t="e">
        <f t="shared" si="183"/>
        <v>#VALUE!</v>
      </c>
      <c r="D1674" s="182" t="e">
        <f t="shared" si="184"/>
        <v>#VALUE!</v>
      </c>
      <c r="E1674" s="182" t="e">
        <f t="shared" si="185"/>
        <v>#VALUE!</v>
      </c>
      <c r="F1674" s="182" t="e">
        <f>SUM($D$33:D1674)</f>
        <v>#VALUE!</v>
      </c>
      <c r="G1674" s="182">
        <f t="shared" ca="1" si="186"/>
        <v>0</v>
      </c>
      <c r="H1674" s="182" t="e">
        <f t="shared" si="187"/>
        <v>#VALUE!</v>
      </c>
      <c r="I1674" s="183" t="e">
        <f t="shared" si="188"/>
        <v>#VALUE!</v>
      </c>
    </row>
    <row r="1675" spans="1:9" x14ac:dyDescent="0.25">
      <c r="A1675" s="180">
        <f t="shared" ca="1" si="189"/>
        <v>47747</v>
      </c>
      <c r="B1675" s="181">
        <v>1643</v>
      </c>
      <c r="C1675" s="182" t="e">
        <f t="shared" si="183"/>
        <v>#VALUE!</v>
      </c>
      <c r="D1675" s="182" t="e">
        <f t="shared" si="184"/>
        <v>#VALUE!</v>
      </c>
      <c r="E1675" s="182" t="e">
        <f t="shared" si="185"/>
        <v>#VALUE!</v>
      </c>
      <c r="F1675" s="182" t="e">
        <f>SUM($D$33:D1675)</f>
        <v>#VALUE!</v>
      </c>
      <c r="G1675" s="182">
        <f t="shared" ca="1" si="186"/>
        <v>0</v>
      </c>
      <c r="H1675" s="182" t="e">
        <f t="shared" si="187"/>
        <v>#VALUE!</v>
      </c>
      <c r="I1675" s="183" t="e">
        <f t="shared" si="188"/>
        <v>#VALUE!</v>
      </c>
    </row>
    <row r="1676" spans="1:9" x14ac:dyDescent="0.25">
      <c r="A1676" s="180">
        <f t="shared" ca="1" si="189"/>
        <v>47748</v>
      </c>
      <c r="B1676" s="181">
        <v>1644</v>
      </c>
      <c r="C1676" s="182" t="e">
        <f t="shared" si="183"/>
        <v>#VALUE!</v>
      </c>
      <c r="D1676" s="182" t="e">
        <f t="shared" si="184"/>
        <v>#VALUE!</v>
      </c>
      <c r="E1676" s="182" t="e">
        <f t="shared" si="185"/>
        <v>#VALUE!</v>
      </c>
      <c r="F1676" s="182" t="e">
        <f>SUM($D$33:D1676)</f>
        <v>#VALUE!</v>
      </c>
      <c r="G1676" s="182">
        <f t="shared" ca="1" si="186"/>
        <v>0</v>
      </c>
      <c r="H1676" s="182" t="e">
        <f t="shared" si="187"/>
        <v>#VALUE!</v>
      </c>
      <c r="I1676" s="183" t="e">
        <f t="shared" si="188"/>
        <v>#VALUE!</v>
      </c>
    </row>
    <row r="1677" spans="1:9" x14ac:dyDescent="0.25">
      <c r="A1677" s="180">
        <f t="shared" ca="1" si="189"/>
        <v>47749</v>
      </c>
      <c r="B1677" s="181">
        <v>1645</v>
      </c>
      <c r="C1677" s="182" t="e">
        <f t="shared" si="183"/>
        <v>#VALUE!</v>
      </c>
      <c r="D1677" s="182" t="e">
        <f t="shared" si="184"/>
        <v>#VALUE!</v>
      </c>
      <c r="E1677" s="182" t="e">
        <f t="shared" si="185"/>
        <v>#VALUE!</v>
      </c>
      <c r="F1677" s="182" t="e">
        <f>SUM($D$33:D1677)</f>
        <v>#VALUE!</v>
      </c>
      <c r="G1677" s="182">
        <f t="shared" ca="1" si="186"/>
        <v>0</v>
      </c>
      <c r="H1677" s="182" t="e">
        <f t="shared" si="187"/>
        <v>#VALUE!</v>
      </c>
      <c r="I1677" s="183" t="e">
        <f t="shared" si="188"/>
        <v>#VALUE!</v>
      </c>
    </row>
    <row r="1678" spans="1:9" x14ac:dyDescent="0.25">
      <c r="A1678" s="180">
        <f t="shared" ca="1" si="189"/>
        <v>47750</v>
      </c>
      <c r="B1678" s="181">
        <v>1646</v>
      </c>
      <c r="C1678" s="182" t="e">
        <f t="shared" si="183"/>
        <v>#VALUE!</v>
      </c>
      <c r="D1678" s="182" t="e">
        <f t="shared" si="184"/>
        <v>#VALUE!</v>
      </c>
      <c r="E1678" s="182" t="e">
        <f t="shared" si="185"/>
        <v>#VALUE!</v>
      </c>
      <c r="F1678" s="182" t="e">
        <f>SUM($D$33:D1678)</f>
        <v>#VALUE!</v>
      </c>
      <c r="G1678" s="182">
        <f t="shared" ca="1" si="186"/>
        <v>0</v>
      </c>
      <c r="H1678" s="182" t="e">
        <f t="shared" si="187"/>
        <v>#VALUE!</v>
      </c>
      <c r="I1678" s="183" t="e">
        <f t="shared" si="188"/>
        <v>#VALUE!</v>
      </c>
    </row>
    <row r="1679" spans="1:9" x14ac:dyDescent="0.25">
      <c r="A1679" s="180">
        <f t="shared" ca="1" si="189"/>
        <v>47751</v>
      </c>
      <c r="B1679" s="181">
        <v>1647</v>
      </c>
      <c r="C1679" s="182" t="e">
        <f t="shared" si="183"/>
        <v>#VALUE!</v>
      </c>
      <c r="D1679" s="182" t="e">
        <f t="shared" si="184"/>
        <v>#VALUE!</v>
      </c>
      <c r="E1679" s="182" t="e">
        <f t="shared" si="185"/>
        <v>#VALUE!</v>
      </c>
      <c r="F1679" s="182" t="e">
        <f>SUM($D$33:D1679)</f>
        <v>#VALUE!</v>
      </c>
      <c r="G1679" s="182">
        <f t="shared" ca="1" si="186"/>
        <v>0</v>
      </c>
      <c r="H1679" s="182" t="e">
        <f t="shared" si="187"/>
        <v>#VALUE!</v>
      </c>
      <c r="I1679" s="183" t="e">
        <f t="shared" si="188"/>
        <v>#VALUE!</v>
      </c>
    </row>
    <row r="1680" spans="1:9" x14ac:dyDescent="0.25">
      <c r="A1680" s="180">
        <f t="shared" ca="1" si="189"/>
        <v>47752</v>
      </c>
      <c r="B1680" s="181">
        <v>1648</v>
      </c>
      <c r="C1680" s="182" t="e">
        <f t="shared" ref="C1680:C1743" si="190">H1679</f>
        <v>#VALUE!</v>
      </c>
      <c r="D1680" s="182" t="e">
        <f t="shared" ref="D1680:D1743" si="191">IF(C1680&gt;$H$21,C1680*($L$16/360),$H$21*($L$16/360))</f>
        <v>#VALUE!</v>
      </c>
      <c r="E1680" s="182" t="e">
        <f t="shared" ref="E1680:E1743" si="192">IF(E1679&gt;0,E1679-D1680,0)</f>
        <v>#VALUE!</v>
      </c>
      <c r="F1680" s="182" t="e">
        <f>SUM($D$33:D1680)</f>
        <v>#VALUE!</v>
      </c>
      <c r="G1680" s="182">
        <f t="shared" ref="G1680:G1743" ca="1" si="193">IFERROR(-VLOOKUP(A1680,$K$30:$M$36,2,FALSE),0)</f>
        <v>0</v>
      </c>
      <c r="H1680" s="182" t="e">
        <f t="shared" ref="H1680:H1743" si="194">IF(E1680&gt;0,C1680+G1680,IF(E1680&lt;0,C1680+G1680+D1680-E1679,C1680+D1680+G1680))</f>
        <v>#VALUE!</v>
      </c>
      <c r="I1680" s="183" t="e">
        <f t="shared" ref="I1680:I1743" si="195">(C1680+D1680-E1680)</f>
        <v>#VALUE!</v>
      </c>
    </row>
    <row r="1681" spans="1:9" x14ac:dyDescent="0.25">
      <c r="A1681" s="180">
        <f t="shared" ca="1" si="189"/>
        <v>47753</v>
      </c>
      <c r="B1681" s="181">
        <v>1649</v>
      </c>
      <c r="C1681" s="182" t="e">
        <f t="shared" si="190"/>
        <v>#VALUE!</v>
      </c>
      <c r="D1681" s="182" t="e">
        <f t="shared" si="191"/>
        <v>#VALUE!</v>
      </c>
      <c r="E1681" s="182" t="e">
        <f t="shared" si="192"/>
        <v>#VALUE!</v>
      </c>
      <c r="F1681" s="182" t="e">
        <f>SUM($D$33:D1681)</f>
        <v>#VALUE!</v>
      </c>
      <c r="G1681" s="182">
        <f t="shared" ca="1" si="193"/>
        <v>0</v>
      </c>
      <c r="H1681" s="182" t="e">
        <f t="shared" si="194"/>
        <v>#VALUE!</v>
      </c>
      <c r="I1681" s="183" t="e">
        <f t="shared" si="195"/>
        <v>#VALUE!</v>
      </c>
    </row>
    <row r="1682" spans="1:9" x14ac:dyDescent="0.25">
      <c r="A1682" s="180">
        <f t="shared" ca="1" si="189"/>
        <v>47754</v>
      </c>
      <c r="B1682" s="181">
        <v>1650</v>
      </c>
      <c r="C1682" s="182" t="e">
        <f t="shared" si="190"/>
        <v>#VALUE!</v>
      </c>
      <c r="D1682" s="182" t="e">
        <f t="shared" si="191"/>
        <v>#VALUE!</v>
      </c>
      <c r="E1682" s="182" t="e">
        <f t="shared" si="192"/>
        <v>#VALUE!</v>
      </c>
      <c r="F1682" s="182" t="e">
        <f>SUM($D$33:D1682)</f>
        <v>#VALUE!</v>
      </c>
      <c r="G1682" s="182">
        <f t="shared" ca="1" si="193"/>
        <v>0</v>
      </c>
      <c r="H1682" s="182" t="e">
        <f t="shared" si="194"/>
        <v>#VALUE!</v>
      </c>
      <c r="I1682" s="183" t="e">
        <f t="shared" si="195"/>
        <v>#VALUE!</v>
      </c>
    </row>
    <row r="1683" spans="1:9" x14ac:dyDescent="0.25">
      <c r="A1683" s="180">
        <f t="shared" ca="1" si="189"/>
        <v>47755</v>
      </c>
      <c r="B1683" s="181">
        <v>1651</v>
      </c>
      <c r="C1683" s="182" t="e">
        <f t="shared" si="190"/>
        <v>#VALUE!</v>
      </c>
      <c r="D1683" s="182" t="e">
        <f t="shared" si="191"/>
        <v>#VALUE!</v>
      </c>
      <c r="E1683" s="182" t="e">
        <f t="shared" si="192"/>
        <v>#VALUE!</v>
      </c>
      <c r="F1683" s="182" t="e">
        <f>SUM($D$33:D1683)</f>
        <v>#VALUE!</v>
      </c>
      <c r="G1683" s="182">
        <f t="shared" ca="1" si="193"/>
        <v>0</v>
      </c>
      <c r="H1683" s="182" t="e">
        <f t="shared" si="194"/>
        <v>#VALUE!</v>
      </c>
      <c r="I1683" s="183" t="e">
        <f t="shared" si="195"/>
        <v>#VALUE!</v>
      </c>
    </row>
    <row r="1684" spans="1:9" x14ac:dyDescent="0.25">
      <c r="A1684" s="180">
        <f t="shared" ca="1" si="189"/>
        <v>47756</v>
      </c>
      <c r="B1684" s="181">
        <v>1652</v>
      </c>
      <c r="C1684" s="182" t="e">
        <f t="shared" si="190"/>
        <v>#VALUE!</v>
      </c>
      <c r="D1684" s="182" t="e">
        <f t="shared" si="191"/>
        <v>#VALUE!</v>
      </c>
      <c r="E1684" s="182" t="e">
        <f t="shared" si="192"/>
        <v>#VALUE!</v>
      </c>
      <c r="F1684" s="182" t="e">
        <f>SUM($D$33:D1684)</f>
        <v>#VALUE!</v>
      </c>
      <c r="G1684" s="182">
        <f t="shared" ca="1" si="193"/>
        <v>0</v>
      </c>
      <c r="H1684" s="182" t="e">
        <f t="shared" si="194"/>
        <v>#VALUE!</v>
      </c>
      <c r="I1684" s="183" t="e">
        <f t="shared" si="195"/>
        <v>#VALUE!</v>
      </c>
    </row>
    <row r="1685" spans="1:9" x14ac:dyDescent="0.25">
      <c r="A1685" s="180">
        <f t="shared" ca="1" si="189"/>
        <v>47757</v>
      </c>
      <c r="B1685" s="181">
        <v>1653</v>
      </c>
      <c r="C1685" s="182" t="e">
        <f t="shared" si="190"/>
        <v>#VALUE!</v>
      </c>
      <c r="D1685" s="182" t="e">
        <f t="shared" si="191"/>
        <v>#VALUE!</v>
      </c>
      <c r="E1685" s="182" t="e">
        <f t="shared" si="192"/>
        <v>#VALUE!</v>
      </c>
      <c r="F1685" s="182" t="e">
        <f>SUM($D$33:D1685)</f>
        <v>#VALUE!</v>
      </c>
      <c r="G1685" s="182">
        <f t="shared" ca="1" si="193"/>
        <v>0</v>
      </c>
      <c r="H1685" s="182" t="e">
        <f t="shared" si="194"/>
        <v>#VALUE!</v>
      </c>
      <c r="I1685" s="183" t="e">
        <f t="shared" si="195"/>
        <v>#VALUE!</v>
      </c>
    </row>
    <row r="1686" spans="1:9" x14ac:dyDescent="0.25">
      <c r="A1686" s="180">
        <f t="shared" ca="1" si="189"/>
        <v>47758</v>
      </c>
      <c r="B1686" s="181">
        <v>1654</v>
      </c>
      <c r="C1686" s="182" t="e">
        <f t="shared" si="190"/>
        <v>#VALUE!</v>
      </c>
      <c r="D1686" s="182" t="e">
        <f t="shared" si="191"/>
        <v>#VALUE!</v>
      </c>
      <c r="E1686" s="182" t="e">
        <f t="shared" si="192"/>
        <v>#VALUE!</v>
      </c>
      <c r="F1686" s="182" t="e">
        <f>SUM($D$33:D1686)</f>
        <v>#VALUE!</v>
      </c>
      <c r="G1686" s="182">
        <f t="shared" ca="1" si="193"/>
        <v>0</v>
      </c>
      <c r="H1686" s="182" t="e">
        <f t="shared" si="194"/>
        <v>#VALUE!</v>
      </c>
      <c r="I1686" s="183" t="e">
        <f t="shared" si="195"/>
        <v>#VALUE!</v>
      </c>
    </row>
    <row r="1687" spans="1:9" x14ac:dyDescent="0.25">
      <c r="A1687" s="180">
        <f t="shared" ca="1" si="189"/>
        <v>47759</v>
      </c>
      <c r="B1687" s="181">
        <v>1655</v>
      </c>
      <c r="C1687" s="182" t="e">
        <f t="shared" si="190"/>
        <v>#VALUE!</v>
      </c>
      <c r="D1687" s="182" t="e">
        <f t="shared" si="191"/>
        <v>#VALUE!</v>
      </c>
      <c r="E1687" s="182" t="e">
        <f t="shared" si="192"/>
        <v>#VALUE!</v>
      </c>
      <c r="F1687" s="182" t="e">
        <f>SUM($D$33:D1687)</f>
        <v>#VALUE!</v>
      </c>
      <c r="G1687" s="182">
        <f t="shared" ca="1" si="193"/>
        <v>0</v>
      </c>
      <c r="H1687" s="182" t="e">
        <f t="shared" si="194"/>
        <v>#VALUE!</v>
      </c>
      <c r="I1687" s="183" t="e">
        <f t="shared" si="195"/>
        <v>#VALUE!</v>
      </c>
    </row>
    <row r="1688" spans="1:9" x14ac:dyDescent="0.25">
      <c r="A1688" s="180">
        <f t="shared" ca="1" si="189"/>
        <v>47760</v>
      </c>
      <c r="B1688" s="181">
        <v>1656</v>
      </c>
      <c r="C1688" s="182" t="e">
        <f t="shared" si="190"/>
        <v>#VALUE!</v>
      </c>
      <c r="D1688" s="182" t="e">
        <f t="shared" si="191"/>
        <v>#VALUE!</v>
      </c>
      <c r="E1688" s="182" t="e">
        <f t="shared" si="192"/>
        <v>#VALUE!</v>
      </c>
      <c r="F1688" s="182" t="e">
        <f>SUM($D$33:D1688)</f>
        <v>#VALUE!</v>
      </c>
      <c r="G1688" s="182">
        <f t="shared" ca="1" si="193"/>
        <v>0</v>
      </c>
      <c r="H1688" s="182" t="e">
        <f t="shared" si="194"/>
        <v>#VALUE!</v>
      </c>
      <c r="I1688" s="183" t="e">
        <f t="shared" si="195"/>
        <v>#VALUE!</v>
      </c>
    </row>
    <row r="1689" spans="1:9" x14ac:dyDescent="0.25">
      <c r="A1689" s="180">
        <f t="shared" ca="1" si="189"/>
        <v>47761</v>
      </c>
      <c r="B1689" s="181">
        <v>1657</v>
      </c>
      <c r="C1689" s="182" t="e">
        <f t="shared" si="190"/>
        <v>#VALUE!</v>
      </c>
      <c r="D1689" s="182" t="e">
        <f t="shared" si="191"/>
        <v>#VALUE!</v>
      </c>
      <c r="E1689" s="182" t="e">
        <f t="shared" si="192"/>
        <v>#VALUE!</v>
      </c>
      <c r="F1689" s="182" t="e">
        <f>SUM($D$33:D1689)</f>
        <v>#VALUE!</v>
      </c>
      <c r="G1689" s="182">
        <f t="shared" ca="1" si="193"/>
        <v>0</v>
      </c>
      <c r="H1689" s="182" t="e">
        <f t="shared" si="194"/>
        <v>#VALUE!</v>
      </c>
      <c r="I1689" s="183" t="e">
        <f t="shared" si="195"/>
        <v>#VALUE!</v>
      </c>
    </row>
    <row r="1690" spans="1:9" x14ac:dyDescent="0.25">
      <c r="A1690" s="180">
        <f t="shared" ca="1" si="189"/>
        <v>47762</v>
      </c>
      <c r="B1690" s="181">
        <v>1658</v>
      </c>
      <c r="C1690" s="182" t="e">
        <f t="shared" si="190"/>
        <v>#VALUE!</v>
      </c>
      <c r="D1690" s="182" t="e">
        <f t="shared" si="191"/>
        <v>#VALUE!</v>
      </c>
      <c r="E1690" s="182" t="e">
        <f t="shared" si="192"/>
        <v>#VALUE!</v>
      </c>
      <c r="F1690" s="182" t="e">
        <f>SUM($D$33:D1690)</f>
        <v>#VALUE!</v>
      </c>
      <c r="G1690" s="182">
        <f t="shared" ca="1" si="193"/>
        <v>0</v>
      </c>
      <c r="H1690" s="182" t="e">
        <f t="shared" si="194"/>
        <v>#VALUE!</v>
      </c>
      <c r="I1690" s="183" t="e">
        <f t="shared" si="195"/>
        <v>#VALUE!</v>
      </c>
    </row>
    <row r="1691" spans="1:9" x14ac:dyDescent="0.25">
      <c r="A1691" s="180">
        <f t="shared" ca="1" si="189"/>
        <v>47763</v>
      </c>
      <c r="B1691" s="181">
        <v>1659</v>
      </c>
      <c r="C1691" s="182" t="e">
        <f t="shared" si="190"/>
        <v>#VALUE!</v>
      </c>
      <c r="D1691" s="182" t="e">
        <f t="shared" si="191"/>
        <v>#VALUE!</v>
      </c>
      <c r="E1691" s="182" t="e">
        <f t="shared" si="192"/>
        <v>#VALUE!</v>
      </c>
      <c r="F1691" s="182" t="e">
        <f>SUM($D$33:D1691)</f>
        <v>#VALUE!</v>
      </c>
      <c r="G1691" s="182">
        <f t="shared" ca="1" si="193"/>
        <v>0</v>
      </c>
      <c r="H1691" s="182" t="e">
        <f t="shared" si="194"/>
        <v>#VALUE!</v>
      </c>
      <c r="I1691" s="183" t="e">
        <f t="shared" si="195"/>
        <v>#VALUE!</v>
      </c>
    </row>
    <row r="1692" spans="1:9" x14ac:dyDescent="0.25">
      <c r="A1692" s="180">
        <f t="shared" ca="1" si="189"/>
        <v>47764</v>
      </c>
      <c r="B1692" s="181">
        <v>1660</v>
      </c>
      <c r="C1692" s="182" t="e">
        <f t="shared" si="190"/>
        <v>#VALUE!</v>
      </c>
      <c r="D1692" s="182" t="e">
        <f t="shared" si="191"/>
        <v>#VALUE!</v>
      </c>
      <c r="E1692" s="182" t="e">
        <f t="shared" si="192"/>
        <v>#VALUE!</v>
      </c>
      <c r="F1692" s="182" t="e">
        <f>SUM($D$33:D1692)</f>
        <v>#VALUE!</v>
      </c>
      <c r="G1692" s="182">
        <f t="shared" ca="1" si="193"/>
        <v>0</v>
      </c>
      <c r="H1692" s="182" t="e">
        <f t="shared" si="194"/>
        <v>#VALUE!</v>
      </c>
      <c r="I1692" s="183" t="e">
        <f t="shared" si="195"/>
        <v>#VALUE!</v>
      </c>
    </row>
    <row r="1693" spans="1:9" x14ac:dyDescent="0.25">
      <c r="A1693" s="180">
        <f t="shared" ca="1" si="189"/>
        <v>47765</v>
      </c>
      <c r="B1693" s="181">
        <v>1661</v>
      </c>
      <c r="C1693" s="182" t="e">
        <f t="shared" si="190"/>
        <v>#VALUE!</v>
      </c>
      <c r="D1693" s="182" t="e">
        <f t="shared" si="191"/>
        <v>#VALUE!</v>
      </c>
      <c r="E1693" s="182" t="e">
        <f t="shared" si="192"/>
        <v>#VALUE!</v>
      </c>
      <c r="F1693" s="182" t="e">
        <f>SUM($D$33:D1693)</f>
        <v>#VALUE!</v>
      </c>
      <c r="G1693" s="182">
        <f t="shared" ca="1" si="193"/>
        <v>0</v>
      </c>
      <c r="H1693" s="182" t="e">
        <f t="shared" si="194"/>
        <v>#VALUE!</v>
      </c>
      <c r="I1693" s="183" t="e">
        <f t="shared" si="195"/>
        <v>#VALUE!</v>
      </c>
    </row>
    <row r="1694" spans="1:9" x14ac:dyDescent="0.25">
      <c r="A1694" s="180">
        <f t="shared" ca="1" si="189"/>
        <v>47766</v>
      </c>
      <c r="B1694" s="181">
        <v>1662</v>
      </c>
      <c r="C1694" s="182" t="e">
        <f t="shared" si="190"/>
        <v>#VALUE!</v>
      </c>
      <c r="D1694" s="182" t="e">
        <f t="shared" si="191"/>
        <v>#VALUE!</v>
      </c>
      <c r="E1694" s="182" t="e">
        <f t="shared" si="192"/>
        <v>#VALUE!</v>
      </c>
      <c r="F1694" s="182" t="e">
        <f>SUM($D$33:D1694)</f>
        <v>#VALUE!</v>
      </c>
      <c r="G1694" s="182">
        <f t="shared" ca="1" si="193"/>
        <v>0</v>
      </c>
      <c r="H1694" s="182" t="e">
        <f t="shared" si="194"/>
        <v>#VALUE!</v>
      </c>
      <c r="I1694" s="183" t="e">
        <f t="shared" si="195"/>
        <v>#VALUE!</v>
      </c>
    </row>
    <row r="1695" spans="1:9" x14ac:dyDescent="0.25">
      <c r="A1695" s="180">
        <f t="shared" ca="1" si="189"/>
        <v>47767</v>
      </c>
      <c r="B1695" s="181">
        <v>1663</v>
      </c>
      <c r="C1695" s="182" t="e">
        <f t="shared" si="190"/>
        <v>#VALUE!</v>
      </c>
      <c r="D1695" s="182" t="e">
        <f t="shared" si="191"/>
        <v>#VALUE!</v>
      </c>
      <c r="E1695" s="182" t="e">
        <f t="shared" si="192"/>
        <v>#VALUE!</v>
      </c>
      <c r="F1695" s="182" t="e">
        <f>SUM($D$33:D1695)</f>
        <v>#VALUE!</v>
      </c>
      <c r="G1695" s="182">
        <f t="shared" ca="1" si="193"/>
        <v>0</v>
      </c>
      <c r="H1695" s="182" t="e">
        <f t="shared" si="194"/>
        <v>#VALUE!</v>
      </c>
      <c r="I1695" s="183" t="e">
        <f t="shared" si="195"/>
        <v>#VALUE!</v>
      </c>
    </row>
    <row r="1696" spans="1:9" x14ac:dyDescent="0.25">
      <c r="A1696" s="180">
        <f t="shared" ca="1" si="189"/>
        <v>47768</v>
      </c>
      <c r="B1696" s="181">
        <v>1664</v>
      </c>
      <c r="C1696" s="182" t="e">
        <f t="shared" si="190"/>
        <v>#VALUE!</v>
      </c>
      <c r="D1696" s="182" t="e">
        <f t="shared" si="191"/>
        <v>#VALUE!</v>
      </c>
      <c r="E1696" s="182" t="e">
        <f t="shared" si="192"/>
        <v>#VALUE!</v>
      </c>
      <c r="F1696" s="182" t="e">
        <f>SUM($D$33:D1696)</f>
        <v>#VALUE!</v>
      </c>
      <c r="G1696" s="182">
        <f t="shared" ca="1" si="193"/>
        <v>0</v>
      </c>
      <c r="H1696" s="182" t="e">
        <f t="shared" si="194"/>
        <v>#VALUE!</v>
      </c>
      <c r="I1696" s="183" t="e">
        <f t="shared" si="195"/>
        <v>#VALUE!</v>
      </c>
    </row>
    <row r="1697" spans="1:9" x14ac:dyDescent="0.25">
      <c r="A1697" s="180">
        <f t="shared" ca="1" si="189"/>
        <v>47769</v>
      </c>
      <c r="B1697" s="181">
        <v>1665</v>
      </c>
      <c r="C1697" s="182" t="e">
        <f t="shared" si="190"/>
        <v>#VALUE!</v>
      </c>
      <c r="D1697" s="182" t="e">
        <f t="shared" si="191"/>
        <v>#VALUE!</v>
      </c>
      <c r="E1697" s="182" t="e">
        <f t="shared" si="192"/>
        <v>#VALUE!</v>
      </c>
      <c r="F1697" s="182" t="e">
        <f>SUM($D$33:D1697)</f>
        <v>#VALUE!</v>
      </c>
      <c r="G1697" s="182">
        <f t="shared" ca="1" si="193"/>
        <v>0</v>
      </c>
      <c r="H1697" s="182" t="e">
        <f t="shared" si="194"/>
        <v>#VALUE!</v>
      </c>
      <c r="I1697" s="183" t="e">
        <f t="shared" si="195"/>
        <v>#VALUE!</v>
      </c>
    </row>
    <row r="1698" spans="1:9" x14ac:dyDescent="0.25">
      <c r="A1698" s="180">
        <f t="shared" ref="A1698:A1761" ca="1" si="196">A1697+1</f>
        <v>47770</v>
      </c>
      <c r="B1698" s="181">
        <v>1666</v>
      </c>
      <c r="C1698" s="182" t="e">
        <f t="shared" si="190"/>
        <v>#VALUE!</v>
      </c>
      <c r="D1698" s="182" t="e">
        <f t="shared" si="191"/>
        <v>#VALUE!</v>
      </c>
      <c r="E1698" s="182" t="e">
        <f t="shared" si="192"/>
        <v>#VALUE!</v>
      </c>
      <c r="F1698" s="182" t="e">
        <f>SUM($D$33:D1698)</f>
        <v>#VALUE!</v>
      </c>
      <c r="G1698" s="182">
        <f t="shared" ca="1" si="193"/>
        <v>0</v>
      </c>
      <c r="H1698" s="182" t="e">
        <f t="shared" si="194"/>
        <v>#VALUE!</v>
      </c>
      <c r="I1698" s="183" t="e">
        <f t="shared" si="195"/>
        <v>#VALUE!</v>
      </c>
    </row>
    <row r="1699" spans="1:9" x14ac:dyDescent="0.25">
      <c r="A1699" s="180">
        <f t="shared" ca="1" si="196"/>
        <v>47771</v>
      </c>
      <c r="B1699" s="181">
        <v>1667</v>
      </c>
      <c r="C1699" s="182" t="e">
        <f t="shared" si="190"/>
        <v>#VALUE!</v>
      </c>
      <c r="D1699" s="182" t="e">
        <f t="shared" si="191"/>
        <v>#VALUE!</v>
      </c>
      <c r="E1699" s="182" t="e">
        <f t="shared" si="192"/>
        <v>#VALUE!</v>
      </c>
      <c r="F1699" s="182" t="e">
        <f>SUM($D$33:D1699)</f>
        <v>#VALUE!</v>
      </c>
      <c r="G1699" s="182">
        <f t="shared" ca="1" si="193"/>
        <v>0</v>
      </c>
      <c r="H1699" s="182" t="e">
        <f t="shared" si="194"/>
        <v>#VALUE!</v>
      </c>
      <c r="I1699" s="183" t="e">
        <f t="shared" si="195"/>
        <v>#VALUE!</v>
      </c>
    </row>
    <row r="1700" spans="1:9" x14ac:dyDescent="0.25">
      <c r="A1700" s="180">
        <f t="shared" ca="1" si="196"/>
        <v>47772</v>
      </c>
      <c r="B1700" s="181">
        <v>1668</v>
      </c>
      <c r="C1700" s="182" t="e">
        <f t="shared" si="190"/>
        <v>#VALUE!</v>
      </c>
      <c r="D1700" s="182" t="e">
        <f t="shared" si="191"/>
        <v>#VALUE!</v>
      </c>
      <c r="E1700" s="182" t="e">
        <f t="shared" si="192"/>
        <v>#VALUE!</v>
      </c>
      <c r="F1700" s="182" t="e">
        <f>SUM($D$33:D1700)</f>
        <v>#VALUE!</v>
      </c>
      <c r="G1700" s="182">
        <f t="shared" ca="1" si="193"/>
        <v>0</v>
      </c>
      <c r="H1700" s="182" t="e">
        <f t="shared" si="194"/>
        <v>#VALUE!</v>
      </c>
      <c r="I1700" s="183" t="e">
        <f t="shared" si="195"/>
        <v>#VALUE!</v>
      </c>
    </row>
    <row r="1701" spans="1:9" x14ac:dyDescent="0.25">
      <c r="A1701" s="180">
        <f t="shared" ca="1" si="196"/>
        <v>47773</v>
      </c>
      <c r="B1701" s="181">
        <v>1669</v>
      </c>
      <c r="C1701" s="182" t="e">
        <f t="shared" si="190"/>
        <v>#VALUE!</v>
      </c>
      <c r="D1701" s="182" t="e">
        <f t="shared" si="191"/>
        <v>#VALUE!</v>
      </c>
      <c r="E1701" s="182" t="e">
        <f t="shared" si="192"/>
        <v>#VALUE!</v>
      </c>
      <c r="F1701" s="182" t="e">
        <f>SUM($D$33:D1701)</f>
        <v>#VALUE!</v>
      </c>
      <c r="G1701" s="182">
        <f t="shared" ca="1" si="193"/>
        <v>0</v>
      </c>
      <c r="H1701" s="182" t="e">
        <f t="shared" si="194"/>
        <v>#VALUE!</v>
      </c>
      <c r="I1701" s="183" t="e">
        <f t="shared" si="195"/>
        <v>#VALUE!</v>
      </c>
    </row>
    <row r="1702" spans="1:9" x14ac:dyDescent="0.25">
      <c r="A1702" s="180">
        <f t="shared" ca="1" si="196"/>
        <v>47774</v>
      </c>
      <c r="B1702" s="181">
        <v>1670</v>
      </c>
      <c r="C1702" s="182" t="e">
        <f t="shared" si="190"/>
        <v>#VALUE!</v>
      </c>
      <c r="D1702" s="182" t="e">
        <f t="shared" si="191"/>
        <v>#VALUE!</v>
      </c>
      <c r="E1702" s="182" t="e">
        <f t="shared" si="192"/>
        <v>#VALUE!</v>
      </c>
      <c r="F1702" s="182" t="e">
        <f>SUM($D$33:D1702)</f>
        <v>#VALUE!</v>
      </c>
      <c r="G1702" s="182">
        <f t="shared" ca="1" si="193"/>
        <v>0</v>
      </c>
      <c r="H1702" s="182" t="e">
        <f t="shared" si="194"/>
        <v>#VALUE!</v>
      </c>
      <c r="I1702" s="183" t="e">
        <f t="shared" si="195"/>
        <v>#VALUE!</v>
      </c>
    </row>
    <row r="1703" spans="1:9" x14ac:dyDescent="0.25">
      <c r="A1703" s="180">
        <f t="shared" ca="1" si="196"/>
        <v>47775</v>
      </c>
      <c r="B1703" s="181">
        <v>1671</v>
      </c>
      <c r="C1703" s="182" t="e">
        <f t="shared" si="190"/>
        <v>#VALUE!</v>
      </c>
      <c r="D1703" s="182" t="e">
        <f t="shared" si="191"/>
        <v>#VALUE!</v>
      </c>
      <c r="E1703" s="182" t="e">
        <f t="shared" si="192"/>
        <v>#VALUE!</v>
      </c>
      <c r="F1703" s="182" t="e">
        <f>SUM($D$33:D1703)</f>
        <v>#VALUE!</v>
      </c>
      <c r="G1703" s="182">
        <f t="shared" ca="1" si="193"/>
        <v>0</v>
      </c>
      <c r="H1703" s="182" t="e">
        <f t="shared" si="194"/>
        <v>#VALUE!</v>
      </c>
      <c r="I1703" s="183" t="e">
        <f t="shared" si="195"/>
        <v>#VALUE!</v>
      </c>
    </row>
    <row r="1704" spans="1:9" x14ac:dyDescent="0.25">
      <c r="A1704" s="180">
        <f t="shared" ca="1" si="196"/>
        <v>47776</v>
      </c>
      <c r="B1704" s="181">
        <v>1672</v>
      </c>
      <c r="C1704" s="182" t="e">
        <f t="shared" si="190"/>
        <v>#VALUE!</v>
      </c>
      <c r="D1704" s="182" t="e">
        <f t="shared" si="191"/>
        <v>#VALUE!</v>
      </c>
      <c r="E1704" s="182" t="e">
        <f t="shared" si="192"/>
        <v>#VALUE!</v>
      </c>
      <c r="F1704" s="182" t="e">
        <f>SUM($D$33:D1704)</f>
        <v>#VALUE!</v>
      </c>
      <c r="G1704" s="182">
        <f t="shared" ca="1" si="193"/>
        <v>0</v>
      </c>
      <c r="H1704" s="182" t="e">
        <f t="shared" si="194"/>
        <v>#VALUE!</v>
      </c>
      <c r="I1704" s="183" t="e">
        <f t="shared" si="195"/>
        <v>#VALUE!</v>
      </c>
    </row>
    <row r="1705" spans="1:9" x14ac:dyDescent="0.25">
      <c r="A1705" s="180">
        <f t="shared" ca="1" si="196"/>
        <v>47777</v>
      </c>
      <c r="B1705" s="181">
        <v>1673</v>
      </c>
      <c r="C1705" s="182" t="e">
        <f t="shared" si="190"/>
        <v>#VALUE!</v>
      </c>
      <c r="D1705" s="182" t="e">
        <f t="shared" si="191"/>
        <v>#VALUE!</v>
      </c>
      <c r="E1705" s="182" t="e">
        <f t="shared" si="192"/>
        <v>#VALUE!</v>
      </c>
      <c r="F1705" s="182" t="e">
        <f>SUM($D$33:D1705)</f>
        <v>#VALUE!</v>
      </c>
      <c r="G1705" s="182">
        <f t="shared" ca="1" si="193"/>
        <v>0</v>
      </c>
      <c r="H1705" s="182" t="e">
        <f t="shared" si="194"/>
        <v>#VALUE!</v>
      </c>
      <c r="I1705" s="183" t="e">
        <f t="shared" si="195"/>
        <v>#VALUE!</v>
      </c>
    </row>
    <row r="1706" spans="1:9" x14ac:dyDescent="0.25">
      <c r="A1706" s="180">
        <f t="shared" ca="1" si="196"/>
        <v>47778</v>
      </c>
      <c r="B1706" s="181">
        <v>1674</v>
      </c>
      <c r="C1706" s="182" t="e">
        <f t="shared" si="190"/>
        <v>#VALUE!</v>
      </c>
      <c r="D1706" s="182" t="e">
        <f t="shared" si="191"/>
        <v>#VALUE!</v>
      </c>
      <c r="E1706" s="182" t="e">
        <f t="shared" si="192"/>
        <v>#VALUE!</v>
      </c>
      <c r="F1706" s="182" t="e">
        <f>SUM($D$33:D1706)</f>
        <v>#VALUE!</v>
      </c>
      <c r="G1706" s="182">
        <f t="shared" ca="1" si="193"/>
        <v>0</v>
      </c>
      <c r="H1706" s="182" t="e">
        <f t="shared" si="194"/>
        <v>#VALUE!</v>
      </c>
      <c r="I1706" s="183" t="e">
        <f t="shared" si="195"/>
        <v>#VALUE!</v>
      </c>
    </row>
    <row r="1707" spans="1:9" x14ac:dyDescent="0.25">
      <c r="A1707" s="180">
        <f t="shared" ca="1" si="196"/>
        <v>47779</v>
      </c>
      <c r="B1707" s="181">
        <v>1675</v>
      </c>
      <c r="C1707" s="182" t="e">
        <f t="shared" si="190"/>
        <v>#VALUE!</v>
      </c>
      <c r="D1707" s="182" t="e">
        <f t="shared" si="191"/>
        <v>#VALUE!</v>
      </c>
      <c r="E1707" s="182" t="e">
        <f t="shared" si="192"/>
        <v>#VALUE!</v>
      </c>
      <c r="F1707" s="182" t="e">
        <f>SUM($D$33:D1707)</f>
        <v>#VALUE!</v>
      </c>
      <c r="G1707" s="182">
        <f t="shared" ca="1" si="193"/>
        <v>0</v>
      </c>
      <c r="H1707" s="182" t="e">
        <f t="shared" si="194"/>
        <v>#VALUE!</v>
      </c>
      <c r="I1707" s="183" t="e">
        <f t="shared" si="195"/>
        <v>#VALUE!</v>
      </c>
    </row>
    <row r="1708" spans="1:9" x14ac:dyDescent="0.25">
      <c r="A1708" s="180">
        <f t="shared" ca="1" si="196"/>
        <v>47780</v>
      </c>
      <c r="B1708" s="181">
        <v>1676</v>
      </c>
      <c r="C1708" s="182" t="e">
        <f t="shared" si="190"/>
        <v>#VALUE!</v>
      </c>
      <c r="D1708" s="182" t="e">
        <f t="shared" si="191"/>
        <v>#VALUE!</v>
      </c>
      <c r="E1708" s="182" t="e">
        <f t="shared" si="192"/>
        <v>#VALUE!</v>
      </c>
      <c r="F1708" s="182" t="e">
        <f>SUM($D$33:D1708)</f>
        <v>#VALUE!</v>
      </c>
      <c r="G1708" s="182">
        <f t="shared" ca="1" si="193"/>
        <v>0</v>
      </c>
      <c r="H1708" s="182" t="e">
        <f t="shared" si="194"/>
        <v>#VALUE!</v>
      </c>
      <c r="I1708" s="183" t="e">
        <f t="shared" si="195"/>
        <v>#VALUE!</v>
      </c>
    </row>
    <row r="1709" spans="1:9" x14ac:dyDescent="0.25">
      <c r="A1709" s="180">
        <f t="shared" ca="1" si="196"/>
        <v>47781</v>
      </c>
      <c r="B1709" s="181">
        <v>1677</v>
      </c>
      <c r="C1709" s="182" t="e">
        <f t="shared" si="190"/>
        <v>#VALUE!</v>
      </c>
      <c r="D1709" s="182" t="e">
        <f t="shared" si="191"/>
        <v>#VALUE!</v>
      </c>
      <c r="E1709" s="182" t="e">
        <f t="shared" si="192"/>
        <v>#VALUE!</v>
      </c>
      <c r="F1709" s="182" t="e">
        <f>SUM($D$33:D1709)</f>
        <v>#VALUE!</v>
      </c>
      <c r="G1709" s="182">
        <f t="shared" ca="1" si="193"/>
        <v>0</v>
      </c>
      <c r="H1709" s="182" t="e">
        <f t="shared" si="194"/>
        <v>#VALUE!</v>
      </c>
      <c r="I1709" s="183" t="e">
        <f t="shared" si="195"/>
        <v>#VALUE!</v>
      </c>
    </row>
    <row r="1710" spans="1:9" x14ac:dyDescent="0.25">
      <c r="A1710" s="180">
        <f t="shared" ca="1" si="196"/>
        <v>47782</v>
      </c>
      <c r="B1710" s="181">
        <v>1678</v>
      </c>
      <c r="C1710" s="182" t="e">
        <f t="shared" si="190"/>
        <v>#VALUE!</v>
      </c>
      <c r="D1710" s="182" t="e">
        <f t="shared" si="191"/>
        <v>#VALUE!</v>
      </c>
      <c r="E1710" s="182" t="e">
        <f t="shared" si="192"/>
        <v>#VALUE!</v>
      </c>
      <c r="F1710" s="182" t="e">
        <f>SUM($D$33:D1710)</f>
        <v>#VALUE!</v>
      </c>
      <c r="G1710" s="182">
        <f t="shared" ca="1" si="193"/>
        <v>0</v>
      </c>
      <c r="H1710" s="182" t="e">
        <f t="shared" si="194"/>
        <v>#VALUE!</v>
      </c>
      <c r="I1710" s="183" t="e">
        <f t="shared" si="195"/>
        <v>#VALUE!</v>
      </c>
    </row>
    <row r="1711" spans="1:9" x14ac:dyDescent="0.25">
      <c r="A1711" s="180">
        <f t="shared" ca="1" si="196"/>
        <v>47783</v>
      </c>
      <c r="B1711" s="181">
        <v>1679</v>
      </c>
      <c r="C1711" s="182" t="e">
        <f t="shared" si="190"/>
        <v>#VALUE!</v>
      </c>
      <c r="D1711" s="182" t="e">
        <f t="shared" si="191"/>
        <v>#VALUE!</v>
      </c>
      <c r="E1711" s="182" t="e">
        <f t="shared" si="192"/>
        <v>#VALUE!</v>
      </c>
      <c r="F1711" s="182" t="e">
        <f>SUM($D$33:D1711)</f>
        <v>#VALUE!</v>
      </c>
      <c r="G1711" s="182">
        <f t="shared" ca="1" si="193"/>
        <v>0</v>
      </c>
      <c r="H1711" s="182" t="e">
        <f t="shared" si="194"/>
        <v>#VALUE!</v>
      </c>
      <c r="I1711" s="183" t="e">
        <f t="shared" si="195"/>
        <v>#VALUE!</v>
      </c>
    </row>
    <row r="1712" spans="1:9" x14ac:dyDescent="0.25">
      <c r="A1712" s="180">
        <f t="shared" ca="1" si="196"/>
        <v>47784</v>
      </c>
      <c r="B1712" s="181">
        <v>1680</v>
      </c>
      <c r="C1712" s="182" t="e">
        <f t="shared" si="190"/>
        <v>#VALUE!</v>
      </c>
      <c r="D1712" s="182" t="e">
        <f t="shared" si="191"/>
        <v>#VALUE!</v>
      </c>
      <c r="E1712" s="182" t="e">
        <f t="shared" si="192"/>
        <v>#VALUE!</v>
      </c>
      <c r="F1712" s="182" t="e">
        <f>SUM($D$33:D1712)</f>
        <v>#VALUE!</v>
      </c>
      <c r="G1712" s="182">
        <f t="shared" ca="1" si="193"/>
        <v>0</v>
      </c>
      <c r="H1712" s="182" t="e">
        <f t="shared" si="194"/>
        <v>#VALUE!</v>
      </c>
      <c r="I1712" s="183" t="e">
        <f t="shared" si="195"/>
        <v>#VALUE!</v>
      </c>
    </row>
    <row r="1713" spans="1:9" x14ac:dyDescent="0.25">
      <c r="A1713" s="180">
        <f t="shared" ca="1" si="196"/>
        <v>47785</v>
      </c>
      <c r="B1713" s="181">
        <v>1681</v>
      </c>
      <c r="C1713" s="182" t="e">
        <f t="shared" si="190"/>
        <v>#VALUE!</v>
      </c>
      <c r="D1713" s="182" t="e">
        <f t="shared" si="191"/>
        <v>#VALUE!</v>
      </c>
      <c r="E1713" s="182" t="e">
        <f t="shared" si="192"/>
        <v>#VALUE!</v>
      </c>
      <c r="F1713" s="182" t="e">
        <f>SUM($D$33:D1713)</f>
        <v>#VALUE!</v>
      </c>
      <c r="G1713" s="182">
        <f t="shared" ca="1" si="193"/>
        <v>0</v>
      </c>
      <c r="H1713" s="182" t="e">
        <f t="shared" si="194"/>
        <v>#VALUE!</v>
      </c>
      <c r="I1713" s="183" t="e">
        <f t="shared" si="195"/>
        <v>#VALUE!</v>
      </c>
    </row>
    <row r="1714" spans="1:9" x14ac:dyDescent="0.25">
      <c r="A1714" s="180">
        <f t="shared" ca="1" si="196"/>
        <v>47786</v>
      </c>
      <c r="B1714" s="181">
        <v>1682</v>
      </c>
      <c r="C1714" s="182" t="e">
        <f t="shared" si="190"/>
        <v>#VALUE!</v>
      </c>
      <c r="D1714" s="182" t="e">
        <f t="shared" si="191"/>
        <v>#VALUE!</v>
      </c>
      <c r="E1714" s="182" t="e">
        <f t="shared" si="192"/>
        <v>#VALUE!</v>
      </c>
      <c r="F1714" s="182" t="e">
        <f>SUM($D$33:D1714)</f>
        <v>#VALUE!</v>
      </c>
      <c r="G1714" s="182">
        <f t="shared" ca="1" si="193"/>
        <v>0</v>
      </c>
      <c r="H1714" s="182" t="e">
        <f t="shared" si="194"/>
        <v>#VALUE!</v>
      </c>
      <c r="I1714" s="183" t="e">
        <f t="shared" si="195"/>
        <v>#VALUE!</v>
      </c>
    </row>
    <row r="1715" spans="1:9" x14ac:dyDescent="0.25">
      <c r="A1715" s="180">
        <f t="shared" ca="1" si="196"/>
        <v>47787</v>
      </c>
      <c r="B1715" s="181">
        <v>1683</v>
      </c>
      <c r="C1715" s="182" t="e">
        <f t="shared" si="190"/>
        <v>#VALUE!</v>
      </c>
      <c r="D1715" s="182" t="e">
        <f t="shared" si="191"/>
        <v>#VALUE!</v>
      </c>
      <c r="E1715" s="182" t="e">
        <f t="shared" si="192"/>
        <v>#VALUE!</v>
      </c>
      <c r="F1715" s="182" t="e">
        <f>SUM($D$33:D1715)</f>
        <v>#VALUE!</v>
      </c>
      <c r="G1715" s="182">
        <f t="shared" ca="1" si="193"/>
        <v>0</v>
      </c>
      <c r="H1715" s="182" t="e">
        <f t="shared" si="194"/>
        <v>#VALUE!</v>
      </c>
      <c r="I1715" s="183" t="e">
        <f t="shared" si="195"/>
        <v>#VALUE!</v>
      </c>
    </row>
    <row r="1716" spans="1:9" x14ac:dyDescent="0.25">
      <c r="A1716" s="180">
        <f t="shared" ca="1" si="196"/>
        <v>47788</v>
      </c>
      <c r="B1716" s="181">
        <v>1684</v>
      </c>
      <c r="C1716" s="182" t="e">
        <f t="shared" si="190"/>
        <v>#VALUE!</v>
      </c>
      <c r="D1716" s="182" t="e">
        <f t="shared" si="191"/>
        <v>#VALUE!</v>
      </c>
      <c r="E1716" s="182" t="e">
        <f t="shared" si="192"/>
        <v>#VALUE!</v>
      </c>
      <c r="F1716" s="182" t="e">
        <f>SUM($D$33:D1716)</f>
        <v>#VALUE!</v>
      </c>
      <c r="G1716" s="182">
        <f t="shared" ca="1" si="193"/>
        <v>0</v>
      </c>
      <c r="H1716" s="182" t="e">
        <f t="shared" si="194"/>
        <v>#VALUE!</v>
      </c>
      <c r="I1716" s="183" t="e">
        <f t="shared" si="195"/>
        <v>#VALUE!</v>
      </c>
    </row>
    <row r="1717" spans="1:9" x14ac:dyDescent="0.25">
      <c r="A1717" s="180">
        <f t="shared" ca="1" si="196"/>
        <v>47789</v>
      </c>
      <c r="B1717" s="181">
        <v>1685</v>
      </c>
      <c r="C1717" s="182" t="e">
        <f t="shared" si="190"/>
        <v>#VALUE!</v>
      </c>
      <c r="D1717" s="182" t="e">
        <f t="shared" si="191"/>
        <v>#VALUE!</v>
      </c>
      <c r="E1717" s="182" t="e">
        <f t="shared" si="192"/>
        <v>#VALUE!</v>
      </c>
      <c r="F1717" s="182" t="e">
        <f>SUM($D$33:D1717)</f>
        <v>#VALUE!</v>
      </c>
      <c r="G1717" s="182">
        <f t="shared" ca="1" si="193"/>
        <v>0</v>
      </c>
      <c r="H1717" s="182" t="e">
        <f t="shared" si="194"/>
        <v>#VALUE!</v>
      </c>
      <c r="I1717" s="183" t="e">
        <f t="shared" si="195"/>
        <v>#VALUE!</v>
      </c>
    </row>
    <row r="1718" spans="1:9" x14ac:dyDescent="0.25">
      <c r="A1718" s="180">
        <f t="shared" ca="1" si="196"/>
        <v>47790</v>
      </c>
      <c r="B1718" s="181">
        <v>1686</v>
      </c>
      <c r="C1718" s="182" t="e">
        <f t="shared" si="190"/>
        <v>#VALUE!</v>
      </c>
      <c r="D1718" s="182" t="e">
        <f t="shared" si="191"/>
        <v>#VALUE!</v>
      </c>
      <c r="E1718" s="182" t="e">
        <f t="shared" si="192"/>
        <v>#VALUE!</v>
      </c>
      <c r="F1718" s="182" t="e">
        <f>SUM($D$33:D1718)</f>
        <v>#VALUE!</v>
      </c>
      <c r="G1718" s="182">
        <f t="shared" ca="1" si="193"/>
        <v>0</v>
      </c>
      <c r="H1718" s="182" t="e">
        <f t="shared" si="194"/>
        <v>#VALUE!</v>
      </c>
      <c r="I1718" s="183" t="e">
        <f t="shared" si="195"/>
        <v>#VALUE!</v>
      </c>
    </row>
    <row r="1719" spans="1:9" x14ac:dyDescent="0.25">
      <c r="A1719" s="180">
        <f t="shared" ca="1" si="196"/>
        <v>47791</v>
      </c>
      <c r="B1719" s="181">
        <v>1687</v>
      </c>
      <c r="C1719" s="182" t="e">
        <f t="shared" si="190"/>
        <v>#VALUE!</v>
      </c>
      <c r="D1719" s="182" t="e">
        <f t="shared" si="191"/>
        <v>#VALUE!</v>
      </c>
      <c r="E1719" s="182" t="e">
        <f t="shared" si="192"/>
        <v>#VALUE!</v>
      </c>
      <c r="F1719" s="182" t="e">
        <f>SUM($D$33:D1719)</f>
        <v>#VALUE!</v>
      </c>
      <c r="G1719" s="182">
        <f t="shared" ca="1" si="193"/>
        <v>0</v>
      </c>
      <c r="H1719" s="182" t="e">
        <f t="shared" si="194"/>
        <v>#VALUE!</v>
      </c>
      <c r="I1719" s="183" t="e">
        <f t="shared" si="195"/>
        <v>#VALUE!</v>
      </c>
    </row>
    <row r="1720" spans="1:9" x14ac:dyDescent="0.25">
      <c r="A1720" s="180">
        <f t="shared" ca="1" si="196"/>
        <v>47792</v>
      </c>
      <c r="B1720" s="181">
        <v>1688</v>
      </c>
      <c r="C1720" s="182" t="e">
        <f t="shared" si="190"/>
        <v>#VALUE!</v>
      </c>
      <c r="D1720" s="182" t="e">
        <f t="shared" si="191"/>
        <v>#VALUE!</v>
      </c>
      <c r="E1720" s="182" t="e">
        <f t="shared" si="192"/>
        <v>#VALUE!</v>
      </c>
      <c r="F1720" s="182" t="e">
        <f>SUM($D$33:D1720)</f>
        <v>#VALUE!</v>
      </c>
      <c r="G1720" s="182">
        <f t="shared" ca="1" si="193"/>
        <v>0</v>
      </c>
      <c r="H1720" s="182" t="e">
        <f t="shared" si="194"/>
        <v>#VALUE!</v>
      </c>
      <c r="I1720" s="183" t="e">
        <f t="shared" si="195"/>
        <v>#VALUE!</v>
      </c>
    </row>
    <row r="1721" spans="1:9" x14ac:dyDescent="0.25">
      <c r="A1721" s="180">
        <f t="shared" ca="1" si="196"/>
        <v>47793</v>
      </c>
      <c r="B1721" s="181">
        <v>1689</v>
      </c>
      <c r="C1721" s="182" t="e">
        <f t="shared" si="190"/>
        <v>#VALUE!</v>
      </c>
      <c r="D1721" s="182" t="e">
        <f t="shared" si="191"/>
        <v>#VALUE!</v>
      </c>
      <c r="E1721" s="182" t="e">
        <f t="shared" si="192"/>
        <v>#VALUE!</v>
      </c>
      <c r="F1721" s="182" t="e">
        <f>SUM($D$33:D1721)</f>
        <v>#VALUE!</v>
      </c>
      <c r="G1721" s="182">
        <f t="shared" ca="1" si="193"/>
        <v>0</v>
      </c>
      <c r="H1721" s="182" t="e">
        <f t="shared" si="194"/>
        <v>#VALUE!</v>
      </c>
      <c r="I1721" s="183" t="e">
        <f t="shared" si="195"/>
        <v>#VALUE!</v>
      </c>
    </row>
    <row r="1722" spans="1:9" x14ac:dyDescent="0.25">
      <c r="A1722" s="180">
        <f t="shared" ca="1" si="196"/>
        <v>47794</v>
      </c>
      <c r="B1722" s="181">
        <v>1690</v>
      </c>
      <c r="C1722" s="182" t="e">
        <f t="shared" si="190"/>
        <v>#VALUE!</v>
      </c>
      <c r="D1722" s="182" t="e">
        <f t="shared" si="191"/>
        <v>#VALUE!</v>
      </c>
      <c r="E1722" s="182" t="e">
        <f t="shared" si="192"/>
        <v>#VALUE!</v>
      </c>
      <c r="F1722" s="182" t="e">
        <f>SUM($D$33:D1722)</f>
        <v>#VALUE!</v>
      </c>
      <c r="G1722" s="182">
        <f t="shared" ca="1" si="193"/>
        <v>0</v>
      </c>
      <c r="H1722" s="182" t="e">
        <f t="shared" si="194"/>
        <v>#VALUE!</v>
      </c>
      <c r="I1722" s="183" t="e">
        <f t="shared" si="195"/>
        <v>#VALUE!</v>
      </c>
    </row>
    <row r="1723" spans="1:9" x14ac:dyDescent="0.25">
      <c r="A1723" s="180">
        <f t="shared" ca="1" si="196"/>
        <v>47795</v>
      </c>
      <c r="B1723" s="181">
        <v>1691</v>
      </c>
      <c r="C1723" s="182" t="e">
        <f t="shared" si="190"/>
        <v>#VALUE!</v>
      </c>
      <c r="D1723" s="182" t="e">
        <f t="shared" si="191"/>
        <v>#VALUE!</v>
      </c>
      <c r="E1723" s="182" t="e">
        <f t="shared" si="192"/>
        <v>#VALUE!</v>
      </c>
      <c r="F1723" s="182" t="e">
        <f>SUM($D$33:D1723)</f>
        <v>#VALUE!</v>
      </c>
      <c r="G1723" s="182">
        <f t="shared" ca="1" si="193"/>
        <v>0</v>
      </c>
      <c r="H1723" s="182" t="e">
        <f t="shared" si="194"/>
        <v>#VALUE!</v>
      </c>
      <c r="I1723" s="183" t="e">
        <f t="shared" si="195"/>
        <v>#VALUE!</v>
      </c>
    </row>
    <row r="1724" spans="1:9" x14ac:dyDescent="0.25">
      <c r="A1724" s="180">
        <f t="shared" ca="1" si="196"/>
        <v>47796</v>
      </c>
      <c r="B1724" s="181">
        <v>1692</v>
      </c>
      <c r="C1724" s="182" t="e">
        <f t="shared" si="190"/>
        <v>#VALUE!</v>
      </c>
      <c r="D1724" s="182" t="e">
        <f t="shared" si="191"/>
        <v>#VALUE!</v>
      </c>
      <c r="E1724" s="182" t="e">
        <f t="shared" si="192"/>
        <v>#VALUE!</v>
      </c>
      <c r="F1724" s="182" t="e">
        <f>SUM($D$33:D1724)</f>
        <v>#VALUE!</v>
      </c>
      <c r="G1724" s="182">
        <f t="shared" ca="1" si="193"/>
        <v>0</v>
      </c>
      <c r="H1724" s="182" t="e">
        <f t="shared" si="194"/>
        <v>#VALUE!</v>
      </c>
      <c r="I1724" s="183" t="e">
        <f t="shared" si="195"/>
        <v>#VALUE!</v>
      </c>
    </row>
    <row r="1725" spans="1:9" x14ac:dyDescent="0.25">
      <c r="A1725" s="180">
        <f t="shared" ca="1" si="196"/>
        <v>47797</v>
      </c>
      <c r="B1725" s="181">
        <v>1693</v>
      </c>
      <c r="C1725" s="182" t="e">
        <f t="shared" si="190"/>
        <v>#VALUE!</v>
      </c>
      <c r="D1725" s="182" t="e">
        <f t="shared" si="191"/>
        <v>#VALUE!</v>
      </c>
      <c r="E1725" s="182" t="e">
        <f t="shared" si="192"/>
        <v>#VALUE!</v>
      </c>
      <c r="F1725" s="182" t="e">
        <f>SUM($D$33:D1725)</f>
        <v>#VALUE!</v>
      </c>
      <c r="G1725" s="182">
        <f t="shared" ca="1" si="193"/>
        <v>0</v>
      </c>
      <c r="H1725" s="182" t="e">
        <f t="shared" si="194"/>
        <v>#VALUE!</v>
      </c>
      <c r="I1725" s="183" t="e">
        <f t="shared" si="195"/>
        <v>#VALUE!</v>
      </c>
    </row>
    <row r="1726" spans="1:9" x14ac:dyDescent="0.25">
      <c r="A1726" s="180">
        <f t="shared" ca="1" si="196"/>
        <v>47798</v>
      </c>
      <c r="B1726" s="181">
        <v>1694</v>
      </c>
      <c r="C1726" s="182" t="e">
        <f t="shared" si="190"/>
        <v>#VALUE!</v>
      </c>
      <c r="D1726" s="182" t="e">
        <f t="shared" si="191"/>
        <v>#VALUE!</v>
      </c>
      <c r="E1726" s="182" t="e">
        <f t="shared" si="192"/>
        <v>#VALUE!</v>
      </c>
      <c r="F1726" s="182" t="e">
        <f>SUM($D$33:D1726)</f>
        <v>#VALUE!</v>
      </c>
      <c r="G1726" s="182">
        <f t="shared" ca="1" si="193"/>
        <v>0</v>
      </c>
      <c r="H1726" s="182" t="e">
        <f t="shared" si="194"/>
        <v>#VALUE!</v>
      </c>
      <c r="I1726" s="183" t="e">
        <f t="shared" si="195"/>
        <v>#VALUE!</v>
      </c>
    </row>
    <row r="1727" spans="1:9" x14ac:dyDescent="0.25">
      <c r="A1727" s="180">
        <f t="shared" ca="1" si="196"/>
        <v>47799</v>
      </c>
      <c r="B1727" s="181">
        <v>1695</v>
      </c>
      <c r="C1727" s="182" t="e">
        <f t="shared" si="190"/>
        <v>#VALUE!</v>
      </c>
      <c r="D1727" s="182" t="e">
        <f t="shared" si="191"/>
        <v>#VALUE!</v>
      </c>
      <c r="E1727" s="182" t="e">
        <f t="shared" si="192"/>
        <v>#VALUE!</v>
      </c>
      <c r="F1727" s="182" t="e">
        <f>SUM($D$33:D1727)</f>
        <v>#VALUE!</v>
      </c>
      <c r="G1727" s="182">
        <f t="shared" ca="1" si="193"/>
        <v>0</v>
      </c>
      <c r="H1727" s="182" t="e">
        <f t="shared" si="194"/>
        <v>#VALUE!</v>
      </c>
      <c r="I1727" s="183" t="e">
        <f t="shared" si="195"/>
        <v>#VALUE!</v>
      </c>
    </row>
    <row r="1728" spans="1:9" x14ac:dyDescent="0.25">
      <c r="A1728" s="180">
        <f t="shared" ca="1" si="196"/>
        <v>47800</v>
      </c>
      <c r="B1728" s="181">
        <v>1696</v>
      </c>
      <c r="C1728" s="182" t="e">
        <f t="shared" si="190"/>
        <v>#VALUE!</v>
      </c>
      <c r="D1728" s="182" t="e">
        <f t="shared" si="191"/>
        <v>#VALUE!</v>
      </c>
      <c r="E1728" s="182" t="e">
        <f t="shared" si="192"/>
        <v>#VALUE!</v>
      </c>
      <c r="F1728" s="182" t="e">
        <f>SUM($D$33:D1728)</f>
        <v>#VALUE!</v>
      </c>
      <c r="G1728" s="182">
        <f t="shared" ca="1" si="193"/>
        <v>0</v>
      </c>
      <c r="H1728" s="182" t="e">
        <f t="shared" si="194"/>
        <v>#VALUE!</v>
      </c>
      <c r="I1728" s="183" t="e">
        <f t="shared" si="195"/>
        <v>#VALUE!</v>
      </c>
    </row>
    <row r="1729" spans="1:9" x14ac:dyDescent="0.25">
      <c r="A1729" s="180">
        <f t="shared" ca="1" si="196"/>
        <v>47801</v>
      </c>
      <c r="B1729" s="181">
        <v>1697</v>
      </c>
      <c r="C1729" s="182" t="e">
        <f t="shared" si="190"/>
        <v>#VALUE!</v>
      </c>
      <c r="D1729" s="182" t="e">
        <f t="shared" si="191"/>
        <v>#VALUE!</v>
      </c>
      <c r="E1729" s="182" t="e">
        <f t="shared" si="192"/>
        <v>#VALUE!</v>
      </c>
      <c r="F1729" s="182" t="e">
        <f>SUM($D$33:D1729)</f>
        <v>#VALUE!</v>
      </c>
      <c r="G1729" s="182">
        <f t="shared" ca="1" si="193"/>
        <v>0</v>
      </c>
      <c r="H1729" s="182" t="e">
        <f t="shared" si="194"/>
        <v>#VALUE!</v>
      </c>
      <c r="I1729" s="183" t="e">
        <f t="shared" si="195"/>
        <v>#VALUE!</v>
      </c>
    </row>
    <row r="1730" spans="1:9" x14ac:dyDescent="0.25">
      <c r="A1730" s="180">
        <f t="shared" ca="1" si="196"/>
        <v>47802</v>
      </c>
      <c r="B1730" s="181">
        <v>1698</v>
      </c>
      <c r="C1730" s="182" t="e">
        <f t="shared" si="190"/>
        <v>#VALUE!</v>
      </c>
      <c r="D1730" s="182" t="e">
        <f t="shared" si="191"/>
        <v>#VALUE!</v>
      </c>
      <c r="E1730" s="182" t="e">
        <f t="shared" si="192"/>
        <v>#VALUE!</v>
      </c>
      <c r="F1730" s="182" t="e">
        <f>SUM($D$33:D1730)</f>
        <v>#VALUE!</v>
      </c>
      <c r="G1730" s="182">
        <f t="shared" ca="1" si="193"/>
        <v>0</v>
      </c>
      <c r="H1730" s="182" t="e">
        <f t="shared" si="194"/>
        <v>#VALUE!</v>
      </c>
      <c r="I1730" s="183" t="e">
        <f t="shared" si="195"/>
        <v>#VALUE!</v>
      </c>
    </row>
    <row r="1731" spans="1:9" x14ac:dyDescent="0.25">
      <c r="A1731" s="180">
        <f t="shared" ca="1" si="196"/>
        <v>47803</v>
      </c>
      <c r="B1731" s="181">
        <v>1699</v>
      </c>
      <c r="C1731" s="182" t="e">
        <f t="shared" si="190"/>
        <v>#VALUE!</v>
      </c>
      <c r="D1731" s="182" t="e">
        <f t="shared" si="191"/>
        <v>#VALUE!</v>
      </c>
      <c r="E1731" s="182" t="e">
        <f t="shared" si="192"/>
        <v>#VALUE!</v>
      </c>
      <c r="F1731" s="182" t="e">
        <f>SUM($D$33:D1731)</f>
        <v>#VALUE!</v>
      </c>
      <c r="G1731" s="182">
        <f t="shared" ca="1" si="193"/>
        <v>0</v>
      </c>
      <c r="H1731" s="182" t="e">
        <f t="shared" si="194"/>
        <v>#VALUE!</v>
      </c>
      <c r="I1731" s="183" t="e">
        <f t="shared" si="195"/>
        <v>#VALUE!</v>
      </c>
    </row>
    <row r="1732" spans="1:9" x14ac:dyDescent="0.25">
      <c r="A1732" s="180">
        <f t="shared" ca="1" si="196"/>
        <v>47804</v>
      </c>
      <c r="B1732" s="181">
        <v>1700</v>
      </c>
      <c r="C1732" s="182" t="e">
        <f t="shared" si="190"/>
        <v>#VALUE!</v>
      </c>
      <c r="D1732" s="182" t="e">
        <f t="shared" si="191"/>
        <v>#VALUE!</v>
      </c>
      <c r="E1732" s="182" t="e">
        <f t="shared" si="192"/>
        <v>#VALUE!</v>
      </c>
      <c r="F1732" s="182" t="e">
        <f>SUM($D$33:D1732)</f>
        <v>#VALUE!</v>
      </c>
      <c r="G1732" s="182">
        <f t="shared" ca="1" si="193"/>
        <v>0</v>
      </c>
      <c r="H1732" s="182" t="e">
        <f t="shared" si="194"/>
        <v>#VALUE!</v>
      </c>
      <c r="I1732" s="183" t="e">
        <f t="shared" si="195"/>
        <v>#VALUE!</v>
      </c>
    </row>
    <row r="1733" spans="1:9" x14ac:dyDescent="0.25">
      <c r="A1733" s="180">
        <f t="shared" ca="1" si="196"/>
        <v>47805</v>
      </c>
      <c r="B1733" s="181">
        <v>1701</v>
      </c>
      <c r="C1733" s="182" t="e">
        <f t="shared" si="190"/>
        <v>#VALUE!</v>
      </c>
      <c r="D1733" s="182" t="e">
        <f t="shared" si="191"/>
        <v>#VALUE!</v>
      </c>
      <c r="E1733" s="182" t="e">
        <f t="shared" si="192"/>
        <v>#VALUE!</v>
      </c>
      <c r="F1733" s="182" t="e">
        <f>SUM($D$33:D1733)</f>
        <v>#VALUE!</v>
      </c>
      <c r="G1733" s="182">
        <f t="shared" ca="1" si="193"/>
        <v>0</v>
      </c>
      <c r="H1733" s="182" t="e">
        <f t="shared" si="194"/>
        <v>#VALUE!</v>
      </c>
      <c r="I1733" s="183" t="e">
        <f t="shared" si="195"/>
        <v>#VALUE!</v>
      </c>
    </row>
    <row r="1734" spans="1:9" x14ac:dyDescent="0.25">
      <c r="A1734" s="180">
        <f t="shared" ca="1" si="196"/>
        <v>47806</v>
      </c>
      <c r="B1734" s="181">
        <v>1702</v>
      </c>
      <c r="C1734" s="182" t="e">
        <f t="shared" si="190"/>
        <v>#VALUE!</v>
      </c>
      <c r="D1734" s="182" t="e">
        <f t="shared" si="191"/>
        <v>#VALUE!</v>
      </c>
      <c r="E1734" s="182" t="e">
        <f t="shared" si="192"/>
        <v>#VALUE!</v>
      </c>
      <c r="F1734" s="182" t="e">
        <f>SUM($D$33:D1734)</f>
        <v>#VALUE!</v>
      </c>
      <c r="G1734" s="182">
        <f t="shared" ca="1" si="193"/>
        <v>0</v>
      </c>
      <c r="H1734" s="182" t="e">
        <f t="shared" si="194"/>
        <v>#VALUE!</v>
      </c>
      <c r="I1734" s="183" t="e">
        <f t="shared" si="195"/>
        <v>#VALUE!</v>
      </c>
    </row>
    <row r="1735" spans="1:9" x14ac:dyDescent="0.25">
      <c r="A1735" s="180">
        <f t="shared" ca="1" si="196"/>
        <v>47807</v>
      </c>
      <c r="B1735" s="181">
        <v>1703</v>
      </c>
      <c r="C1735" s="182" t="e">
        <f t="shared" si="190"/>
        <v>#VALUE!</v>
      </c>
      <c r="D1735" s="182" t="e">
        <f t="shared" si="191"/>
        <v>#VALUE!</v>
      </c>
      <c r="E1735" s="182" t="e">
        <f t="shared" si="192"/>
        <v>#VALUE!</v>
      </c>
      <c r="F1735" s="182" t="e">
        <f>SUM($D$33:D1735)</f>
        <v>#VALUE!</v>
      </c>
      <c r="G1735" s="182">
        <f t="shared" ca="1" si="193"/>
        <v>0</v>
      </c>
      <c r="H1735" s="182" t="e">
        <f t="shared" si="194"/>
        <v>#VALUE!</v>
      </c>
      <c r="I1735" s="183" t="e">
        <f t="shared" si="195"/>
        <v>#VALUE!</v>
      </c>
    </row>
    <row r="1736" spans="1:9" x14ac:dyDescent="0.25">
      <c r="A1736" s="180">
        <f t="shared" ca="1" si="196"/>
        <v>47808</v>
      </c>
      <c r="B1736" s="181">
        <v>1704</v>
      </c>
      <c r="C1736" s="182" t="e">
        <f t="shared" si="190"/>
        <v>#VALUE!</v>
      </c>
      <c r="D1736" s="182" t="e">
        <f t="shared" si="191"/>
        <v>#VALUE!</v>
      </c>
      <c r="E1736" s="182" t="e">
        <f t="shared" si="192"/>
        <v>#VALUE!</v>
      </c>
      <c r="F1736" s="182" t="e">
        <f>SUM($D$33:D1736)</f>
        <v>#VALUE!</v>
      </c>
      <c r="G1736" s="182">
        <f t="shared" ca="1" si="193"/>
        <v>0</v>
      </c>
      <c r="H1736" s="182" t="e">
        <f t="shared" si="194"/>
        <v>#VALUE!</v>
      </c>
      <c r="I1736" s="183" t="e">
        <f t="shared" si="195"/>
        <v>#VALUE!</v>
      </c>
    </row>
    <row r="1737" spans="1:9" x14ac:dyDescent="0.25">
      <c r="A1737" s="180">
        <f t="shared" ca="1" si="196"/>
        <v>47809</v>
      </c>
      <c r="B1737" s="181">
        <v>1705</v>
      </c>
      <c r="C1737" s="182" t="e">
        <f t="shared" si="190"/>
        <v>#VALUE!</v>
      </c>
      <c r="D1737" s="182" t="e">
        <f t="shared" si="191"/>
        <v>#VALUE!</v>
      </c>
      <c r="E1737" s="182" t="e">
        <f t="shared" si="192"/>
        <v>#VALUE!</v>
      </c>
      <c r="F1737" s="182" t="e">
        <f>SUM($D$33:D1737)</f>
        <v>#VALUE!</v>
      </c>
      <c r="G1737" s="182">
        <f t="shared" ca="1" si="193"/>
        <v>0</v>
      </c>
      <c r="H1737" s="182" t="e">
        <f t="shared" si="194"/>
        <v>#VALUE!</v>
      </c>
      <c r="I1737" s="183" t="e">
        <f t="shared" si="195"/>
        <v>#VALUE!</v>
      </c>
    </row>
    <row r="1738" spans="1:9" x14ac:dyDescent="0.25">
      <c r="A1738" s="180">
        <f t="shared" ca="1" si="196"/>
        <v>47810</v>
      </c>
      <c r="B1738" s="181">
        <v>1706</v>
      </c>
      <c r="C1738" s="182" t="e">
        <f t="shared" si="190"/>
        <v>#VALUE!</v>
      </c>
      <c r="D1738" s="182" t="e">
        <f t="shared" si="191"/>
        <v>#VALUE!</v>
      </c>
      <c r="E1738" s="182" t="e">
        <f t="shared" si="192"/>
        <v>#VALUE!</v>
      </c>
      <c r="F1738" s="182" t="e">
        <f>SUM($D$33:D1738)</f>
        <v>#VALUE!</v>
      </c>
      <c r="G1738" s="182">
        <f t="shared" ca="1" si="193"/>
        <v>0</v>
      </c>
      <c r="H1738" s="182" t="e">
        <f t="shared" si="194"/>
        <v>#VALUE!</v>
      </c>
      <c r="I1738" s="183" t="e">
        <f t="shared" si="195"/>
        <v>#VALUE!</v>
      </c>
    </row>
    <row r="1739" spans="1:9" x14ac:dyDescent="0.25">
      <c r="A1739" s="180">
        <f t="shared" ca="1" si="196"/>
        <v>47811</v>
      </c>
      <c r="B1739" s="181">
        <v>1707</v>
      </c>
      <c r="C1739" s="182" t="e">
        <f t="shared" si="190"/>
        <v>#VALUE!</v>
      </c>
      <c r="D1739" s="182" t="e">
        <f t="shared" si="191"/>
        <v>#VALUE!</v>
      </c>
      <c r="E1739" s="182" t="e">
        <f t="shared" si="192"/>
        <v>#VALUE!</v>
      </c>
      <c r="F1739" s="182" t="e">
        <f>SUM($D$33:D1739)</f>
        <v>#VALUE!</v>
      </c>
      <c r="G1739" s="182">
        <f t="shared" ca="1" si="193"/>
        <v>0</v>
      </c>
      <c r="H1739" s="182" t="e">
        <f t="shared" si="194"/>
        <v>#VALUE!</v>
      </c>
      <c r="I1739" s="183" t="e">
        <f t="shared" si="195"/>
        <v>#VALUE!</v>
      </c>
    </row>
    <row r="1740" spans="1:9" x14ac:dyDescent="0.25">
      <c r="A1740" s="180">
        <f t="shared" ca="1" si="196"/>
        <v>47812</v>
      </c>
      <c r="B1740" s="181">
        <v>1708</v>
      </c>
      <c r="C1740" s="182" t="e">
        <f t="shared" si="190"/>
        <v>#VALUE!</v>
      </c>
      <c r="D1740" s="182" t="e">
        <f t="shared" si="191"/>
        <v>#VALUE!</v>
      </c>
      <c r="E1740" s="182" t="e">
        <f t="shared" si="192"/>
        <v>#VALUE!</v>
      </c>
      <c r="F1740" s="182" t="e">
        <f>SUM($D$33:D1740)</f>
        <v>#VALUE!</v>
      </c>
      <c r="G1740" s="182">
        <f t="shared" ca="1" si="193"/>
        <v>0</v>
      </c>
      <c r="H1740" s="182" t="e">
        <f t="shared" si="194"/>
        <v>#VALUE!</v>
      </c>
      <c r="I1740" s="183" t="e">
        <f t="shared" si="195"/>
        <v>#VALUE!</v>
      </c>
    </row>
    <row r="1741" spans="1:9" x14ac:dyDescent="0.25">
      <c r="A1741" s="180">
        <f t="shared" ca="1" si="196"/>
        <v>47813</v>
      </c>
      <c r="B1741" s="181">
        <v>1709</v>
      </c>
      <c r="C1741" s="182" t="e">
        <f t="shared" si="190"/>
        <v>#VALUE!</v>
      </c>
      <c r="D1741" s="182" t="e">
        <f t="shared" si="191"/>
        <v>#VALUE!</v>
      </c>
      <c r="E1741" s="182" t="e">
        <f t="shared" si="192"/>
        <v>#VALUE!</v>
      </c>
      <c r="F1741" s="182" t="e">
        <f>SUM($D$33:D1741)</f>
        <v>#VALUE!</v>
      </c>
      <c r="G1741" s="182">
        <f t="shared" ca="1" si="193"/>
        <v>0</v>
      </c>
      <c r="H1741" s="182" t="e">
        <f t="shared" si="194"/>
        <v>#VALUE!</v>
      </c>
      <c r="I1741" s="183" t="e">
        <f t="shared" si="195"/>
        <v>#VALUE!</v>
      </c>
    </row>
    <row r="1742" spans="1:9" x14ac:dyDescent="0.25">
      <c r="A1742" s="180">
        <f t="shared" ca="1" si="196"/>
        <v>47814</v>
      </c>
      <c r="B1742" s="181">
        <v>1710</v>
      </c>
      <c r="C1742" s="182" t="e">
        <f t="shared" si="190"/>
        <v>#VALUE!</v>
      </c>
      <c r="D1742" s="182" t="e">
        <f t="shared" si="191"/>
        <v>#VALUE!</v>
      </c>
      <c r="E1742" s="182" t="e">
        <f t="shared" si="192"/>
        <v>#VALUE!</v>
      </c>
      <c r="F1742" s="182" t="e">
        <f>SUM($D$33:D1742)</f>
        <v>#VALUE!</v>
      </c>
      <c r="G1742" s="182">
        <f t="shared" ca="1" si="193"/>
        <v>0</v>
      </c>
      <c r="H1742" s="182" t="e">
        <f t="shared" si="194"/>
        <v>#VALUE!</v>
      </c>
      <c r="I1742" s="183" t="e">
        <f t="shared" si="195"/>
        <v>#VALUE!</v>
      </c>
    </row>
    <row r="1743" spans="1:9" x14ac:dyDescent="0.25">
      <c r="A1743" s="180">
        <f t="shared" ca="1" si="196"/>
        <v>47815</v>
      </c>
      <c r="B1743" s="181">
        <v>1711</v>
      </c>
      <c r="C1743" s="182" t="e">
        <f t="shared" si="190"/>
        <v>#VALUE!</v>
      </c>
      <c r="D1743" s="182" t="e">
        <f t="shared" si="191"/>
        <v>#VALUE!</v>
      </c>
      <c r="E1743" s="182" t="e">
        <f t="shared" si="192"/>
        <v>#VALUE!</v>
      </c>
      <c r="F1743" s="182" t="e">
        <f>SUM($D$33:D1743)</f>
        <v>#VALUE!</v>
      </c>
      <c r="G1743" s="182">
        <f t="shared" ca="1" si="193"/>
        <v>0</v>
      </c>
      <c r="H1743" s="182" t="e">
        <f t="shared" si="194"/>
        <v>#VALUE!</v>
      </c>
      <c r="I1743" s="183" t="e">
        <f t="shared" si="195"/>
        <v>#VALUE!</v>
      </c>
    </row>
    <row r="1744" spans="1:9" x14ac:dyDescent="0.25">
      <c r="A1744" s="180">
        <f t="shared" ca="1" si="196"/>
        <v>47816</v>
      </c>
      <c r="B1744" s="181">
        <v>1712</v>
      </c>
      <c r="C1744" s="182" t="e">
        <f t="shared" ref="C1744:C1807" si="197">H1743</f>
        <v>#VALUE!</v>
      </c>
      <c r="D1744" s="182" t="e">
        <f t="shared" ref="D1744:D1807" si="198">IF(C1744&gt;$H$21,C1744*($L$16/360),$H$21*($L$16/360))</f>
        <v>#VALUE!</v>
      </c>
      <c r="E1744" s="182" t="e">
        <f t="shared" ref="E1744:E1807" si="199">IF(E1743&gt;0,E1743-D1744,0)</f>
        <v>#VALUE!</v>
      </c>
      <c r="F1744" s="182" t="e">
        <f>SUM($D$33:D1744)</f>
        <v>#VALUE!</v>
      </c>
      <c r="G1744" s="182">
        <f t="shared" ref="G1744:G1807" ca="1" si="200">IFERROR(-VLOOKUP(A1744,$K$30:$M$36,2,FALSE),0)</f>
        <v>0</v>
      </c>
      <c r="H1744" s="182" t="e">
        <f t="shared" ref="H1744:H1807" si="201">IF(E1744&gt;0,C1744+G1744,IF(E1744&lt;0,C1744+G1744+D1744-E1743,C1744+D1744+G1744))</f>
        <v>#VALUE!</v>
      </c>
      <c r="I1744" s="183" t="e">
        <f t="shared" ref="I1744:I1807" si="202">(C1744+D1744-E1744)</f>
        <v>#VALUE!</v>
      </c>
    </row>
    <row r="1745" spans="1:9" x14ac:dyDescent="0.25">
      <c r="A1745" s="180">
        <f t="shared" ca="1" si="196"/>
        <v>47817</v>
      </c>
      <c r="B1745" s="181">
        <v>1713</v>
      </c>
      <c r="C1745" s="182" t="e">
        <f t="shared" si="197"/>
        <v>#VALUE!</v>
      </c>
      <c r="D1745" s="182" t="e">
        <f t="shared" si="198"/>
        <v>#VALUE!</v>
      </c>
      <c r="E1745" s="182" t="e">
        <f t="shared" si="199"/>
        <v>#VALUE!</v>
      </c>
      <c r="F1745" s="182" t="e">
        <f>SUM($D$33:D1745)</f>
        <v>#VALUE!</v>
      </c>
      <c r="G1745" s="182">
        <f t="shared" ca="1" si="200"/>
        <v>0</v>
      </c>
      <c r="H1745" s="182" t="e">
        <f t="shared" si="201"/>
        <v>#VALUE!</v>
      </c>
      <c r="I1745" s="183" t="e">
        <f t="shared" si="202"/>
        <v>#VALUE!</v>
      </c>
    </row>
    <row r="1746" spans="1:9" x14ac:dyDescent="0.25">
      <c r="A1746" s="180">
        <f t="shared" ca="1" si="196"/>
        <v>47818</v>
      </c>
      <c r="B1746" s="181">
        <v>1714</v>
      </c>
      <c r="C1746" s="182" t="e">
        <f t="shared" si="197"/>
        <v>#VALUE!</v>
      </c>
      <c r="D1746" s="182" t="e">
        <f t="shared" si="198"/>
        <v>#VALUE!</v>
      </c>
      <c r="E1746" s="182" t="e">
        <f t="shared" si="199"/>
        <v>#VALUE!</v>
      </c>
      <c r="F1746" s="182" t="e">
        <f>SUM($D$33:D1746)</f>
        <v>#VALUE!</v>
      </c>
      <c r="G1746" s="182">
        <f t="shared" ca="1" si="200"/>
        <v>0</v>
      </c>
      <c r="H1746" s="182" t="e">
        <f t="shared" si="201"/>
        <v>#VALUE!</v>
      </c>
      <c r="I1746" s="183" t="e">
        <f t="shared" si="202"/>
        <v>#VALUE!</v>
      </c>
    </row>
    <row r="1747" spans="1:9" x14ac:dyDescent="0.25">
      <c r="A1747" s="180">
        <f t="shared" ca="1" si="196"/>
        <v>47819</v>
      </c>
      <c r="B1747" s="181">
        <v>1715</v>
      </c>
      <c r="C1747" s="182" t="e">
        <f t="shared" si="197"/>
        <v>#VALUE!</v>
      </c>
      <c r="D1747" s="182" t="e">
        <f t="shared" si="198"/>
        <v>#VALUE!</v>
      </c>
      <c r="E1747" s="182" t="e">
        <f t="shared" si="199"/>
        <v>#VALUE!</v>
      </c>
      <c r="F1747" s="182" t="e">
        <f>SUM($D$33:D1747)</f>
        <v>#VALUE!</v>
      </c>
      <c r="G1747" s="182">
        <f t="shared" ca="1" si="200"/>
        <v>0</v>
      </c>
      <c r="H1747" s="182" t="e">
        <f t="shared" si="201"/>
        <v>#VALUE!</v>
      </c>
      <c r="I1747" s="183" t="e">
        <f t="shared" si="202"/>
        <v>#VALUE!</v>
      </c>
    </row>
    <row r="1748" spans="1:9" x14ac:dyDescent="0.25">
      <c r="A1748" s="180">
        <f t="shared" ca="1" si="196"/>
        <v>47820</v>
      </c>
      <c r="B1748" s="181">
        <v>1716</v>
      </c>
      <c r="C1748" s="182" t="e">
        <f t="shared" si="197"/>
        <v>#VALUE!</v>
      </c>
      <c r="D1748" s="182" t="e">
        <f t="shared" si="198"/>
        <v>#VALUE!</v>
      </c>
      <c r="E1748" s="182" t="e">
        <f t="shared" si="199"/>
        <v>#VALUE!</v>
      </c>
      <c r="F1748" s="182" t="e">
        <f>SUM($D$33:D1748)</f>
        <v>#VALUE!</v>
      </c>
      <c r="G1748" s="182">
        <f t="shared" ca="1" si="200"/>
        <v>0</v>
      </c>
      <c r="H1748" s="182" t="e">
        <f t="shared" si="201"/>
        <v>#VALUE!</v>
      </c>
      <c r="I1748" s="183" t="e">
        <f t="shared" si="202"/>
        <v>#VALUE!</v>
      </c>
    </row>
    <row r="1749" spans="1:9" x14ac:dyDescent="0.25">
      <c r="A1749" s="180">
        <f t="shared" ca="1" si="196"/>
        <v>47821</v>
      </c>
      <c r="B1749" s="181">
        <v>1717</v>
      </c>
      <c r="C1749" s="182" t="e">
        <f t="shared" si="197"/>
        <v>#VALUE!</v>
      </c>
      <c r="D1749" s="182" t="e">
        <f t="shared" si="198"/>
        <v>#VALUE!</v>
      </c>
      <c r="E1749" s="182" t="e">
        <f t="shared" si="199"/>
        <v>#VALUE!</v>
      </c>
      <c r="F1749" s="182" t="e">
        <f>SUM($D$33:D1749)</f>
        <v>#VALUE!</v>
      </c>
      <c r="G1749" s="182">
        <f t="shared" ca="1" si="200"/>
        <v>0</v>
      </c>
      <c r="H1749" s="182" t="e">
        <f t="shared" si="201"/>
        <v>#VALUE!</v>
      </c>
      <c r="I1749" s="183" t="e">
        <f t="shared" si="202"/>
        <v>#VALUE!</v>
      </c>
    </row>
    <row r="1750" spans="1:9" x14ac:dyDescent="0.25">
      <c r="A1750" s="180">
        <f t="shared" ca="1" si="196"/>
        <v>47822</v>
      </c>
      <c r="B1750" s="181">
        <v>1718</v>
      </c>
      <c r="C1750" s="182" t="e">
        <f t="shared" si="197"/>
        <v>#VALUE!</v>
      </c>
      <c r="D1750" s="182" t="e">
        <f t="shared" si="198"/>
        <v>#VALUE!</v>
      </c>
      <c r="E1750" s="182" t="e">
        <f t="shared" si="199"/>
        <v>#VALUE!</v>
      </c>
      <c r="F1750" s="182" t="e">
        <f>SUM($D$33:D1750)</f>
        <v>#VALUE!</v>
      </c>
      <c r="G1750" s="182">
        <f t="shared" ca="1" si="200"/>
        <v>0</v>
      </c>
      <c r="H1750" s="182" t="e">
        <f t="shared" si="201"/>
        <v>#VALUE!</v>
      </c>
      <c r="I1750" s="183" t="e">
        <f t="shared" si="202"/>
        <v>#VALUE!</v>
      </c>
    </row>
    <row r="1751" spans="1:9" x14ac:dyDescent="0.25">
      <c r="A1751" s="180">
        <f t="shared" ca="1" si="196"/>
        <v>47823</v>
      </c>
      <c r="B1751" s="181">
        <v>1719</v>
      </c>
      <c r="C1751" s="182" t="e">
        <f t="shared" si="197"/>
        <v>#VALUE!</v>
      </c>
      <c r="D1751" s="182" t="e">
        <f t="shared" si="198"/>
        <v>#VALUE!</v>
      </c>
      <c r="E1751" s="182" t="e">
        <f t="shared" si="199"/>
        <v>#VALUE!</v>
      </c>
      <c r="F1751" s="182" t="e">
        <f>SUM($D$33:D1751)</f>
        <v>#VALUE!</v>
      </c>
      <c r="G1751" s="182">
        <f t="shared" ca="1" si="200"/>
        <v>0</v>
      </c>
      <c r="H1751" s="182" t="e">
        <f t="shared" si="201"/>
        <v>#VALUE!</v>
      </c>
      <c r="I1751" s="183" t="e">
        <f t="shared" si="202"/>
        <v>#VALUE!</v>
      </c>
    </row>
    <row r="1752" spans="1:9" x14ac:dyDescent="0.25">
      <c r="A1752" s="180">
        <f t="shared" ca="1" si="196"/>
        <v>47824</v>
      </c>
      <c r="B1752" s="181">
        <v>1720</v>
      </c>
      <c r="C1752" s="182" t="e">
        <f t="shared" si="197"/>
        <v>#VALUE!</v>
      </c>
      <c r="D1752" s="182" t="e">
        <f t="shared" si="198"/>
        <v>#VALUE!</v>
      </c>
      <c r="E1752" s="182" t="e">
        <f t="shared" si="199"/>
        <v>#VALUE!</v>
      </c>
      <c r="F1752" s="182" t="e">
        <f>SUM($D$33:D1752)</f>
        <v>#VALUE!</v>
      </c>
      <c r="G1752" s="182">
        <f t="shared" ca="1" si="200"/>
        <v>0</v>
      </c>
      <c r="H1752" s="182" t="e">
        <f t="shared" si="201"/>
        <v>#VALUE!</v>
      </c>
      <c r="I1752" s="183" t="e">
        <f t="shared" si="202"/>
        <v>#VALUE!</v>
      </c>
    </row>
    <row r="1753" spans="1:9" x14ac:dyDescent="0.25">
      <c r="A1753" s="180">
        <f t="shared" ca="1" si="196"/>
        <v>47825</v>
      </c>
      <c r="B1753" s="181">
        <v>1721</v>
      </c>
      <c r="C1753" s="182" t="e">
        <f t="shared" si="197"/>
        <v>#VALUE!</v>
      </c>
      <c r="D1753" s="182" t="e">
        <f t="shared" si="198"/>
        <v>#VALUE!</v>
      </c>
      <c r="E1753" s="182" t="e">
        <f t="shared" si="199"/>
        <v>#VALUE!</v>
      </c>
      <c r="F1753" s="182" t="e">
        <f>SUM($D$33:D1753)</f>
        <v>#VALUE!</v>
      </c>
      <c r="G1753" s="182">
        <f t="shared" ca="1" si="200"/>
        <v>0</v>
      </c>
      <c r="H1753" s="182" t="e">
        <f t="shared" si="201"/>
        <v>#VALUE!</v>
      </c>
      <c r="I1753" s="183" t="e">
        <f t="shared" si="202"/>
        <v>#VALUE!</v>
      </c>
    </row>
    <row r="1754" spans="1:9" x14ac:dyDescent="0.25">
      <c r="A1754" s="180">
        <f t="shared" ca="1" si="196"/>
        <v>47826</v>
      </c>
      <c r="B1754" s="181">
        <v>1722</v>
      </c>
      <c r="C1754" s="182" t="e">
        <f t="shared" si="197"/>
        <v>#VALUE!</v>
      </c>
      <c r="D1754" s="182" t="e">
        <f t="shared" si="198"/>
        <v>#VALUE!</v>
      </c>
      <c r="E1754" s="182" t="e">
        <f t="shared" si="199"/>
        <v>#VALUE!</v>
      </c>
      <c r="F1754" s="182" t="e">
        <f>SUM($D$33:D1754)</f>
        <v>#VALUE!</v>
      </c>
      <c r="G1754" s="182">
        <f t="shared" ca="1" si="200"/>
        <v>0</v>
      </c>
      <c r="H1754" s="182" t="e">
        <f t="shared" si="201"/>
        <v>#VALUE!</v>
      </c>
      <c r="I1754" s="183" t="e">
        <f t="shared" si="202"/>
        <v>#VALUE!</v>
      </c>
    </row>
    <row r="1755" spans="1:9" x14ac:dyDescent="0.25">
      <c r="A1755" s="180">
        <f t="shared" ca="1" si="196"/>
        <v>47827</v>
      </c>
      <c r="B1755" s="181">
        <v>1723</v>
      </c>
      <c r="C1755" s="182" t="e">
        <f t="shared" si="197"/>
        <v>#VALUE!</v>
      </c>
      <c r="D1755" s="182" t="e">
        <f t="shared" si="198"/>
        <v>#VALUE!</v>
      </c>
      <c r="E1755" s="182" t="e">
        <f t="shared" si="199"/>
        <v>#VALUE!</v>
      </c>
      <c r="F1755" s="182" t="e">
        <f>SUM($D$33:D1755)</f>
        <v>#VALUE!</v>
      </c>
      <c r="G1755" s="182">
        <f t="shared" ca="1" si="200"/>
        <v>0</v>
      </c>
      <c r="H1755" s="182" t="e">
        <f t="shared" si="201"/>
        <v>#VALUE!</v>
      </c>
      <c r="I1755" s="183" t="e">
        <f t="shared" si="202"/>
        <v>#VALUE!</v>
      </c>
    </row>
    <row r="1756" spans="1:9" x14ac:dyDescent="0.25">
      <c r="A1756" s="180">
        <f t="shared" ca="1" si="196"/>
        <v>47828</v>
      </c>
      <c r="B1756" s="181">
        <v>1724</v>
      </c>
      <c r="C1756" s="182" t="e">
        <f t="shared" si="197"/>
        <v>#VALUE!</v>
      </c>
      <c r="D1756" s="182" t="e">
        <f t="shared" si="198"/>
        <v>#VALUE!</v>
      </c>
      <c r="E1756" s="182" t="e">
        <f t="shared" si="199"/>
        <v>#VALUE!</v>
      </c>
      <c r="F1756" s="182" t="e">
        <f>SUM($D$33:D1756)</f>
        <v>#VALUE!</v>
      </c>
      <c r="G1756" s="182">
        <f t="shared" ca="1" si="200"/>
        <v>0</v>
      </c>
      <c r="H1756" s="182" t="e">
        <f t="shared" si="201"/>
        <v>#VALUE!</v>
      </c>
      <c r="I1756" s="183" t="e">
        <f t="shared" si="202"/>
        <v>#VALUE!</v>
      </c>
    </row>
    <row r="1757" spans="1:9" x14ac:dyDescent="0.25">
      <c r="A1757" s="180">
        <f t="shared" ca="1" si="196"/>
        <v>47829</v>
      </c>
      <c r="B1757" s="181">
        <v>1725</v>
      </c>
      <c r="C1757" s="182" t="e">
        <f t="shared" si="197"/>
        <v>#VALUE!</v>
      </c>
      <c r="D1757" s="182" t="e">
        <f t="shared" si="198"/>
        <v>#VALUE!</v>
      </c>
      <c r="E1757" s="182" t="e">
        <f t="shared" si="199"/>
        <v>#VALUE!</v>
      </c>
      <c r="F1757" s="182" t="e">
        <f>SUM($D$33:D1757)</f>
        <v>#VALUE!</v>
      </c>
      <c r="G1757" s="182">
        <f t="shared" ca="1" si="200"/>
        <v>0</v>
      </c>
      <c r="H1757" s="182" t="e">
        <f t="shared" si="201"/>
        <v>#VALUE!</v>
      </c>
      <c r="I1757" s="183" t="e">
        <f t="shared" si="202"/>
        <v>#VALUE!</v>
      </c>
    </row>
    <row r="1758" spans="1:9" x14ac:dyDescent="0.25">
      <c r="A1758" s="180">
        <f t="shared" ca="1" si="196"/>
        <v>47830</v>
      </c>
      <c r="B1758" s="181">
        <v>1726</v>
      </c>
      <c r="C1758" s="182" t="e">
        <f t="shared" si="197"/>
        <v>#VALUE!</v>
      </c>
      <c r="D1758" s="182" t="e">
        <f t="shared" si="198"/>
        <v>#VALUE!</v>
      </c>
      <c r="E1758" s="182" t="e">
        <f t="shared" si="199"/>
        <v>#VALUE!</v>
      </c>
      <c r="F1758" s="182" t="e">
        <f>SUM($D$33:D1758)</f>
        <v>#VALUE!</v>
      </c>
      <c r="G1758" s="182">
        <f t="shared" ca="1" si="200"/>
        <v>0</v>
      </c>
      <c r="H1758" s="182" t="e">
        <f t="shared" si="201"/>
        <v>#VALUE!</v>
      </c>
      <c r="I1758" s="183" t="e">
        <f t="shared" si="202"/>
        <v>#VALUE!</v>
      </c>
    </row>
    <row r="1759" spans="1:9" x14ac:dyDescent="0.25">
      <c r="A1759" s="180">
        <f t="shared" ca="1" si="196"/>
        <v>47831</v>
      </c>
      <c r="B1759" s="181">
        <v>1727</v>
      </c>
      <c r="C1759" s="182" t="e">
        <f t="shared" si="197"/>
        <v>#VALUE!</v>
      </c>
      <c r="D1759" s="182" t="e">
        <f t="shared" si="198"/>
        <v>#VALUE!</v>
      </c>
      <c r="E1759" s="182" t="e">
        <f t="shared" si="199"/>
        <v>#VALUE!</v>
      </c>
      <c r="F1759" s="182" t="e">
        <f>SUM($D$33:D1759)</f>
        <v>#VALUE!</v>
      </c>
      <c r="G1759" s="182">
        <f t="shared" ca="1" si="200"/>
        <v>0</v>
      </c>
      <c r="H1759" s="182" t="e">
        <f t="shared" si="201"/>
        <v>#VALUE!</v>
      </c>
      <c r="I1759" s="183" t="e">
        <f t="shared" si="202"/>
        <v>#VALUE!</v>
      </c>
    </row>
    <row r="1760" spans="1:9" x14ac:dyDescent="0.25">
      <c r="A1760" s="180">
        <f t="shared" ca="1" si="196"/>
        <v>47832</v>
      </c>
      <c r="B1760" s="181">
        <v>1728</v>
      </c>
      <c r="C1760" s="182" t="e">
        <f t="shared" si="197"/>
        <v>#VALUE!</v>
      </c>
      <c r="D1760" s="182" t="e">
        <f t="shared" si="198"/>
        <v>#VALUE!</v>
      </c>
      <c r="E1760" s="182" t="e">
        <f t="shared" si="199"/>
        <v>#VALUE!</v>
      </c>
      <c r="F1760" s="182" t="e">
        <f>SUM($D$33:D1760)</f>
        <v>#VALUE!</v>
      </c>
      <c r="G1760" s="182">
        <f t="shared" ca="1" si="200"/>
        <v>0</v>
      </c>
      <c r="H1760" s="182" t="e">
        <f t="shared" si="201"/>
        <v>#VALUE!</v>
      </c>
      <c r="I1760" s="183" t="e">
        <f t="shared" si="202"/>
        <v>#VALUE!</v>
      </c>
    </row>
    <row r="1761" spans="1:9" x14ac:dyDescent="0.25">
      <c r="A1761" s="180">
        <f t="shared" ca="1" si="196"/>
        <v>47833</v>
      </c>
      <c r="B1761" s="181">
        <v>1729</v>
      </c>
      <c r="C1761" s="182" t="e">
        <f t="shared" si="197"/>
        <v>#VALUE!</v>
      </c>
      <c r="D1761" s="182" t="e">
        <f t="shared" si="198"/>
        <v>#VALUE!</v>
      </c>
      <c r="E1761" s="182" t="e">
        <f t="shared" si="199"/>
        <v>#VALUE!</v>
      </c>
      <c r="F1761" s="182" t="e">
        <f>SUM($D$33:D1761)</f>
        <v>#VALUE!</v>
      </c>
      <c r="G1761" s="182">
        <f t="shared" ca="1" si="200"/>
        <v>0</v>
      </c>
      <c r="H1761" s="182" t="e">
        <f t="shared" si="201"/>
        <v>#VALUE!</v>
      </c>
      <c r="I1761" s="183" t="e">
        <f t="shared" si="202"/>
        <v>#VALUE!</v>
      </c>
    </row>
    <row r="1762" spans="1:9" x14ac:dyDescent="0.25">
      <c r="A1762" s="180">
        <f t="shared" ref="A1762:A1825" ca="1" si="203">A1761+1</f>
        <v>47834</v>
      </c>
      <c r="B1762" s="181">
        <v>1730</v>
      </c>
      <c r="C1762" s="182" t="e">
        <f t="shared" si="197"/>
        <v>#VALUE!</v>
      </c>
      <c r="D1762" s="182" t="e">
        <f t="shared" si="198"/>
        <v>#VALUE!</v>
      </c>
      <c r="E1762" s="182" t="e">
        <f t="shared" si="199"/>
        <v>#VALUE!</v>
      </c>
      <c r="F1762" s="182" t="e">
        <f>SUM($D$33:D1762)</f>
        <v>#VALUE!</v>
      </c>
      <c r="G1762" s="182">
        <f t="shared" ca="1" si="200"/>
        <v>0</v>
      </c>
      <c r="H1762" s="182" t="e">
        <f t="shared" si="201"/>
        <v>#VALUE!</v>
      </c>
      <c r="I1762" s="183" t="e">
        <f t="shared" si="202"/>
        <v>#VALUE!</v>
      </c>
    </row>
    <row r="1763" spans="1:9" x14ac:dyDescent="0.25">
      <c r="A1763" s="180">
        <f t="shared" ca="1" si="203"/>
        <v>47835</v>
      </c>
      <c r="B1763" s="181">
        <v>1731</v>
      </c>
      <c r="C1763" s="182" t="e">
        <f t="shared" si="197"/>
        <v>#VALUE!</v>
      </c>
      <c r="D1763" s="182" t="e">
        <f t="shared" si="198"/>
        <v>#VALUE!</v>
      </c>
      <c r="E1763" s="182" t="e">
        <f t="shared" si="199"/>
        <v>#VALUE!</v>
      </c>
      <c r="F1763" s="182" t="e">
        <f>SUM($D$33:D1763)</f>
        <v>#VALUE!</v>
      </c>
      <c r="G1763" s="182">
        <f t="shared" ca="1" si="200"/>
        <v>0</v>
      </c>
      <c r="H1763" s="182" t="e">
        <f t="shared" si="201"/>
        <v>#VALUE!</v>
      </c>
      <c r="I1763" s="183" t="e">
        <f t="shared" si="202"/>
        <v>#VALUE!</v>
      </c>
    </row>
    <row r="1764" spans="1:9" x14ac:dyDescent="0.25">
      <c r="A1764" s="180">
        <f t="shared" ca="1" si="203"/>
        <v>47836</v>
      </c>
      <c r="B1764" s="181">
        <v>1732</v>
      </c>
      <c r="C1764" s="182" t="e">
        <f t="shared" si="197"/>
        <v>#VALUE!</v>
      </c>
      <c r="D1764" s="182" t="e">
        <f t="shared" si="198"/>
        <v>#VALUE!</v>
      </c>
      <c r="E1764" s="182" t="e">
        <f t="shared" si="199"/>
        <v>#VALUE!</v>
      </c>
      <c r="F1764" s="182" t="e">
        <f>SUM($D$33:D1764)</f>
        <v>#VALUE!</v>
      </c>
      <c r="G1764" s="182">
        <f t="shared" ca="1" si="200"/>
        <v>0</v>
      </c>
      <c r="H1764" s="182" t="e">
        <f t="shared" si="201"/>
        <v>#VALUE!</v>
      </c>
      <c r="I1764" s="183" t="e">
        <f t="shared" si="202"/>
        <v>#VALUE!</v>
      </c>
    </row>
    <row r="1765" spans="1:9" x14ac:dyDescent="0.25">
      <c r="A1765" s="180">
        <f t="shared" ca="1" si="203"/>
        <v>47837</v>
      </c>
      <c r="B1765" s="181">
        <v>1733</v>
      </c>
      <c r="C1765" s="182" t="e">
        <f t="shared" si="197"/>
        <v>#VALUE!</v>
      </c>
      <c r="D1765" s="182" t="e">
        <f t="shared" si="198"/>
        <v>#VALUE!</v>
      </c>
      <c r="E1765" s="182" t="e">
        <f t="shared" si="199"/>
        <v>#VALUE!</v>
      </c>
      <c r="F1765" s="182" t="e">
        <f>SUM($D$33:D1765)</f>
        <v>#VALUE!</v>
      </c>
      <c r="G1765" s="182">
        <f t="shared" ca="1" si="200"/>
        <v>0</v>
      </c>
      <c r="H1765" s="182" t="e">
        <f t="shared" si="201"/>
        <v>#VALUE!</v>
      </c>
      <c r="I1765" s="183" t="e">
        <f t="shared" si="202"/>
        <v>#VALUE!</v>
      </c>
    </row>
    <row r="1766" spans="1:9" x14ac:dyDescent="0.25">
      <c r="A1766" s="180">
        <f t="shared" ca="1" si="203"/>
        <v>47838</v>
      </c>
      <c r="B1766" s="181">
        <v>1734</v>
      </c>
      <c r="C1766" s="182" t="e">
        <f t="shared" si="197"/>
        <v>#VALUE!</v>
      </c>
      <c r="D1766" s="182" t="e">
        <f t="shared" si="198"/>
        <v>#VALUE!</v>
      </c>
      <c r="E1766" s="182" t="e">
        <f t="shared" si="199"/>
        <v>#VALUE!</v>
      </c>
      <c r="F1766" s="182" t="e">
        <f>SUM($D$33:D1766)</f>
        <v>#VALUE!</v>
      </c>
      <c r="G1766" s="182">
        <f t="shared" ca="1" si="200"/>
        <v>0</v>
      </c>
      <c r="H1766" s="182" t="e">
        <f t="shared" si="201"/>
        <v>#VALUE!</v>
      </c>
      <c r="I1766" s="183" t="e">
        <f t="shared" si="202"/>
        <v>#VALUE!</v>
      </c>
    </row>
    <row r="1767" spans="1:9" x14ac:dyDescent="0.25">
      <c r="A1767" s="180">
        <f t="shared" ca="1" si="203"/>
        <v>47839</v>
      </c>
      <c r="B1767" s="181">
        <v>1735</v>
      </c>
      <c r="C1767" s="182" t="e">
        <f t="shared" si="197"/>
        <v>#VALUE!</v>
      </c>
      <c r="D1767" s="182" t="e">
        <f t="shared" si="198"/>
        <v>#VALUE!</v>
      </c>
      <c r="E1767" s="182" t="e">
        <f t="shared" si="199"/>
        <v>#VALUE!</v>
      </c>
      <c r="F1767" s="182" t="e">
        <f>SUM($D$33:D1767)</f>
        <v>#VALUE!</v>
      </c>
      <c r="G1767" s="182">
        <f t="shared" ca="1" si="200"/>
        <v>0</v>
      </c>
      <c r="H1767" s="182" t="e">
        <f t="shared" si="201"/>
        <v>#VALUE!</v>
      </c>
      <c r="I1767" s="183" t="e">
        <f t="shared" si="202"/>
        <v>#VALUE!</v>
      </c>
    </row>
    <row r="1768" spans="1:9" x14ac:dyDescent="0.25">
      <c r="A1768" s="180">
        <f t="shared" ca="1" si="203"/>
        <v>47840</v>
      </c>
      <c r="B1768" s="181">
        <v>1736</v>
      </c>
      <c r="C1768" s="182" t="e">
        <f t="shared" si="197"/>
        <v>#VALUE!</v>
      </c>
      <c r="D1768" s="182" t="e">
        <f t="shared" si="198"/>
        <v>#VALUE!</v>
      </c>
      <c r="E1768" s="182" t="e">
        <f t="shared" si="199"/>
        <v>#VALUE!</v>
      </c>
      <c r="F1768" s="182" t="e">
        <f>SUM($D$33:D1768)</f>
        <v>#VALUE!</v>
      </c>
      <c r="G1768" s="182">
        <f t="shared" ca="1" si="200"/>
        <v>0</v>
      </c>
      <c r="H1768" s="182" t="e">
        <f t="shared" si="201"/>
        <v>#VALUE!</v>
      </c>
      <c r="I1768" s="183" t="e">
        <f t="shared" si="202"/>
        <v>#VALUE!</v>
      </c>
    </row>
    <row r="1769" spans="1:9" x14ac:dyDescent="0.25">
      <c r="A1769" s="180">
        <f t="shared" ca="1" si="203"/>
        <v>47841</v>
      </c>
      <c r="B1769" s="181">
        <v>1737</v>
      </c>
      <c r="C1769" s="182" t="e">
        <f t="shared" si="197"/>
        <v>#VALUE!</v>
      </c>
      <c r="D1769" s="182" t="e">
        <f t="shared" si="198"/>
        <v>#VALUE!</v>
      </c>
      <c r="E1769" s="182" t="e">
        <f t="shared" si="199"/>
        <v>#VALUE!</v>
      </c>
      <c r="F1769" s="182" t="e">
        <f>SUM($D$33:D1769)</f>
        <v>#VALUE!</v>
      </c>
      <c r="G1769" s="182">
        <f t="shared" ca="1" si="200"/>
        <v>0</v>
      </c>
      <c r="H1769" s="182" t="e">
        <f t="shared" si="201"/>
        <v>#VALUE!</v>
      </c>
      <c r="I1769" s="183" t="e">
        <f t="shared" si="202"/>
        <v>#VALUE!</v>
      </c>
    </row>
    <row r="1770" spans="1:9" x14ac:dyDescent="0.25">
      <c r="A1770" s="180">
        <f t="shared" ca="1" si="203"/>
        <v>47842</v>
      </c>
      <c r="B1770" s="181">
        <v>1738</v>
      </c>
      <c r="C1770" s="182" t="e">
        <f t="shared" si="197"/>
        <v>#VALUE!</v>
      </c>
      <c r="D1770" s="182" t="e">
        <f t="shared" si="198"/>
        <v>#VALUE!</v>
      </c>
      <c r="E1770" s="182" t="e">
        <f t="shared" si="199"/>
        <v>#VALUE!</v>
      </c>
      <c r="F1770" s="182" t="e">
        <f>SUM($D$33:D1770)</f>
        <v>#VALUE!</v>
      </c>
      <c r="G1770" s="182">
        <f t="shared" ca="1" si="200"/>
        <v>0</v>
      </c>
      <c r="H1770" s="182" t="e">
        <f t="shared" si="201"/>
        <v>#VALUE!</v>
      </c>
      <c r="I1770" s="183" t="e">
        <f t="shared" si="202"/>
        <v>#VALUE!</v>
      </c>
    </row>
    <row r="1771" spans="1:9" x14ac:dyDescent="0.25">
      <c r="A1771" s="180">
        <f t="shared" ca="1" si="203"/>
        <v>47843</v>
      </c>
      <c r="B1771" s="181">
        <v>1739</v>
      </c>
      <c r="C1771" s="182" t="e">
        <f t="shared" si="197"/>
        <v>#VALUE!</v>
      </c>
      <c r="D1771" s="182" t="e">
        <f t="shared" si="198"/>
        <v>#VALUE!</v>
      </c>
      <c r="E1771" s="182" t="e">
        <f t="shared" si="199"/>
        <v>#VALUE!</v>
      </c>
      <c r="F1771" s="182" t="e">
        <f>SUM($D$33:D1771)</f>
        <v>#VALUE!</v>
      </c>
      <c r="G1771" s="182">
        <f t="shared" ca="1" si="200"/>
        <v>0</v>
      </c>
      <c r="H1771" s="182" t="e">
        <f t="shared" si="201"/>
        <v>#VALUE!</v>
      </c>
      <c r="I1771" s="183" t="e">
        <f t="shared" si="202"/>
        <v>#VALUE!</v>
      </c>
    </row>
    <row r="1772" spans="1:9" x14ac:dyDescent="0.25">
      <c r="A1772" s="180">
        <f t="shared" ca="1" si="203"/>
        <v>47844</v>
      </c>
      <c r="B1772" s="181">
        <v>1740</v>
      </c>
      <c r="C1772" s="182" t="e">
        <f t="shared" si="197"/>
        <v>#VALUE!</v>
      </c>
      <c r="D1772" s="182" t="e">
        <f t="shared" si="198"/>
        <v>#VALUE!</v>
      </c>
      <c r="E1772" s="182" t="e">
        <f t="shared" si="199"/>
        <v>#VALUE!</v>
      </c>
      <c r="F1772" s="182" t="e">
        <f>SUM($D$33:D1772)</f>
        <v>#VALUE!</v>
      </c>
      <c r="G1772" s="182">
        <f t="shared" ca="1" si="200"/>
        <v>0</v>
      </c>
      <c r="H1772" s="182" t="e">
        <f t="shared" si="201"/>
        <v>#VALUE!</v>
      </c>
      <c r="I1772" s="183" t="e">
        <f t="shared" si="202"/>
        <v>#VALUE!</v>
      </c>
    </row>
    <row r="1773" spans="1:9" x14ac:dyDescent="0.25">
      <c r="A1773" s="180">
        <f t="shared" ca="1" si="203"/>
        <v>47845</v>
      </c>
      <c r="B1773" s="181">
        <v>1741</v>
      </c>
      <c r="C1773" s="182" t="e">
        <f t="shared" si="197"/>
        <v>#VALUE!</v>
      </c>
      <c r="D1773" s="182" t="e">
        <f t="shared" si="198"/>
        <v>#VALUE!</v>
      </c>
      <c r="E1773" s="182" t="e">
        <f t="shared" si="199"/>
        <v>#VALUE!</v>
      </c>
      <c r="F1773" s="182" t="e">
        <f>SUM($D$33:D1773)</f>
        <v>#VALUE!</v>
      </c>
      <c r="G1773" s="182">
        <f t="shared" ca="1" si="200"/>
        <v>0</v>
      </c>
      <c r="H1773" s="182" t="e">
        <f t="shared" si="201"/>
        <v>#VALUE!</v>
      </c>
      <c r="I1773" s="183" t="e">
        <f t="shared" si="202"/>
        <v>#VALUE!</v>
      </c>
    </row>
    <row r="1774" spans="1:9" x14ac:dyDescent="0.25">
      <c r="A1774" s="180">
        <f t="shared" ca="1" si="203"/>
        <v>47846</v>
      </c>
      <c r="B1774" s="181">
        <v>1742</v>
      </c>
      <c r="C1774" s="182" t="e">
        <f t="shared" si="197"/>
        <v>#VALUE!</v>
      </c>
      <c r="D1774" s="182" t="e">
        <f t="shared" si="198"/>
        <v>#VALUE!</v>
      </c>
      <c r="E1774" s="182" t="e">
        <f t="shared" si="199"/>
        <v>#VALUE!</v>
      </c>
      <c r="F1774" s="182" t="e">
        <f>SUM($D$33:D1774)</f>
        <v>#VALUE!</v>
      </c>
      <c r="G1774" s="182">
        <f t="shared" ca="1" si="200"/>
        <v>0</v>
      </c>
      <c r="H1774" s="182" t="e">
        <f t="shared" si="201"/>
        <v>#VALUE!</v>
      </c>
      <c r="I1774" s="183" t="e">
        <f t="shared" si="202"/>
        <v>#VALUE!</v>
      </c>
    </row>
    <row r="1775" spans="1:9" x14ac:dyDescent="0.25">
      <c r="A1775" s="180">
        <f t="shared" ca="1" si="203"/>
        <v>47847</v>
      </c>
      <c r="B1775" s="181">
        <v>1743</v>
      </c>
      <c r="C1775" s="182" t="e">
        <f t="shared" si="197"/>
        <v>#VALUE!</v>
      </c>
      <c r="D1775" s="182" t="e">
        <f t="shared" si="198"/>
        <v>#VALUE!</v>
      </c>
      <c r="E1775" s="182" t="e">
        <f t="shared" si="199"/>
        <v>#VALUE!</v>
      </c>
      <c r="F1775" s="182" t="e">
        <f>SUM($D$33:D1775)</f>
        <v>#VALUE!</v>
      </c>
      <c r="G1775" s="182">
        <f t="shared" ca="1" si="200"/>
        <v>0</v>
      </c>
      <c r="H1775" s="182" t="e">
        <f t="shared" si="201"/>
        <v>#VALUE!</v>
      </c>
      <c r="I1775" s="183" t="e">
        <f t="shared" si="202"/>
        <v>#VALUE!</v>
      </c>
    </row>
    <row r="1776" spans="1:9" x14ac:dyDescent="0.25">
      <c r="A1776" s="180">
        <f t="shared" ca="1" si="203"/>
        <v>47848</v>
      </c>
      <c r="B1776" s="181">
        <v>1744</v>
      </c>
      <c r="C1776" s="182" t="e">
        <f t="shared" si="197"/>
        <v>#VALUE!</v>
      </c>
      <c r="D1776" s="182" t="e">
        <f t="shared" si="198"/>
        <v>#VALUE!</v>
      </c>
      <c r="E1776" s="182" t="e">
        <f t="shared" si="199"/>
        <v>#VALUE!</v>
      </c>
      <c r="F1776" s="182" t="e">
        <f>SUM($D$33:D1776)</f>
        <v>#VALUE!</v>
      </c>
      <c r="G1776" s="182">
        <f t="shared" ca="1" si="200"/>
        <v>0</v>
      </c>
      <c r="H1776" s="182" t="e">
        <f t="shared" si="201"/>
        <v>#VALUE!</v>
      </c>
      <c r="I1776" s="183" t="e">
        <f t="shared" si="202"/>
        <v>#VALUE!</v>
      </c>
    </row>
    <row r="1777" spans="1:9" x14ac:dyDescent="0.25">
      <c r="A1777" s="180">
        <f t="shared" ca="1" si="203"/>
        <v>47849</v>
      </c>
      <c r="B1777" s="181">
        <v>1745</v>
      </c>
      <c r="C1777" s="182" t="e">
        <f t="shared" si="197"/>
        <v>#VALUE!</v>
      </c>
      <c r="D1777" s="182" t="e">
        <f t="shared" si="198"/>
        <v>#VALUE!</v>
      </c>
      <c r="E1777" s="182" t="e">
        <f t="shared" si="199"/>
        <v>#VALUE!</v>
      </c>
      <c r="F1777" s="182" t="e">
        <f>SUM($D$33:D1777)</f>
        <v>#VALUE!</v>
      </c>
      <c r="G1777" s="182">
        <f t="shared" ca="1" si="200"/>
        <v>0</v>
      </c>
      <c r="H1777" s="182" t="e">
        <f t="shared" si="201"/>
        <v>#VALUE!</v>
      </c>
      <c r="I1777" s="183" t="e">
        <f t="shared" si="202"/>
        <v>#VALUE!</v>
      </c>
    </row>
    <row r="1778" spans="1:9" x14ac:dyDescent="0.25">
      <c r="A1778" s="180">
        <f t="shared" ca="1" si="203"/>
        <v>47850</v>
      </c>
      <c r="B1778" s="181">
        <v>1746</v>
      </c>
      <c r="C1778" s="182" t="e">
        <f t="shared" si="197"/>
        <v>#VALUE!</v>
      </c>
      <c r="D1778" s="182" t="e">
        <f t="shared" si="198"/>
        <v>#VALUE!</v>
      </c>
      <c r="E1778" s="182" t="e">
        <f t="shared" si="199"/>
        <v>#VALUE!</v>
      </c>
      <c r="F1778" s="182" t="e">
        <f>SUM($D$33:D1778)</f>
        <v>#VALUE!</v>
      </c>
      <c r="G1778" s="182">
        <f t="shared" ca="1" si="200"/>
        <v>0</v>
      </c>
      <c r="H1778" s="182" t="e">
        <f t="shared" si="201"/>
        <v>#VALUE!</v>
      </c>
      <c r="I1778" s="183" t="e">
        <f t="shared" si="202"/>
        <v>#VALUE!</v>
      </c>
    </row>
    <row r="1779" spans="1:9" x14ac:dyDescent="0.25">
      <c r="A1779" s="180">
        <f t="shared" ca="1" si="203"/>
        <v>47851</v>
      </c>
      <c r="B1779" s="181">
        <v>1747</v>
      </c>
      <c r="C1779" s="182" t="e">
        <f t="shared" si="197"/>
        <v>#VALUE!</v>
      </c>
      <c r="D1779" s="182" t="e">
        <f t="shared" si="198"/>
        <v>#VALUE!</v>
      </c>
      <c r="E1779" s="182" t="e">
        <f t="shared" si="199"/>
        <v>#VALUE!</v>
      </c>
      <c r="F1779" s="182" t="e">
        <f>SUM($D$33:D1779)</f>
        <v>#VALUE!</v>
      </c>
      <c r="G1779" s="182">
        <f t="shared" ca="1" si="200"/>
        <v>0</v>
      </c>
      <c r="H1779" s="182" t="e">
        <f t="shared" si="201"/>
        <v>#VALUE!</v>
      </c>
      <c r="I1779" s="183" t="e">
        <f t="shared" si="202"/>
        <v>#VALUE!</v>
      </c>
    </row>
    <row r="1780" spans="1:9" x14ac:dyDescent="0.25">
      <c r="A1780" s="180">
        <f t="shared" ca="1" si="203"/>
        <v>47852</v>
      </c>
      <c r="B1780" s="181">
        <v>1748</v>
      </c>
      <c r="C1780" s="182" t="e">
        <f t="shared" si="197"/>
        <v>#VALUE!</v>
      </c>
      <c r="D1780" s="182" t="e">
        <f t="shared" si="198"/>
        <v>#VALUE!</v>
      </c>
      <c r="E1780" s="182" t="e">
        <f t="shared" si="199"/>
        <v>#VALUE!</v>
      </c>
      <c r="F1780" s="182" t="e">
        <f>SUM($D$33:D1780)</f>
        <v>#VALUE!</v>
      </c>
      <c r="G1780" s="182">
        <f t="shared" ca="1" si="200"/>
        <v>0</v>
      </c>
      <c r="H1780" s="182" t="e">
        <f t="shared" si="201"/>
        <v>#VALUE!</v>
      </c>
      <c r="I1780" s="183" t="e">
        <f t="shared" si="202"/>
        <v>#VALUE!</v>
      </c>
    </row>
    <row r="1781" spans="1:9" x14ac:dyDescent="0.25">
      <c r="A1781" s="180">
        <f t="shared" ca="1" si="203"/>
        <v>47853</v>
      </c>
      <c r="B1781" s="181">
        <v>1749</v>
      </c>
      <c r="C1781" s="182" t="e">
        <f t="shared" si="197"/>
        <v>#VALUE!</v>
      </c>
      <c r="D1781" s="182" t="e">
        <f t="shared" si="198"/>
        <v>#VALUE!</v>
      </c>
      <c r="E1781" s="182" t="e">
        <f t="shared" si="199"/>
        <v>#VALUE!</v>
      </c>
      <c r="F1781" s="182" t="e">
        <f>SUM($D$33:D1781)</f>
        <v>#VALUE!</v>
      </c>
      <c r="G1781" s="182">
        <f t="shared" ca="1" si="200"/>
        <v>0</v>
      </c>
      <c r="H1781" s="182" t="e">
        <f t="shared" si="201"/>
        <v>#VALUE!</v>
      </c>
      <c r="I1781" s="183" t="e">
        <f t="shared" si="202"/>
        <v>#VALUE!</v>
      </c>
    </row>
    <row r="1782" spans="1:9" x14ac:dyDescent="0.25">
      <c r="A1782" s="180">
        <f t="shared" ca="1" si="203"/>
        <v>47854</v>
      </c>
      <c r="B1782" s="181">
        <v>1750</v>
      </c>
      <c r="C1782" s="182" t="e">
        <f t="shared" si="197"/>
        <v>#VALUE!</v>
      </c>
      <c r="D1782" s="182" t="e">
        <f t="shared" si="198"/>
        <v>#VALUE!</v>
      </c>
      <c r="E1782" s="182" t="e">
        <f t="shared" si="199"/>
        <v>#VALUE!</v>
      </c>
      <c r="F1782" s="182" t="e">
        <f>SUM($D$33:D1782)</f>
        <v>#VALUE!</v>
      </c>
      <c r="G1782" s="182">
        <f t="shared" ca="1" si="200"/>
        <v>0</v>
      </c>
      <c r="H1782" s="182" t="e">
        <f t="shared" si="201"/>
        <v>#VALUE!</v>
      </c>
      <c r="I1782" s="183" t="e">
        <f t="shared" si="202"/>
        <v>#VALUE!</v>
      </c>
    </row>
    <row r="1783" spans="1:9" x14ac:dyDescent="0.25">
      <c r="A1783" s="180">
        <f t="shared" ca="1" si="203"/>
        <v>47855</v>
      </c>
      <c r="B1783" s="181">
        <v>1751</v>
      </c>
      <c r="C1783" s="182" t="e">
        <f t="shared" si="197"/>
        <v>#VALUE!</v>
      </c>
      <c r="D1783" s="182" t="e">
        <f t="shared" si="198"/>
        <v>#VALUE!</v>
      </c>
      <c r="E1783" s="182" t="e">
        <f t="shared" si="199"/>
        <v>#VALUE!</v>
      </c>
      <c r="F1783" s="182" t="e">
        <f>SUM($D$33:D1783)</f>
        <v>#VALUE!</v>
      </c>
      <c r="G1783" s="182">
        <f t="shared" ca="1" si="200"/>
        <v>0</v>
      </c>
      <c r="H1783" s="182" t="e">
        <f t="shared" si="201"/>
        <v>#VALUE!</v>
      </c>
      <c r="I1783" s="183" t="e">
        <f t="shared" si="202"/>
        <v>#VALUE!</v>
      </c>
    </row>
    <row r="1784" spans="1:9" x14ac:dyDescent="0.25">
      <c r="A1784" s="180">
        <f t="shared" ca="1" si="203"/>
        <v>47856</v>
      </c>
      <c r="B1784" s="181">
        <v>1752</v>
      </c>
      <c r="C1784" s="182" t="e">
        <f t="shared" si="197"/>
        <v>#VALUE!</v>
      </c>
      <c r="D1784" s="182" t="e">
        <f t="shared" si="198"/>
        <v>#VALUE!</v>
      </c>
      <c r="E1784" s="182" t="e">
        <f t="shared" si="199"/>
        <v>#VALUE!</v>
      </c>
      <c r="F1784" s="182" t="e">
        <f>SUM($D$33:D1784)</f>
        <v>#VALUE!</v>
      </c>
      <c r="G1784" s="182">
        <f t="shared" ca="1" si="200"/>
        <v>0</v>
      </c>
      <c r="H1784" s="182" t="e">
        <f t="shared" si="201"/>
        <v>#VALUE!</v>
      </c>
      <c r="I1784" s="183" t="e">
        <f t="shared" si="202"/>
        <v>#VALUE!</v>
      </c>
    </row>
    <row r="1785" spans="1:9" x14ac:dyDescent="0.25">
      <c r="A1785" s="180">
        <f t="shared" ca="1" si="203"/>
        <v>47857</v>
      </c>
      <c r="B1785" s="181">
        <v>1753</v>
      </c>
      <c r="C1785" s="182" t="e">
        <f t="shared" si="197"/>
        <v>#VALUE!</v>
      </c>
      <c r="D1785" s="182" t="e">
        <f t="shared" si="198"/>
        <v>#VALUE!</v>
      </c>
      <c r="E1785" s="182" t="e">
        <f t="shared" si="199"/>
        <v>#VALUE!</v>
      </c>
      <c r="F1785" s="182" t="e">
        <f>SUM($D$33:D1785)</f>
        <v>#VALUE!</v>
      </c>
      <c r="G1785" s="182">
        <f t="shared" ca="1" si="200"/>
        <v>0</v>
      </c>
      <c r="H1785" s="182" t="e">
        <f t="shared" si="201"/>
        <v>#VALUE!</v>
      </c>
      <c r="I1785" s="183" t="e">
        <f t="shared" si="202"/>
        <v>#VALUE!</v>
      </c>
    </row>
    <row r="1786" spans="1:9" x14ac:dyDescent="0.25">
      <c r="A1786" s="180">
        <f t="shared" ca="1" si="203"/>
        <v>47858</v>
      </c>
      <c r="B1786" s="181">
        <v>1754</v>
      </c>
      <c r="C1786" s="182" t="e">
        <f t="shared" si="197"/>
        <v>#VALUE!</v>
      </c>
      <c r="D1786" s="182" t="e">
        <f t="shared" si="198"/>
        <v>#VALUE!</v>
      </c>
      <c r="E1786" s="182" t="e">
        <f t="shared" si="199"/>
        <v>#VALUE!</v>
      </c>
      <c r="F1786" s="182" t="e">
        <f>SUM($D$33:D1786)</f>
        <v>#VALUE!</v>
      </c>
      <c r="G1786" s="182">
        <f t="shared" ca="1" si="200"/>
        <v>0</v>
      </c>
      <c r="H1786" s="182" t="e">
        <f t="shared" si="201"/>
        <v>#VALUE!</v>
      </c>
      <c r="I1786" s="183" t="e">
        <f t="shared" si="202"/>
        <v>#VALUE!</v>
      </c>
    </row>
    <row r="1787" spans="1:9" x14ac:dyDescent="0.25">
      <c r="A1787" s="180">
        <f t="shared" ca="1" si="203"/>
        <v>47859</v>
      </c>
      <c r="B1787" s="181">
        <v>1755</v>
      </c>
      <c r="C1787" s="182" t="e">
        <f t="shared" si="197"/>
        <v>#VALUE!</v>
      </c>
      <c r="D1787" s="182" t="e">
        <f t="shared" si="198"/>
        <v>#VALUE!</v>
      </c>
      <c r="E1787" s="182" t="e">
        <f t="shared" si="199"/>
        <v>#VALUE!</v>
      </c>
      <c r="F1787" s="182" t="e">
        <f>SUM($D$33:D1787)</f>
        <v>#VALUE!</v>
      </c>
      <c r="G1787" s="182">
        <f t="shared" ca="1" si="200"/>
        <v>0</v>
      </c>
      <c r="H1787" s="182" t="e">
        <f t="shared" si="201"/>
        <v>#VALUE!</v>
      </c>
      <c r="I1787" s="183" t="e">
        <f t="shared" si="202"/>
        <v>#VALUE!</v>
      </c>
    </row>
    <row r="1788" spans="1:9" x14ac:dyDescent="0.25">
      <c r="A1788" s="180">
        <f t="shared" ca="1" si="203"/>
        <v>47860</v>
      </c>
      <c r="B1788" s="181">
        <v>1756</v>
      </c>
      <c r="C1788" s="182" t="e">
        <f t="shared" si="197"/>
        <v>#VALUE!</v>
      </c>
      <c r="D1788" s="182" t="e">
        <f t="shared" si="198"/>
        <v>#VALUE!</v>
      </c>
      <c r="E1788" s="182" t="e">
        <f t="shared" si="199"/>
        <v>#VALUE!</v>
      </c>
      <c r="F1788" s="182" t="e">
        <f>SUM($D$33:D1788)</f>
        <v>#VALUE!</v>
      </c>
      <c r="G1788" s="182">
        <f t="shared" ca="1" si="200"/>
        <v>0</v>
      </c>
      <c r="H1788" s="182" t="e">
        <f t="shared" si="201"/>
        <v>#VALUE!</v>
      </c>
      <c r="I1788" s="183" t="e">
        <f t="shared" si="202"/>
        <v>#VALUE!</v>
      </c>
    </row>
    <row r="1789" spans="1:9" x14ac:dyDescent="0.25">
      <c r="A1789" s="180">
        <f t="shared" ca="1" si="203"/>
        <v>47861</v>
      </c>
      <c r="B1789" s="181">
        <v>1757</v>
      </c>
      <c r="C1789" s="182" t="e">
        <f t="shared" si="197"/>
        <v>#VALUE!</v>
      </c>
      <c r="D1789" s="182" t="e">
        <f t="shared" si="198"/>
        <v>#VALUE!</v>
      </c>
      <c r="E1789" s="182" t="e">
        <f t="shared" si="199"/>
        <v>#VALUE!</v>
      </c>
      <c r="F1789" s="182" t="e">
        <f>SUM($D$33:D1789)</f>
        <v>#VALUE!</v>
      </c>
      <c r="G1789" s="182">
        <f t="shared" ca="1" si="200"/>
        <v>0</v>
      </c>
      <c r="H1789" s="182" t="e">
        <f t="shared" si="201"/>
        <v>#VALUE!</v>
      </c>
      <c r="I1789" s="183" t="e">
        <f t="shared" si="202"/>
        <v>#VALUE!</v>
      </c>
    </row>
    <row r="1790" spans="1:9" x14ac:dyDescent="0.25">
      <c r="A1790" s="180">
        <f t="shared" ca="1" si="203"/>
        <v>47862</v>
      </c>
      <c r="B1790" s="181">
        <v>1758</v>
      </c>
      <c r="C1790" s="182" t="e">
        <f t="shared" si="197"/>
        <v>#VALUE!</v>
      </c>
      <c r="D1790" s="182" t="e">
        <f t="shared" si="198"/>
        <v>#VALUE!</v>
      </c>
      <c r="E1790" s="182" t="e">
        <f t="shared" si="199"/>
        <v>#VALUE!</v>
      </c>
      <c r="F1790" s="182" t="e">
        <f>SUM($D$33:D1790)</f>
        <v>#VALUE!</v>
      </c>
      <c r="G1790" s="182">
        <f t="shared" ca="1" si="200"/>
        <v>0</v>
      </c>
      <c r="H1790" s="182" t="e">
        <f t="shared" si="201"/>
        <v>#VALUE!</v>
      </c>
      <c r="I1790" s="183" t="e">
        <f t="shared" si="202"/>
        <v>#VALUE!</v>
      </c>
    </row>
    <row r="1791" spans="1:9" x14ac:dyDescent="0.25">
      <c r="A1791" s="180">
        <f t="shared" ca="1" si="203"/>
        <v>47863</v>
      </c>
      <c r="B1791" s="181">
        <v>1759</v>
      </c>
      <c r="C1791" s="182" t="e">
        <f t="shared" si="197"/>
        <v>#VALUE!</v>
      </c>
      <c r="D1791" s="182" t="e">
        <f t="shared" si="198"/>
        <v>#VALUE!</v>
      </c>
      <c r="E1791" s="182" t="e">
        <f t="shared" si="199"/>
        <v>#VALUE!</v>
      </c>
      <c r="F1791" s="182" t="e">
        <f>SUM($D$33:D1791)</f>
        <v>#VALUE!</v>
      </c>
      <c r="G1791" s="182">
        <f t="shared" ca="1" si="200"/>
        <v>0</v>
      </c>
      <c r="H1791" s="182" t="e">
        <f t="shared" si="201"/>
        <v>#VALUE!</v>
      </c>
      <c r="I1791" s="183" t="e">
        <f t="shared" si="202"/>
        <v>#VALUE!</v>
      </c>
    </row>
    <row r="1792" spans="1:9" x14ac:dyDescent="0.25">
      <c r="A1792" s="180">
        <f t="shared" ca="1" si="203"/>
        <v>47864</v>
      </c>
      <c r="B1792" s="181">
        <v>1760</v>
      </c>
      <c r="C1792" s="182" t="e">
        <f t="shared" si="197"/>
        <v>#VALUE!</v>
      </c>
      <c r="D1792" s="182" t="e">
        <f t="shared" si="198"/>
        <v>#VALUE!</v>
      </c>
      <c r="E1792" s="182" t="e">
        <f t="shared" si="199"/>
        <v>#VALUE!</v>
      </c>
      <c r="F1792" s="182" t="e">
        <f>SUM($D$33:D1792)</f>
        <v>#VALUE!</v>
      </c>
      <c r="G1792" s="182">
        <f t="shared" ca="1" si="200"/>
        <v>0</v>
      </c>
      <c r="H1792" s="182" t="e">
        <f t="shared" si="201"/>
        <v>#VALUE!</v>
      </c>
      <c r="I1792" s="183" t="e">
        <f t="shared" si="202"/>
        <v>#VALUE!</v>
      </c>
    </row>
    <row r="1793" spans="1:9" x14ac:dyDescent="0.25">
      <c r="A1793" s="180">
        <f t="shared" ca="1" si="203"/>
        <v>47865</v>
      </c>
      <c r="B1793" s="181">
        <v>1761</v>
      </c>
      <c r="C1793" s="182" t="e">
        <f t="shared" si="197"/>
        <v>#VALUE!</v>
      </c>
      <c r="D1793" s="182" t="e">
        <f t="shared" si="198"/>
        <v>#VALUE!</v>
      </c>
      <c r="E1793" s="182" t="e">
        <f t="shared" si="199"/>
        <v>#VALUE!</v>
      </c>
      <c r="F1793" s="182" t="e">
        <f>SUM($D$33:D1793)</f>
        <v>#VALUE!</v>
      </c>
      <c r="G1793" s="182">
        <f t="shared" ca="1" si="200"/>
        <v>0</v>
      </c>
      <c r="H1793" s="182" t="e">
        <f t="shared" si="201"/>
        <v>#VALUE!</v>
      </c>
      <c r="I1793" s="183" t="e">
        <f t="shared" si="202"/>
        <v>#VALUE!</v>
      </c>
    </row>
    <row r="1794" spans="1:9" x14ac:dyDescent="0.25">
      <c r="A1794" s="180">
        <f t="shared" ca="1" si="203"/>
        <v>47866</v>
      </c>
      <c r="B1794" s="181">
        <v>1762</v>
      </c>
      <c r="C1794" s="182" t="e">
        <f t="shared" si="197"/>
        <v>#VALUE!</v>
      </c>
      <c r="D1794" s="182" t="e">
        <f t="shared" si="198"/>
        <v>#VALUE!</v>
      </c>
      <c r="E1794" s="182" t="e">
        <f t="shared" si="199"/>
        <v>#VALUE!</v>
      </c>
      <c r="F1794" s="182" t="e">
        <f>SUM($D$33:D1794)</f>
        <v>#VALUE!</v>
      </c>
      <c r="G1794" s="182">
        <f t="shared" ca="1" si="200"/>
        <v>0</v>
      </c>
      <c r="H1794" s="182" t="e">
        <f t="shared" si="201"/>
        <v>#VALUE!</v>
      </c>
      <c r="I1794" s="183" t="e">
        <f t="shared" si="202"/>
        <v>#VALUE!</v>
      </c>
    </row>
    <row r="1795" spans="1:9" x14ac:dyDescent="0.25">
      <c r="A1795" s="180">
        <f t="shared" ca="1" si="203"/>
        <v>47867</v>
      </c>
      <c r="B1795" s="181">
        <v>1763</v>
      </c>
      <c r="C1795" s="182" t="e">
        <f t="shared" si="197"/>
        <v>#VALUE!</v>
      </c>
      <c r="D1795" s="182" t="e">
        <f t="shared" si="198"/>
        <v>#VALUE!</v>
      </c>
      <c r="E1795" s="182" t="e">
        <f t="shared" si="199"/>
        <v>#VALUE!</v>
      </c>
      <c r="F1795" s="182" t="e">
        <f>SUM($D$33:D1795)</f>
        <v>#VALUE!</v>
      </c>
      <c r="G1795" s="182">
        <f t="shared" ca="1" si="200"/>
        <v>0</v>
      </c>
      <c r="H1795" s="182" t="e">
        <f t="shared" si="201"/>
        <v>#VALUE!</v>
      </c>
      <c r="I1795" s="183" t="e">
        <f t="shared" si="202"/>
        <v>#VALUE!</v>
      </c>
    </row>
    <row r="1796" spans="1:9" x14ac:dyDescent="0.25">
      <c r="A1796" s="180">
        <f t="shared" ca="1" si="203"/>
        <v>47868</v>
      </c>
      <c r="B1796" s="181">
        <v>1764</v>
      </c>
      <c r="C1796" s="182" t="e">
        <f t="shared" si="197"/>
        <v>#VALUE!</v>
      </c>
      <c r="D1796" s="182" t="e">
        <f t="shared" si="198"/>
        <v>#VALUE!</v>
      </c>
      <c r="E1796" s="182" t="e">
        <f t="shared" si="199"/>
        <v>#VALUE!</v>
      </c>
      <c r="F1796" s="182" t="e">
        <f>SUM($D$33:D1796)</f>
        <v>#VALUE!</v>
      </c>
      <c r="G1796" s="182">
        <f t="shared" ca="1" si="200"/>
        <v>0</v>
      </c>
      <c r="H1796" s="182" t="e">
        <f t="shared" si="201"/>
        <v>#VALUE!</v>
      </c>
      <c r="I1796" s="183" t="e">
        <f t="shared" si="202"/>
        <v>#VALUE!</v>
      </c>
    </row>
    <row r="1797" spans="1:9" x14ac:dyDescent="0.25">
      <c r="A1797" s="180">
        <f t="shared" ca="1" si="203"/>
        <v>47869</v>
      </c>
      <c r="B1797" s="181">
        <v>1765</v>
      </c>
      <c r="C1797" s="182" t="e">
        <f t="shared" si="197"/>
        <v>#VALUE!</v>
      </c>
      <c r="D1797" s="182" t="e">
        <f t="shared" si="198"/>
        <v>#VALUE!</v>
      </c>
      <c r="E1797" s="182" t="e">
        <f t="shared" si="199"/>
        <v>#VALUE!</v>
      </c>
      <c r="F1797" s="182" t="e">
        <f>SUM($D$33:D1797)</f>
        <v>#VALUE!</v>
      </c>
      <c r="G1797" s="182">
        <f t="shared" ca="1" si="200"/>
        <v>0</v>
      </c>
      <c r="H1797" s="182" t="e">
        <f t="shared" si="201"/>
        <v>#VALUE!</v>
      </c>
      <c r="I1797" s="183" t="e">
        <f t="shared" si="202"/>
        <v>#VALUE!</v>
      </c>
    </row>
    <row r="1798" spans="1:9" x14ac:dyDescent="0.25">
      <c r="A1798" s="180">
        <f t="shared" ca="1" si="203"/>
        <v>47870</v>
      </c>
      <c r="B1798" s="181">
        <v>1766</v>
      </c>
      <c r="C1798" s="182" t="e">
        <f t="shared" si="197"/>
        <v>#VALUE!</v>
      </c>
      <c r="D1798" s="182" t="e">
        <f t="shared" si="198"/>
        <v>#VALUE!</v>
      </c>
      <c r="E1798" s="182" t="e">
        <f t="shared" si="199"/>
        <v>#VALUE!</v>
      </c>
      <c r="F1798" s="182" t="e">
        <f>SUM($D$33:D1798)</f>
        <v>#VALUE!</v>
      </c>
      <c r="G1798" s="182">
        <f t="shared" ca="1" si="200"/>
        <v>0</v>
      </c>
      <c r="H1798" s="182" t="e">
        <f t="shared" si="201"/>
        <v>#VALUE!</v>
      </c>
      <c r="I1798" s="183" t="e">
        <f t="shared" si="202"/>
        <v>#VALUE!</v>
      </c>
    </row>
    <row r="1799" spans="1:9" x14ac:dyDescent="0.25">
      <c r="A1799" s="180">
        <f t="shared" ca="1" si="203"/>
        <v>47871</v>
      </c>
      <c r="B1799" s="181">
        <v>1767</v>
      </c>
      <c r="C1799" s="182" t="e">
        <f t="shared" si="197"/>
        <v>#VALUE!</v>
      </c>
      <c r="D1799" s="182" t="e">
        <f t="shared" si="198"/>
        <v>#VALUE!</v>
      </c>
      <c r="E1799" s="182" t="e">
        <f t="shared" si="199"/>
        <v>#VALUE!</v>
      </c>
      <c r="F1799" s="182" t="e">
        <f>SUM($D$33:D1799)</f>
        <v>#VALUE!</v>
      </c>
      <c r="G1799" s="182">
        <f t="shared" ca="1" si="200"/>
        <v>0</v>
      </c>
      <c r="H1799" s="182" t="e">
        <f t="shared" si="201"/>
        <v>#VALUE!</v>
      </c>
      <c r="I1799" s="183" t="e">
        <f t="shared" si="202"/>
        <v>#VALUE!</v>
      </c>
    </row>
    <row r="1800" spans="1:9" x14ac:dyDescent="0.25">
      <c r="A1800" s="180">
        <f t="shared" ca="1" si="203"/>
        <v>47872</v>
      </c>
      <c r="B1800" s="181">
        <v>1768</v>
      </c>
      <c r="C1800" s="182" t="e">
        <f t="shared" si="197"/>
        <v>#VALUE!</v>
      </c>
      <c r="D1800" s="182" t="e">
        <f t="shared" si="198"/>
        <v>#VALUE!</v>
      </c>
      <c r="E1800" s="182" t="e">
        <f t="shared" si="199"/>
        <v>#VALUE!</v>
      </c>
      <c r="F1800" s="182" t="e">
        <f>SUM($D$33:D1800)</f>
        <v>#VALUE!</v>
      </c>
      <c r="G1800" s="182">
        <f t="shared" ca="1" si="200"/>
        <v>0</v>
      </c>
      <c r="H1800" s="182" t="e">
        <f t="shared" si="201"/>
        <v>#VALUE!</v>
      </c>
      <c r="I1800" s="183" t="e">
        <f t="shared" si="202"/>
        <v>#VALUE!</v>
      </c>
    </row>
    <row r="1801" spans="1:9" x14ac:dyDescent="0.25">
      <c r="A1801" s="180">
        <f t="shared" ca="1" si="203"/>
        <v>47873</v>
      </c>
      <c r="B1801" s="181">
        <v>1769</v>
      </c>
      <c r="C1801" s="182" t="e">
        <f t="shared" si="197"/>
        <v>#VALUE!</v>
      </c>
      <c r="D1801" s="182" t="e">
        <f t="shared" si="198"/>
        <v>#VALUE!</v>
      </c>
      <c r="E1801" s="182" t="e">
        <f t="shared" si="199"/>
        <v>#VALUE!</v>
      </c>
      <c r="F1801" s="182" t="e">
        <f>SUM($D$33:D1801)</f>
        <v>#VALUE!</v>
      </c>
      <c r="G1801" s="182">
        <f t="shared" ca="1" si="200"/>
        <v>0</v>
      </c>
      <c r="H1801" s="182" t="e">
        <f t="shared" si="201"/>
        <v>#VALUE!</v>
      </c>
      <c r="I1801" s="183" t="e">
        <f t="shared" si="202"/>
        <v>#VALUE!</v>
      </c>
    </row>
    <row r="1802" spans="1:9" x14ac:dyDescent="0.25">
      <c r="A1802" s="180">
        <f t="shared" ca="1" si="203"/>
        <v>47874</v>
      </c>
      <c r="B1802" s="181">
        <v>1770</v>
      </c>
      <c r="C1802" s="182" t="e">
        <f t="shared" si="197"/>
        <v>#VALUE!</v>
      </c>
      <c r="D1802" s="182" t="e">
        <f t="shared" si="198"/>
        <v>#VALUE!</v>
      </c>
      <c r="E1802" s="182" t="e">
        <f t="shared" si="199"/>
        <v>#VALUE!</v>
      </c>
      <c r="F1802" s="182" t="e">
        <f>SUM($D$33:D1802)</f>
        <v>#VALUE!</v>
      </c>
      <c r="G1802" s="182">
        <f t="shared" ca="1" si="200"/>
        <v>0</v>
      </c>
      <c r="H1802" s="182" t="e">
        <f t="shared" si="201"/>
        <v>#VALUE!</v>
      </c>
      <c r="I1802" s="183" t="e">
        <f t="shared" si="202"/>
        <v>#VALUE!</v>
      </c>
    </row>
    <row r="1803" spans="1:9" x14ac:dyDescent="0.25">
      <c r="A1803" s="180">
        <f t="shared" ca="1" si="203"/>
        <v>47875</v>
      </c>
      <c r="B1803" s="181">
        <v>1771</v>
      </c>
      <c r="C1803" s="182" t="e">
        <f t="shared" si="197"/>
        <v>#VALUE!</v>
      </c>
      <c r="D1803" s="182" t="e">
        <f t="shared" si="198"/>
        <v>#VALUE!</v>
      </c>
      <c r="E1803" s="182" t="e">
        <f t="shared" si="199"/>
        <v>#VALUE!</v>
      </c>
      <c r="F1803" s="182" t="e">
        <f>SUM($D$33:D1803)</f>
        <v>#VALUE!</v>
      </c>
      <c r="G1803" s="182">
        <f t="shared" ca="1" si="200"/>
        <v>0</v>
      </c>
      <c r="H1803" s="182" t="e">
        <f t="shared" si="201"/>
        <v>#VALUE!</v>
      </c>
      <c r="I1803" s="183" t="e">
        <f t="shared" si="202"/>
        <v>#VALUE!</v>
      </c>
    </row>
    <row r="1804" spans="1:9" x14ac:dyDescent="0.25">
      <c r="A1804" s="180">
        <f t="shared" ca="1" si="203"/>
        <v>47876</v>
      </c>
      <c r="B1804" s="181">
        <v>1772</v>
      </c>
      <c r="C1804" s="182" t="e">
        <f t="shared" si="197"/>
        <v>#VALUE!</v>
      </c>
      <c r="D1804" s="182" t="e">
        <f t="shared" si="198"/>
        <v>#VALUE!</v>
      </c>
      <c r="E1804" s="182" t="e">
        <f t="shared" si="199"/>
        <v>#VALUE!</v>
      </c>
      <c r="F1804" s="182" t="e">
        <f>SUM($D$33:D1804)</f>
        <v>#VALUE!</v>
      </c>
      <c r="G1804" s="182">
        <f t="shared" ca="1" si="200"/>
        <v>0</v>
      </c>
      <c r="H1804" s="182" t="e">
        <f t="shared" si="201"/>
        <v>#VALUE!</v>
      </c>
      <c r="I1804" s="183" t="e">
        <f t="shared" si="202"/>
        <v>#VALUE!</v>
      </c>
    </row>
    <row r="1805" spans="1:9" x14ac:dyDescent="0.25">
      <c r="A1805" s="180">
        <f t="shared" ca="1" si="203"/>
        <v>47877</v>
      </c>
      <c r="B1805" s="181">
        <v>1773</v>
      </c>
      <c r="C1805" s="182" t="e">
        <f t="shared" si="197"/>
        <v>#VALUE!</v>
      </c>
      <c r="D1805" s="182" t="e">
        <f t="shared" si="198"/>
        <v>#VALUE!</v>
      </c>
      <c r="E1805" s="182" t="e">
        <f t="shared" si="199"/>
        <v>#VALUE!</v>
      </c>
      <c r="F1805" s="182" t="e">
        <f>SUM($D$33:D1805)</f>
        <v>#VALUE!</v>
      </c>
      <c r="G1805" s="182">
        <f t="shared" ca="1" si="200"/>
        <v>0</v>
      </c>
      <c r="H1805" s="182" t="e">
        <f t="shared" si="201"/>
        <v>#VALUE!</v>
      </c>
      <c r="I1805" s="183" t="e">
        <f t="shared" si="202"/>
        <v>#VALUE!</v>
      </c>
    </row>
    <row r="1806" spans="1:9" x14ac:dyDescent="0.25">
      <c r="A1806" s="180">
        <f t="shared" ca="1" si="203"/>
        <v>47878</v>
      </c>
      <c r="B1806" s="181">
        <v>1774</v>
      </c>
      <c r="C1806" s="182" t="e">
        <f t="shared" si="197"/>
        <v>#VALUE!</v>
      </c>
      <c r="D1806" s="182" t="e">
        <f t="shared" si="198"/>
        <v>#VALUE!</v>
      </c>
      <c r="E1806" s="182" t="e">
        <f t="shared" si="199"/>
        <v>#VALUE!</v>
      </c>
      <c r="F1806" s="182" t="e">
        <f>SUM($D$33:D1806)</f>
        <v>#VALUE!</v>
      </c>
      <c r="G1806" s="182">
        <f t="shared" ca="1" si="200"/>
        <v>0</v>
      </c>
      <c r="H1806" s="182" t="e">
        <f t="shared" si="201"/>
        <v>#VALUE!</v>
      </c>
      <c r="I1806" s="183" t="e">
        <f t="shared" si="202"/>
        <v>#VALUE!</v>
      </c>
    </row>
    <row r="1807" spans="1:9" x14ac:dyDescent="0.25">
      <c r="A1807" s="180">
        <f t="shared" ca="1" si="203"/>
        <v>47879</v>
      </c>
      <c r="B1807" s="181">
        <v>1775</v>
      </c>
      <c r="C1807" s="182" t="e">
        <f t="shared" si="197"/>
        <v>#VALUE!</v>
      </c>
      <c r="D1807" s="182" t="e">
        <f t="shared" si="198"/>
        <v>#VALUE!</v>
      </c>
      <c r="E1807" s="182" t="e">
        <f t="shared" si="199"/>
        <v>#VALUE!</v>
      </c>
      <c r="F1807" s="182" t="e">
        <f>SUM($D$33:D1807)</f>
        <v>#VALUE!</v>
      </c>
      <c r="G1807" s="182">
        <f t="shared" ca="1" si="200"/>
        <v>0</v>
      </c>
      <c r="H1807" s="182" t="e">
        <f t="shared" si="201"/>
        <v>#VALUE!</v>
      </c>
      <c r="I1807" s="183" t="e">
        <f t="shared" si="202"/>
        <v>#VALUE!</v>
      </c>
    </row>
    <row r="1808" spans="1:9" x14ac:dyDescent="0.25">
      <c r="A1808" s="180">
        <f t="shared" ca="1" si="203"/>
        <v>47880</v>
      </c>
      <c r="B1808" s="181">
        <v>1776</v>
      </c>
      <c r="C1808" s="182" t="e">
        <f t="shared" ref="C1808:C1871" si="204">H1807</f>
        <v>#VALUE!</v>
      </c>
      <c r="D1808" s="182" t="e">
        <f t="shared" ref="D1808:D1871" si="205">IF(C1808&gt;$H$21,C1808*($L$16/360),$H$21*($L$16/360))</f>
        <v>#VALUE!</v>
      </c>
      <c r="E1808" s="182" t="e">
        <f t="shared" ref="E1808:E1871" si="206">IF(E1807&gt;0,E1807-D1808,0)</f>
        <v>#VALUE!</v>
      </c>
      <c r="F1808" s="182" t="e">
        <f>SUM($D$33:D1808)</f>
        <v>#VALUE!</v>
      </c>
      <c r="G1808" s="182">
        <f t="shared" ref="G1808:G1871" ca="1" si="207">IFERROR(-VLOOKUP(A1808,$K$30:$M$36,2,FALSE),0)</f>
        <v>0</v>
      </c>
      <c r="H1808" s="182" t="e">
        <f t="shared" ref="H1808:H1871" si="208">IF(E1808&gt;0,C1808+G1808,IF(E1808&lt;0,C1808+G1808+D1808-E1807,C1808+D1808+G1808))</f>
        <v>#VALUE!</v>
      </c>
      <c r="I1808" s="183" t="e">
        <f t="shared" ref="I1808:I1871" si="209">(C1808+D1808-E1808)</f>
        <v>#VALUE!</v>
      </c>
    </row>
    <row r="1809" spans="1:9" x14ac:dyDescent="0.25">
      <c r="A1809" s="180">
        <f t="shared" ca="1" si="203"/>
        <v>47881</v>
      </c>
      <c r="B1809" s="181">
        <v>1777</v>
      </c>
      <c r="C1809" s="182" t="e">
        <f t="shared" si="204"/>
        <v>#VALUE!</v>
      </c>
      <c r="D1809" s="182" t="e">
        <f t="shared" si="205"/>
        <v>#VALUE!</v>
      </c>
      <c r="E1809" s="182" t="e">
        <f t="shared" si="206"/>
        <v>#VALUE!</v>
      </c>
      <c r="F1809" s="182" t="e">
        <f>SUM($D$33:D1809)</f>
        <v>#VALUE!</v>
      </c>
      <c r="G1809" s="182">
        <f t="shared" ca="1" si="207"/>
        <v>0</v>
      </c>
      <c r="H1809" s="182" t="e">
        <f t="shared" si="208"/>
        <v>#VALUE!</v>
      </c>
      <c r="I1809" s="183" t="e">
        <f t="shared" si="209"/>
        <v>#VALUE!</v>
      </c>
    </row>
    <row r="1810" spans="1:9" x14ac:dyDescent="0.25">
      <c r="A1810" s="180">
        <f t="shared" ca="1" si="203"/>
        <v>47882</v>
      </c>
      <c r="B1810" s="181">
        <v>1778</v>
      </c>
      <c r="C1810" s="182" t="e">
        <f t="shared" si="204"/>
        <v>#VALUE!</v>
      </c>
      <c r="D1810" s="182" t="e">
        <f t="shared" si="205"/>
        <v>#VALUE!</v>
      </c>
      <c r="E1810" s="182" t="e">
        <f t="shared" si="206"/>
        <v>#VALUE!</v>
      </c>
      <c r="F1810" s="182" t="e">
        <f>SUM($D$33:D1810)</f>
        <v>#VALUE!</v>
      </c>
      <c r="G1810" s="182">
        <f t="shared" ca="1" si="207"/>
        <v>0</v>
      </c>
      <c r="H1810" s="182" t="e">
        <f t="shared" si="208"/>
        <v>#VALUE!</v>
      </c>
      <c r="I1810" s="183" t="e">
        <f t="shared" si="209"/>
        <v>#VALUE!</v>
      </c>
    </row>
    <row r="1811" spans="1:9" x14ac:dyDescent="0.25">
      <c r="A1811" s="180">
        <f t="shared" ca="1" si="203"/>
        <v>47883</v>
      </c>
      <c r="B1811" s="181">
        <v>1779</v>
      </c>
      <c r="C1811" s="182" t="e">
        <f t="shared" si="204"/>
        <v>#VALUE!</v>
      </c>
      <c r="D1811" s="182" t="e">
        <f t="shared" si="205"/>
        <v>#VALUE!</v>
      </c>
      <c r="E1811" s="182" t="e">
        <f t="shared" si="206"/>
        <v>#VALUE!</v>
      </c>
      <c r="F1811" s="182" t="e">
        <f>SUM($D$33:D1811)</f>
        <v>#VALUE!</v>
      </c>
      <c r="G1811" s="182">
        <f t="shared" ca="1" si="207"/>
        <v>0</v>
      </c>
      <c r="H1811" s="182" t="e">
        <f t="shared" si="208"/>
        <v>#VALUE!</v>
      </c>
      <c r="I1811" s="183" t="e">
        <f t="shared" si="209"/>
        <v>#VALUE!</v>
      </c>
    </row>
    <row r="1812" spans="1:9" x14ac:dyDescent="0.25">
      <c r="A1812" s="180">
        <f t="shared" ca="1" si="203"/>
        <v>47884</v>
      </c>
      <c r="B1812" s="181">
        <v>1780</v>
      </c>
      <c r="C1812" s="182" t="e">
        <f t="shared" si="204"/>
        <v>#VALUE!</v>
      </c>
      <c r="D1812" s="182" t="e">
        <f t="shared" si="205"/>
        <v>#VALUE!</v>
      </c>
      <c r="E1812" s="182" t="e">
        <f t="shared" si="206"/>
        <v>#VALUE!</v>
      </c>
      <c r="F1812" s="182" t="e">
        <f>SUM($D$33:D1812)</f>
        <v>#VALUE!</v>
      </c>
      <c r="G1812" s="182">
        <f t="shared" ca="1" si="207"/>
        <v>0</v>
      </c>
      <c r="H1812" s="182" t="e">
        <f t="shared" si="208"/>
        <v>#VALUE!</v>
      </c>
      <c r="I1812" s="183" t="e">
        <f t="shared" si="209"/>
        <v>#VALUE!</v>
      </c>
    </row>
    <row r="1813" spans="1:9" x14ac:dyDescent="0.25">
      <c r="A1813" s="180">
        <f t="shared" ca="1" si="203"/>
        <v>47885</v>
      </c>
      <c r="B1813" s="181">
        <v>1781</v>
      </c>
      <c r="C1813" s="182" t="e">
        <f t="shared" si="204"/>
        <v>#VALUE!</v>
      </c>
      <c r="D1813" s="182" t="e">
        <f t="shared" si="205"/>
        <v>#VALUE!</v>
      </c>
      <c r="E1813" s="182" t="e">
        <f t="shared" si="206"/>
        <v>#VALUE!</v>
      </c>
      <c r="F1813" s="182" t="e">
        <f>SUM($D$33:D1813)</f>
        <v>#VALUE!</v>
      </c>
      <c r="G1813" s="182">
        <f t="shared" ca="1" si="207"/>
        <v>0</v>
      </c>
      <c r="H1813" s="182" t="e">
        <f t="shared" si="208"/>
        <v>#VALUE!</v>
      </c>
      <c r="I1813" s="183" t="e">
        <f t="shared" si="209"/>
        <v>#VALUE!</v>
      </c>
    </row>
    <row r="1814" spans="1:9" x14ac:dyDescent="0.25">
      <c r="A1814" s="180">
        <f t="shared" ca="1" si="203"/>
        <v>47886</v>
      </c>
      <c r="B1814" s="181">
        <v>1782</v>
      </c>
      <c r="C1814" s="182" t="e">
        <f t="shared" si="204"/>
        <v>#VALUE!</v>
      </c>
      <c r="D1814" s="182" t="e">
        <f t="shared" si="205"/>
        <v>#VALUE!</v>
      </c>
      <c r="E1814" s="182" t="e">
        <f t="shared" si="206"/>
        <v>#VALUE!</v>
      </c>
      <c r="F1814" s="182" t="e">
        <f>SUM($D$33:D1814)</f>
        <v>#VALUE!</v>
      </c>
      <c r="G1814" s="182">
        <f t="shared" ca="1" si="207"/>
        <v>0</v>
      </c>
      <c r="H1814" s="182" t="e">
        <f t="shared" si="208"/>
        <v>#VALUE!</v>
      </c>
      <c r="I1814" s="183" t="e">
        <f t="shared" si="209"/>
        <v>#VALUE!</v>
      </c>
    </row>
    <row r="1815" spans="1:9" x14ac:dyDescent="0.25">
      <c r="A1815" s="180">
        <f t="shared" ca="1" si="203"/>
        <v>47887</v>
      </c>
      <c r="B1815" s="181">
        <v>1783</v>
      </c>
      <c r="C1815" s="182" t="e">
        <f t="shared" si="204"/>
        <v>#VALUE!</v>
      </c>
      <c r="D1815" s="182" t="e">
        <f t="shared" si="205"/>
        <v>#VALUE!</v>
      </c>
      <c r="E1815" s="182" t="e">
        <f t="shared" si="206"/>
        <v>#VALUE!</v>
      </c>
      <c r="F1815" s="182" t="e">
        <f>SUM($D$33:D1815)</f>
        <v>#VALUE!</v>
      </c>
      <c r="G1815" s="182">
        <f t="shared" ca="1" si="207"/>
        <v>0</v>
      </c>
      <c r="H1815" s="182" t="e">
        <f t="shared" si="208"/>
        <v>#VALUE!</v>
      </c>
      <c r="I1815" s="183" t="e">
        <f t="shared" si="209"/>
        <v>#VALUE!</v>
      </c>
    </row>
    <row r="1816" spans="1:9" x14ac:dyDescent="0.25">
      <c r="A1816" s="180">
        <f t="shared" ca="1" si="203"/>
        <v>47888</v>
      </c>
      <c r="B1816" s="181">
        <v>1784</v>
      </c>
      <c r="C1816" s="182" t="e">
        <f t="shared" si="204"/>
        <v>#VALUE!</v>
      </c>
      <c r="D1816" s="182" t="e">
        <f t="shared" si="205"/>
        <v>#VALUE!</v>
      </c>
      <c r="E1816" s="182" t="e">
        <f t="shared" si="206"/>
        <v>#VALUE!</v>
      </c>
      <c r="F1816" s="182" t="e">
        <f>SUM($D$33:D1816)</f>
        <v>#VALUE!</v>
      </c>
      <c r="G1816" s="182">
        <f t="shared" ca="1" si="207"/>
        <v>0</v>
      </c>
      <c r="H1816" s="182" t="e">
        <f t="shared" si="208"/>
        <v>#VALUE!</v>
      </c>
      <c r="I1816" s="183" t="e">
        <f t="shared" si="209"/>
        <v>#VALUE!</v>
      </c>
    </row>
    <row r="1817" spans="1:9" x14ac:dyDescent="0.25">
      <c r="A1817" s="180">
        <f t="shared" ca="1" si="203"/>
        <v>47889</v>
      </c>
      <c r="B1817" s="181">
        <v>1785</v>
      </c>
      <c r="C1817" s="182" t="e">
        <f t="shared" si="204"/>
        <v>#VALUE!</v>
      </c>
      <c r="D1817" s="182" t="e">
        <f t="shared" si="205"/>
        <v>#VALUE!</v>
      </c>
      <c r="E1817" s="182" t="e">
        <f t="shared" si="206"/>
        <v>#VALUE!</v>
      </c>
      <c r="F1817" s="182" t="e">
        <f>SUM($D$33:D1817)</f>
        <v>#VALUE!</v>
      </c>
      <c r="G1817" s="182">
        <f t="shared" ca="1" si="207"/>
        <v>0</v>
      </c>
      <c r="H1817" s="182" t="e">
        <f t="shared" si="208"/>
        <v>#VALUE!</v>
      </c>
      <c r="I1817" s="183" t="e">
        <f t="shared" si="209"/>
        <v>#VALUE!</v>
      </c>
    </row>
    <row r="1818" spans="1:9" x14ac:dyDescent="0.25">
      <c r="A1818" s="180">
        <f t="shared" ca="1" si="203"/>
        <v>47890</v>
      </c>
      <c r="B1818" s="181">
        <v>1786</v>
      </c>
      <c r="C1818" s="182" t="e">
        <f t="shared" si="204"/>
        <v>#VALUE!</v>
      </c>
      <c r="D1818" s="182" t="e">
        <f t="shared" si="205"/>
        <v>#VALUE!</v>
      </c>
      <c r="E1818" s="182" t="e">
        <f t="shared" si="206"/>
        <v>#VALUE!</v>
      </c>
      <c r="F1818" s="182" t="e">
        <f>SUM($D$33:D1818)</f>
        <v>#VALUE!</v>
      </c>
      <c r="G1818" s="182">
        <f t="shared" ca="1" si="207"/>
        <v>0</v>
      </c>
      <c r="H1818" s="182" t="e">
        <f t="shared" si="208"/>
        <v>#VALUE!</v>
      </c>
      <c r="I1818" s="183" t="e">
        <f t="shared" si="209"/>
        <v>#VALUE!</v>
      </c>
    </row>
    <row r="1819" spans="1:9" x14ac:dyDescent="0.25">
      <c r="A1819" s="180">
        <f t="shared" ca="1" si="203"/>
        <v>47891</v>
      </c>
      <c r="B1819" s="181">
        <v>1787</v>
      </c>
      <c r="C1819" s="182" t="e">
        <f t="shared" si="204"/>
        <v>#VALUE!</v>
      </c>
      <c r="D1819" s="182" t="e">
        <f t="shared" si="205"/>
        <v>#VALUE!</v>
      </c>
      <c r="E1819" s="182" t="e">
        <f t="shared" si="206"/>
        <v>#VALUE!</v>
      </c>
      <c r="F1819" s="182" t="e">
        <f>SUM($D$33:D1819)</f>
        <v>#VALUE!</v>
      </c>
      <c r="G1819" s="182">
        <f t="shared" ca="1" si="207"/>
        <v>0</v>
      </c>
      <c r="H1819" s="182" t="e">
        <f t="shared" si="208"/>
        <v>#VALUE!</v>
      </c>
      <c r="I1819" s="183" t="e">
        <f t="shared" si="209"/>
        <v>#VALUE!</v>
      </c>
    </row>
    <row r="1820" spans="1:9" x14ac:dyDescent="0.25">
      <c r="A1820" s="180">
        <f t="shared" ca="1" si="203"/>
        <v>47892</v>
      </c>
      <c r="B1820" s="181">
        <v>1788</v>
      </c>
      <c r="C1820" s="182" t="e">
        <f t="shared" si="204"/>
        <v>#VALUE!</v>
      </c>
      <c r="D1820" s="182" t="e">
        <f t="shared" si="205"/>
        <v>#VALUE!</v>
      </c>
      <c r="E1820" s="182" t="e">
        <f t="shared" si="206"/>
        <v>#VALUE!</v>
      </c>
      <c r="F1820" s="182" t="e">
        <f>SUM($D$33:D1820)</f>
        <v>#VALUE!</v>
      </c>
      <c r="G1820" s="182">
        <f t="shared" ca="1" si="207"/>
        <v>0</v>
      </c>
      <c r="H1820" s="182" t="e">
        <f t="shared" si="208"/>
        <v>#VALUE!</v>
      </c>
      <c r="I1820" s="183" t="e">
        <f t="shared" si="209"/>
        <v>#VALUE!</v>
      </c>
    </row>
    <row r="1821" spans="1:9" x14ac:dyDescent="0.25">
      <c r="A1821" s="180">
        <f t="shared" ca="1" si="203"/>
        <v>47893</v>
      </c>
      <c r="B1821" s="181">
        <v>1789</v>
      </c>
      <c r="C1821" s="182" t="e">
        <f t="shared" si="204"/>
        <v>#VALUE!</v>
      </c>
      <c r="D1821" s="182" t="e">
        <f t="shared" si="205"/>
        <v>#VALUE!</v>
      </c>
      <c r="E1821" s="182" t="e">
        <f t="shared" si="206"/>
        <v>#VALUE!</v>
      </c>
      <c r="F1821" s="182" t="e">
        <f>SUM($D$33:D1821)</f>
        <v>#VALUE!</v>
      </c>
      <c r="G1821" s="182">
        <f t="shared" ca="1" si="207"/>
        <v>0</v>
      </c>
      <c r="H1821" s="182" t="e">
        <f t="shared" si="208"/>
        <v>#VALUE!</v>
      </c>
      <c r="I1821" s="183" t="e">
        <f t="shared" si="209"/>
        <v>#VALUE!</v>
      </c>
    </row>
    <row r="1822" spans="1:9" x14ac:dyDescent="0.25">
      <c r="A1822" s="180">
        <f t="shared" ca="1" si="203"/>
        <v>47894</v>
      </c>
      <c r="B1822" s="181">
        <v>1790</v>
      </c>
      <c r="C1822" s="182" t="e">
        <f t="shared" si="204"/>
        <v>#VALUE!</v>
      </c>
      <c r="D1822" s="182" t="e">
        <f t="shared" si="205"/>
        <v>#VALUE!</v>
      </c>
      <c r="E1822" s="182" t="e">
        <f t="shared" si="206"/>
        <v>#VALUE!</v>
      </c>
      <c r="F1822" s="182" t="e">
        <f>SUM($D$33:D1822)</f>
        <v>#VALUE!</v>
      </c>
      <c r="G1822" s="182">
        <f t="shared" ca="1" si="207"/>
        <v>0</v>
      </c>
      <c r="H1822" s="182" t="e">
        <f t="shared" si="208"/>
        <v>#VALUE!</v>
      </c>
      <c r="I1822" s="183" t="e">
        <f t="shared" si="209"/>
        <v>#VALUE!</v>
      </c>
    </row>
    <row r="1823" spans="1:9" x14ac:dyDescent="0.25">
      <c r="A1823" s="180">
        <f t="shared" ca="1" si="203"/>
        <v>47895</v>
      </c>
      <c r="B1823" s="181">
        <v>1791</v>
      </c>
      <c r="C1823" s="182" t="e">
        <f t="shared" si="204"/>
        <v>#VALUE!</v>
      </c>
      <c r="D1823" s="182" t="e">
        <f t="shared" si="205"/>
        <v>#VALUE!</v>
      </c>
      <c r="E1823" s="182" t="e">
        <f t="shared" si="206"/>
        <v>#VALUE!</v>
      </c>
      <c r="F1823" s="182" t="e">
        <f>SUM($D$33:D1823)</f>
        <v>#VALUE!</v>
      </c>
      <c r="G1823" s="182">
        <f t="shared" ca="1" si="207"/>
        <v>0</v>
      </c>
      <c r="H1823" s="182" t="e">
        <f t="shared" si="208"/>
        <v>#VALUE!</v>
      </c>
      <c r="I1823" s="183" t="e">
        <f t="shared" si="209"/>
        <v>#VALUE!</v>
      </c>
    </row>
    <row r="1824" spans="1:9" x14ac:dyDescent="0.25">
      <c r="A1824" s="180">
        <f t="shared" ca="1" si="203"/>
        <v>47896</v>
      </c>
      <c r="B1824" s="181">
        <v>1792</v>
      </c>
      <c r="C1824" s="182" t="e">
        <f t="shared" si="204"/>
        <v>#VALUE!</v>
      </c>
      <c r="D1824" s="182" t="e">
        <f t="shared" si="205"/>
        <v>#VALUE!</v>
      </c>
      <c r="E1824" s="182" t="e">
        <f t="shared" si="206"/>
        <v>#VALUE!</v>
      </c>
      <c r="F1824" s="182" t="e">
        <f>SUM($D$33:D1824)</f>
        <v>#VALUE!</v>
      </c>
      <c r="G1824" s="182">
        <f t="shared" ca="1" si="207"/>
        <v>0</v>
      </c>
      <c r="H1824" s="182" t="e">
        <f t="shared" si="208"/>
        <v>#VALUE!</v>
      </c>
      <c r="I1824" s="183" t="e">
        <f t="shared" si="209"/>
        <v>#VALUE!</v>
      </c>
    </row>
    <row r="1825" spans="1:9" x14ac:dyDescent="0.25">
      <c r="A1825" s="180">
        <f t="shared" ca="1" si="203"/>
        <v>47897</v>
      </c>
      <c r="B1825" s="181">
        <v>1793</v>
      </c>
      <c r="C1825" s="182" t="e">
        <f t="shared" si="204"/>
        <v>#VALUE!</v>
      </c>
      <c r="D1825" s="182" t="e">
        <f t="shared" si="205"/>
        <v>#VALUE!</v>
      </c>
      <c r="E1825" s="182" t="e">
        <f t="shared" si="206"/>
        <v>#VALUE!</v>
      </c>
      <c r="F1825" s="182" t="e">
        <f>SUM($D$33:D1825)</f>
        <v>#VALUE!</v>
      </c>
      <c r="G1825" s="182">
        <f t="shared" ca="1" si="207"/>
        <v>0</v>
      </c>
      <c r="H1825" s="182" t="e">
        <f t="shared" si="208"/>
        <v>#VALUE!</v>
      </c>
      <c r="I1825" s="183" t="e">
        <f t="shared" si="209"/>
        <v>#VALUE!</v>
      </c>
    </row>
    <row r="1826" spans="1:9" x14ac:dyDescent="0.25">
      <c r="A1826" s="180">
        <f t="shared" ref="A1826:A1889" ca="1" si="210">A1825+1</f>
        <v>47898</v>
      </c>
      <c r="B1826" s="181">
        <v>1794</v>
      </c>
      <c r="C1826" s="182" t="e">
        <f t="shared" si="204"/>
        <v>#VALUE!</v>
      </c>
      <c r="D1826" s="182" t="e">
        <f t="shared" si="205"/>
        <v>#VALUE!</v>
      </c>
      <c r="E1826" s="182" t="e">
        <f t="shared" si="206"/>
        <v>#VALUE!</v>
      </c>
      <c r="F1826" s="182" t="e">
        <f>SUM($D$33:D1826)</f>
        <v>#VALUE!</v>
      </c>
      <c r="G1826" s="182">
        <f t="shared" ca="1" si="207"/>
        <v>0</v>
      </c>
      <c r="H1826" s="182" t="e">
        <f t="shared" si="208"/>
        <v>#VALUE!</v>
      </c>
      <c r="I1826" s="183" t="e">
        <f t="shared" si="209"/>
        <v>#VALUE!</v>
      </c>
    </row>
    <row r="1827" spans="1:9" x14ac:dyDescent="0.25">
      <c r="A1827" s="180">
        <f t="shared" ca="1" si="210"/>
        <v>47899</v>
      </c>
      <c r="B1827" s="181">
        <v>1795</v>
      </c>
      <c r="C1827" s="182" t="e">
        <f t="shared" si="204"/>
        <v>#VALUE!</v>
      </c>
      <c r="D1827" s="182" t="e">
        <f t="shared" si="205"/>
        <v>#VALUE!</v>
      </c>
      <c r="E1827" s="182" t="e">
        <f t="shared" si="206"/>
        <v>#VALUE!</v>
      </c>
      <c r="F1827" s="182" t="e">
        <f>SUM($D$33:D1827)</f>
        <v>#VALUE!</v>
      </c>
      <c r="G1827" s="182">
        <f t="shared" ca="1" si="207"/>
        <v>0</v>
      </c>
      <c r="H1827" s="182" t="e">
        <f t="shared" si="208"/>
        <v>#VALUE!</v>
      </c>
      <c r="I1827" s="183" t="e">
        <f t="shared" si="209"/>
        <v>#VALUE!</v>
      </c>
    </row>
    <row r="1828" spans="1:9" x14ac:dyDescent="0.25">
      <c r="A1828" s="180">
        <f t="shared" ca="1" si="210"/>
        <v>47900</v>
      </c>
      <c r="B1828" s="181">
        <v>1796</v>
      </c>
      <c r="C1828" s="182" t="e">
        <f t="shared" si="204"/>
        <v>#VALUE!</v>
      </c>
      <c r="D1828" s="182" t="e">
        <f t="shared" si="205"/>
        <v>#VALUE!</v>
      </c>
      <c r="E1828" s="182" t="e">
        <f t="shared" si="206"/>
        <v>#VALUE!</v>
      </c>
      <c r="F1828" s="182" t="e">
        <f>SUM($D$33:D1828)</f>
        <v>#VALUE!</v>
      </c>
      <c r="G1828" s="182">
        <f t="shared" ca="1" si="207"/>
        <v>0</v>
      </c>
      <c r="H1828" s="182" t="e">
        <f t="shared" si="208"/>
        <v>#VALUE!</v>
      </c>
      <c r="I1828" s="183" t="e">
        <f t="shared" si="209"/>
        <v>#VALUE!</v>
      </c>
    </row>
    <row r="1829" spans="1:9" x14ac:dyDescent="0.25">
      <c r="A1829" s="180">
        <f t="shared" ca="1" si="210"/>
        <v>47901</v>
      </c>
      <c r="B1829" s="181">
        <v>1797</v>
      </c>
      <c r="C1829" s="182" t="e">
        <f t="shared" si="204"/>
        <v>#VALUE!</v>
      </c>
      <c r="D1829" s="182" t="e">
        <f t="shared" si="205"/>
        <v>#VALUE!</v>
      </c>
      <c r="E1829" s="182" t="e">
        <f t="shared" si="206"/>
        <v>#VALUE!</v>
      </c>
      <c r="F1829" s="182" t="e">
        <f>SUM($D$33:D1829)</f>
        <v>#VALUE!</v>
      </c>
      <c r="G1829" s="182">
        <f t="shared" ca="1" si="207"/>
        <v>0</v>
      </c>
      <c r="H1829" s="182" t="e">
        <f t="shared" si="208"/>
        <v>#VALUE!</v>
      </c>
      <c r="I1829" s="183" t="e">
        <f t="shared" si="209"/>
        <v>#VALUE!</v>
      </c>
    </row>
    <row r="1830" spans="1:9" x14ac:dyDescent="0.25">
      <c r="A1830" s="180">
        <f t="shared" ca="1" si="210"/>
        <v>47902</v>
      </c>
      <c r="B1830" s="181">
        <v>1798</v>
      </c>
      <c r="C1830" s="182" t="e">
        <f t="shared" si="204"/>
        <v>#VALUE!</v>
      </c>
      <c r="D1830" s="182" t="e">
        <f t="shared" si="205"/>
        <v>#VALUE!</v>
      </c>
      <c r="E1830" s="182" t="e">
        <f t="shared" si="206"/>
        <v>#VALUE!</v>
      </c>
      <c r="F1830" s="182" t="e">
        <f>SUM($D$33:D1830)</f>
        <v>#VALUE!</v>
      </c>
      <c r="G1830" s="182">
        <f t="shared" ca="1" si="207"/>
        <v>0</v>
      </c>
      <c r="H1830" s="182" t="e">
        <f t="shared" si="208"/>
        <v>#VALUE!</v>
      </c>
      <c r="I1830" s="183" t="e">
        <f t="shared" si="209"/>
        <v>#VALUE!</v>
      </c>
    </row>
    <row r="1831" spans="1:9" x14ac:dyDescent="0.25">
      <c r="A1831" s="180">
        <f t="shared" ca="1" si="210"/>
        <v>47903</v>
      </c>
      <c r="B1831" s="181">
        <v>1799</v>
      </c>
      <c r="C1831" s="182" t="e">
        <f t="shared" si="204"/>
        <v>#VALUE!</v>
      </c>
      <c r="D1831" s="182" t="e">
        <f t="shared" si="205"/>
        <v>#VALUE!</v>
      </c>
      <c r="E1831" s="182" t="e">
        <f t="shared" si="206"/>
        <v>#VALUE!</v>
      </c>
      <c r="F1831" s="182" t="e">
        <f>SUM($D$33:D1831)</f>
        <v>#VALUE!</v>
      </c>
      <c r="G1831" s="182">
        <f t="shared" ca="1" si="207"/>
        <v>0</v>
      </c>
      <c r="H1831" s="182" t="e">
        <f t="shared" si="208"/>
        <v>#VALUE!</v>
      </c>
      <c r="I1831" s="183" t="e">
        <f t="shared" si="209"/>
        <v>#VALUE!</v>
      </c>
    </row>
    <row r="1832" spans="1:9" x14ac:dyDescent="0.25">
      <c r="A1832" s="180">
        <f t="shared" ca="1" si="210"/>
        <v>47904</v>
      </c>
      <c r="B1832" s="181">
        <v>1800</v>
      </c>
      <c r="C1832" s="182" t="e">
        <f t="shared" si="204"/>
        <v>#VALUE!</v>
      </c>
      <c r="D1832" s="182" t="e">
        <f t="shared" si="205"/>
        <v>#VALUE!</v>
      </c>
      <c r="E1832" s="182" t="e">
        <f t="shared" si="206"/>
        <v>#VALUE!</v>
      </c>
      <c r="F1832" s="182" t="e">
        <f>SUM($D$33:D1832)</f>
        <v>#VALUE!</v>
      </c>
      <c r="G1832" s="182">
        <f t="shared" ca="1" si="207"/>
        <v>0</v>
      </c>
      <c r="H1832" s="182" t="e">
        <f t="shared" si="208"/>
        <v>#VALUE!</v>
      </c>
      <c r="I1832" s="183" t="e">
        <f t="shared" si="209"/>
        <v>#VALUE!</v>
      </c>
    </row>
    <row r="1833" spans="1:9" x14ac:dyDescent="0.25">
      <c r="A1833" s="180">
        <f t="shared" ca="1" si="210"/>
        <v>47905</v>
      </c>
      <c r="B1833" s="181">
        <v>1801</v>
      </c>
      <c r="C1833" s="182" t="e">
        <f t="shared" si="204"/>
        <v>#VALUE!</v>
      </c>
      <c r="D1833" s="182" t="e">
        <f t="shared" si="205"/>
        <v>#VALUE!</v>
      </c>
      <c r="E1833" s="182" t="e">
        <f t="shared" si="206"/>
        <v>#VALUE!</v>
      </c>
      <c r="F1833" s="182" t="e">
        <f>SUM($D$33:D1833)</f>
        <v>#VALUE!</v>
      </c>
      <c r="G1833" s="182">
        <f t="shared" ca="1" si="207"/>
        <v>0</v>
      </c>
      <c r="H1833" s="182" t="e">
        <f t="shared" si="208"/>
        <v>#VALUE!</v>
      </c>
      <c r="I1833" s="183" t="e">
        <f t="shared" si="209"/>
        <v>#VALUE!</v>
      </c>
    </row>
    <row r="1834" spans="1:9" x14ac:dyDescent="0.25">
      <c r="A1834" s="180">
        <f t="shared" ca="1" si="210"/>
        <v>47906</v>
      </c>
      <c r="B1834" s="181">
        <v>1802</v>
      </c>
      <c r="C1834" s="182" t="e">
        <f t="shared" si="204"/>
        <v>#VALUE!</v>
      </c>
      <c r="D1834" s="182" t="e">
        <f t="shared" si="205"/>
        <v>#VALUE!</v>
      </c>
      <c r="E1834" s="182" t="e">
        <f t="shared" si="206"/>
        <v>#VALUE!</v>
      </c>
      <c r="F1834" s="182" t="e">
        <f>SUM($D$33:D1834)</f>
        <v>#VALUE!</v>
      </c>
      <c r="G1834" s="182">
        <f t="shared" ca="1" si="207"/>
        <v>0</v>
      </c>
      <c r="H1834" s="182" t="e">
        <f t="shared" si="208"/>
        <v>#VALUE!</v>
      </c>
      <c r="I1834" s="183" t="e">
        <f t="shared" si="209"/>
        <v>#VALUE!</v>
      </c>
    </row>
    <row r="1835" spans="1:9" x14ac:dyDescent="0.25">
      <c r="A1835" s="180">
        <f t="shared" ca="1" si="210"/>
        <v>47907</v>
      </c>
      <c r="B1835" s="181">
        <v>1803</v>
      </c>
      <c r="C1835" s="182" t="e">
        <f t="shared" si="204"/>
        <v>#VALUE!</v>
      </c>
      <c r="D1835" s="182" t="e">
        <f t="shared" si="205"/>
        <v>#VALUE!</v>
      </c>
      <c r="E1835" s="182" t="e">
        <f t="shared" si="206"/>
        <v>#VALUE!</v>
      </c>
      <c r="F1835" s="182" t="e">
        <f>SUM($D$33:D1835)</f>
        <v>#VALUE!</v>
      </c>
      <c r="G1835" s="182">
        <f t="shared" ca="1" si="207"/>
        <v>0</v>
      </c>
      <c r="H1835" s="182" t="e">
        <f t="shared" si="208"/>
        <v>#VALUE!</v>
      </c>
      <c r="I1835" s="183" t="e">
        <f t="shared" si="209"/>
        <v>#VALUE!</v>
      </c>
    </row>
    <row r="1836" spans="1:9" x14ac:dyDescent="0.25">
      <c r="A1836" s="180">
        <f t="shared" ca="1" si="210"/>
        <v>47908</v>
      </c>
      <c r="B1836" s="181">
        <v>1804</v>
      </c>
      <c r="C1836" s="182" t="e">
        <f t="shared" si="204"/>
        <v>#VALUE!</v>
      </c>
      <c r="D1836" s="182" t="e">
        <f t="shared" si="205"/>
        <v>#VALUE!</v>
      </c>
      <c r="E1836" s="182" t="e">
        <f t="shared" si="206"/>
        <v>#VALUE!</v>
      </c>
      <c r="F1836" s="182" t="e">
        <f>SUM($D$33:D1836)</f>
        <v>#VALUE!</v>
      </c>
      <c r="G1836" s="182">
        <f t="shared" ca="1" si="207"/>
        <v>0</v>
      </c>
      <c r="H1836" s="182" t="e">
        <f t="shared" si="208"/>
        <v>#VALUE!</v>
      </c>
      <c r="I1836" s="183" t="e">
        <f t="shared" si="209"/>
        <v>#VALUE!</v>
      </c>
    </row>
    <row r="1837" spans="1:9" x14ac:dyDescent="0.25">
      <c r="A1837" s="180">
        <f t="shared" ca="1" si="210"/>
        <v>47909</v>
      </c>
      <c r="B1837" s="181">
        <v>1805</v>
      </c>
      <c r="C1837" s="182" t="e">
        <f t="shared" si="204"/>
        <v>#VALUE!</v>
      </c>
      <c r="D1837" s="182" t="e">
        <f t="shared" si="205"/>
        <v>#VALUE!</v>
      </c>
      <c r="E1837" s="182" t="e">
        <f t="shared" si="206"/>
        <v>#VALUE!</v>
      </c>
      <c r="F1837" s="182" t="e">
        <f>SUM($D$33:D1837)</f>
        <v>#VALUE!</v>
      </c>
      <c r="G1837" s="182">
        <f t="shared" ca="1" si="207"/>
        <v>0</v>
      </c>
      <c r="H1837" s="182" t="e">
        <f t="shared" si="208"/>
        <v>#VALUE!</v>
      </c>
      <c r="I1837" s="183" t="e">
        <f t="shared" si="209"/>
        <v>#VALUE!</v>
      </c>
    </row>
    <row r="1838" spans="1:9" x14ac:dyDescent="0.25">
      <c r="A1838" s="180">
        <f t="shared" ca="1" si="210"/>
        <v>47910</v>
      </c>
      <c r="B1838" s="181">
        <v>1806</v>
      </c>
      <c r="C1838" s="182" t="e">
        <f t="shared" si="204"/>
        <v>#VALUE!</v>
      </c>
      <c r="D1838" s="182" t="e">
        <f t="shared" si="205"/>
        <v>#VALUE!</v>
      </c>
      <c r="E1838" s="182" t="e">
        <f t="shared" si="206"/>
        <v>#VALUE!</v>
      </c>
      <c r="F1838" s="182" t="e">
        <f>SUM($D$33:D1838)</f>
        <v>#VALUE!</v>
      </c>
      <c r="G1838" s="182">
        <f t="shared" ca="1" si="207"/>
        <v>0</v>
      </c>
      <c r="H1838" s="182" t="e">
        <f t="shared" si="208"/>
        <v>#VALUE!</v>
      </c>
      <c r="I1838" s="183" t="e">
        <f t="shared" si="209"/>
        <v>#VALUE!</v>
      </c>
    </row>
    <row r="1839" spans="1:9" x14ac:dyDescent="0.25">
      <c r="A1839" s="180">
        <f t="shared" ca="1" si="210"/>
        <v>47911</v>
      </c>
      <c r="B1839" s="181">
        <v>1807</v>
      </c>
      <c r="C1839" s="182" t="e">
        <f t="shared" si="204"/>
        <v>#VALUE!</v>
      </c>
      <c r="D1839" s="182" t="e">
        <f t="shared" si="205"/>
        <v>#VALUE!</v>
      </c>
      <c r="E1839" s="182" t="e">
        <f t="shared" si="206"/>
        <v>#VALUE!</v>
      </c>
      <c r="F1839" s="182" t="e">
        <f>SUM($D$33:D1839)</f>
        <v>#VALUE!</v>
      </c>
      <c r="G1839" s="182">
        <f t="shared" ca="1" si="207"/>
        <v>0</v>
      </c>
      <c r="H1839" s="182" t="e">
        <f t="shared" si="208"/>
        <v>#VALUE!</v>
      </c>
      <c r="I1839" s="183" t="e">
        <f t="shared" si="209"/>
        <v>#VALUE!</v>
      </c>
    </row>
    <row r="1840" spans="1:9" x14ac:dyDescent="0.25">
      <c r="A1840" s="180">
        <f t="shared" ca="1" si="210"/>
        <v>47912</v>
      </c>
      <c r="B1840" s="181">
        <v>1808</v>
      </c>
      <c r="C1840" s="182" t="e">
        <f t="shared" si="204"/>
        <v>#VALUE!</v>
      </c>
      <c r="D1840" s="182" t="e">
        <f t="shared" si="205"/>
        <v>#VALUE!</v>
      </c>
      <c r="E1840" s="182" t="e">
        <f t="shared" si="206"/>
        <v>#VALUE!</v>
      </c>
      <c r="F1840" s="182" t="e">
        <f>SUM($D$33:D1840)</f>
        <v>#VALUE!</v>
      </c>
      <c r="G1840" s="182">
        <f t="shared" ca="1" si="207"/>
        <v>0</v>
      </c>
      <c r="H1840" s="182" t="e">
        <f t="shared" si="208"/>
        <v>#VALUE!</v>
      </c>
      <c r="I1840" s="183" t="e">
        <f t="shared" si="209"/>
        <v>#VALUE!</v>
      </c>
    </row>
    <row r="1841" spans="1:9" x14ac:dyDescent="0.25">
      <c r="A1841" s="180">
        <f t="shared" ca="1" si="210"/>
        <v>47913</v>
      </c>
      <c r="B1841" s="181">
        <v>1809</v>
      </c>
      <c r="C1841" s="182" t="e">
        <f t="shared" si="204"/>
        <v>#VALUE!</v>
      </c>
      <c r="D1841" s="182" t="e">
        <f t="shared" si="205"/>
        <v>#VALUE!</v>
      </c>
      <c r="E1841" s="182" t="e">
        <f t="shared" si="206"/>
        <v>#VALUE!</v>
      </c>
      <c r="F1841" s="182" t="e">
        <f>SUM($D$33:D1841)</f>
        <v>#VALUE!</v>
      </c>
      <c r="G1841" s="182">
        <f t="shared" ca="1" si="207"/>
        <v>0</v>
      </c>
      <c r="H1841" s="182" t="e">
        <f t="shared" si="208"/>
        <v>#VALUE!</v>
      </c>
      <c r="I1841" s="183" t="e">
        <f t="shared" si="209"/>
        <v>#VALUE!</v>
      </c>
    </row>
    <row r="1842" spans="1:9" x14ac:dyDescent="0.25">
      <c r="A1842" s="180">
        <f t="shared" ca="1" si="210"/>
        <v>47914</v>
      </c>
      <c r="B1842" s="181">
        <v>1810</v>
      </c>
      <c r="C1842" s="182" t="e">
        <f t="shared" si="204"/>
        <v>#VALUE!</v>
      </c>
      <c r="D1842" s="182" t="e">
        <f t="shared" si="205"/>
        <v>#VALUE!</v>
      </c>
      <c r="E1842" s="182" t="e">
        <f t="shared" si="206"/>
        <v>#VALUE!</v>
      </c>
      <c r="F1842" s="182" t="e">
        <f>SUM($D$33:D1842)</f>
        <v>#VALUE!</v>
      </c>
      <c r="G1842" s="182">
        <f t="shared" ca="1" si="207"/>
        <v>0</v>
      </c>
      <c r="H1842" s="182" t="e">
        <f t="shared" si="208"/>
        <v>#VALUE!</v>
      </c>
      <c r="I1842" s="183" t="e">
        <f t="shared" si="209"/>
        <v>#VALUE!</v>
      </c>
    </row>
    <row r="1843" spans="1:9" x14ac:dyDescent="0.25">
      <c r="A1843" s="180">
        <f t="shared" ca="1" si="210"/>
        <v>47915</v>
      </c>
      <c r="B1843" s="181">
        <v>1811</v>
      </c>
      <c r="C1843" s="182" t="e">
        <f t="shared" si="204"/>
        <v>#VALUE!</v>
      </c>
      <c r="D1843" s="182" t="e">
        <f t="shared" si="205"/>
        <v>#VALUE!</v>
      </c>
      <c r="E1843" s="182" t="e">
        <f t="shared" si="206"/>
        <v>#VALUE!</v>
      </c>
      <c r="F1843" s="182" t="e">
        <f>SUM($D$33:D1843)</f>
        <v>#VALUE!</v>
      </c>
      <c r="G1843" s="182">
        <f t="shared" ca="1" si="207"/>
        <v>0</v>
      </c>
      <c r="H1843" s="182" t="e">
        <f t="shared" si="208"/>
        <v>#VALUE!</v>
      </c>
      <c r="I1843" s="183" t="e">
        <f t="shared" si="209"/>
        <v>#VALUE!</v>
      </c>
    </row>
    <row r="1844" spans="1:9" x14ac:dyDescent="0.25">
      <c r="A1844" s="180">
        <f t="shared" ca="1" si="210"/>
        <v>47916</v>
      </c>
      <c r="B1844" s="181">
        <v>1812</v>
      </c>
      <c r="C1844" s="182" t="e">
        <f t="shared" si="204"/>
        <v>#VALUE!</v>
      </c>
      <c r="D1844" s="182" t="e">
        <f t="shared" si="205"/>
        <v>#VALUE!</v>
      </c>
      <c r="E1844" s="182" t="e">
        <f t="shared" si="206"/>
        <v>#VALUE!</v>
      </c>
      <c r="F1844" s="182" t="e">
        <f>SUM($D$33:D1844)</f>
        <v>#VALUE!</v>
      </c>
      <c r="G1844" s="182">
        <f t="shared" ca="1" si="207"/>
        <v>0</v>
      </c>
      <c r="H1844" s="182" t="e">
        <f t="shared" si="208"/>
        <v>#VALUE!</v>
      </c>
      <c r="I1844" s="183" t="e">
        <f t="shared" si="209"/>
        <v>#VALUE!</v>
      </c>
    </row>
    <row r="1845" spans="1:9" x14ac:dyDescent="0.25">
      <c r="A1845" s="180">
        <f t="shared" ca="1" si="210"/>
        <v>47917</v>
      </c>
      <c r="B1845" s="181">
        <v>1813</v>
      </c>
      <c r="C1845" s="182" t="e">
        <f t="shared" si="204"/>
        <v>#VALUE!</v>
      </c>
      <c r="D1845" s="182" t="e">
        <f t="shared" si="205"/>
        <v>#VALUE!</v>
      </c>
      <c r="E1845" s="182" t="e">
        <f t="shared" si="206"/>
        <v>#VALUE!</v>
      </c>
      <c r="F1845" s="182" t="e">
        <f>SUM($D$33:D1845)</f>
        <v>#VALUE!</v>
      </c>
      <c r="G1845" s="182">
        <f t="shared" ca="1" si="207"/>
        <v>0</v>
      </c>
      <c r="H1845" s="182" t="e">
        <f t="shared" si="208"/>
        <v>#VALUE!</v>
      </c>
      <c r="I1845" s="183" t="e">
        <f t="shared" si="209"/>
        <v>#VALUE!</v>
      </c>
    </row>
    <row r="1846" spans="1:9" x14ac:dyDescent="0.25">
      <c r="A1846" s="180">
        <f t="shared" ca="1" si="210"/>
        <v>47918</v>
      </c>
      <c r="B1846" s="181">
        <v>1814</v>
      </c>
      <c r="C1846" s="182" t="e">
        <f t="shared" si="204"/>
        <v>#VALUE!</v>
      </c>
      <c r="D1846" s="182" t="e">
        <f t="shared" si="205"/>
        <v>#VALUE!</v>
      </c>
      <c r="E1846" s="182" t="e">
        <f t="shared" si="206"/>
        <v>#VALUE!</v>
      </c>
      <c r="F1846" s="182" t="e">
        <f>SUM($D$33:D1846)</f>
        <v>#VALUE!</v>
      </c>
      <c r="G1846" s="182">
        <f t="shared" ca="1" si="207"/>
        <v>0</v>
      </c>
      <c r="H1846" s="182" t="e">
        <f t="shared" si="208"/>
        <v>#VALUE!</v>
      </c>
      <c r="I1846" s="183" t="e">
        <f t="shared" si="209"/>
        <v>#VALUE!</v>
      </c>
    </row>
    <row r="1847" spans="1:9" x14ac:dyDescent="0.25">
      <c r="A1847" s="180">
        <f t="shared" ca="1" si="210"/>
        <v>47919</v>
      </c>
      <c r="B1847" s="181">
        <v>1815</v>
      </c>
      <c r="C1847" s="182" t="e">
        <f t="shared" si="204"/>
        <v>#VALUE!</v>
      </c>
      <c r="D1847" s="182" t="e">
        <f t="shared" si="205"/>
        <v>#VALUE!</v>
      </c>
      <c r="E1847" s="182" t="e">
        <f t="shared" si="206"/>
        <v>#VALUE!</v>
      </c>
      <c r="F1847" s="182" t="e">
        <f>SUM($D$33:D1847)</f>
        <v>#VALUE!</v>
      </c>
      <c r="G1847" s="182">
        <f t="shared" ca="1" si="207"/>
        <v>0</v>
      </c>
      <c r="H1847" s="182" t="e">
        <f t="shared" si="208"/>
        <v>#VALUE!</v>
      </c>
      <c r="I1847" s="183" t="e">
        <f t="shared" si="209"/>
        <v>#VALUE!</v>
      </c>
    </row>
    <row r="1848" spans="1:9" x14ac:dyDescent="0.25">
      <c r="A1848" s="180">
        <f t="shared" ca="1" si="210"/>
        <v>47920</v>
      </c>
      <c r="B1848" s="181">
        <v>1816</v>
      </c>
      <c r="C1848" s="182" t="e">
        <f t="shared" si="204"/>
        <v>#VALUE!</v>
      </c>
      <c r="D1848" s="182" t="e">
        <f t="shared" si="205"/>
        <v>#VALUE!</v>
      </c>
      <c r="E1848" s="182" t="e">
        <f t="shared" si="206"/>
        <v>#VALUE!</v>
      </c>
      <c r="F1848" s="182" t="e">
        <f>SUM($D$33:D1848)</f>
        <v>#VALUE!</v>
      </c>
      <c r="G1848" s="182">
        <f t="shared" ca="1" si="207"/>
        <v>0</v>
      </c>
      <c r="H1848" s="182" t="e">
        <f t="shared" si="208"/>
        <v>#VALUE!</v>
      </c>
      <c r="I1848" s="183" t="e">
        <f t="shared" si="209"/>
        <v>#VALUE!</v>
      </c>
    </row>
    <row r="1849" spans="1:9" x14ac:dyDescent="0.25">
      <c r="A1849" s="180">
        <f t="shared" ca="1" si="210"/>
        <v>47921</v>
      </c>
      <c r="B1849" s="181">
        <v>1817</v>
      </c>
      <c r="C1849" s="182" t="e">
        <f t="shared" si="204"/>
        <v>#VALUE!</v>
      </c>
      <c r="D1849" s="182" t="e">
        <f t="shared" si="205"/>
        <v>#VALUE!</v>
      </c>
      <c r="E1849" s="182" t="e">
        <f t="shared" si="206"/>
        <v>#VALUE!</v>
      </c>
      <c r="F1849" s="182" t="e">
        <f>SUM($D$33:D1849)</f>
        <v>#VALUE!</v>
      </c>
      <c r="G1849" s="182">
        <f t="shared" ca="1" si="207"/>
        <v>0</v>
      </c>
      <c r="H1849" s="182" t="e">
        <f t="shared" si="208"/>
        <v>#VALUE!</v>
      </c>
      <c r="I1849" s="183" t="e">
        <f t="shared" si="209"/>
        <v>#VALUE!</v>
      </c>
    </row>
    <row r="1850" spans="1:9" x14ac:dyDescent="0.25">
      <c r="A1850" s="180">
        <f t="shared" ca="1" si="210"/>
        <v>47922</v>
      </c>
      <c r="B1850" s="181">
        <v>1818</v>
      </c>
      <c r="C1850" s="182" t="e">
        <f t="shared" si="204"/>
        <v>#VALUE!</v>
      </c>
      <c r="D1850" s="182" t="e">
        <f t="shared" si="205"/>
        <v>#VALUE!</v>
      </c>
      <c r="E1850" s="182" t="e">
        <f t="shared" si="206"/>
        <v>#VALUE!</v>
      </c>
      <c r="F1850" s="182" t="e">
        <f>SUM($D$33:D1850)</f>
        <v>#VALUE!</v>
      </c>
      <c r="G1850" s="182">
        <f t="shared" ca="1" si="207"/>
        <v>0</v>
      </c>
      <c r="H1850" s="182" t="e">
        <f t="shared" si="208"/>
        <v>#VALUE!</v>
      </c>
      <c r="I1850" s="183" t="e">
        <f t="shared" si="209"/>
        <v>#VALUE!</v>
      </c>
    </row>
    <row r="1851" spans="1:9" x14ac:dyDescent="0.25">
      <c r="A1851" s="180">
        <f t="shared" ca="1" si="210"/>
        <v>47923</v>
      </c>
      <c r="B1851" s="181">
        <v>1819</v>
      </c>
      <c r="C1851" s="182" t="e">
        <f t="shared" si="204"/>
        <v>#VALUE!</v>
      </c>
      <c r="D1851" s="182" t="e">
        <f t="shared" si="205"/>
        <v>#VALUE!</v>
      </c>
      <c r="E1851" s="182" t="e">
        <f t="shared" si="206"/>
        <v>#VALUE!</v>
      </c>
      <c r="F1851" s="182" t="e">
        <f>SUM($D$33:D1851)</f>
        <v>#VALUE!</v>
      </c>
      <c r="G1851" s="182">
        <f t="shared" ca="1" si="207"/>
        <v>0</v>
      </c>
      <c r="H1851" s="182" t="e">
        <f t="shared" si="208"/>
        <v>#VALUE!</v>
      </c>
      <c r="I1851" s="183" t="e">
        <f t="shared" si="209"/>
        <v>#VALUE!</v>
      </c>
    </row>
    <row r="1852" spans="1:9" x14ac:dyDescent="0.25">
      <c r="A1852" s="180">
        <f t="shared" ca="1" si="210"/>
        <v>47924</v>
      </c>
      <c r="B1852" s="181">
        <v>1820</v>
      </c>
      <c r="C1852" s="182" t="e">
        <f t="shared" si="204"/>
        <v>#VALUE!</v>
      </c>
      <c r="D1852" s="182" t="e">
        <f t="shared" si="205"/>
        <v>#VALUE!</v>
      </c>
      <c r="E1852" s="182" t="e">
        <f t="shared" si="206"/>
        <v>#VALUE!</v>
      </c>
      <c r="F1852" s="182" t="e">
        <f>SUM($D$33:D1852)</f>
        <v>#VALUE!</v>
      </c>
      <c r="G1852" s="182">
        <f t="shared" ca="1" si="207"/>
        <v>0</v>
      </c>
      <c r="H1852" s="182" t="e">
        <f t="shared" si="208"/>
        <v>#VALUE!</v>
      </c>
      <c r="I1852" s="183" t="e">
        <f t="shared" si="209"/>
        <v>#VALUE!</v>
      </c>
    </row>
    <row r="1853" spans="1:9" x14ac:dyDescent="0.25">
      <c r="A1853" s="180">
        <f t="shared" ca="1" si="210"/>
        <v>47925</v>
      </c>
      <c r="B1853" s="181">
        <v>1821</v>
      </c>
      <c r="C1853" s="182" t="e">
        <f t="shared" si="204"/>
        <v>#VALUE!</v>
      </c>
      <c r="D1853" s="182" t="e">
        <f t="shared" si="205"/>
        <v>#VALUE!</v>
      </c>
      <c r="E1853" s="182" t="e">
        <f t="shared" si="206"/>
        <v>#VALUE!</v>
      </c>
      <c r="F1853" s="182" t="e">
        <f>SUM($D$33:D1853)</f>
        <v>#VALUE!</v>
      </c>
      <c r="G1853" s="182">
        <f t="shared" ca="1" si="207"/>
        <v>0</v>
      </c>
      <c r="H1853" s="182" t="e">
        <f t="shared" si="208"/>
        <v>#VALUE!</v>
      </c>
      <c r="I1853" s="183" t="e">
        <f t="shared" si="209"/>
        <v>#VALUE!</v>
      </c>
    </row>
    <row r="1854" spans="1:9" x14ac:dyDescent="0.25">
      <c r="A1854" s="180">
        <f t="shared" ca="1" si="210"/>
        <v>47926</v>
      </c>
      <c r="B1854" s="181">
        <v>1822</v>
      </c>
      <c r="C1854" s="182" t="e">
        <f t="shared" si="204"/>
        <v>#VALUE!</v>
      </c>
      <c r="D1854" s="182" t="e">
        <f t="shared" si="205"/>
        <v>#VALUE!</v>
      </c>
      <c r="E1854" s="182" t="e">
        <f t="shared" si="206"/>
        <v>#VALUE!</v>
      </c>
      <c r="F1854" s="182" t="e">
        <f>SUM($D$33:D1854)</f>
        <v>#VALUE!</v>
      </c>
      <c r="G1854" s="182">
        <f t="shared" ca="1" si="207"/>
        <v>0</v>
      </c>
      <c r="H1854" s="182" t="e">
        <f t="shared" si="208"/>
        <v>#VALUE!</v>
      </c>
      <c r="I1854" s="183" t="e">
        <f t="shared" si="209"/>
        <v>#VALUE!</v>
      </c>
    </row>
    <row r="1855" spans="1:9" x14ac:dyDescent="0.25">
      <c r="A1855" s="180">
        <f t="shared" ca="1" si="210"/>
        <v>47927</v>
      </c>
      <c r="B1855" s="181">
        <v>1823</v>
      </c>
      <c r="C1855" s="182" t="e">
        <f t="shared" si="204"/>
        <v>#VALUE!</v>
      </c>
      <c r="D1855" s="182" t="e">
        <f t="shared" si="205"/>
        <v>#VALUE!</v>
      </c>
      <c r="E1855" s="182" t="e">
        <f t="shared" si="206"/>
        <v>#VALUE!</v>
      </c>
      <c r="F1855" s="182" t="e">
        <f>SUM($D$33:D1855)</f>
        <v>#VALUE!</v>
      </c>
      <c r="G1855" s="182">
        <f t="shared" ca="1" si="207"/>
        <v>0</v>
      </c>
      <c r="H1855" s="182" t="e">
        <f t="shared" si="208"/>
        <v>#VALUE!</v>
      </c>
      <c r="I1855" s="183" t="e">
        <f t="shared" si="209"/>
        <v>#VALUE!</v>
      </c>
    </row>
    <row r="1856" spans="1:9" x14ac:dyDescent="0.25">
      <c r="A1856" s="180">
        <f t="shared" ca="1" si="210"/>
        <v>47928</v>
      </c>
      <c r="B1856" s="181">
        <v>1824</v>
      </c>
      <c r="C1856" s="182" t="e">
        <f t="shared" si="204"/>
        <v>#VALUE!</v>
      </c>
      <c r="D1856" s="182" t="e">
        <f t="shared" si="205"/>
        <v>#VALUE!</v>
      </c>
      <c r="E1856" s="182" t="e">
        <f t="shared" si="206"/>
        <v>#VALUE!</v>
      </c>
      <c r="F1856" s="182" t="e">
        <f>SUM($D$33:D1856)</f>
        <v>#VALUE!</v>
      </c>
      <c r="G1856" s="182">
        <f t="shared" ca="1" si="207"/>
        <v>0</v>
      </c>
      <c r="H1856" s="182" t="e">
        <f t="shared" si="208"/>
        <v>#VALUE!</v>
      </c>
      <c r="I1856" s="183" t="e">
        <f t="shared" si="209"/>
        <v>#VALUE!</v>
      </c>
    </row>
    <row r="1857" spans="1:9" x14ac:dyDescent="0.25">
      <c r="A1857" s="180">
        <f t="shared" ca="1" si="210"/>
        <v>47929</v>
      </c>
      <c r="B1857" s="181">
        <v>1825</v>
      </c>
      <c r="C1857" s="182" t="e">
        <f t="shared" si="204"/>
        <v>#VALUE!</v>
      </c>
      <c r="D1857" s="182" t="e">
        <f t="shared" si="205"/>
        <v>#VALUE!</v>
      </c>
      <c r="E1857" s="182" t="e">
        <f t="shared" si="206"/>
        <v>#VALUE!</v>
      </c>
      <c r="F1857" s="182" t="e">
        <f>SUM($D$33:D1857)</f>
        <v>#VALUE!</v>
      </c>
      <c r="G1857" s="182">
        <f t="shared" ca="1" si="207"/>
        <v>0</v>
      </c>
      <c r="H1857" s="182" t="e">
        <f t="shared" si="208"/>
        <v>#VALUE!</v>
      </c>
      <c r="I1857" s="183" t="e">
        <f t="shared" si="209"/>
        <v>#VALUE!</v>
      </c>
    </row>
    <row r="1858" spans="1:9" x14ac:dyDescent="0.25">
      <c r="A1858" s="180">
        <f t="shared" ca="1" si="210"/>
        <v>47930</v>
      </c>
      <c r="B1858" s="181">
        <v>1826</v>
      </c>
      <c r="C1858" s="182" t="e">
        <f t="shared" si="204"/>
        <v>#VALUE!</v>
      </c>
      <c r="D1858" s="182" t="e">
        <f t="shared" si="205"/>
        <v>#VALUE!</v>
      </c>
      <c r="E1858" s="182" t="e">
        <f t="shared" si="206"/>
        <v>#VALUE!</v>
      </c>
      <c r="F1858" s="182" t="e">
        <f>SUM($D$33:D1858)</f>
        <v>#VALUE!</v>
      </c>
      <c r="G1858" s="182">
        <f t="shared" ca="1" si="207"/>
        <v>0</v>
      </c>
      <c r="H1858" s="182" t="e">
        <f t="shared" si="208"/>
        <v>#VALUE!</v>
      </c>
      <c r="I1858" s="183" t="e">
        <f t="shared" si="209"/>
        <v>#VALUE!</v>
      </c>
    </row>
    <row r="1859" spans="1:9" x14ac:dyDescent="0.25">
      <c r="A1859" s="180">
        <f t="shared" ca="1" si="210"/>
        <v>47931</v>
      </c>
      <c r="B1859" s="181">
        <v>1827</v>
      </c>
      <c r="C1859" s="182" t="e">
        <f t="shared" si="204"/>
        <v>#VALUE!</v>
      </c>
      <c r="D1859" s="182" t="e">
        <f t="shared" si="205"/>
        <v>#VALUE!</v>
      </c>
      <c r="E1859" s="182" t="e">
        <f t="shared" si="206"/>
        <v>#VALUE!</v>
      </c>
      <c r="F1859" s="182" t="e">
        <f>SUM($D$33:D1859)</f>
        <v>#VALUE!</v>
      </c>
      <c r="G1859" s="182">
        <f t="shared" ca="1" si="207"/>
        <v>0</v>
      </c>
      <c r="H1859" s="182" t="e">
        <f t="shared" si="208"/>
        <v>#VALUE!</v>
      </c>
      <c r="I1859" s="183" t="e">
        <f t="shared" si="209"/>
        <v>#VALUE!</v>
      </c>
    </row>
    <row r="1860" spans="1:9" x14ac:dyDescent="0.25">
      <c r="A1860" s="180">
        <f t="shared" ca="1" si="210"/>
        <v>47932</v>
      </c>
      <c r="B1860" s="181">
        <v>1828</v>
      </c>
      <c r="C1860" s="182" t="e">
        <f t="shared" si="204"/>
        <v>#VALUE!</v>
      </c>
      <c r="D1860" s="182" t="e">
        <f t="shared" si="205"/>
        <v>#VALUE!</v>
      </c>
      <c r="E1860" s="182" t="e">
        <f t="shared" si="206"/>
        <v>#VALUE!</v>
      </c>
      <c r="F1860" s="182" t="e">
        <f>SUM($D$33:D1860)</f>
        <v>#VALUE!</v>
      </c>
      <c r="G1860" s="182">
        <f t="shared" ca="1" si="207"/>
        <v>0</v>
      </c>
      <c r="H1860" s="182" t="e">
        <f t="shared" si="208"/>
        <v>#VALUE!</v>
      </c>
      <c r="I1860" s="183" t="e">
        <f t="shared" si="209"/>
        <v>#VALUE!</v>
      </c>
    </row>
    <row r="1861" spans="1:9" x14ac:dyDescent="0.25">
      <c r="A1861" s="180">
        <f t="shared" ca="1" si="210"/>
        <v>47933</v>
      </c>
      <c r="B1861" s="181">
        <v>1829</v>
      </c>
      <c r="C1861" s="182" t="e">
        <f t="shared" si="204"/>
        <v>#VALUE!</v>
      </c>
      <c r="D1861" s="182" t="e">
        <f t="shared" si="205"/>
        <v>#VALUE!</v>
      </c>
      <c r="E1861" s="182" t="e">
        <f t="shared" si="206"/>
        <v>#VALUE!</v>
      </c>
      <c r="F1861" s="182" t="e">
        <f>SUM($D$33:D1861)</f>
        <v>#VALUE!</v>
      </c>
      <c r="G1861" s="182">
        <f t="shared" ca="1" si="207"/>
        <v>0</v>
      </c>
      <c r="H1861" s="182" t="e">
        <f t="shared" si="208"/>
        <v>#VALUE!</v>
      </c>
      <c r="I1861" s="183" t="e">
        <f t="shared" si="209"/>
        <v>#VALUE!</v>
      </c>
    </row>
    <row r="1862" spans="1:9" x14ac:dyDescent="0.25">
      <c r="A1862" s="180">
        <f t="shared" ca="1" si="210"/>
        <v>47934</v>
      </c>
      <c r="B1862" s="181">
        <v>1830</v>
      </c>
      <c r="C1862" s="182" t="e">
        <f t="shared" si="204"/>
        <v>#VALUE!</v>
      </c>
      <c r="D1862" s="182" t="e">
        <f t="shared" si="205"/>
        <v>#VALUE!</v>
      </c>
      <c r="E1862" s="182" t="e">
        <f t="shared" si="206"/>
        <v>#VALUE!</v>
      </c>
      <c r="F1862" s="182" t="e">
        <f>SUM($D$33:D1862)</f>
        <v>#VALUE!</v>
      </c>
      <c r="G1862" s="182">
        <f t="shared" ca="1" si="207"/>
        <v>0</v>
      </c>
      <c r="H1862" s="182" t="e">
        <f t="shared" si="208"/>
        <v>#VALUE!</v>
      </c>
      <c r="I1862" s="183" t="e">
        <f t="shared" si="209"/>
        <v>#VALUE!</v>
      </c>
    </row>
    <row r="1863" spans="1:9" x14ac:dyDescent="0.25">
      <c r="A1863" s="180">
        <f t="shared" ca="1" si="210"/>
        <v>47935</v>
      </c>
      <c r="B1863" s="181">
        <v>1831</v>
      </c>
      <c r="C1863" s="182" t="e">
        <f t="shared" si="204"/>
        <v>#VALUE!</v>
      </c>
      <c r="D1863" s="182" t="e">
        <f t="shared" si="205"/>
        <v>#VALUE!</v>
      </c>
      <c r="E1863" s="182" t="e">
        <f t="shared" si="206"/>
        <v>#VALUE!</v>
      </c>
      <c r="F1863" s="182" t="e">
        <f>SUM($D$33:D1863)</f>
        <v>#VALUE!</v>
      </c>
      <c r="G1863" s="182">
        <f t="shared" ca="1" si="207"/>
        <v>0</v>
      </c>
      <c r="H1863" s="182" t="e">
        <f t="shared" si="208"/>
        <v>#VALUE!</v>
      </c>
      <c r="I1863" s="183" t="e">
        <f t="shared" si="209"/>
        <v>#VALUE!</v>
      </c>
    </row>
    <row r="1864" spans="1:9" x14ac:dyDescent="0.25">
      <c r="A1864" s="180">
        <f t="shared" ca="1" si="210"/>
        <v>47936</v>
      </c>
      <c r="B1864" s="181">
        <v>1832</v>
      </c>
      <c r="C1864" s="182" t="e">
        <f t="shared" si="204"/>
        <v>#VALUE!</v>
      </c>
      <c r="D1864" s="182" t="e">
        <f t="shared" si="205"/>
        <v>#VALUE!</v>
      </c>
      <c r="E1864" s="182" t="e">
        <f t="shared" si="206"/>
        <v>#VALUE!</v>
      </c>
      <c r="F1864" s="182" t="e">
        <f>SUM($D$33:D1864)</f>
        <v>#VALUE!</v>
      </c>
      <c r="G1864" s="182">
        <f t="shared" ca="1" si="207"/>
        <v>0</v>
      </c>
      <c r="H1864" s="182" t="e">
        <f t="shared" si="208"/>
        <v>#VALUE!</v>
      </c>
      <c r="I1864" s="183" t="e">
        <f t="shared" si="209"/>
        <v>#VALUE!</v>
      </c>
    </row>
    <row r="1865" spans="1:9" x14ac:dyDescent="0.25">
      <c r="A1865" s="180">
        <f t="shared" ca="1" si="210"/>
        <v>47937</v>
      </c>
      <c r="B1865" s="181">
        <v>1833</v>
      </c>
      <c r="C1865" s="182" t="e">
        <f t="shared" si="204"/>
        <v>#VALUE!</v>
      </c>
      <c r="D1865" s="182" t="e">
        <f t="shared" si="205"/>
        <v>#VALUE!</v>
      </c>
      <c r="E1865" s="182" t="e">
        <f t="shared" si="206"/>
        <v>#VALUE!</v>
      </c>
      <c r="F1865" s="182" t="e">
        <f>SUM($D$33:D1865)</f>
        <v>#VALUE!</v>
      </c>
      <c r="G1865" s="182">
        <f t="shared" ca="1" si="207"/>
        <v>0</v>
      </c>
      <c r="H1865" s="182" t="e">
        <f t="shared" si="208"/>
        <v>#VALUE!</v>
      </c>
      <c r="I1865" s="183" t="e">
        <f t="shared" si="209"/>
        <v>#VALUE!</v>
      </c>
    </row>
    <row r="1866" spans="1:9" x14ac:dyDescent="0.25">
      <c r="A1866" s="180">
        <f t="shared" ca="1" si="210"/>
        <v>47938</v>
      </c>
      <c r="B1866" s="181">
        <v>1834</v>
      </c>
      <c r="C1866" s="182" t="e">
        <f t="shared" si="204"/>
        <v>#VALUE!</v>
      </c>
      <c r="D1866" s="182" t="e">
        <f t="shared" si="205"/>
        <v>#VALUE!</v>
      </c>
      <c r="E1866" s="182" t="e">
        <f t="shared" si="206"/>
        <v>#VALUE!</v>
      </c>
      <c r="F1866" s="182" t="e">
        <f>SUM($D$33:D1866)</f>
        <v>#VALUE!</v>
      </c>
      <c r="G1866" s="182">
        <f t="shared" ca="1" si="207"/>
        <v>0</v>
      </c>
      <c r="H1866" s="182" t="e">
        <f t="shared" si="208"/>
        <v>#VALUE!</v>
      </c>
      <c r="I1866" s="183" t="e">
        <f t="shared" si="209"/>
        <v>#VALUE!</v>
      </c>
    </row>
    <row r="1867" spans="1:9" x14ac:dyDescent="0.25">
      <c r="A1867" s="180">
        <f t="shared" ca="1" si="210"/>
        <v>47939</v>
      </c>
      <c r="B1867" s="181">
        <v>1835</v>
      </c>
      <c r="C1867" s="182" t="e">
        <f t="shared" si="204"/>
        <v>#VALUE!</v>
      </c>
      <c r="D1867" s="182" t="e">
        <f t="shared" si="205"/>
        <v>#VALUE!</v>
      </c>
      <c r="E1867" s="182" t="e">
        <f t="shared" si="206"/>
        <v>#VALUE!</v>
      </c>
      <c r="F1867" s="182" t="e">
        <f>SUM($D$33:D1867)</f>
        <v>#VALUE!</v>
      </c>
      <c r="G1867" s="182">
        <f t="shared" ca="1" si="207"/>
        <v>0</v>
      </c>
      <c r="H1867" s="182" t="e">
        <f t="shared" si="208"/>
        <v>#VALUE!</v>
      </c>
      <c r="I1867" s="183" t="e">
        <f t="shared" si="209"/>
        <v>#VALUE!</v>
      </c>
    </row>
    <row r="1868" spans="1:9" x14ac:dyDescent="0.25">
      <c r="A1868" s="180">
        <f t="shared" ca="1" si="210"/>
        <v>47940</v>
      </c>
      <c r="B1868" s="181">
        <v>1836</v>
      </c>
      <c r="C1868" s="182" t="e">
        <f t="shared" si="204"/>
        <v>#VALUE!</v>
      </c>
      <c r="D1868" s="182" t="e">
        <f t="shared" si="205"/>
        <v>#VALUE!</v>
      </c>
      <c r="E1868" s="182" t="e">
        <f t="shared" si="206"/>
        <v>#VALUE!</v>
      </c>
      <c r="F1868" s="182" t="e">
        <f>SUM($D$33:D1868)</f>
        <v>#VALUE!</v>
      </c>
      <c r="G1868" s="182">
        <f t="shared" ca="1" si="207"/>
        <v>0</v>
      </c>
      <c r="H1868" s="182" t="e">
        <f t="shared" si="208"/>
        <v>#VALUE!</v>
      </c>
      <c r="I1868" s="183" t="e">
        <f t="shared" si="209"/>
        <v>#VALUE!</v>
      </c>
    </row>
    <row r="1869" spans="1:9" x14ac:dyDescent="0.25">
      <c r="A1869" s="180">
        <f t="shared" ca="1" si="210"/>
        <v>47941</v>
      </c>
      <c r="B1869" s="181">
        <v>1837</v>
      </c>
      <c r="C1869" s="182" t="e">
        <f t="shared" si="204"/>
        <v>#VALUE!</v>
      </c>
      <c r="D1869" s="182" t="e">
        <f t="shared" si="205"/>
        <v>#VALUE!</v>
      </c>
      <c r="E1869" s="182" t="e">
        <f t="shared" si="206"/>
        <v>#VALUE!</v>
      </c>
      <c r="F1869" s="182" t="e">
        <f>SUM($D$33:D1869)</f>
        <v>#VALUE!</v>
      </c>
      <c r="G1869" s="182">
        <f t="shared" ca="1" si="207"/>
        <v>0</v>
      </c>
      <c r="H1869" s="182" t="e">
        <f t="shared" si="208"/>
        <v>#VALUE!</v>
      </c>
      <c r="I1869" s="183" t="e">
        <f t="shared" si="209"/>
        <v>#VALUE!</v>
      </c>
    </row>
    <row r="1870" spans="1:9" x14ac:dyDescent="0.25">
      <c r="A1870" s="180">
        <f t="shared" ca="1" si="210"/>
        <v>47942</v>
      </c>
      <c r="B1870" s="181">
        <v>1838</v>
      </c>
      <c r="C1870" s="182" t="e">
        <f t="shared" si="204"/>
        <v>#VALUE!</v>
      </c>
      <c r="D1870" s="182" t="e">
        <f t="shared" si="205"/>
        <v>#VALUE!</v>
      </c>
      <c r="E1870" s="182" t="e">
        <f t="shared" si="206"/>
        <v>#VALUE!</v>
      </c>
      <c r="F1870" s="182" t="e">
        <f>SUM($D$33:D1870)</f>
        <v>#VALUE!</v>
      </c>
      <c r="G1870" s="182">
        <f t="shared" ca="1" si="207"/>
        <v>0</v>
      </c>
      <c r="H1870" s="182" t="e">
        <f t="shared" si="208"/>
        <v>#VALUE!</v>
      </c>
      <c r="I1870" s="183" t="e">
        <f t="shared" si="209"/>
        <v>#VALUE!</v>
      </c>
    </row>
    <row r="1871" spans="1:9" x14ac:dyDescent="0.25">
      <c r="A1871" s="180">
        <f t="shared" ca="1" si="210"/>
        <v>47943</v>
      </c>
      <c r="B1871" s="181">
        <v>1839</v>
      </c>
      <c r="C1871" s="182" t="e">
        <f t="shared" si="204"/>
        <v>#VALUE!</v>
      </c>
      <c r="D1871" s="182" t="e">
        <f t="shared" si="205"/>
        <v>#VALUE!</v>
      </c>
      <c r="E1871" s="182" t="e">
        <f t="shared" si="206"/>
        <v>#VALUE!</v>
      </c>
      <c r="F1871" s="182" t="e">
        <f>SUM($D$33:D1871)</f>
        <v>#VALUE!</v>
      </c>
      <c r="G1871" s="182">
        <f t="shared" ca="1" si="207"/>
        <v>0</v>
      </c>
      <c r="H1871" s="182" t="e">
        <f t="shared" si="208"/>
        <v>#VALUE!</v>
      </c>
      <c r="I1871" s="183" t="e">
        <f t="shared" si="209"/>
        <v>#VALUE!</v>
      </c>
    </row>
    <row r="1872" spans="1:9" x14ac:dyDescent="0.25">
      <c r="A1872" s="180">
        <f t="shared" ca="1" si="210"/>
        <v>47944</v>
      </c>
      <c r="B1872" s="181">
        <v>1840</v>
      </c>
      <c r="C1872" s="182" t="e">
        <f t="shared" ref="C1872:C1935" si="211">H1871</f>
        <v>#VALUE!</v>
      </c>
      <c r="D1872" s="182" t="e">
        <f t="shared" ref="D1872:D1935" si="212">IF(C1872&gt;$H$21,C1872*($L$16/360),$H$21*($L$16/360))</f>
        <v>#VALUE!</v>
      </c>
      <c r="E1872" s="182" t="e">
        <f t="shared" ref="E1872:E1935" si="213">IF(E1871&gt;0,E1871-D1872,0)</f>
        <v>#VALUE!</v>
      </c>
      <c r="F1872" s="182" t="e">
        <f>SUM($D$33:D1872)</f>
        <v>#VALUE!</v>
      </c>
      <c r="G1872" s="182">
        <f t="shared" ref="G1872:G1935" ca="1" si="214">IFERROR(-VLOOKUP(A1872,$K$30:$M$36,2,FALSE),0)</f>
        <v>0</v>
      </c>
      <c r="H1872" s="182" t="e">
        <f t="shared" ref="H1872:H1935" si="215">IF(E1872&gt;0,C1872+G1872,IF(E1872&lt;0,C1872+G1872+D1872-E1871,C1872+D1872+G1872))</f>
        <v>#VALUE!</v>
      </c>
      <c r="I1872" s="183" t="e">
        <f t="shared" ref="I1872:I1935" si="216">(C1872+D1872-E1872)</f>
        <v>#VALUE!</v>
      </c>
    </row>
    <row r="1873" spans="1:9" x14ac:dyDescent="0.25">
      <c r="A1873" s="180">
        <f t="shared" ca="1" si="210"/>
        <v>47945</v>
      </c>
      <c r="B1873" s="181">
        <v>1841</v>
      </c>
      <c r="C1873" s="182" t="e">
        <f t="shared" si="211"/>
        <v>#VALUE!</v>
      </c>
      <c r="D1873" s="182" t="e">
        <f t="shared" si="212"/>
        <v>#VALUE!</v>
      </c>
      <c r="E1873" s="182" t="e">
        <f t="shared" si="213"/>
        <v>#VALUE!</v>
      </c>
      <c r="F1873" s="182" t="e">
        <f>SUM($D$33:D1873)</f>
        <v>#VALUE!</v>
      </c>
      <c r="G1873" s="182">
        <f t="shared" ca="1" si="214"/>
        <v>0</v>
      </c>
      <c r="H1873" s="182" t="e">
        <f t="shared" si="215"/>
        <v>#VALUE!</v>
      </c>
      <c r="I1873" s="183" t="e">
        <f t="shared" si="216"/>
        <v>#VALUE!</v>
      </c>
    </row>
    <row r="1874" spans="1:9" x14ac:dyDescent="0.25">
      <c r="A1874" s="180">
        <f t="shared" ca="1" si="210"/>
        <v>47946</v>
      </c>
      <c r="B1874" s="181">
        <v>1842</v>
      </c>
      <c r="C1874" s="182" t="e">
        <f t="shared" si="211"/>
        <v>#VALUE!</v>
      </c>
      <c r="D1874" s="182" t="e">
        <f t="shared" si="212"/>
        <v>#VALUE!</v>
      </c>
      <c r="E1874" s="182" t="e">
        <f t="shared" si="213"/>
        <v>#VALUE!</v>
      </c>
      <c r="F1874" s="182" t="e">
        <f>SUM($D$33:D1874)</f>
        <v>#VALUE!</v>
      </c>
      <c r="G1874" s="182">
        <f t="shared" ca="1" si="214"/>
        <v>0</v>
      </c>
      <c r="H1874" s="182" t="e">
        <f t="shared" si="215"/>
        <v>#VALUE!</v>
      </c>
      <c r="I1874" s="183" t="e">
        <f t="shared" si="216"/>
        <v>#VALUE!</v>
      </c>
    </row>
    <row r="1875" spans="1:9" x14ac:dyDescent="0.25">
      <c r="A1875" s="180">
        <f t="shared" ca="1" si="210"/>
        <v>47947</v>
      </c>
      <c r="B1875" s="181">
        <v>1843</v>
      </c>
      <c r="C1875" s="182" t="e">
        <f t="shared" si="211"/>
        <v>#VALUE!</v>
      </c>
      <c r="D1875" s="182" t="e">
        <f t="shared" si="212"/>
        <v>#VALUE!</v>
      </c>
      <c r="E1875" s="182" t="e">
        <f t="shared" si="213"/>
        <v>#VALUE!</v>
      </c>
      <c r="F1875" s="182" t="e">
        <f>SUM($D$33:D1875)</f>
        <v>#VALUE!</v>
      </c>
      <c r="G1875" s="182">
        <f t="shared" ca="1" si="214"/>
        <v>0</v>
      </c>
      <c r="H1875" s="182" t="e">
        <f t="shared" si="215"/>
        <v>#VALUE!</v>
      </c>
      <c r="I1875" s="183" t="e">
        <f t="shared" si="216"/>
        <v>#VALUE!</v>
      </c>
    </row>
    <row r="1876" spans="1:9" x14ac:dyDescent="0.25">
      <c r="A1876" s="180">
        <f t="shared" ca="1" si="210"/>
        <v>47948</v>
      </c>
      <c r="B1876" s="181">
        <v>1844</v>
      </c>
      <c r="C1876" s="182" t="e">
        <f t="shared" si="211"/>
        <v>#VALUE!</v>
      </c>
      <c r="D1876" s="182" t="e">
        <f t="shared" si="212"/>
        <v>#VALUE!</v>
      </c>
      <c r="E1876" s="182" t="e">
        <f t="shared" si="213"/>
        <v>#VALUE!</v>
      </c>
      <c r="F1876" s="182" t="e">
        <f>SUM($D$33:D1876)</f>
        <v>#VALUE!</v>
      </c>
      <c r="G1876" s="182">
        <f t="shared" ca="1" si="214"/>
        <v>0</v>
      </c>
      <c r="H1876" s="182" t="e">
        <f t="shared" si="215"/>
        <v>#VALUE!</v>
      </c>
      <c r="I1876" s="183" t="e">
        <f t="shared" si="216"/>
        <v>#VALUE!</v>
      </c>
    </row>
    <row r="1877" spans="1:9" x14ac:dyDescent="0.25">
      <c r="A1877" s="180">
        <f t="shared" ca="1" si="210"/>
        <v>47949</v>
      </c>
      <c r="B1877" s="181">
        <v>1845</v>
      </c>
      <c r="C1877" s="182" t="e">
        <f t="shared" si="211"/>
        <v>#VALUE!</v>
      </c>
      <c r="D1877" s="182" t="e">
        <f t="shared" si="212"/>
        <v>#VALUE!</v>
      </c>
      <c r="E1877" s="182" t="e">
        <f t="shared" si="213"/>
        <v>#VALUE!</v>
      </c>
      <c r="F1877" s="182" t="e">
        <f>SUM($D$33:D1877)</f>
        <v>#VALUE!</v>
      </c>
      <c r="G1877" s="182">
        <f t="shared" ca="1" si="214"/>
        <v>0</v>
      </c>
      <c r="H1877" s="182" t="e">
        <f t="shared" si="215"/>
        <v>#VALUE!</v>
      </c>
      <c r="I1877" s="183" t="e">
        <f t="shared" si="216"/>
        <v>#VALUE!</v>
      </c>
    </row>
    <row r="1878" spans="1:9" x14ac:dyDescent="0.25">
      <c r="A1878" s="180">
        <f t="shared" ca="1" si="210"/>
        <v>47950</v>
      </c>
      <c r="B1878" s="181">
        <v>1846</v>
      </c>
      <c r="C1878" s="182" t="e">
        <f t="shared" si="211"/>
        <v>#VALUE!</v>
      </c>
      <c r="D1878" s="182" t="e">
        <f t="shared" si="212"/>
        <v>#VALUE!</v>
      </c>
      <c r="E1878" s="182" t="e">
        <f t="shared" si="213"/>
        <v>#VALUE!</v>
      </c>
      <c r="F1878" s="182" t="e">
        <f>SUM($D$33:D1878)</f>
        <v>#VALUE!</v>
      </c>
      <c r="G1878" s="182">
        <f t="shared" ca="1" si="214"/>
        <v>0</v>
      </c>
      <c r="H1878" s="182" t="e">
        <f t="shared" si="215"/>
        <v>#VALUE!</v>
      </c>
      <c r="I1878" s="183" t="e">
        <f t="shared" si="216"/>
        <v>#VALUE!</v>
      </c>
    </row>
    <row r="1879" spans="1:9" x14ac:dyDescent="0.25">
      <c r="A1879" s="180">
        <f t="shared" ca="1" si="210"/>
        <v>47951</v>
      </c>
      <c r="B1879" s="181">
        <v>1847</v>
      </c>
      <c r="C1879" s="182" t="e">
        <f t="shared" si="211"/>
        <v>#VALUE!</v>
      </c>
      <c r="D1879" s="182" t="e">
        <f t="shared" si="212"/>
        <v>#VALUE!</v>
      </c>
      <c r="E1879" s="182" t="e">
        <f t="shared" si="213"/>
        <v>#VALUE!</v>
      </c>
      <c r="F1879" s="182" t="e">
        <f>SUM($D$33:D1879)</f>
        <v>#VALUE!</v>
      </c>
      <c r="G1879" s="182">
        <f t="shared" ca="1" si="214"/>
        <v>0</v>
      </c>
      <c r="H1879" s="182" t="e">
        <f t="shared" si="215"/>
        <v>#VALUE!</v>
      </c>
      <c r="I1879" s="183" t="e">
        <f t="shared" si="216"/>
        <v>#VALUE!</v>
      </c>
    </row>
    <row r="1880" spans="1:9" x14ac:dyDescent="0.25">
      <c r="A1880" s="180">
        <f t="shared" ca="1" si="210"/>
        <v>47952</v>
      </c>
      <c r="B1880" s="181">
        <v>1848</v>
      </c>
      <c r="C1880" s="182" t="e">
        <f t="shared" si="211"/>
        <v>#VALUE!</v>
      </c>
      <c r="D1880" s="182" t="e">
        <f t="shared" si="212"/>
        <v>#VALUE!</v>
      </c>
      <c r="E1880" s="182" t="e">
        <f t="shared" si="213"/>
        <v>#VALUE!</v>
      </c>
      <c r="F1880" s="182" t="e">
        <f>SUM($D$33:D1880)</f>
        <v>#VALUE!</v>
      </c>
      <c r="G1880" s="182">
        <f t="shared" ca="1" si="214"/>
        <v>0</v>
      </c>
      <c r="H1880" s="182" t="e">
        <f t="shared" si="215"/>
        <v>#VALUE!</v>
      </c>
      <c r="I1880" s="183" t="e">
        <f t="shared" si="216"/>
        <v>#VALUE!</v>
      </c>
    </row>
    <row r="1881" spans="1:9" x14ac:dyDescent="0.25">
      <c r="A1881" s="180">
        <f t="shared" ca="1" si="210"/>
        <v>47953</v>
      </c>
      <c r="B1881" s="181">
        <v>1849</v>
      </c>
      <c r="C1881" s="182" t="e">
        <f t="shared" si="211"/>
        <v>#VALUE!</v>
      </c>
      <c r="D1881" s="182" t="e">
        <f t="shared" si="212"/>
        <v>#VALUE!</v>
      </c>
      <c r="E1881" s="182" t="e">
        <f t="shared" si="213"/>
        <v>#VALUE!</v>
      </c>
      <c r="F1881" s="182" t="e">
        <f>SUM($D$33:D1881)</f>
        <v>#VALUE!</v>
      </c>
      <c r="G1881" s="182">
        <f t="shared" ca="1" si="214"/>
        <v>0</v>
      </c>
      <c r="H1881" s="182" t="e">
        <f t="shared" si="215"/>
        <v>#VALUE!</v>
      </c>
      <c r="I1881" s="183" t="e">
        <f t="shared" si="216"/>
        <v>#VALUE!</v>
      </c>
    </row>
    <row r="1882" spans="1:9" x14ac:dyDescent="0.25">
      <c r="A1882" s="180">
        <f t="shared" ca="1" si="210"/>
        <v>47954</v>
      </c>
      <c r="B1882" s="181">
        <v>1850</v>
      </c>
      <c r="C1882" s="182" t="e">
        <f t="shared" si="211"/>
        <v>#VALUE!</v>
      </c>
      <c r="D1882" s="182" t="e">
        <f t="shared" si="212"/>
        <v>#VALUE!</v>
      </c>
      <c r="E1882" s="182" t="e">
        <f t="shared" si="213"/>
        <v>#VALUE!</v>
      </c>
      <c r="F1882" s="182" t="e">
        <f>SUM($D$33:D1882)</f>
        <v>#VALUE!</v>
      </c>
      <c r="G1882" s="182">
        <f t="shared" ca="1" si="214"/>
        <v>0</v>
      </c>
      <c r="H1882" s="182" t="e">
        <f t="shared" si="215"/>
        <v>#VALUE!</v>
      </c>
      <c r="I1882" s="183" t="e">
        <f t="shared" si="216"/>
        <v>#VALUE!</v>
      </c>
    </row>
    <row r="1883" spans="1:9" x14ac:dyDescent="0.25">
      <c r="A1883" s="180">
        <f t="shared" ca="1" si="210"/>
        <v>47955</v>
      </c>
      <c r="B1883" s="181">
        <v>1851</v>
      </c>
      <c r="C1883" s="182" t="e">
        <f t="shared" si="211"/>
        <v>#VALUE!</v>
      </c>
      <c r="D1883" s="182" t="e">
        <f t="shared" si="212"/>
        <v>#VALUE!</v>
      </c>
      <c r="E1883" s="182" t="e">
        <f t="shared" si="213"/>
        <v>#VALUE!</v>
      </c>
      <c r="F1883" s="182" t="e">
        <f>SUM($D$33:D1883)</f>
        <v>#VALUE!</v>
      </c>
      <c r="G1883" s="182">
        <f t="shared" ca="1" si="214"/>
        <v>0</v>
      </c>
      <c r="H1883" s="182" t="e">
        <f t="shared" si="215"/>
        <v>#VALUE!</v>
      </c>
      <c r="I1883" s="183" t="e">
        <f t="shared" si="216"/>
        <v>#VALUE!</v>
      </c>
    </row>
    <row r="1884" spans="1:9" x14ac:dyDescent="0.25">
      <c r="A1884" s="180">
        <f t="shared" ca="1" si="210"/>
        <v>47956</v>
      </c>
      <c r="B1884" s="181">
        <v>1852</v>
      </c>
      <c r="C1884" s="182" t="e">
        <f t="shared" si="211"/>
        <v>#VALUE!</v>
      </c>
      <c r="D1884" s="182" t="e">
        <f t="shared" si="212"/>
        <v>#VALUE!</v>
      </c>
      <c r="E1884" s="182" t="e">
        <f t="shared" si="213"/>
        <v>#VALUE!</v>
      </c>
      <c r="F1884" s="182" t="e">
        <f>SUM($D$33:D1884)</f>
        <v>#VALUE!</v>
      </c>
      <c r="G1884" s="182">
        <f t="shared" ca="1" si="214"/>
        <v>0</v>
      </c>
      <c r="H1884" s="182" t="e">
        <f t="shared" si="215"/>
        <v>#VALUE!</v>
      </c>
      <c r="I1884" s="183" t="e">
        <f t="shared" si="216"/>
        <v>#VALUE!</v>
      </c>
    </row>
    <row r="1885" spans="1:9" x14ac:dyDescent="0.25">
      <c r="A1885" s="180">
        <f t="shared" ca="1" si="210"/>
        <v>47957</v>
      </c>
      <c r="B1885" s="181">
        <v>1853</v>
      </c>
      <c r="C1885" s="182" t="e">
        <f t="shared" si="211"/>
        <v>#VALUE!</v>
      </c>
      <c r="D1885" s="182" t="e">
        <f t="shared" si="212"/>
        <v>#VALUE!</v>
      </c>
      <c r="E1885" s="182" t="e">
        <f t="shared" si="213"/>
        <v>#VALUE!</v>
      </c>
      <c r="F1885" s="182" t="e">
        <f>SUM($D$33:D1885)</f>
        <v>#VALUE!</v>
      </c>
      <c r="G1885" s="182">
        <f t="shared" ca="1" si="214"/>
        <v>0</v>
      </c>
      <c r="H1885" s="182" t="e">
        <f t="shared" si="215"/>
        <v>#VALUE!</v>
      </c>
      <c r="I1885" s="183" t="e">
        <f t="shared" si="216"/>
        <v>#VALUE!</v>
      </c>
    </row>
    <row r="1886" spans="1:9" x14ac:dyDescent="0.25">
      <c r="A1886" s="180">
        <f t="shared" ca="1" si="210"/>
        <v>47958</v>
      </c>
      <c r="B1886" s="181">
        <v>1854</v>
      </c>
      <c r="C1886" s="182" t="e">
        <f t="shared" si="211"/>
        <v>#VALUE!</v>
      </c>
      <c r="D1886" s="182" t="e">
        <f t="shared" si="212"/>
        <v>#VALUE!</v>
      </c>
      <c r="E1886" s="182" t="e">
        <f t="shared" si="213"/>
        <v>#VALUE!</v>
      </c>
      <c r="F1886" s="182" t="e">
        <f>SUM($D$33:D1886)</f>
        <v>#VALUE!</v>
      </c>
      <c r="G1886" s="182">
        <f t="shared" ca="1" si="214"/>
        <v>0</v>
      </c>
      <c r="H1886" s="182" t="e">
        <f t="shared" si="215"/>
        <v>#VALUE!</v>
      </c>
      <c r="I1886" s="183" t="e">
        <f t="shared" si="216"/>
        <v>#VALUE!</v>
      </c>
    </row>
    <row r="1887" spans="1:9" x14ac:dyDescent="0.25">
      <c r="A1887" s="180">
        <f t="shared" ca="1" si="210"/>
        <v>47959</v>
      </c>
      <c r="B1887" s="181">
        <v>1855</v>
      </c>
      <c r="C1887" s="182" t="e">
        <f t="shared" si="211"/>
        <v>#VALUE!</v>
      </c>
      <c r="D1887" s="182" t="e">
        <f t="shared" si="212"/>
        <v>#VALUE!</v>
      </c>
      <c r="E1887" s="182" t="e">
        <f t="shared" si="213"/>
        <v>#VALUE!</v>
      </c>
      <c r="F1887" s="182" t="e">
        <f>SUM($D$33:D1887)</f>
        <v>#VALUE!</v>
      </c>
      <c r="G1887" s="182">
        <f t="shared" ca="1" si="214"/>
        <v>0</v>
      </c>
      <c r="H1887" s="182" t="e">
        <f t="shared" si="215"/>
        <v>#VALUE!</v>
      </c>
      <c r="I1887" s="183" t="e">
        <f t="shared" si="216"/>
        <v>#VALUE!</v>
      </c>
    </row>
    <row r="1888" spans="1:9" x14ac:dyDescent="0.25">
      <c r="A1888" s="180">
        <f t="shared" ca="1" si="210"/>
        <v>47960</v>
      </c>
      <c r="B1888" s="181">
        <v>1856</v>
      </c>
      <c r="C1888" s="182" t="e">
        <f t="shared" si="211"/>
        <v>#VALUE!</v>
      </c>
      <c r="D1888" s="182" t="e">
        <f t="shared" si="212"/>
        <v>#VALUE!</v>
      </c>
      <c r="E1888" s="182" t="e">
        <f t="shared" si="213"/>
        <v>#VALUE!</v>
      </c>
      <c r="F1888" s="182" t="e">
        <f>SUM($D$33:D1888)</f>
        <v>#VALUE!</v>
      </c>
      <c r="G1888" s="182">
        <f t="shared" ca="1" si="214"/>
        <v>0</v>
      </c>
      <c r="H1888" s="182" t="e">
        <f t="shared" si="215"/>
        <v>#VALUE!</v>
      </c>
      <c r="I1888" s="183" t="e">
        <f t="shared" si="216"/>
        <v>#VALUE!</v>
      </c>
    </row>
    <row r="1889" spans="1:9" x14ac:dyDescent="0.25">
      <c r="A1889" s="180">
        <f t="shared" ca="1" si="210"/>
        <v>47961</v>
      </c>
      <c r="B1889" s="181">
        <v>1857</v>
      </c>
      <c r="C1889" s="182" t="e">
        <f t="shared" si="211"/>
        <v>#VALUE!</v>
      </c>
      <c r="D1889" s="182" t="e">
        <f t="shared" si="212"/>
        <v>#VALUE!</v>
      </c>
      <c r="E1889" s="182" t="e">
        <f t="shared" si="213"/>
        <v>#VALUE!</v>
      </c>
      <c r="F1889" s="182" t="e">
        <f>SUM($D$33:D1889)</f>
        <v>#VALUE!</v>
      </c>
      <c r="G1889" s="182">
        <f t="shared" ca="1" si="214"/>
        <v>0</v>
      </c>
      <c r="H1889" s="182" t="e">
        <f t="shared" si="215"/>
        <v>#VALUE!</v>
      </c>
      <c r="I1889" s="183" t="e">
        <f t="shared" si="216"/>
        <v>#VALUE!</v>
      </c>
    </row>
    <row r="1890" spans="1:9" x14ac:dyDescent="0.25">
      <c r="A1890" s="180">
        <f t="shared" ref="A1890:A1953" ca="1" si="217">A1889+1</f>
        <v>47962</v>
      </c>
      <c r="B1890" s="181">
        <v>1858</v>
      </c>
      <c r="C1890" s="182" t="e">
        <f t="shared" si="211"/>
        <v>#VALUE!</v>
      </c>
      <c r="D1890" s="182" t="e">
        <f t="shared" si="212"/>
        <v>#VALUE!</v>
      </c>
      <c r="E1890" s="182" t="e">
        <f t="shared" si="213"/>
        <v>#VALUE!</v>
      </c>
      <c r="F1890" s="182" t="e">
        <f>SUM($D$33:D1890)</f>
        <v>#VALUE!</v>
      </c>
      <c r="G1890" s="182">
        <f t="shared" ca="1" si="214"/>
        <v>0</v>
      </c>
      <c r="H1890" s="182" t="e">
        <f t="shared" si="215"/>
        <v>#VALUE!</v>
      </c>
      <c r="I1890" s="183" t="e">
        <f t="shared" si="216"/>
        <v>#VALUE!</v>
      </c>
    </row>
    <row r="1891" spans="1:9" x14ac:dyDescent="0.25">
      <c r="A1891" s="180">
        <f t="shared" ca="1" si="217"/>
        <v>47963</v>
      </c>
      <c r="B1891" s="181">
        <v>1859</v>
      </c>
      <c r="C1891" s="182" t="e">
        <f t="shared" si="211"/>
        <v>#VALUE!</v>
      </c>
      <c r="D1891" s="182" t="e">
        <f t="shared" si="212"/>
        <v>#VALUE!</v>
      </c>
      <c r="E1891" s="182" t="e">
        <f t="shared" si="213"/>
        <v>#VALUE!</v>
      </c>
      <c r="F1891" s="182" t="e">
        <f>SUM($D$33:D1891)</f>
        <v>#VALUE!</v>
      </c>
      <c r="G1891" s="182">
        <f t="shared" ca="1" si="214"/>
        <v>0</v>
      </c>
      <c r="H1891" s="182" t="e">
        <f t="shared" si="215"/>
        <v>#VALUE!</v>
      </c>
      <c r="I1891" s="183" t="e">
        <f t="shared" si="216"/>
        <v>#VALUE!</v>
      </c>
    </row>
    <row r="1892" spans="1:9" x14ac:dyDescent="0.25">
      <c r="A1892" s="180">
        <f t="shared" ca="1" si="217"/>
        <v>47964</v>
      </c>
      <c r="B1892" s="181">
        <v>1860</v>
      </c>
      <c r="C1892" s="182" t="e">
        <f t="shared" si="211"/>
        <v>#VALUE!</v>
      </c>
      <c r="D1892" s="182" t="e">
        <f t="shared" si="212"/>
        <v>#VALUE!</v>
      </c>
      <c r="E1892" s="182" t="e">
        <f t="shared" si="213"/>
        <v>#VALUE!</v>
      </c>
      <c r="F1892" s="182" t="e">
        <f>SUM($D$33:D1892)</f>
        <v>#VALUE!</v>
      </c>
      <c r="G1892" s="182">
        <f t="shared" ca="1" si="214"/>
        <v>0</v>
      </c>
      <c r="H1892" s="182" t="e">
        <f t="shared" si="215"/>
        <v>#VALUE!</v>
      </c>
      <c r="I1892" s="183" t="e">
        <f t="shared" si="216"/>
        <v>#VALUE!</v>
      </c>
    </row>
    <row r="1893" spans="1:9" x14ac:dyDescent="0.25">
      <c r="A1893" s="180">
        <f t="shared" ca="1" si="217"/>
        <v>47965</v>
      </c>
      <c r="B1893" s="181">
        <v>1861</v>
      </c>
      <c r="C1893" s="182" t="e">
        <f t="shared" si="211"/>
        <v>#VALUE!</v>
      </c>
      <c r="D1893" s="182" t="e">
        <f t="shared" si="212"/>
        <v>#VALUE!</v>
      </c>
      <c r="E1893" s="182" t="e">
        <f t="shared" si="213"/>
        <v>#VALUE!</v>
      </c>
      <c r="F1893" s="182" t="e">
        <f>SUM($D$33:D1893)</f>
        <v>#VALUE!</v>
      </c>
      <c r="G1893" s="182">
        <f t="shared" ca="1" si="214"/>
        <v>0</v>
      </c>
      <c r="H1893" s="182" t="e">
        <f t="shared" si="215"/>
        <v>#VALUE!</v>
      </c>
      <c r="I1893" s="183" t="e">
        <f t="shared" si="216"/>
        <v>#VALUE!</v>
      </c>
    </row>
    <row r="1894" spans="1:9" x14ac:dyDescent="0.25">
      <c r="A1894" s="180">
        <f t="shared" ca="1" si="217"/>
        <v>47966</v>
      </c>
      <c r="B1894" s="181">
        <v>1862</v>
      </c>
      <c r="C1894" s="182" t="e">
        <f t="shared" si="211"/>
        <v>#VALUE!</v>
      </c>
      <c r="D1894" s="182" t="e">
        <f t="shared" si="212"/>
        <v>#VALUE!</v>
      </c>
      <c r="E1894" s="182" t="e">
        <f t="shared" si="213"/>
        <v>#VALUE!</v>
      </c>
      <c r="F1894" s="182" t="e">
        <f>SUM($D$33:D1894)</f>
        <v>#VALUE!</v>
      </c>
      <c r="G1894" s="182">
        <f t="shared" ca="1" si="214"/>
        <v>0</v>
      </c>
      <c r="H1894" s="182" t="e">
        <f t="shared" si="215"/>
        <v>#VALUE!</v>
      </c>
      <c r="I1894" s="183" t="e">
        <f t="shared" si="216"/>
        <v>#VALUE!</v>
      </c>
    </row>
    <row r="1895" spans="1:9" x14ac:dyDescent="0.25">
      <c r="A1895" s="180">
        <f t="shared" ca="1" si="217"/>
        <v>47967</v>
      </c>
      <c r="B1895" s="181">
        <v>1863</v>
      </c>
      <c r="C1895" s="182" t="e">
        <f t="shared" si="211"/>
        <v>#VALUE!</v>
      </c>
      <c r="D1895" s="182" t="e">
        <f t="shared" si="212"/>
        <v>#VALUE!</v>
      </c>
      <c r="E1895" s="182" t="e">
        <f t="shared" si="213"/>
        <v>#VALUE!</v>
      </c>
      <c r="F1895" s="182" t="e">
        <f>SUM($D$33:D1895)</f>
        <v>#VALUE!</v>
      </c>
      <c r="G1895" s="182">
        <f t="shared" ca="1" si="214"/>
        <v>0</v>
      </c>
      <c r="H1895" s="182" t="e">
        <f t="shared" si="215"/>
        <v>#VALUE!</v>
      </c>
      <c r="I1895" s="183" t="e">
        <f t="shared" si="216"/>
        <v>#VALUE!</v>
      </c>
    </row>
    <row r="1896" spans="1:9" x14ac:dyDescent="0.25">
      <c r="A1896" s="180">
        <f t="shared" ca="1" si="217"/>
        <v>47968</v>
      </c>
      <c r="B1896" s="181">
        <v>1864</v>
      </c>
      <c r="C1896" s="182" t="e">
        <f t="shared" si="211"/>
        <v>#VALUE!</v>
      </c>
      <c r="D1896" s="182" t="e">
        <f t="shared" si="212"/>
        <v>#VALUE!</v>
      </c>
      <c r="E1896" s="182" t="e">
        <f t="shared" si="213"/>
        <v>#VALUE!</v>
      </c>
      <c r="F1896" s="182" t="e">
        <f>SUM($D$33:D1896)</f>
        <v>#VALUE!</v>
      </c>
      <c r="G1896" s="182">
        <f t="shared" ca="1" si="214"/>
        <v>0</v>
      </c>
      <c r="H1896" s="182" t="e">
        <f t="shared" si="215"/>
        <v>#VALUE!</v>
      </c>
      <c r="I1896" s="183" t="e">
        <f t="shared" si="216"/>
        <v>#VALUE!</v>
      </c>
    </row>
    <row r="1897" spans="1:9" x14ac:dyDescent="0.25">
      <c r="A1897" s="180">
        <f t="shared" ca="1" si="217"/>
        <v>47969</v>
      </c>
      <c r="B1897" s="181">
        <v>1865</v>
      </c>
      <c r="C1897" s="182" t="e">
        <f t="shared" si="211"/>
        <v>#VALUE!</v>
      </c>
      <c r="D1897" s="182" t="e">
        <f t="shared" si="212"/>
        <v>#VALUE!</v>
      </c>
      <c r="E1897" s="182" t="e">
        <f t="shared" si="213"/>
        <v>#VALUE!</v>
      </c>
      <c r="F1897" s="182" t="e">
        <f>SUM($D$33:D1897)</f>
        <v>#VALUE!</v>
      </c>
      <c r="G1897" s="182">
        <f t="shared" ca="1" si="214"/>
        <v>0</v>
      </c>
      <c r="H1897" s="182" t="e">
        <f t="shared" si="215"/>
        <v>#VALUE!</v>
      </c>
      <c r="I1897" s="183" t="e">
        <f t="shared" si="216"/>
        <v>#VALUE!</v>
      </c>
    </row>
    <row r="1898" spans="1:9" x14ac:dyDescent="0.25">
      <c r="A1898" s="180">
        <f t="shared" ca="1" si="217"/>
        <v>47970</v>
      </c>
      <c r="B1898" s="181">
        <v>1866</v>
      </c>
      <c r="C1898" s="182" t="e">
        <f t="shared" si="211"/>
        <v>#VALUE!</v>
      </c>
      <c r="D1898" s="182" t="e">
        <f t="shared" si="212"/>
        <v>#VALUE!</v>
      </c>
      <c r="E1898" s="182" t="e">
        <f t="shared" si="213"/>
        <v>#VALUE!</v>
      </c>
      <c r="F1898" s="182" t="e">
        <f>SUM($D$33:D1898)</f>
        <v>#VALUE!</v>
      </c>
      <c r="G1898" s="182">
        <f t="shared" ca="1" si="214"/>
        <v>0</v>
      </c>
      <c r="H1898" s="182" t="e">
        <f t="shared" si="215"/>
        <v>#VALUE!</v>
      </c>
      <c r="I1898" s="183" t="e">
        <f t="shared" si="216"/>
        <v>#VALUE!</v>
      </c>
    </row>
    <row r="1899" spans="1:9" x14ac:dyDescent="0.25">
      <c r="A1899" s="180">
        <f t="shared" ca="1" si="217"/>
        <v>47971</v>
      </c>
      <c r="B1899" s="181">
        <v>1867</v>
      </c>
      <c r="C1899" s="182" t="e">
        <f t="shared" si="211"/>
        <v>#VALUE!</v>
      </c>
      <c r="D1899" s="182" t="e">
        <f t="shared" si="212"/>
        <v>#VALUE!</v>
      </c>
      <c r="E1899" s="182" t="e">
        <f t="shared" si="213"/>
        <v>#VALUE!</v>
      </c>
      <c r="F1899" s="182" t="e">
        <f>SUM($D$33:D1899)</f>
        <v>#VALUE!</v>
      </c>
      <c r="G1899" s="182">
        <f t="shared" ca="1" si="214"/>
        <v>0</v>
      </c>
      <c r="H1899" s="182" t="e">
        <f t="shared" si="215"/>
        <v>#VALUE!</v>
      </c>
      <c r="I1899" s="183" t="e">
        <f t="shared" si="216"/>
        <v>#VALUE!</v>
      </c>
    </row>
    <row r="1900" spans="1:9" x14ac:dyDescent="0.25">
      <c r="A1900" s="180">
        <f t="shared" ca="1" si="217"/>
        <v>47972</v>
      </c>
      <c r="B1900" s="181">
        <v>1868</v>
      </c>
      <c r="C1900" s="182" t="e">
        <f t="shared" si="211"/>
        <v>#VALUE!</v>
      </c>
      <c r="D1900" s="182" t="e">
        <f t="shared" si="212"/>
        <v>#VALUE!</v>
      </c>
      <c r="E1900" s="182" t="e">
        <f t="shared" si="213"/>
        <v>#VALUE!</v>
      </c>
      <c r="F1900" s="182" t="e">
        <f>SUM($D$33:D1900)</f>
        <v>#VALUE!</v>
      </c>
      <c r="G1900" s="182">
        <f t="shared" ca="1" si="214"/>
        <v>0</v>
      </c>
      <c r="H1900" s="182" t="e">
        <f t="shared" si="215"/>
        <v>#VALUE!</v>
      </c>
      <c r="I1900" s="183" t="e">
        <f t="shared" si="216"/>
        <v>#VALUE!</v>
      </c>
    </row>
    <row r="1901" spans="1:9" x14ac:dyDescent="0.25">
      <c r="A1901" s="180">
        <f t="shared" ca="1" si="217"/>
        <v>47973</v>
      </c>
      <c r="B1901" s="181">
        <v>1869</v>
      </c>
      <c r="C1901" s="182" t="e">
        <f t="shared" si="211"/>
        <v>#VALUE!</v>
      </c>
      <c r="D1901" s="182" t="e">
        <f t="shared" si="212"/>
        <v>#VALUE!</v>
      </c>
      <c r="E1901" s="182" t="e">
        <f t="shared" si="213"/>
        <v>#VALUE!</v>
      </c>
      <c r="F1901" s="182" t="e">
        <f>SUM($D$33:D1901)</f>
        <v>#VALUE!</v>
      </c>
      <c r="G1901" s="182">
        <f t="shared" ca="1" si="214"/>
        <v>0</v>
      </c>
      <c r="H1901" s="182" t="e">
        <f t="shared" si="215"/>
        <v>#VALUE!</v>
      </c>
      <c r="I1901" s="183" t="e">
        <f t="shared" si="216"/>
        <v>#VALUE!</v>
      </c>
    </row>
    <row r="1902" spans="1:9" x14ac:dyDescent="0.25">
      <c r="A1902" s="180">
        <f t="shared" ca="1" si="217"/>
        <v>47974</v>
      </c>
      <c r="B1902" s="181">
        <v>1870</v>
      </c>
      <c r="C1902" s="182" t="e">
        <f t="shared" si="211"/>
        <v>#VALUE!</v>
      </c>
      <c r="D1902" s="182" t="e">
        <f t="shared" si="212"/>
        <v>#VALUE!</v>
      </c>
      <c r="E1902" s="182" t="e">
        <f t="shared" si="213"/>
        <v>#VALUE!</v>
      </c>
      <c r="F1902" s="182" t="e">
        <f>SUM($D$33:D1902)</f>
        <v>#VALUE!</v>
      </c>
      <c r="G1902" s="182">
        <f t="shared" ca="1" si="214"/>
        <v>0</v>
      </c>
      <c r="H1902" s="182" t="e">
        <f t="shared" si="215"/>
        <v>#VALUE!</v>
      </c>
      <c r="I1902" s="183" t="e">
        <f t="shared" si="216"/>
        <v>#VALUE!</v>
      </c>
    </row>
    <row r="1903" spans="1:9" x14ac:dyDescent="0.25">
      <c r="A1903" s="180">
        <f t="shared" ca="1" si="217"/>
        <v>47975</v>
      </c>
      <c r="B1903" s="181">
        <v>1871</v>
      </c>
      <c r="C1903" s="182" t="e">
        <f t="shared" si="211"/>
        <v>#VALUE!</v>
      </c>
      <c r="D1903" s="182" t="e">
        <f t="shared" si="212"/>
        <v>#VALUE!</v>
      </c>
      <c r="E1903" s="182" t="e">
        <f t="shared" si="213"/>
        <v>#VALUE!</v>
      </c>
      <c r="F1903" s="182" t="e">
        <f>SUM($D$33:D1903)</f>
        <v>#VALUE!</v>
      </c>
      <c r="G1903" s="182">
        <f t="shared" ca="1" si="214"/>
        <v>0</v>
      </c>
      <c r="H1903" s="182" t="e">
        <f t="shared" si="215"/>
        <v>#VALUE!</v>
      </c>
      <c r="I1903" s="183" t="e">
        <f t="shared" si="216"/>
        <v>#VALUE!</v>
      </c>
    </row>
    <row r="1904" spans="1:9" x14ac:dyDescent="0.25">
      <c r="A1904" s="180">
        <f t="shared" ca="1" si="217"/>
        <v>47976</v>
      </c>
      <c r="B1904" s="181">
        <v>1872</v>
      </c>
      <c r="C1904" s="182" t="e">
        <f t="shared" si="211"/>
        <v>#VALUE!</v>
      </c>
      <c r="D1904" s="182" t="e">
        <f t="shared" si="212"/>
        <v>#VALUE!</v>
      </c>
      <c r="E1904" s="182" t="e">
        <f t="shared" si="213"/>
        <v>#VALUE!</v>
      </c>
      <c r="F1904" s="182" t="e">
        <f>SUM($D$33:D1904)</f>
        <v>#VALUE!</v>
      </c>
      <c r="G1904" s="182">
        <f t="shared" ca="1" si="214"/>
        <v>0</v>
      </c>
      <c r="H1904" s="182" t="e">
        <f t="shared" si="215"/>
        <v>#VALUE!</v>
      </c>
      <c r="I1904" s="183" t="e">
        <f t="shared" si="216"/>
        <v>#VALUE!</v>
      </c>
    </row>
    <row r="1905" spans="1:9" x14ac:dyDescent="0.25">
      <c r="A1905" s="180">
        <f t="shared" ca="1" si="217"/>
        <v>47977</v>
      </c>
      <c r="B1905" s="181">
        <v>1873</v>
      </c>
      <c r="C1905" s="182" t="e">
        <f t="shared" si="211"/>
        <v>#VALUE!</v>
      </c>
      <c r="D1905" s="182" t="e">
        <f t="shared" si="212"/>
        <v>#VALUE!</v>
      </c>
      <c r="E1905" s="182" t="e">
        <f t="shared" si="213"/>
        <v>#VALUE!</v>
      </c>
      <c r="F1905" s="182" t="e">
        <f>SUM($D$33:D1905)</f>
        <v>#VALUE!</v>
      </c>
      <c r="G1905" s="182">
        <f t="shared" ca="1" si="214"/>
        <v>0</v>
      </c>
      <c r="H1905" s="182" t="e">
        <f t="shared" si="215"/>
        <v>#VALUE!</v>
      </c>
      <c r="I1905" s="183" t="e">
        <f t="shared" si="216"/>
        <v>#VALUE!</v>
      </c>
    </row>
    <row r="1906" spans="1:9" x14ac:dyDescent="0.25">
      <c r="A1906" s="180">
        <f t="shared" ca="1" si="217"/>
        <v>47978</v>
      </c>
      <c r="B1906" s="181">
        <v>1874</v>
      </c>
      <c r="C1906" s="182" t="e">
        <f t="shared" si="211"/>
        <v>#VALUE!</v>
      </c>
      <c r="D1906" s="182" t="e">
        <f t="shared" si="212"/>
        <v>#VALUE!</v>
      </c>
      <c r="E1906" s="182" t="e">
        <f t="shared" si="213"/>
        <v>#VALUE!</v>
      </c>
      <c r="F1906" s="182" t="e">
        <f>SUM($D$33:D1906)</f>
        <v>#VALUE!</v>
      </c>
      <c r="G1906" s="182">
        <f t="shared" ca="1" si="214"/>
        <v>0</v>
      </c>
      <c r="H1906" s="182" t="e">
        <f t="shared" si="215"/>
        <v>#VALUE!</v>
      </c>
      <c r="I1906" s="183" t="e">
        <f t="shared" si="216"/>
        <v>#VALUE!</v>
      </c>
    </row>
    <row r="1907" spans="1:9" x14ac:dyDescent="0.25">
      <c r="A1907" s="180">
        <f t="shared" ca="1" si="217"/>
        <v>47979</v>
      </c>
      <c r="B1907" s="181">
        <v>1875</v>
      </c>
      <c r="C1907" s="182" t="e">
        <f t="shared" si="211"/>
        <v>#VALUE!</v>
      </c>
      <c r="D1907" s="182" t="e">
        <f t="shared" si="212"/>
        <v>#VALUE!</v>
      </c>
      <c r="E1907" s="182" t="e">
        <f t="shared" si="213"/>
        <v>#VALUE!</v>
      </c>
      <c r="F1907" s="182" t="e">
        <f>SUM($D$33:D1907)</f>
        <v>#VALUE!</v>
      </c>
      <c r="G1907" s="182">
        <f t="shared" ca="1" si="214"/>
        <v>0</v>
      </c>
      <c r="H1907" s="182" t="e">
        <f t="shared" si="215"/>
        <v>#VALUE!</v>
      </c>
      <c r="I1907" s="183" t="e">
        <f t="shared" si="216"/>
        <v>#VALUE!</v>
      </c>
    </row>
    <row r="1908" spans="1:9" x14ac:dyDescent="0.25">
      <c r="A1908" s="180">
        <f t="shared" ca="1" si="217"/>
        <v>47980</v>
      </c>
      <c r="B1908" s="181">
        <v>1876</v>
      </c>
      <c r="C1908" s="182" t="e">
        <f t="shared" si="211"/>
        <v>#VALUE!</v>
      </c>
      <c r="D1908" s="182" t="e">
        <f t="shared" si="212"/>
        <v>#VALUE!</v>
      </c>
      <c r="E1908" s="182" t="e">
        <f t="shared" si="213"/>
        <v>#VALUE!</v>
      </c>
      <c r="F1908" s="182" t="e">
        <f>SUM($D$33:D1908)</f>
        <v>#VALUE!</v>
      </c>
      <c r="G1908" s="182">
        <f t="shared" ca="1" si="214"/>
        <v>0</v>
      </c>
      <c r="H1908" s="182" t="e">
        <f t="shared" si="215"/>
        <v>#VALUE!</v>
      </c>
      <c r="I1908" s="183" t="e">
        <f t="shared" si="216"/>
        <v>#VALUE!</v>
      </c>
    </row>
    <row r="1909" spans="1:9" x14ac:dyDescent="0.25">
      <c r="A1909" s="180">
        <f t="shared" ca="1" si="217"/>
        <v>47981</v>
      </c>
      <c r="B1909" s="181">
        <v>1877</v>
      </c>
      <c r="C1909" s="182" t="e">
        <f t="shared" si="211"/>
        <v>#VALUE!</v>
      </c>
      <c r="D1909" s="182" t="e">
        <f t="shared" si="212"/>
        <v>#VALUE!</v>
      </c>
      <c r="E1909" s="182" t="e">
        <f t="shared" si="213"/>
        <v>#VALUE!</v>
      </c>
      <c r="F1909" s="182" t="e">
        <f>SUM($D$33:D1909)</f>
        <v>#VALUE!</v>
      </c>
      <c r="G1909" s="182">
        <f t="shared" ca="1" si="214"/>
        <v>0</v>
      </c>
      <c r="H1909" s="182" t="e">
        <f t="shared" si="215"/>
        <v>#VALUE!</v>
      </c>
      <c r="I1909" s="183" t="e">
        <f t="shared" si="216"/>
        <v>#VALUE!</v>
      </c>
    </row>
    <row r="1910" spans="1:9" x14ac:dyDescent="0.25">
      <c r="A1910" s="180">
        <f t="shared" ca="1" si="217"/>
        <v>47982</v>
      </c>
      <c r="B1910" s="181">
        <v>1878</v>
      </c>
      <c r="C1910" s="182" t="e">
        <f t="shared" si="211"/>
        <v>#VALUE!</v>
      </c>
      <c r="D1910" s="182" t="e">
        <f t="shared" si="212"/>
        <v>#VALUE!</v>
      </c>
      <c r="E1910" s="182" t="e">
        <f t="shared" si="213"/>
        <v>#VALUE!</v>
      </c>
      <c r="F1910" s="182" t="e">
        <f>SUM($D$33:D1910)</f>
        <v>#VALUE!</v>
      </c>
      <c r="G1910" s="182">
        <f t="shared" ca="1" si="214"/>
        <v>0</v>
      </c>
      <c r="H1910" s="182" t="e">
        <f t="shared" si="215"/>
        <v>#VALUE!</v>
      </c>
      <c r="I1910" s="183" t="e">
        <f t="shared" si="216"/>
        <v>#VALUE!</v>
      </c>
    </row>
    <row r="1911" spans="1:9" x14ac:dyDescent="0.25">
      <c r="A1911" s="180">
        <f t="shared" ca="1" si="217"/>
        <v>47983</v>
      </c>
      <c r="B1911" s="181">
        <v>1879</v>
      </c>
      <c r="C1911" s="182" t="e">
        <f t="shared" si="211"/>
        <v>#VALUE!</v>
      </c>
      <c r="D1911" s="182" t="e">
        <f t="shared" si="212"/>
        <v>#VALUE!</v>
      </c>
      <c r="E1911" s="182" t="e">
        <f t="shared" si="213"/>
        <v>#VALUE!</v>
      </c>
      <c r="F1911" s="182" t="e">
        <f>SUM($D$33:D1911)</f>
        <v>#VALUE!</v>
      </c>
      <c r="G1911" s="182">
        <f t="shared" ca="1" si="214"/>
        <v>0</v>
      </c>
      <c r="H1911" s="182" t="e">
        <f t="shared" si="215"/>
        <v>#VALUE!</v>
      </c>
      <c r="I1911" s="183" t="e">
        <f t="shared" si="216"/>
        <v>#VALUE!</v>
      </c>
    </row>
    <row r="1912" spans="1:9" x14ac:dyDescent="0.25">
      <c r="A1912" s="180">
        <f t="shared" ca="1" si="217"/>
        <v>47984</v>
      </c>
      <c r="B1912" s="181">
        <v>1880</v>
      </c>
      <c r="C1912" s="182" t="e">
        <f t="shared" si="211"/>
        <v>#VALUE!</v>
      </c>
      <c r="D1912" s="182" t="e">
        <f t="shared" si="212"/>
        <v>#VALUE!</v>
      </c>
      <c r="E1912" s="182" t="e">
        <f t="shared" si="213"/>
        <v>#VALUE!</v>
      </c>
      <c r="F1912" s="182" t="e">
        <f>SUM($D$33:D1912)</f>
        <v>#VALUE!</v>
      </c>
      <c r="G1912" s="182">
        <f t="shared" ca="1" si="214"/>
        <v>0</v>
      </c>
      <c r="H1912" s="182" t="e">
        <f t="shared" si="215"/>
        <v>#VALUE!</v>
      </c>
      <c r="I1912" s="183" t="e">
        <f t="shared" si="216"/>
        <v>#VALUE!</v>
      </c>
    </row>
    <row r="1913" spans="1:9" x14ac:dyDescent="0.25">
      <c r="A1913" s="180">
        <f t="shared" ca="1" si="217"/>
        <v>47985</v>
      </c>
      <c r="B1913" s="181">
        <v>1881</v>
      </c>
      <c r="C1913" s="182" t="e">
        <f t="shared" si="211"/>
        <v>#VALUE!</v>
      </c>
      <c r="D1913" s="182" t="e">
        <f t="shared" si="212"/>
        <v>#VALUE!</v>
      </c>
      <c r="E1913" s="182" t="e">
        <f t="shared" si="213"/>
        <v>#VALUE!</v>
      </c>
      <c r="F1913" s="182" t="e">
        <f>SUM($D$33:D1913)</f>
        <v>#VALUE!</v>
      </c>
      <c r="G1913" s="182">
        <f t="shared" ca="1" si="214"/>
        <v>0</v>
      </c>
      <c r="H1913" s="182" t="e">
        <f t="shared" si="215"/>
        <v>#VALUE!</v>
      </c>
      <c r="I1913" s="183" t="e">
        <f t="shared" si="216"/>
        <v>#VALUE!</v>
      </c>
    </row>
    <row r="1914" spans="1:9" x14ac:dyDescent="0.25">
      <c r="A1914" s="180">
        <f t="shared" ca="1" si="217"/>
        <v>47986</v>
      </c>
      <c r="B1914" s="181">
        <v>1882</v>
      </c>
      <c r="C1914" s="182" t="e">
        <f t="shared" si="211"/>
        <v>#VALUE!</v>
      </c>
      <c r="D1914" s="182" t="e">
        <f t="shared" si="212"/>
        <v>#VALUE!</v>
      </c>
      <c r="E1914" s="182" t="e">
        <f t="shared" si="213"/>
        <v>#VALUE!</v>
      </c>
      <c r="F1914" s="182" t="e">
        <f>SUM($D$33:D1914)</f>
        <v>#VALUE!</v>
      </c>
      <c r="G1914" s="182">
        <f t="shared" ca="1" si="214"/>
        <v>0</v>
      </c>
      <c r="H1914" s="182" t="e">
        <f t="shared" si="215"/>
        <v>#VALUE!</v>
      </c>
      <c r="I1914" s="183" t="e">
        <f t="shared" si="216"/>
        <v>#VALUE!</v>
      </c>
    </row>
    <row r="1915" spans="1:9" x14ac:dyDescent="0.25">
      <c r="A1915" s="180">
        <f t="shared" ca="1" si="217"/>
        <v>47987</v>
      </c>
      <c r="B1915" s="181">
        <v>1883</v>
      </c>
      <c r="C1915" s="182" t="e">
        <f t="shared" si="211"/>
        <v>#VALUE!</v>
      </c>
      <c r="D1915" s="182" t="e">
        <f t="shared" si="212"/>
        <v>#VALUE!</v>
      </c>
      <c r="E1915" s="182" t="e">
        <f t="shared" si="213"/>
        <v>#VALUE!</v>
      </c>
      <c r="F1915" s="182" t="e">
        <f>SUM($D$33:D1915)</f>
        <v>#VALUE!</v>
      </c>
      <c r="G1915" s="182">
        <f t="shared" ca="1" si="214"/>
        <v>0</v>
      </c>
      <c r="H1915" s="182" t="e">
        <f t="shared" si="215"/>
        <v>#VALUE!</v>
      </c>
      <c r="I1915" s="183" t="e">
        <f t="shared" si="216"/>
        <v>#VALUE!</v>
      </c>
    </row>
    <row r="1916" spans="1:9" x14ac:dyDescent="0.25">
      <c r="A1916" s="180">
        <f t="shared" ca="1" si="217"/>
        <v>47988</v>
      </c>
      <c r="B1916" s="181">
        <v>1884</v>
      </c>
      <c r="C1916" s="182" t="e">
        <f t="shared" si="211"/>
        <v>#VALUE!</v>
      </c>
      <c r="D1916" s="182" t="e">
        <f t="shared" si="212"/>
        <v>#VALUE!</v>
      </c>
      <c r="E1916" s="182" t="e">
        <f t="shared" si="213"/>
        <v>#VALUE!</v>
      </c>
      <c r="F1916" s="182" t="e">
        <f>SUM($D$33:D1916)</f>
        <v>#VALUE!</v>
      </c>
      <c r="G1916" s="182">
        <f t="shared" ca="1" si="214"/>
        <v>0</v>
      </c>
      <c r="H1916" s="182" t="e">
        <f t="shared" si="215"/>
        <v>#VALUE!</v>
      </c>
      <c r="I1916" s="183" t="e">
        <f t="shared" si="216"/>
        <v>#VALUE!</v>
      </c>
    </row>
    <row r="1917" spans="1:9" x14ac:dyDescent="0.25">
      <c r="A1917" s="180">
        <f t="shared" ca="1" si="217"/>
        <v>47989</v>
      </c>
      <c r="B1917" s="181">
        <v>1885</v>
      </c>
      <c r="C1917" s="182" t="e">
        <f t="shared" si="211"/>
        <v>#VALUE!</v>
      </c>
      <c r="D1917" s="182" t="e">
        <f t="shared" si="212"/>
        <v>#VALUE!</v>
      </c>
      <c r="E1917" s="182" t="e">
        <f t="shared" si="213"/>
        <v>#VALUE!</v>
      </c>
      <c r="F1917" s="182" t="e">
        <f>SUM($D$33:D1917)</f>
        <v>#VALUE!</v>
      </c>
      <c r="G1917" s="182">
        <f t="shared" ca="1" si="214"/>
        <v>0</v>
      </c>
      <c r="H1917" s="182" t="e">
        <f t="shared" si="215"/>
        <v>#VALUE!</v>
      </c>
      <c r="I1917" s="183" t="e">
        <f t="shared" si="216"/>
        <v>#VALUE!</v>
      </c>
    </row>
    <row r="1918" spans="1:9" x14ac:dyDescent="0.25">
      <c r="A1918" s="180">
        <f t="shared" ca="1" si="217"/>
        <v>47990</v>
      </c>
      <c r="B1918" s="181">
        <v>1886</v>
      </c>
      <c r="C1918" s="182" t="e">
        <f t="shared" si="211"/>
        <v>#VALUE!</v>
      </c>
      <c r="D1918" s="182" t="e">
        <f t="shared" si="212"/>
        <v>#VALUE!</v>
      </c>
      <c r="E1918" s="182" t="e">
        <f t="shared" si="213"/>
        <v>#VALUE!</v>
      </c>
      <c r="F1918" s="182" t="e">
        <f>SUM($D$33:D1918)</f>
        <v>#VALUE!</v>
      </c>
      <c r="G1918" s="182">
        <f t="shared" ca="1" si="214"/>
        <v>0</v>
      </c>
      <c r="H1918" s="182" t="e">
        <f t="shared" si="215"/>
        <v>#VALUE!</v>
      </c>
      <c r="I1918" s="183" t="e">
        <f t="shared" si="216"/>
        <v>#VALUE!</v>
      </c>
    </row>
    <row r="1919" spans="1:9" x14ac:dyDescent="0.25">
      <c r="A1919" s="180">
        <f t="shared" ca="1" si="217"/>
        <v>47991</v>
      </c>
      <c r="B1919" s="181">
        <v>1887</v>
      </c>
      <c r="C1919" s="182" t="e">
        <f t="shared" si="211"/>
        <v>#VALUE!</v>
      </c>
      <c r="D1919" s="182" t="e">
        <f t="shared" si="212"/>
        <v>#VALUE!</v>
      </c>
      <c r="E1919" s="182" t="e">
        <f t="shared" si="213"/>
        <v>#VALUE!</v>
      </c>
      <c r="F1919" s="182" t="e">
        <f>SUM($D$33:D1919)</f>
        <v>#VALUE!</v>
      </c>
      <c r="G1919" s="182">
        <f t="shared" ca="1" si="214"/>
        <v>0</v>
      </c>
      <c r="H1919" s="182" t="e">
        <f t="shared" si="215"/>
        <v>#VALUE!</v>
      </c>
      <c r="I1919" s="183" t="e">
        <f t="shared" si="216"/>
        <v>#VALUE!</v>
      </c>
    </row>
    <row r="1920" spans="1:9" x14ac:dyDescent="0.25">
      <c r="A1920" s="180">
        <f t="shared" ca="1" si="217"/>
        <v>47992</v>
      </c>
      <c r="B1920" s="181">
        <v>1888</v>
      </c>
      <c r="C1920" s="182" t="e">
        <f t="shared" si="211"/>
        <v>#VALUE!</v>
      </c>
      <c r="D1920" s="182" t="e">
        <f t="shared" si="212"/>
        <v>#VALUE!</v>
      </c>
      <c r="E1920" s="182" t="e">
        <f t="shared" si="213"/>
        <v>#VALUE!</v>
      </c>
      <c r="F1920" s="182" t="e">
        <f>SUM($D$33:D1920)</f>
        <v>#VALUE!</v>
      </c>
      <c r="G1920" s="182">
        <f t="shared" ca="1" si="214"/>
        <v>0</v>
      </c>
      <c r="H1920" s="182" t="e">
        <f t="shared" si="215"/>
        <v>#VALUE!</v>
      </c>
      <c r="I1920" s="183" t="e">
        <f t="shared" si="216"/>
        <v>#VALUE!</v>
      </c>
    </row>
    <row r="1921" spans="1:9" x14ac:dyDescent="0.25">
      <c r="A1921" s="180">
        <f t="shared" ca="1" si="217"/>
        <v>47993</v>
      </c>
      <c r="B1921" s="181">
        <v>1889</v>
      </c>
      <c r="C1921" s="182" t="e">
        <f t="shared" si="211"/>
        <v>#VALUE!</v>
      </c>
      <c r="D1921" s="182" t="e">
        <f t="shared" si="212"/>
        <v>#VALUE!</v>
      </c>
      <c r="E1921" s="182" t="e">
        <f t="shared" si="213"/>
        <v>#VALUE!</v>
      </c>
      <c r="F1921" s="182" t="e">
        <f>SUM($D$33:D1921)</f>
        <v>#VALUE!</v>
      </c>
      <c r="G1921" s="182">
        <f t="shared" ca="1" si="214"/>
        <v>0</v>
      </c>
      <c r="H1921" s="182" t="e">
        <f t="shared" si="215"/>
        <v>#VALUE!</v>
      </c>
      <c r="I1921" s="183" t="e">
        <f t="shared" si="216"/>
        <v>#VALUE!</v>
      </c>
    </row>
    <row r="1922" spans="1:9" x14ac:dyDescent="0.25">
      <c r="A1922" s="180">
        <f t="shared" ca="1" si="217"/>
        <v>47994</v>
      </c>
      <c r="B1922" s="181">
        <v>1890</v>
      </c>
      <c r="C1922" s="182" t="e">
        <f t="shared" si="211"/>
        <v>#VALUE!</v>
      </c>
      <c r="D1922" s="182" t="e">
        <f t="shared" si="212"/>
        <v>#VALUE!</v>
      </c>
      <c r="E1922" s="182" t="e">
        <f t="shared" si="213"/>
        <v>#VALUE!</v>
      </c>
      <c r="F1922" s="182" t="e">
        <f>SUM($D$33:D1922)</f>
        <v>#VALUE!</v>
      </c>
      <c r="G1922" s="182">
        <f t="shared" ca="1" si="214"/>
        <v>0</v>
      </c>
      <c r="H1922" s="182" t="e">
        <f t="shared" si="215"/>
        <v>#VALUE!</v>
      </c>
      <c r="I1922" s="183" t="e">
        <f t="shared" si="216"/>
        <v>#VALUE!</v>
      </c>
    </row>
    <row r="1923" spans="1:9" x14ac:dyDescent="0.25">
      <c r="A1923" s="180">
        <f t="shared" ca="1" si="217"/>
        <v>47995</v>
      </c>
      <c r="B1923" s="181">
        <v>1891</v>
      </c>
      <c r="C1923" s="182" t="e">
        <f t="shared" si="211"/>
        <v>#VALUE!</v>
      </c>
      <c r="D1923" s="182" t="e">
        <f t="shared" si="212"/>
        <v>#VALUE!</v>
      </c>
      <c r="E1923" s="182" t="e">
        <f t="shared" si="213"/>
        <v>#VALUE!</v>
      </c>
      <c r="F1923" s="182" t="e">
        <f>SUM($D$33:D1923)</f>
        <v>#VALUE!</v>
      </c>
      <c r="G1923" s="182">
        <f t="shared" ca="1" si="214"/>
        <v>0</v>
      </c>
      <c r="H1923" s="182" t="e">
        <f t="shared" si="215"/>
        <v>#VALUE!</v>
      </c>
      <c r="I1923" s="183" t="e">
        <f t="shared" si="216"/>
        <v>#VALUE!</v>
      </c>
    </row>
    <row r="1924" spans="1:9" x14ac:dyDescent="0.25">
      <c r="A1924" s="180">
        <f t="shared" ca="1" si="217"/>
        <v>47996</v>
      </c>
      <c r="B1924" s="181">
        <v>1892</v>
      </c>
      <c r="C1924" s="182" t="e">
        <f t="shared" si="211"/>
        <v>#VALUE!</v>
      </c>
      <c r="D1924" s="182" t="e">
        <f t="shared" si="212"/>
        <v>#VALUE!</v>
      </c>
      <c r="E1924" s="182" t="e">
        <f t="shared" si="213"/>
        <v>#VALUE!</v>
      </c>
      <c r="F1924" s="182" t="e">
        <f>SUM($D$33:D1924)</f>
        <v>#VALUE!</v>
      </c>
      <c r="G1924" s="182">
        <f t="shared" ca="1" si="214"/>
        <v>0</v>
      </c>
      <c r="H1924" s="182" t="e">
        <f t="shared" si="215"/>
        <v>#VALUE!</v>
      </c>
      <c r="I1924" s="183" t="e">
        <f t="shared" si="216"/>
        <v>#VALUE!</v>
      </c>
    </row>
    <row r="1925" spans="1:9" x14ac:dyDescent="0.25">
      <c r="A1925" s="180">
        <f t="shared" ca="1" si="217"/>
        <v>47997</v>
      </c>
      <c r="B1925" s="181">
        <v>1893</v>
      </c>
      <c r="C1925" s="182" t="e">
        <f t="shared" si="211"/>
        <v>#VALUE!</v>
      </c>
      <c r="D1925" s="182" t="e">
        <f t="shared" si="212"/>
        <v>#VALUE!</v>
      </c>
      <c r="E1925" s="182" t="e">
        <f t="shared" si="213"/>
        <v>#VALUE!</v>
      </c>
      <c r="F1925" s="182" t="e">
        <f>SUM($D$33:D1925)</f>
        <v>#VALUE!</v>
      </c>
      <c r="G1925" s="182">
        <f t="shared" ca="1" si="214"/>
        <v>0</v>
      </c>
      <c r="H1925" s="182" t="e">
        <f t="shared" si="215"/>
        <v>#VALUE!</v>
      </c>
      <c r="I1925" s="183" t="e">
        <f t="shared" si="216"/>
        <v>#VALUE!</v>
      </c>
    </row>
    <row r="1926" spans="1:9" x14ac:dyDescent="0.25">
      <c r="A1926" s="180">
        <f t="shared" ca="1" si="217"/>
        <v>47998</v>
      </c>
      <c r="B1926" s="181">
        <v>1894</v>
      </c>
      <c r="C1926" s="182" t="e">
        <f t="shared" si="211"/>
        <v>#VALUE!</v>
      </c>
      <c r="D1926" s="182" t="e">
        <f t="shared" si="212"/>
        <v>#VALUE!</v>
      </c>
      <c r="E1926" s="182" t="e">
        <f t="shared" si="213"/>
        <v>#VALUE!</v>
      </c>
      <c r="F1926" s="182" t="e">
        <f>SUM($D$33:D1926)</f>
        <v>#VALUE!</v>
      </c>
      <c r="G1926" s="182">
        <f t="shared" ca="1" si="214"/>
        <v>0</v>
      </c>
      <c r="H1926" s="182" t="e">
        <f t="shared" si="215"/>
        <v>#VALUE!</v>
      </c>
      <c r="I1926" s="183" t="e">
        <f t="shared" si="216"/>
        <v>#VALUE!</v>
      </c>
    </row>
    <row r="1927" spans="1:9" x14ac:dyDescent="0.25">
      <c r="A1927" s="180">
        <f t="shared" ca="1" si="217"/>
        <v>47999</v>
      </c>
      <c r="B1927" s="181">
        <v>1895</v>
      </c>
      <c r="C1927" s="182" t="e">
        <f t="shared" si="211"/>
        <v>#VALUE!</v>
      </c>
      <c r="D1927" s="182" t="e">
        <f t="shared" si="212"/>
        <v>#VALUE!</v>
      </c>
      <c r="E1927" s="182" t="e">
        <f t="shared" si="213"/>
        <v>#VALUE!</v>
      </c>
      <c r="F1927" s="182" t="e">
        <f>SUM($D$33:D1927)</f>
        <v>#VALUE!</v>
      </c>
      <c r="G1927" s="182">
        <f t="shared" ca="1" si="214"/>
        <v>0</v>
      </c>
      <c r="H1927" s="182" t="e">
        <f t="shared" si="215"/>
        <v>#VALUE!</v>
      </c>
      <c r="I1927" s="183" t="e">
        <f t="shared" si="216"/>
        <v>#VALUE!</v>
      </c>
    </row>
    <row r="1928" spans="1:9" x14ac:dyDescent="0.25">
      <c r="A1928" s="180">
        <f t="shared" ca="1" si="217"/>
        <v>48000</v>
      </c>
      <c r="B1928" s="181">
        <v>1896</v>
      </c>
      <c r="C1928" s="182" t="e">
        <f t="shared" si="211"/>
        <v>#VALUE!</v>
      </c>
      <c r="D1928" s="182" t="e">
        <f t="shared" si="212"/>
        <v>#VALUE!</v>
      </c>
      <c r="E1928" s="182" t="e">
        <f t="shared" si="213"/>
        <v>#VALUE!</v>
      </c>
      <c r="F1928" s="182" t="e">
        <f>SUM($D$33:D1928)</f>
        <v>#VALUE!</v>
      </c>
      <c r="G1928" s="182">
        <f t="shared" ca="1" si="214"/>
        <v>0</v>
      </c>
      <c r="H1928" s="182" t="e">
        <f t="shared" si="215"/>
        <v>#VALUE!</v>
      </c>
      <c r="I1928" s="183" t="e">
        <f t="shared" si="216"/>
        <v>#VALUE!</v>
      </c>
    </row>
    <row r="1929" spans="1:9" x14ac:dyDescent="0.25">
      <c r="A1929" s="180">
        <f t="shared" ca="1" si="217"/>
        <v>48001</v>
      </c>
      <c r="B1929" s="181">
        <v>1897</v>
      </c>
      <c r="C1929" s="182" t="e">
        <f t="shared" si="211"/>
        <v>#VALUE!</v>
      </c>
      <c r="D1929" s="182" t="e">
        <f t="shared" si="212"/>
        <v>#VALUE!</v>
      </c>
      <c r="E1929" s="182" t="e">
        <f t="shared" si="213"/>
        <v>#VALUE!</v>
      </c>
      <c r="F1929" s="182" t="e">
        <f>SUM($D$33:D1929)</f>
        <v>#VALUE!</v>
      </c>
      <c r="G1929" s="182">
        <f t="shared" ca="1" si="214"/>
        <v>0</v>
      </c>
      <c r="H1929" s="182" t="e">
        <f t="shared" si="215"/>
        <v>#VALUE!</v>
      </c>
      <c r="I1929" s="183" t="e">
        <f t="shared" si="216"/>
        <v>#VALUE!</v>
      </c>
    </row>
    <row r="1930" spans="1:9" x14ac:dyDescent="0.25">
      <c r="A1930" s="180">
        <f t="shared" ca="1" si="217"/>
        <v>48002</v>
      </c>
      <c r="B1930" s="181">
        <v>1898</v>
      </c>
      <c r="C1930" s="182" t="e">
        <f t="shared" si="211"/>
        <v>#VALUE!</v>
      </c>
      <c r="D1930" s="182" t="e">
        <f t="shared" si="212"/>
        <v>#VALUE!</v>
      </c>
      <c r="E1930" s="182" t="e">
        <f t="shared" si="213"/>
        <v>#VALUE!</v>
      </c>
      <c r="F1930" s="182" t="e">
        <f>SUM($D$33:D1930)</f>
        <v>#VALUE!</v>
      </c>
      <c r="G1930" s="182">
        <f t="shared" ca="1" si="214"/>
        <v>0</v>
      </c>
      <c r="H1930" s="182" t="e">
        <f t="shared" si="215"/>
        <v>#VALUE!</v>
      </c>
      <c r="I1930" s="183" t="e">
        <f t="shared" si="216"/>
        <v>#VALUE!</v>
      </c>
    </row>
    <row r="1931" spans="1:9" x14ac:dyDescent="0.25">
      <c r="A1931" s="180">
        <f t="shared" ca="1" si="217"/>
        <v>48003</v>
      </c>
      <c r="B1931" s="181">
        <v>1899</v>
      </c>
      <c r="C1931" s="182" t="e">
        <f t="shared" si="211"/>
        <v>#VALUE!</v>
      </c>
      <c r="D1931" s="182" t="e">
        <f t="shared" si="212"/>
        <v>#VALUE!</v>
      </c>
      <c r="E1931" s="182" t="e">
        <f t="shared" si="213"/>
        <v>#VALUE!</v>
      </c>
      <c r="F1931" s="182" t="e">
        <f>SUM($D$33:D1931)</f>
        <v>#VALUE!</v>
      </c>
      <c r="G1931" s="182">
        <f t="shared" ca="1" si="214"/>
        <v>0</v>
      </c>
      <c r="H1931" s="182" t="e">
        <f t="shared" si="215"/>
        <v>#VALUE!</v>
      </c>
      <c r="I1931" s="183" t="e">
        <f t="shared" si="216"/>
        <v>#VALUE!</v>
      </c>
    </row>
    <row r="1932" spans="1:9" x14ac:dyDescent="0.25">
      <c r="A1932" s="180">
        <f t="shared" ca="1" si="217"/>
        <v>48004</v>
      </c>
      <c r="B1932" s="181">
        <v>1900</v>
      </c>
      <c r="C1932" s="182" t="e">
        <f t="shared" si="211"/>
        <v>#VALUE!</v>
      </c>
      <c r="D1932" s="182" t="e">
        <f t="shared" si="212"/>
        <v>#VALUE!</v>
      </c>
      <c r="E1932" s="182" t="e">
        <f t="shared" si="213"/>
        <v>#VALUE!</v>
      </c>
      <c r="F1932" s="182" t="e">
        <f>SUM($D$33:D1932)</f>
        <v>#VALUE!</v>
      </c>
      <c r="G1932" s="182">
        <f t="shared" ca="1" si="214"/>
        <v>0</v>
      </c>
      <c r="H1932" s="182" t="e">
        <f t="shared" si="215"/>
        <v>#VALUE!</v>
      </c>
      <c r="I1932" s="183" t="e">
        <f t="shared" si="216"/>
        <v>#VALUE!</v>
      </c>
    </row>
    <row r="1933" spans="1:9" x14ac:dyDescent="0.25">
      <c r="A1933" s="180">
        <f t="shared" ca="1" si="217"/>
        <v>48005</v>
      </c>
      <c r="B1933" s="181">
        <v>1901</v>
      </c>
      <c r="C1933" s="182" t="e">
        <f t="shared" si="211"/>
        <v>#VALUE!</v>
      </c>
      <c r="D1933" s="182" t="e">
        <f t="shared" si="212"/>
        <v>#VALUE!</v>
      </c>
      <c r="E1933" s="182" t="e">
        <f t="shared" si="213"/>
        <v>#VALUE!</v>
      </c>
      <c r="F1933" s="182" t="e">
        <f>SUM($D$33:D1933)</f>
        <v>#VALUE!</v>
      </c>
      <c r="G1933" s="182">
        <f t="shared" ca="1" si="214"/>
        <v>0</v>
      </c>
      <c r="H1933" s="182" t="e">
        <f t="shared" si="215"/>
        <v>#VALUE!</v>
      </c>
      <c r="I1933" s="183" t="e">
        <f t="shared" si="216"/>
        <v>#VALUE!</v>
      </c>
    </row>
    <row r="1934" spans="1:9" x14ac:dyDescent="0.25">
      <c r="A1934" s="180">
        <f t="shared" ca="1" si="217"/>
        <v>48006</v>
      </c>
      <c r="B1934" s="181">
        <v>1902</v>
      </c>
      <c r="C1934" s="182" t="e">
        <f t="shared" si="211"/>
        <v>#VALUE!</v>
      </c>
      <c r="D1934" s="182" t="e">
        <f t="shared" si="212"/>
        <v>#VALUE!</v>
      </c>
      <c r="E1934" s="182" t="e">
        <f t="shared" si="213"/>
        <v>#VALUE!</v>
      </c>
      <c r="F1934" s="182" t="e">
        <f>SUM($D$33:D1934)</f>
        <v>#VALUE!</v>
      </c>
      <c r="G1934" s="182">
        <f t="shared" ca="1" si="214"/>
        <v>0</v>
      </c>
      <c r="H1934" s="182" t="e">
        <f t="shared" si="215"/>
        <v>#VALUE!</v>
      </c>
      <c r="I1934" s="183" t="e">
        <f t="shared" si="216"/>
        <v>#VALUE!</v>
      </c>
    </row>
    <row r="1935" spans="1:9" x14ac:dyDescent="0.25">
      <c r="A1935" s="180">
        <f t="shared" ca="1" si="217"/>
        <v>48007</v>
      </c>
      <c r="B1935" s="181">
        <v>1903</v>
      </c>
      <c r="C1935" s="182" t="e">
        <f t="shared" si="211"/>
        <v>#VALUE!</v>
      </c>
      <c r="D1935" s="182" t="e">
        <f t="shared" si="212"/>
        <v>#VALUE!</v>
      </c>
      <c r="E1935" s="182" t="e">
        <f t="shared" si="213"/>
        <v>#VALUE!</v>
      </c>
      <c r="F1935" s="182" t="e">
        <f>SUM($D$33:D1935)</f>
        <v>#VALUE!</v>
      </c>
      <c r="G1935" s="182">
        <f t="shared" ca="1" si="214"/>
        <v>0</v>
      </c>
      <c r="H1935" s="182" t="e">
        <f t="shared" si="215"/>
        <v>#VALUE!</v>
      </c>
      <c r="I1935" s="183" t="e">
        <f t="shared" si="216"/>
        <v>#VALUE!</v>
      </c>
    </row>
    <row r="1936" spans="1:9" x14ac:dyDescent="0.25">
      <c r="A1936" s="180">
        <f t="shared" ca="1" si="217"/>
        <v>48008</v>
      </c>
      <c r="B1936" s="181">
        <v>1904</v>
      </c>
      <c r="C1936" s="182" t="e">
        <f t="shared" ref="C1936:C1999" si="218">H1935</f>
        <v>#VALUE!</v>
      </c>
      <c r="D1936" s="182" t="e">
        <f t="shared" ref="D1936:D1999" si="219">IF(C1936&gt;$H$21,C1936*($L$16/360),$H$21*($L$16/360))</f>
        <v>#VALUE!</v>
      </c>
      <c r="E1936" s="182" t="e">
        <f t="shared" ref="E1936:E1999" si="220">IF(E1935&gt;0,E1935-D1936,0)</f>
        <v>#VALUE!</v>
      </c>
      <c r="F1936" s="182" t="e">
        <f>SUM($D$33:D1936)</f>
        <v>#VALUE!</v>
      </c>
      <c r="G1936" s="182">
        <f t="shared" ref="G1936:G1999" ca="1" si="221">IFERROR(-VLOOKUP(A1936,$K$30:$M$36,2,FALSE),0)</f>
        <v>0</v>
      </c>
      <c r="H1936" s="182" t="e">
        <f t="shared" ref="H1936:H1999" si="222">IF(E1936&gt;0,C1936+G1936,IF(E1936&lt;0,C1936+G1936+D1936-E1935,C1936+D1936+G1936))</f>
        <v>#VALUE!</v>
      </c>
      <c r="I1936" s="183" t="e">
        <f t="shared" ref="I1936:I1999" si="223">(C1936+D1936-E1936)</f>
        <v>#VALUE!</v>
      </c>
    </row>
    <row r="1937" spans="1:9" x14ac:dyDescent="0.25">
      <c r="A1937" s="180">
        <f t="shared" ca="1" si="217"/>
        <v>48009</v>
      </c>
      <c r="B1937" s="181">
        <v>1905</v>
      </c>
      <c r="C1937" s="182" t="e">
        <f t="shared" si="218"/>
        <v>#VALUE!</v>
      </c>
      <c r="D1937" s="182" t="e">
        <f t="shared" si="219"/>
        <v>#VALUE!</v>
      </c>
      <c r="E1937" s="182" t="e">
        <f t="shared" si="220"/>
        <v>#VALUE!</v>
      </c>
      <c r="F1937" s="182" t="e">
        <f>SUM($D$33:D1937)</f>
        <v>#VALUE!</v>
      </c>
      <c r="G1937" s="182">
        <f t="shared" ca="1" si="221"/>
        <v>0</v>
      </c>
      <c r="H1937" s="182" t="e">
        <f t="shared" si="222"/>
        <v>#VALUE!</v>
      </c>
      <c r="I1937" s="183" t="e">
        <f t="shared" si="223"/>
        <v>#VALUE!</v>
      </c>
    </row>
    <row r="1938" spans="1:9" x14ac:dyDescent="0.25">
      <c r="A1938" s="180">
        <f t="shared" ca="1" si="217"/>
        <v>48010</v>
      </c>
      <c r="B1938" s="181">
        <v>1906</v>
      </c>
      <c r="C1938" s="182" t="e">
        <f t="shared" si="218"/>
        <v>#VALUE!</v>
      </c>
      <c r="D1938" s="182" t="e">
        <f t="shared" si="219"/>
        <v>#VALUE!</v>
      </c>
      <c r="E1938" s="182" t="e">
        <f t="shared" si="220"/>
        <v>#VALUE!</v>
      </c>
      <c r="F1938" s="182" t="e">
        <f>SUM($D$33:D1938)</f>
        <v>#VALUE!</v>
      </c>
      <c r="G1938" s="182">
        <f t="shared" ca="1" si="221"/>
        <v>0</v>
      </c>
      <c r="H1938" s="182" t="e">
        <f t="shared" si="222"/>
        <v>#VALUE!</v>
      </c>
      <c r="I1938" s="183" t="e">
        <f t="shared" si="223"/>
        <v>#VALUE!</v>
      </c>
    </row>
    <row r="1939" spans="1:9" x14ac:dyDescent="0.25">
      <c r="A1939" s="180">
        <f t="shared" ca="1" si="217"/>
        <v>48011</v>
      </c>
      <c r="B1939" s="181">
        <v>1907</v>
      </c>
      <c r="C1939" s="182" t="e">
        <f t="shared" si="218"/>
        <v>#VALUE!</v>
      </c>
      <c r="D1939" s="182" t="e">
        <f t="shared" si="219"/>
        <v>#VALUE!</v>
      </c>
      <c r="E1939" s="182" t="e">
        <f t="shared" si="220"/>
        <v>#VALUE!</v>
      </c>
      <c r="F1939" s="182" t="e">
        <f>SUM($D$33:D1939)</f>
        <v>#VALUE!</v>
      </c>
      <c r="G1939" s="182">
        <f t="shared" ca="1" si="221"/>
        <v>0</v>
      </c>
      <c r="H1939" s="182" t="e">
        <f t="shared" si="222"/>
        <v>#VALUE!</v>
      </c>
      <c r="I1939" s="183" t="e">
        <f t="shared" si="223"/>
        <v>#VALUE!</v>
      </c>
    </row>
    <row r="1940" spans="1:9" x14ac:dyDescent="0.25">
      <c r="A1940" s="180">
        <f t="shared" ca="1" si="217"/>
        <v>48012</v>
      </c>
      <c r="B1940" s="181">
        <v>1908</v>
      </c>
      <c r="C1940" s="182" t="e">
        <f t="shared" si="218"/>
        <v>#VALUE!</v>
      </c>
      <c r="D1940" s="182" t="e">
        <f t="shared" si="219"/>
        <v>#VALUE!</v>
      </c>
      <c r="E1940" s="182" t="e">
        <f t="shared" si="220"/>
        <v>#VALUE!</v>
      </c>
      <c r="F1940" s="182" t="e">
        <f>SUM($D$33:D1940)</f>
        <v>#VALUE!</v>
      </c>
      <c r="G1940" s="182">
        <f t="shared" ca="1" si="221"/>
        <v>0</v>
      </c>
      <c r="H1940" s="182" t="e">
        <f t="shared" si="222"/>
        <v>#VALUE!</v>
      </c>
      <c r="I1940" s="183" t="e">
        <f t="shared" si="223"/>
        <v>#VALUE!</v>
      </c>
    </row>
    <row r="1941" spans="1:9" x14ac:dyDescent="0.25">
      <c r="A1941" s="180">
        <f t="shared" ca="1" si="217"/>
        <v>48013</v>
      </c>
      <c r="B1941" s="181">
        <v>1909</v>
      </c>
      <c r="C1941" s="182" t="e">
        <f t="shared" si="218"/>
        <v>#VALUE!</v>
      </c>
      <c r="D1941" s="182" t="e">
        <f t="shared" si="219"/>
        <v>#VALUE!</v>
      </c>
      <c r="E1941" s="182" t="e">
        <f t="shared" si="220"/>
        <v>#VALUE!</v>
      </c>
      <c r="F1941" s="182" t="e">
        <f>SUM($D$33:D1941)</f>
        <v>#VALUE!</v>
      </c>
      <c r="G1941" s="182">
        <f t="shared" ca="1" si="221"/>
        <v>0</v>
      </c>
      <c r="H1941" s="182" t="e">
        <f t="shared" si="222"/>
        <v>#VALUE!</v>
      </c>
      <c r="I1941" s="183" t="e">
        <f t="shared" si="223"/>
        <v>#VALUE!</v>
      </c>
    </row>
    <row r="1942" spans="1:9" x14ac:dyDescent="0.25">
      <c r="A1942" s="180">
        <f t="shared" ca="1" si="217"/>
        <v>48014</v>
      </c>
      <c r="B1942" s="181">
        <v>1910</v>
      </c>
      <c r="C1942" s="182" t="e">
        <f t="shared" si="218"/>
        <v>#VALUE!</v>
      </c>
      <c r="D1942" s="182" t="e">
        <f t="shared" si="219"/>
        <v>#VALUE!</v>
      </c>
      <c r="E1942" s="182" t="e">
        <f t="shared" si="220"/>
        <v>#VALUE!</v>
      </c>
      <c r="F1942" s="182" t="e">
        <f>SUM($D$33:D1942)</f>
        <v>#VALUE!</v>
      </c>
      <c r="G1942" s="182">
        <f t="shared" ca="1" si="221"/>
        <v>0</v>
      </c>
      <c r="H1942" s="182" t="e">
        <f t="shared" si="222"/>
        <v>#VALUE!</v>
      </c>
      <c r="I1942" s="183" t="e">
        <f t="shared" si="223"/>
        <v>#VALUE!</v>
      </c>
    </row>
    <row r="1943" spans="1:9" x14ac:dyDescent="0.25">
      <c r="A1943" s="180">
        <f t="shared" ca="1" si="217"/>
        <v>48015</v>
      </c>
      <c r="B1943" s="181">
        <v>1911</v>
      </c>
      <c r="C1943" s="182" t="e">
        <f t="shared" si="218"/>
        <v>#VALUE!</v>
      </c>
      <c r="D1943" s="182" t="e">
        <f t="shared" si="219"/>
        <v>#VALUE!</v>
      </c>
      <c r="E1943" s="182" t="e">
        <f t="shared" si="220"/>
        <v>#VALUE!</v>
      </c>
      <c r="F1943" s="182" t="e">
        <f>SUM($D$33:D1943)</f>
        <v>#VALUE!</v>
      </c>
      <c r="G1943" s="182">
        <f t="shared" ca="1" si="221"/>
        <v>0</v>
      </c>
      <c r="H1943" s="182" t="e">
        <f t="shared" si="222"/>
        <v>#VALUE!</v>
      </c>
      <c r="I1943" s="183" t="e">
        <f t="shared" si="223"/>
        <v>#VALUE!</v>
      </c>
    </row>
    <row r="1944" spans="1:9" x14ac:dyDescent="0.25">
      <c r="A1944" s="180">
        <f t="shared" ca="1" si="217"/>
        <v>48016</v>
      </c>
      <c r="B1944" s="181">
        <v>1912</v>
      </c>
      <c r="C1944" s="182" t="e">
        <f t="shared" si="218"/>
        <v>#VALUE!</v>
      </c>
      <c r="D1944" s="182" t="e">
        <f t="shared" si="219"/>
        <v>#VALUE!</v>
      </c>
      <c r="E1944" s="182" t="e">
        <f t="shared" si="220"/>
        <v>#VALUE!</v>
      </c>
      <c r="F1944" s="182" t="e">
        <f>SUM($D$33:D1944)</f>
        <v>#VALUE!</v>
      </c>
      <c r="G1944" s="182">
        <f t="shared" ca="1" si="221"/>
        <v>0</v>
      </c>
      <c r="H1944" s="182" t="e">
        <f t="shared" si="222"/>
        <v>#VALUE!</v>
      </c>
      <c r="I1944" s="183" t="e">
        <f t="shared" si="223"/>
        <v>#VALUE!</v>
      </c>
    </row>
    <row r="1945" spans="1:9" x14ac:dyDescent="0.25">
      <c r="A1945" s="180">
        <f t="shared" ca="1" si="217"/>
        <v>48017</v>
      </c>
      <c r="B1945" s="181">
        <v>1913</v>
      </c>
      <c r="C1945" s="182" t="e">
        <f t="shared" si="218"/>
        <v>#VALUE!</v>
      </c>
      <c r="D1945" s="182" t="e">
        <f t="shared" si="219"/>
        <v>#VALUE!</v>
      </c>
      <c r="E1945" s="182" t="e">
        <f t="shared" si="220"/>
        <v>#VALUE!</v>
      </c>
      <c r="F1945" s="182" t="e">
        <f>SUM($D$33:D1945)</f>
        <v>#VALUE!</v>
      </c>
      <c r="G1945" s="182">
        <f t="shared" ca="1" si="221"/>
        <v>0</v>
      </c>
      <c r="H1945" s="182" t="e">
        <f t="shared" si="222"/>
        <v>#VALUE!</v>
      </c>
      <c r="I1945" s="183" t="e">
        <f t="shared" si="223"/>
        <v>#VALUE!</v>
      </c>
    </row>
    <row r="1946" spans="1:9" x14ac:dyDescent="0.25">
      <c r="A1946" s="180">
        <f t="shared" ca="1" si="217"/>
        <v>48018</v>
      </c>
      <c r="B1946" s="181">
        <v>1914</v>
      </c>
      <c r="C1946" s="182" t="e">
        <f t="shared" si="218"/>
        <v>#VALUE!</v>
      </c>
      <c r="D1946" s="182" t="e">
        <f t="shared" si="219"/>
        <v>#VALUE!</v>
      </c>
      <c r="E1946" s="182" t="e">
        <f t="shared" si="220"/>
        <v>#VALUE!</v>
      </c>
      <c r="F1946" s="182" t="e">
        <f>SUM($D$33:D1946)</f>
        <v>#VALUE!</v>
      </c>
      <c r="G1946" s="182">
        <f t="shared" ca="1" si="221"/>
        <v>0</v>
      </c>
      <c r="H1946" s="182" t="e">
        <f t="shared" si="222"/>
        <v>#VALUE!</v>
      </c>
      <c r="I1946" s="183" t="e">
        <f t="shared" si="223"/>
        <v>#VALUE!</v>
      </c>
    </row>
    <row r="1947" spans="1:9" x14ac:dyDescent="0.25">
      <c r="A1947" s="180">
        <f t="shared" ca="1" si="217"/>
        <v>48019</v>
      </c>
      <c r="B1947" s="181">
        <v>1915</v>
      </c>
      <c r="C1947" s="182" t="e">
        <f t="shared" si="218"/>
        <v>#VALUE!</v>
      </c>
      <c r="D1947" s="182" t="e">
        <f t="shared" si="219"/>
        <v>#VALUE!</v>
      </c>
      <c r="E1947" s="182" t="e">
        <f t="shared" si="220"/>
        <v>#VALUE!</v>
      </c>
      <c r="F1947" s="182" t="e">
        <f>SUM($D$33:D1947)</f>
        <v>#VALUE!</v>
      </c>
      <c r="G1947" s="182">
        <f t="shared" ca="1" si="221"/>
        <v>0</v>
      </c>
      <c r="H1947" s="182" t="e">
        <f t="shared" si="222"/>
        <v>#VALUE!</v>
      </c>
      <c r="I1947" s="183" t="e">
        <f t="shared" si="223"/>
        <v>#VALUE!</v>
      </c>
    </row>
    <row r="1948" spans="1:9" x14ac:dyDescent="0.25">
      <c r="A1948" s="180">
        <f t="shared" ca="1" si="217"/>
        <v>48020</v>
      </c>
      <c r="B1948" s="181">
        <v>1916</v>
      </c>
      <c r="C1948" s="182" t="e">
        <f t="shared" si="218"/>
        <v>#VALUE!</v>
      </c>
      <c r="D1948" s="182" t="e">
        <f t="shared" si="219"/>
        <v>#VALUE!</v>
      </c>
      <c r="E1948" s="182" t="e">
        <f t="shared" si="220"/>
        <v>#VALUE!</v>
      </c>
      <c r="F1948" s="182" t="e">
        <f>SUM($D$33:D1948)</f>
        <v>#VALUE!</v>
      </c>
      <c r="G1948" s="182">
        <f t="shared" ca="1" si="221"/>
        <v>0</v>
      </c>
      <c r="H1948" s="182" t="e">
        <f t="shared" si="222"/>
        <v>#VALUE!</v>
      </c>
      <c r="I1948" s="183" t="e">
        <f t="shared" si="223"/>
        <v>#VALUE!</v>
      </c>
    </row>
    <row r="1949" spans="1:9" x14ac:dyDescent="0.25">
      <c r="A1949" s="180">
        <f t="shared" ca="1" si="217"/>
        <v>48021</v>
      </c>
      <c r="B1949" s="181">
        <v>1917</v>
      </c>
      <c r="C1949" s="182" t="e">
        <f t="shared" si="218"/>
        <v>#VALUE!</v>
      </c>
      <c r="D1949" s="182" t="e">
        <f t="shared" si="219"/>
        <v>#VALUE!</v>
      </c>
      <c r="E1949" s="182" t="e">
        <f t="shared" si="220"/>
        <v>#VALUE!</v>
      </c>
      <c r="F1949" s="182" t="e">
        <f>SUM($D$33:D1949)</f>
        <v>#VALUE!</v>
      </c>
      <c r="G1949" s="182">
        <f t="shared" ca="1" si="221"/>
        <v>0</v>
      </c>
      <c r="H1949" s="182" t="e">
        <f t="shared" si="222"/>
        <v>#VALUE!</v>
      </c>
      <c r="I1949" s="183" t="e">
        <f t="shared" si="223"/>
        <v>#VALUE!</v>
      </c>
    </row>
    <row r="1950" spans="1:9" x14ac:dyDescent="0.25">
      <c r="A1950" s="180">
        <f t="shared" ca="1" si="217"/>
        <v>48022</v>
      </c>
      <c r="B1950" s="181">
        <v>1918</v>
      </c>
      <c r="C1950" s="182" t="e">
        <f t="shared" si="218"/>
        <v>#VALUE!</v>
      </c>
      <c r="D1950" s="182" t="e">
        <f t="shared" si="219"/>
        <v>#VALUE!</v>
      </c>
      <c r="E1950" s="182" t="e">
        <f t="shared" si="220"/>
        <v>#VALUE!</v>
      </c>
      <c r="F1950" s="182" t="e">
        <f>SUM($D$33:D1950)</f>
        <v>#VALUE!</v>
      </c>
      <c r="G1950" s="182">
        <f t="shared" ca="1" si="221"/>
        <v>0</v>
      </c>
      <c r="H1950" s="182" t="e">
        <f t="shared" si="222"/>
        <v>#VALUE!</v>
      </c>
      <c r="I1950" s="183" t="e">
        <f t="shared" si="223"/>
        <v>#VALUE!</v>
      </c>
    </row>
    <row r="1951" spans="1:9" x14ac:dyDescent="0.25">
      <c r="A1951" s="180">
        <f t="shared" ca="1" si="217"/>
        <v>48023</v>
      </c>
      <c r="B1951" s="181">
        <v>1919</v>
      </c>
      <c r="C1951" s="182" t="e">
        <f t="shared" si="218"/>
        <v>#VALUE!</v>
      </c>
      <c r="D1951" s="182" t="e">
        <f t="shared" si="219"/>
        <v>#VALUE!</v>
      </c>
      <c r="E1951" s="182" t="e">
        <f t="shared" si="220"/>
        <v>#VALUE!</v>
      </c>
      <c r="F1951" s="182" t="e">
        <f>SUM($D$33:D1951)</f>
        <v>#VALUE!</v>
      </c>
      <c r="G1951" s="182">
        <f t="shared" ca="1" si="221"/>
        <v>0</v>
      </c>
      <c r="H1951" s="182" t="e">
        <f t="shared" si="222"/>
        <v>#VALUE!</v>
      </c>
      <c r="I1951" s="183" t="e">
        <f t="shared" si="223"/>
        <v>#VALUE!</v>
      </c>
    </row>
    <row r="1952" spans="1:9" x14ac:dyDescent="0.25">
      <c r="A1952" s="180">
        <f t="shared" ca="1" si="217"/>
        <v>48024</v>
      </c>
      <c r="B1952" s="181">
        <v>1920</v>
      </c>
      <c r="C1952" s="182" t="e">
        <f t="shared" si="218"/>
        <v>#VALUE!</v>
      </c>
      <c r="D1952" s="182" t="e">
        <f t="shared" si="219"/>
        <v>#VALUE!</v>
      </c>
      <c r="E1952" s="182" t="e">
        <f t="shared" si="220"/>
        <v>#VALUE!</v>
      </c>
      <c r="F1952" s="182" t="e">
        <f>SUM($D$33:D1952)</f>
        <v>#VALUE!</v>
      </c>
      <c r="G1952" s="182">
        <f t="shared" ca="1" si="221"/>
        <v>0</v>
      </c>
      <c r="H1952" s="182" t="e">
        <f t="shared" si="222"/>
        <v>#VALUE!</v>
      </c>
      <c r="I1952" s="183" t="e">
        <f t="shared" si="223"/>
        <v>#VALUE!</v>
      </c>
    </row>
    <row r="1953" spans="1:9" x14ac:dyDescent="0.25">
      <c r="A1953" s="180">
        <f t="shared" ca="1" si="217"/>
        <v>48025</v>
      </c>
      <c r="B1953" s="181">
        <v>1921</v>
      </c>
      <c r="C1953" s="182" t="e">
        <f t="shared" si="218"/>
        <v>#VALUE!</v>
      </c>
      <c r="D1953" s="182" t="e">
        <f t="shared" si="219"/>
        <v>#VALUE!</v>
      </c>
      <c r="E1953" s="182" t="e">
        <f t="shared" si="220"/>
        <v>#VALUE!</v>
      </c>
      <c r="F1953" s="182" t="e">
        <f>SUM($D$33:D1953)</f>
        <v>#VALUE!</v>
      </c>
      <c r="G1953" s="182">
        <f t="shared" ca="1" si="221"/>
        <v>0</v>
      </c>
      <c r="H1953" s="182" t="e">
        <f t="shared" si="222"/>
        <v>#VALUE!</v>
      </c>
      <c r="I1953" s="183" t="e">
        <f t="shared" si="223"/>
        <v>#VALUE!</v>
      </c>
    </row>
    <row r="1954" spans="1:9" x14ac:dyDescent="0.25">
      <c r="A1954" s="180">
        <f t="shared" ref="A1954:A2017" ca="1" si="224">A1953+1</f>
        <v>48026</v>
      </c>
      <c r="B1954" s="181">
        <v>1922</v>
      </c>
      <c r="C1954" s="182" t="e">
        <f t="shared" si="218"/>
        <v>#VALUE!</v>
      </c>
      <c r="D1954" s="182" t="e">
        <f t="shared" si="219"/>
        <v>#VALUE!</v>
      </c>
      <c r="E1954" s="182" t="e">
        <f t="shared" si="220"/>
        <v>#VALUE!</v>
      </c>
      <c r="F1954" s="182" t="e">
        <f>SUM($D$33:D1954)</f>
        <v>#VALUE!</v>
      </c>
      <c r="G1954" s="182">
        <f t="shared" ca="1" si="221"/>
        <v>0</v>
      </c>
      <c r="H1954" s="182" t="e">
        <f t="shared" si="222"/>
        <v>#VALUE!</v>
      </c>
      <c r="I1954" s="183" t="e">
        <f t="shared" si="223"/>
        <v>#VALUE!</v>
      </c>
    </row>
    <row r="1955" spans="1:9" x14ac:dyDescent="0.25">
      <c r="A1955" s="180">
        <f t="shared" ca="1" si="224"/>
        <v>48027</v>
      </c>
      <c r="B1955" s="181">
        <v>1923</v>
      </c>
      <c r="C1955" s="182" t="e">
        <f t="shared" si="218"/>
        <v>#VALUE!</v>
      </c>
      <c r="D1955" s="182" t="e">
        <f t="shared" si="219"/>
        <v>#VALUE!</v>
      </c>
      <c r="E1955" s="182" t="e">
        <f t="shared" si="220"/>
        <v>#VALUE!</v>
      </c>
      <c r="F1955" s="182" t="e">
        <f>SUM($D$33:D1955)</f>
        <v>#VALUE!</v>
      </c>
      <c r="G1955" s="182">
        <f t="shared" ca="1" si="221"/>
        <v>0</v>
      </c>
      <c r="H1955" s="182" t="e">
        <f t="shared" si="222"/>
        <v>#VALUE!</v>
      </c>
      <c r="I1955" s="183" t="e">
        <f t="shared" si="223"/>
        <v>#VALUE!</v>
      </c>
    </row>
    <row r="1956" spans="1:9" x14ac:dyDescent="0.25">
      <c r="A1956" s="180">
        <f t="shared" ca="1" si="224"/>
        <v>48028</v>
      </c>
      <c r="B1956" s="181">
        <v>1924</v>
      </c>
      <c r="C1956" s="182" t="e">
        <f t="shared" si="218"/>
        <v>#VALUE!</v>
      </c>
      <c r="D1956" s="182" t="e">
        <f t="shared" si="219"/>
        <v>#VALUE!</v>
      </c>
      <c r="E1956" s="182" t="e">
        <f t="shared" si="220"/>
        <v>#VALUE!</v>
      </c>
      <c r="F1956" s="182" t="e">
        <f>SUM($D$33:D1956)</f>
        <v>#VALUE!</v>
      </c>
      <c r="G1956" s="182">
        <f t="shared" ca="1" si="221"/>
        <v>0</v>
      </c>
      <c r="H1956" s="182" t="e">
        <f t="shared" si="222"/>
        <v>#VALUE!</v>
      </c>
      <c r="I1956" s="183" t="e">
        <f t="shared" si="223"/>
        <v>#VALUE!</v>
      </c>
    </row>
    <row r="1957" spans="1:9" x14ac:dyDescent="0.25">
      <c r="A1957" s="180">
        <f t="shared" ca="1" si="224"/>
        <v>48029</v>
      </c>
      <c r="B1957" s="181">
        <v>1925</v>
      </c>
      <c r="C1957" s="182" t="e">
        <f t="shared" si="218"/>
        <v>#VALUE!</v>
      </c>
      <c r="D1957" s="182" t="e">
        <f t="shared" si="219"/>
        <v>#VALUE!</v>
      </c>
      <c r="E1957" s="182" t="e">
        <f t="shared" si="220"/>
        <v>#VALUE!</v>
      </c>
      <c r="F1957" s="182" t="e">
        <f>SUM($D$33:D1957)</f>
        <v>#VALUE!</v>
      </c>
      <c r="G1957" s="182">
        <f t="shared" ca="1" si="221"/>
        <v>0</v>
      </c>
      <c r="H1957" s="182" t="e">
        <f t="shared" si="222"/>
        <v>#VALUE!</v>
      </c>
      <c r="I1957" s="183" t="e">
        <f t="shared" si="223"/>
        <v>#VALUE!</v>
      </c>
    </row>
    <row r="1958" spans="1:9" x14ac:dyDescent="0.25">
      <c r="A1958" s="180">
        <f t="shared" ca="1" si="224"/>
        <v>48030</v>
      </c>
      <c r="B1958" s="181">
        <v>1926</v>
      </c>
      <c r="C1958" s="182" t="e">
        <f t="shared" si="218"/>
        <v>#VALUE!</v>
      </c>
      <c r="D1958" s="182" t="e">
        <f t="shared" si="219"/>
        <v>#VALUE!</v>
      </c>
      <c r="E1958" s="182" t="e">
        <f t="shared" si="220"/>
        <v>#VALUE!</v>
      </c>
      <c r="F1958" s="182" t="e">
        <f>SUM($D$33:D1958)</f>
        <v>#VALUE!</v>
      </c>
      <c r="G1958" s="182">
        <f t="shared" ca="1" si="221"/>
        <v>0</v>
      </c>
      <c r="H1958" s="182" t="e">
        <f t="shared" si="222"/>
        <v>#VALUE!</v>
      </c>
      <c r="I1958" s="183" t="e">
        <f t="shared" si="223"/>
        <v>#VALUE!</v>
      </c>
    </row>
    <row r="1959" spans="1:9" x14ac:dyDescent="0.25">
      <c r="A1959" s="180">
        <f t="shared" ca="1" si="224"/>
        <v>48031</v>
      </c>
      <c r="B1959" s="181">
        <v>1927</v>
      </c>
      <c r="C1959" s="182" t="e">
        <f t="shared" si="218"/>
        <v>#VALUE!</v>
      </c>
      <c r="D1959" s="182" t="e">
        <f t="shared" si="219"/>
        <v>#VALUE!</v>
      </c>
      <c r="E1959" s="182" t="e">
        <f t="shared" si="220"/>
        <v>#VALUE!</v>
      </c>
      <c r="F1959" s="182" t="e">
        <f>SUM($D$33:D1959)</f>
        <v>#VALUE!</v>
      </c>
      <c r="G1959" s="182">
        <f t="shared" ca="1" si="221"/>
        <v>0</v>
      </c>
      <c r="H1959" s="182" t="e">
        <f t="shared" si="222"/>
        <v>#VALUE!</v>
      </c>
      <c r="I1959" s="183" t="e">
        <f t="shared" si="223"/>
        <v>#VALUE!</v>
      </c>
    </row>
    <row r="1960" spans="1:9" x14ac:dyDescent="0.25">
      <c r="A1960" s="180">
        <f t="shared" ca="1" si="224"/>
        <v>48032</v>
      </c>
      <c r="B1960" s="181">
        <v>1928</v>
      </c>
      <c r="C1960" s="182" t="e">
        <f t="shared" si="218"/>
        <v>#VALUE!</v>
      </c>
      <c r="D1960" s="182" t="e">
        <f t="shared" si="219"/>
        <v>#VALUE!</v>
      </c>
      <c r="E1960" s="182" t="e">
        <f t="shared" si="220"/>
        <v>#VALUE!</v>
      </c>
      <c r="F1960" s="182" t="e">
        <f>SUM($D$33:D1960)</f>
        <v>#VALUE!</v>
      </c>
      <c r="G1960" s="182">
        <f t="shared" ca="1" si="221"/>
        <v>0</v>
      </c>
      <c r="H1960" s="182" t="e">
        <f t="shared" si="222"/>
        <v>#VALUE!</v>
      </c>
      <c r="I1960" s="183" t="e">
        <f t="shared" si="223"/>
        <v>#VALUE!</v>
      </c>
    </row>
    <row r="1961" spans="1:9" x14ac:dyDescent="0.25">
      <c r="A1961" s="180">
        <f t="shared" ca="1" si="224"/>
        <v>48033</v>
      </c>
      <c r="B1961" s="181">
        <v>1929</v>
      </c>
      <c r="C1961" s="182" t="e">
        <f t="shared" si="218"/>
        <v>#VALUE!</v>
      </c>
      <c r="D1961" s="182" t="e">
        <f t="shared" si="219"/>
        <v>#VALUE!</v>
      </c>
      <c r="E1961" s="182" t="e">
        <f t="shared" si="220"/>
        <v>#VALUE!</v>
      </c>
      <c r="F1961" s="182" t="e">
        <f>SUM($D$33:D1961)</f>
        <v>#VALUE!</v>
      </c>
      <c r="G1961" s="182">
        <f t="shared" ca="1" si="221"/>
        <v>0</v>
      </c>
      <c r="H1961" s="182" t="e">
        <f t="shared" si="222"/>
        <v>#VALUE!</v>
      </c>
      <c r="I1961" s="183" t="e">
        <f t="shared" si="223"/>
        <v>#VALUE!</v>
      </c>
    </row>
    <row r="1962" spans="1:9" x14ac:dyDescent="0.25">
      <c r="A1962" s="180">
        <f t="shared" ca="1" si="224"/>
        <v>48034</v>
      </c>
      <c r="B1962" s="181">
        <v>1930</v>
      </c>
      <c r="C1962" s="182" t="e">
        <f t="shared" si="218"/>
        <v>#VALUE!</v>
      </c>
      <c r="D1962" s="182" t="e">
        <f t="shared" si="219"/>
        <v>#VALUE!</v>
      </c>
      <c r="E1962" s="182" t="e">
        <f t="shared" si="220"/>
        <v>#VALUE!</v>
      </c>
      <c r="F1962" s="182" t="e">
        <f>SUM($D$33:D1962)</f>
        <v>#VALUE!</v>
      </c>
      <c r="G1962" s="182">
        <f t="shared" ca="1" si="221"/>
        <v>0</v>
      </c>
      <c r="H1962" s="182" t="e">
        <f t="shared" si="222"/>
        <v>#VALUE!</v>
      </c>
      <c r="I1962" s="183" t="e">
        <f t="shared" si="223"/>
        <v>#VALUE!</v>
      </c>
    </row>
    <row r="1963" spans="1:9" x14ac:dyDescent="0.25">
      <c r="A1963" s="180">
        <f t="shared" ca="1" si="224"/>
        <v>48035</v>
      </c>
      <c r="B1963" s="181">
        <v>1931</v>
      </c>
      <c r="C1963" s="182" t="e">
        <f t="shared" si="218"/>
        <v>#VALUE!</v>
      </c>
      <c r="D1963" s="182" t="e">
        <f t="shared" si="219"/>
        <v>#VALUE!</v>
      </c>
      <c r="E1963" s="182" t="e">
        <f t="shared" si="220"/>
        <v>#VALUE!</v>
      </c>
      <c r="F1963" s="182" t="e">
        <f>SUM($D$33:D1963)</f>
        <v>#VALUE!</v>
      </c>
      <c r="G1963" s="182">
        <f t="shared" ca="1" si="221"/>
        <v>0</v>
      </c>
      <c r="H1963" s="182" t="e">
        <f t="shared" si="222"/>
        <v>#VALUE!</v>
      </c>
      <c r="I1963" s="183" t="e">
        <f t="shared" si="223"/>
        <v>#VALUE!</v>
      </c>
    </row>
    <row r="1964" spans="1:9" x14ac:dyDescent="0.25">
      <c r="A1964" s="180">
        <f t="shared" ca="1" si="224"/>
        <v>48036</v>
      </c>
      <c r="B1964" s="181">
        <v>1932</v>
      </c>
      <c r="C1964" s="182" t="e">
        <f t="shared" si="218"/>
        <v>#VALUE!</v>
      </c>
      <c r="D1964" s="182" t="e">
        <f t="shared" si="219"/>
        <v>#VALUE!</v>
      </c>
      <c r="E1964" s="182" t="e">
        <f t="shared" si="220"/>
        <v>#VALUE!</v>
      </c>
      <c r="F1964" s="182" t="e">
        <f>SUM($D$33:D1964)</f>
        <v>#VALUE!</v>
      </c>
      <c r="G1964" s="182">
        <f t="shared" ca="1" si="221"/>
        <v>0</v>
      </c>
      <c r="H1964" s="182" t="e">
        <f t="shared" si="222"/>
        <v>#VALUE!</v>
      </c>
      <c r="I1964" s="183" t="e">
        <f t="shared" si="223"/>
        <v>#VALUE!</v>
      </c>
    </row>
    <row r="1965" spans="1:9" x14ac:dyDescent="0.25">
      <c r="A1965" s="180">
        <f t="shared" ca="1" si="224"/>
        <v>48037</v>
      </c>
      <c r="B1965" s="181">
        <v>1933</v>
      </c>
      <c r="C1965" s="182" t="e">
        <f t="shared" si="218"/>
        <v>#VALUE!</v>
      </c>
      <c r="D1965" s="182" t="e">
        <f t="shared" si="219"/>
        <v>#VALUE!</v>
      </c>
      <c r="E1965" s="182" t="e">
        <f t="shared" si="220"/>
        <v>#VALUE!</v>
      </c>
      <c r="F1965" s="182" t="e">
        <f>SUM($D$33:D1965)</f>
        <v>#VALUE!</v>
      </c>
      <c r="G1965" s="182">
        <f t="shared" ca="1" si="221"/>
        <v>0</v>
      </c>
      <c r="H1965" s="182" t="e">
        <f t="shared" si="222"/>
        <v>#VALUE!</v>
      </c>
      <c r="I1965" s="183" t="e">
        <f t="shared" si="223"/>
        <v>#VALUE!</v>
      </c>
    </row>
    <row r="1966" spans="1:9" x14ac:dyDescent="0.25">
      <c r="A1966" s="180">
        <f t="shared" ca="1" si="224"/>
        <v>48038</v>
      </c>
      <c r="B1966" s="181">
        <v>1934</v>
      </c>
      <c r="C1966" s="182" t="e">
        <f t="shared" si="218"/>
        <v>#VALUE!</v>
      </c>
      <c r="D1966" s="182" t="e">
        <f t="shared" si="219"/>
        <v>#VALUE!</v>
      </c>
      <c r="E1966" s="182" t="e">
        <f t="shared" si="220"/>
        <v>#VALUE!</v>
      </c>
      <c r="F1966" s="182" t="e">
        <f>SUM($D$33:D1966)</f>
        <v>#VALUE!</v>
      </c>
      <c r="G1966" s="182">
        <f t="shared" ca="1" si="221"/>
        <v>0</v>
      </c>
      <c r="H1966" s="182" t="e">
        <f t="shared" si="222"/>
        <v>#VALUE!</v>
      </c>
      <c r="I1966" s="183" t="e">
        <f t="shared" si="223"/>
        <v>#VALUE!</v>
      </c>
    </row>
    <row r="1967" spans="1:9" x14ac:dyDescent="0.25">
      <c r="A1967" s="180">
        <f t="shared" ca="1" si="224"/>
        <v>48039</v>
      </c>
      <c r="B1967" s="181">
        <v>1935</v>
      </c>
      <c r="C1967" s="182" t="e">
        <f t="shared" si="218"/>
        <v>#VALUE!</v>
      </c>
      <c r="D1967" s="182" t="e">
        <f t="shared" si="219"/>
        <v>#VALUE!</v>
      </c>
      <c r="E1967" s="182" t="e">
        <f t="shared" si="220"/>
        <v>#VALUE!</v>
      </c>
      <c r="F1967" s="182" t="e">
        <f>SUM($D$33:D1967)</f>
        <v>#VALUE!</v>
      </c>
      <c r="G1967" s="182">
        <f t="shared" ca="1" si="221"/>
        <v>0</v>
      </c>
      <c r="H1967" s="182" t="e">
        <f t="shared" si="222"/>
        <v>#VALUE!</v>
      </c>
      <c r="I1967" s="183" t="e">
        <f t="shared" si="223"/>
        <v>#VALUE!</v>
      </c>
    </row>
    <row r="1968" spans="1:9" x14ac:dyDescent="0.25">
      <c r="A1968" s="180">
        <f t="shared" ca="1" si="224"/>
        <v>48040</v>
      </c>
      <c r="B1968" s="181">
        <v>1936</v>
      </c>
      <c r="C1968" s="182" t="e">
        <f t="shared" si="218"/>
        <v>#VALUE!</v>
      </c>
      <c r="D1968" s="182" t="e">
        <f t="shared" si="219"/>
        <v>#VALUE!</v>
      </c>
      <c r="E1968" s="182" t="e">
        <f t="shared" si="220"/>
        <v>#VALUE!</v>
      </c>
      <c r="F1968" s="182" t="e">
        <f>SUM($D$33:D1968)</f>
        <v>#VALUE!</v>
      </c>
      <c r="G1968" s="182">
        <f t="shared" ca="1" si="221"/>
        <v>0</v>
      </c>
      <c r="H1968" s="182" t="e">
        <f t="shared" si="222"/>
        <v>#VALUE!</v>
      </c>
      <c r="I1968" s="183" t="e">
        <f t="shared" si="223"/>
        <v>#VALUE!</v>
      </c>
    </row>
    <row r="1969" spans="1:9" x14ac:dyDescent="0.25">
      <c r="A1969" s="180">
        <f t="shared" ca="1" si="224"/>
        <v>48041</v>
      </c>
      <c r="B1969" s="181">
        <v>1937</v>
      </c>
      <c r="C1969" s="182" t="e">
        <f t="shared" si="218"/>
        <v>#VALUE!</v>
      </c>
      <c r="D1969" s="182" t="e">
        <f t="shared" si="219"/>
        <v>#VALUE!</v>
      </c>
      <c r="E1969" s="182" t="e">
        <f t="shared" si="220"/>
        <v>#VALUE!</v>
      </c>
      <c r="F1969" s="182" t="e">
        <f>SUM($D$33:D1969)</f>
        <v>#VALUE!</v>
      </c>
      <c r="G1969" s="182">
        <f t="shared" ca="1" si="221"/>
        <v>0</v>
      </c>
      <c r="H1969" s="182" t="e">
        <f t="shared" si="222"/>
        <v>#VALUE!</v>
      </c>
      <c r="I1969" s="183" t="e">
        <f t="shared" si="223"/>
        <v>#VALUE!</v>
      </c>
    </row>
    <row r="1970" spans="1:9" x14ac:dyDescent="0.25">
      <c r="A1970" s="180">
        <f t="shared" ca="1" si="224"/>
        <v>48042</v>
      </c>
      <c r="B1970" s="181">
        <v>1938</v>
      </c>
      <c r="C1970" s="182" t="e">
        <f t="shared" si="218"/>
        <v>#VALUE!</v>
      </c>
      <c r="D1970" s="182" t="e">
        <f t="shared" si="219"/>
        <v>#VALUE!</v>
      </c>
      <c r="E1970" s="182" t="e">
        <f t="shared" si="220"/>
        <v>#VALUE!</v>
      </c>
      <c r="F1970" s="182" t="e">
        <f>SUM($D$33:D1970)</f>
        <v>#VALUE!</v>
      </c>
      <c r="G1970" s="182">
        <f t="shared" ca="1" si="221"/>
        <v>0</v>
      </c>
      <c r="H1970" s="182" t="e">
        <f t="shared" si="222"/>
        <v>#VALUE!</v>
      </c>
      <c r="I1970" s="183" t="e">
        <f t="shared" si="223"/>
        <v>#VALUE!</v>
      </c>
    </row>
    <row r="1971" spans="1:9" x14ac:dyDescent="0.25">
      <c r="A1971" s="180">
        <f t="shared" ca="1" si="224"/>
        <v>48043</v>
      </c>
      <c r="B1971" s="181">
        <v>1939</v>
      </c>
      <c r="C1971" s="182" t="e">
        <f t="shared" si="218"/>
        <v>#VALUE!</v>
      </c>
      <c r="D1971" s="182" t="e">
        <f t="shared" si="219"/>
        <v>#VALUE!</v>
      </c>
      <c r="E1971" s="182" t="e">
        <f t="shared" si="220"/>
        <v>#VALUE!</v>
      </c>
      <c r="F1971" s="182" t="e">
        <f>SUM($D$33:D1971)</f>
        <v>#VALUE!</v>
      </c>
      <c r="G1971" s="182">
        <f t="shared" ca="1" si="221"/>
        <v>0</v>
      </c>
      <c r="H1971" s="182" t="e">
        <f t="shared" si="222"/>
        <v>#VALUE!</v>
      </c>
      <c r="I1971" s="183" t="e">
        <f t="shared" si="223"/>
        <v>#VALUE!</v>
      </c>
    </row>
    <row r="1972" spans="1:9" x14ac:dyDescent="0.25">
      <c r="A1972" s="180">
        <f t="shared" ca="1" si="224"/>
        <v>48044</v>
      </c>
      <c r="B1972" s="181">
        <v>1940</v>
      </c>
      <c r="C1972" s="182" t="e">
        <f t="shared" si="218"/>
        <v>#VALUE!</v>
      </c>
      <c r="D1972" s="182" t="e">
        <f t="shared" si="219"/>
        <v>#VALUE!</v>
      </c>
      <c r="E1972" s="182" t="e">
        <f t="shared" si="220"/>
        <v>#VALUE!</v>
      </c>
      <c r="F1972" s="182" t="e">
        <f>SUM($D$33:D1972)</f>
        <v>#VALUE!</v>
      </c>
      <c r="G1972" s="182">
        <f t="shared" ca="1" si="221"/>
        <v>0</v>
      </c>
      <c r="H1972" s="182" t="e">
        <f t="shared" si="222"/>
        <v>#VALUE!</v>
      </c>
      <c r="I1972" s="183" t="e">
        <f t="shared" si="223"/>
        <v>#VALUE!</v>
      </c>
    </row>
    <row r="1973" spans="1:9" x14ac:dyDescent="0.25">
      <c r="A1973" s="180">
        <f t="shared" ca="1" si="224"/>
        <v>48045</v>
      </c>
      <c r="B1973" s="181">
        <v>1941</v>
      </c>
      <c r="C1973" s="182" t="e">
        <f t="shared" si="218"/>
        <v>#VALUE!</v>
      </c>
      <c r="D1973" s="182" t="e">
        <f t="shared" si="219"/>
        <v>#VALUE!</v>
      </c>
      <c r="E1973" s="182" t="e">
        <f t="shared" si="220"/>
        <v>#VALUE!</v>
      </c>
      <c r="F1973" s="182" t="e">
        <f>SUM($D$33:D1973)</f>
        <v>#VALUE!</v>
      </c>
      <c r="G1973" s="182">
        <f t="shared" ca="1" si="221"/>
        <v>0</v>
      </c>
      <c r="H1973" s="182" t="e">
        <f t="shared" si="222"/>
        <v>#VALUE!</v>
      </c>
      <c r="I1973" s="183" t="e">
        <f t="shared" si="223"/>
        <v>#VALUE!</v>
      </c>
    </row>
    <row r="1974" spans="1:9" x14ac:dyDescent="0.25">
      <c r="A1974" s="180">
        <f t="shared" ca="1" si="224"/>
        <v>48046</v>
      </c>
      <c r="B1974" s="181">
        <v>1942</v>
      </c>
      <c r="C1974" s="182" t="e">
        <f t="shared" si="218"/>
        <v>#VALUE!</v>
      </c>
      <c r="D1974" s="182" t="e">
        <f t="shared" si="219"/>
        <v>#VALUE!</v>
      </c>
      <c r="E1974" s="182" t="e">
        <f t="shared" si="220"/>
        <v>#VALUE!</v>
      </c>
      <c r="F1974" s="182" t="e">
        <f>SUM($D$33:D1974)</f>
        <v>#VALUE!</v>
      </c>
      <c r="G1974" s="182">
        <f t="shared" ca="1" si="221"/>
        <v>0</v>
      </c>
      <c r="H1974" s="182" t="e">
        <f t="shared" si="222"/>
        <v>#VALUE!</v>
      </c>
      <c r="I1974" s="183" t="e">
        <f t="shared" si="223"/>
        <v>#VALUE!</v>
      </c>
    </row>
    <row r="1975" spans="1:9" x14ac:dyDescent="0.25">
      <c r="A1975" s="180">
        <f t="shared" ca="1" si="224"/>
        <v>48047</v>
      </c>
      <c r="B1975" s="181">
        <v>1943</v>
      </c>
      <c r="C1975" s="182" t="e">
        <f t="shared" si="218"/>
        <v>#VALUE!</v>
      </c>
      <c r="D1975" s="182" t="e">
        <f t="shared" si="219"/>
        <v>#VALUE!</v>
      </c>
      <c r="E1975" s="182" t="e">
        <f t="shared" si="220"/>
        <v>#VALUE!</v>
      </c>
      <c r="F1975" s="182" t="e">
        <f>SUM($D$33:D1975)</f>
        <v>#VALUE!</v>
      </c>
      <c r="G1975" s="182">
        <f t="shared" ca="1" si="221"/>
        <v>0</v>
      </c>
      <c r="H1975" s="182" t="e">
        <f t="shared" si="222"/>
        <v>#VALUE!</v>
      </c>
      <c r="I1975" s="183" t="e">
        <f t="shared" si="223"/>
        <v>#VALUE!</v>
      </c>
    </row>
    <row r="1976" spans="1:9" x14ac:dyDescent="0.25">
      <c r="A1976" s="180">
        <f t="shared" ca="1" si="224"/>
        <v>48048</v>
      </c>
      <c r="B1976" s="181">
        <v>1944</v>
      </c>
      <c r="C1976" s="182" t="e">
        <f t="shared" si="218"/>
        <v>#VALUE!</v>
      </c>
      <c r="D1976" s="182" t="e">
        <f t="shared" si="219"/>
        <v>#VALUE!</v>
      </c>
      <c r="E1976" s="182" t="e">
        <f t="shared" si="220"/>
        <v>#VALUE!</v>
      </c>
      <c r="F1976" s="182" t="e">
        <f>SUM($D$33:D1976)</f>
        <v>#VALUE!</v>
      </c>
      <c r="G1976" s="182">
        <f t="shared" ca="1" si="221"/>
        <v>0</v>
      </c>
      <c r="H1976" s="182" t="e">
        <f t="shared" si="222"/>
        <v>#VALUE!</v>
      </c>
      <c r="I1976" s="183" t="e">
        <f t="shared" si="223"/>
        <v>#VALUE!</v>
      </c>
    </row>
    <row r="1977" spans="1:9" x14ac:dyDescent="0.25">
      <c r="A1977" s="180">
        <f t="shared" ca="1" si="224"/>
        <v>48049</v>
      </c>
      <c r="B1977" s="181">
        <v>1945</v>
      </c>
      <c r="C1977" s="182" t="e">
        <f t="shared" si="218"/>
        <v>#VALUE!</v>
      </c>
      <c r="D1977" s="182" t="e">
        <f t="shared" si="219"/>
        <v>#VALUE!</v>
      </c>
      <c r="E1977" s="182" t="e">
        <f t="shared" si="220"/>
        <v>#VALUE!</v>
      </c>
      <c r="F1977" s="182" t="e">
        <f>SUM($D$33:D1977)</f>
        <v>#VALUE!</v>
      </c>
      <c r="G1977" s="182">
        <f t="shared" ca="1" si="221"/>
        <v>0</v>
      </c>
      <c r="H1977" s="182" t="e">
        <f t="shared" si="222"/>
        <v>#VALUE!</v>
      </c>
      <c r="I1977" s="183" t="e">
        <f t="shared" si="223"/>
        <v>#VALUE!</v>
      </c>
    </row>
    <row r="1978" spans="1:9" x14ac:dyDescent="0.25">
      <c r="A1978" s="180">
        <f t="shared" ca="1" si="224"/>
        <v>48050</v>
      </c>
      <c r="B1978" s="181">
        <v>1946</v>
      </c>
      <c r="C1978" s="182" t="e">
        <f t="shared" si="218"/>
        <v>#VALUE!</v>
      </c>
      <c r="D1978" s="182" t="e">
        <f t="shared" si="219"/>
        <v>#VALUE!</v>
      </c>
      <c r="E1978" s="182" t="e">
        <f t="shared" si="220"/>
        <v>#VALUE!</v>
      </c>
      <c r="F1978" s="182" t="e">
        <f>SUM($D$33:D1978)</f>
        <v>#VALUE!</v>
      </c>
      <c r="G1978" s="182">
        <f t="shared" ca="1" si="221"/>
        <v>0</v>
      </c>
      <c r="H1978" s="182" t="e">
        <f t="shared" si="222"/>
        <v>#VALUE!</v>
      </c>
      <c r="I1978" s="183" t="e">
        <f t="shared" si="223"/>
        <v>#VALUE!</v>
      </c>
    </row>
    <row r="1979" spans="1:9" x14ac:dyDescent="0.25">
      <c r="A1979" s="180">
        <f t="shared" ca="1" si="224"/>
        <v>48051</v>
      </c>
      <c r="B1979" s="181">
        <v>1947</v>
      </c>
      <c r="C1979" s="182" t="e">
        <f t="shared" si="218"/>
        <v>#VALUE!</v>
      </c>
      <c r="D1979" s="182" t="e">
        <f t="shared" si="219"/>
        <v>#VALUE!</v>
      </c>
      <c r="E1979" s="182" t="e">
        <f t="shared" si="220"/>
        <v>#VALUE!</v>
      </c>
      <c r="F1979" s="182" t="e">
        <f>SUM($D$33:D1979)</f>
        <v>#VALUE!</v>
      </c>
      <c r="G1979" s="182">
        <f t="shared" ca="1" si="221"/>
        <v>0</v>
      </c>
      <c r="H1979" s="182" t="e">
        <f t="shared" si="222"/>
        <v>#VALUE!</v>
      </c>
      <c r="I1979" s="183" t="e">
        <f t="shared" si="223"/>
        <v>#VALUE!</v>
      </c>
    </row>
    <row r="1980" spans="1:9" x14ac:dyDescent="0.25">
      <c r="A1980" s="180">
        <f t="shared" ca="1" si="224"/>
        <v>48052</v>
      </c>
      <c r="B1980" s="181">
        <v>1948</v>
      </c>
      <c r="C1980" s="182" t="e">
        <f t="shared" si="218"/>
        <v>#VALUE!</v>
      </c>
      <c r="D1980" s="182" t="e">
        <f t="shared" si="219"/>
        <v>#VALUE!</v>
      </c>
      <c r="E1980" s="182" t="e">
        <f t="shared" si="220"/>
        <v>#VALUE!</v>
      </c>
      <c r="F1980" s="182" t="e">
        <f>SUM($D$33:D1980)</f>
        <v>#VALUE!</v>
      </c>
      <c r="G1980" s="182">
        <f t="shared" ca="1" si="221"/>
        <v>0</v>
      </c>
      <c r="H1980" s="182" t="e">
        <f t="shared" si="222"/>
        <v>#VALUE!</v>
      </c>
      <c r="I1980" s="183" t="e">
        <f t="shared" si="223"/>
        <v>#VALUE!</v>
      </c>
    </row>
    <row r="1981" spans="1:9" x14ac:dyDescent="0.25">
      <c r="A1981" s="180">
        <f t="shared" ca="1" si="224"/>
        <v>48053</v>
      </c>
      <c r="B1981" s="181">
        <v>1949</v>
      </c>
      <c r="C1981" s="182" t="e">
        <f t="shared" si="218"/>
        <v>#VALUE!</v>
      </c>
      <c r="D1981" s="182" t="e">
        <f t="shared" si="219"/>
        <v>#VALUE!</v>
      </c>
      <c r="E1981" s="182" t="e">
        <f t="shared" si="220"/>
        <v>#VALUE!</v>
      </c>
      <c r="F1981" s="182" t="e">
        <f>SUM($D$33:D1981)</f>
        <v>#VALUE!</v>
      </c>
      <c r="G1981" s="182">
        <f t="shared" ca="1" si="221"/>
        <v>0</v>
      </c>
      <c r="H1981" s="182" t="e">
        <f t="shared" si="222"/>
        <v>#VALUE!</v>
      </c>
      <c r="I1981" s="183" t="e">
        <f t="shared" si="223"/>
        <v>#VALUE!</v>
      </c>
    </row>
    <row r="1982" spans="1:9" x14ac:dyDescent="0.25">
      <c r="A1982" s="180">
        <f t="shared" ca="1" si="224"/>
        <v>48054</v>
      </c>
      <c r="B1982" s="181">
        <v>1950</v>
      </c>
      <c r="C1982" s="182" t="e">
        <f t="shared" si="218"/>
        <v>#VALUE!</v>
      </c>
      <c r="D1982" s="182" t="e">
        <f t="shared" si="219"/>
        <v>#VALUE!</v>
      </c>
      <c r="E1982" s="182" t="e">
        <f t="shared" si="220"/>
        <v>#VALUE!</v>
      </c>
      <c r="F1982" s="182" t="e">
        <f>SUM($D$33:D1982)</f>
        <v>#VALUE!</v>
      </c>
      <c r="G1982" s="182">
        <f t="shared" ca="1" si="221"/>
        <v>0</v>
      </c>
      <c r="H1982" s="182" t="e">
        <f t="shared" si="222"/>
        <v>#VALUE!</v>
      </c>
      <c r="I1982" s="183" t="e">
        <f t="shared" si="223"/>
        <v>#VALUE!</v>
      </c>
    </row>
    <row r="1983" spans="1:9" x14ac:dyDescent="0.25">
      <c r="A1983" s="180">
        <f t="shared" ca="1" si="224"/>
        <v>48055</v>
      </c>
      <c r="B1983" s="181">
        <v>1951</v>
      </c>
      <c r="C1983" s="182" t="e">
        <f t="shared" si="218"/>
        <v>#VALUE!</v>
      </c>
      <c r="D1983" s="182" t="e">
        <f t="shared" si="219"/>
        <v>#VALUE!</v>
      </c>
      <c r="E1983" s="182" t="e">
        <f t="shared" si="220"/>
        <v>#VALUE!</v>
      </c>
      <c r="F1983" s="182" t="e">
        <f>SUM($D$33:D1983)</f>
        <v>#VALUE!</v>
      </c>
      <c r="G1983" s="182">
        <f t="shared" ca="1" si="221"/>
        <v>0</v>
      </c>
      <c r="H1983" s="182" t="e">
        <f t="shared" si="222"/>
        <v>#VALUE!</v>
      </c>
      <c r="I1983" s="183" t="e">
        <f t="shared" si="223"/>
        <v>#VALUE!</v>
      </c>
    </row>
    <row r="1984" spans="1:9" x14ac:dyDescent="0.25">
      <c r="A1984" s="180">
        <f t="shared" ca="1" si="224"/>
        <v>48056</v>
      </c>
      <c r="B1984" s="181">
        <v>1952</v>
      </c>
      <c r="C1984" s="182" t="e">
        <f t="shared" si="218"/>
        <v>#VALUE!</v>
      </c>
      <c r="D1984" s="182" t="e">
        <f t="shared" si="219"/>
        <v>#VALUE!</v>
      </c>
      <c r="E1984" s="182" t="e">
        <f t="shared" si="220"/>
        <v>#VALUE!</v>
      </c>
      <c r="F1984" s="182" t="e">
        <f>SUM($D$33:D1984)</f>
        <v>#VALUE!</v>
      </c>
      <c r="G1984" s="182">
        <f t="shared" ca="1" si="221"/>
        <v>0</v>
      </c>
      <c r="H1984" s="182" t="e">
        <f t="shared" si="222"/>
        <v>#VALUE!</v>
      </c>
      <c r="I1984" s="183" t="e">
        <f t="shared" si="223"/>
        <v>#VALUE!</v>
      </c>
    </row>
    <row r="1985" spans="1:9" x14ac:dyDescent="0.25">
      <c r="A1985" s="180">
        <f t="shared" ca="1" si="224"/>
        <v>48057</v>
      </c>
      <c r="B1985" s="181">
        <v>1953</v>
      </c>
      <c r="C1985" s="182" t="e">
        <f t="shared" si="218"/>
        <v>#VALUE!</v>
      </c>
      <c r="D1985" s="182" t="e">
        <f t="shared" si="219"/>
        <v>#VALUE!</v>
      </c>
      <c r="E1985" s="182" t="e">
        <f t="shared" si="220"/>
        <v>#VALUE!</v>
      </c>
      <c r="F1985" s="182" t="e">
        <f>SUM($D$33:D1985)</f>
        <v>#VALUE!</v>
      </c>
      <c r="G1985" s="182">
        <f t="shared" ca="1" si="221"/>
        <v>0</v>
      </c>
      <c r="H1985" s="182" t="e">
        <f t="shared" si="222"/>
        <v>#VALUE!</v>
      </c>
      <c r="I1985" s="183" t="e">
        <f t="shared" si="223"/>
        <v>#VALUE!</v>
      </c>
    </row>
    <row r="1986" spans="1:9" x14ac:dyDescent="0.25">
      <c r="A1986" s="180">
        <f t="shared" ca="1" si="224"/>
        <v>48058</v>
      </c>
      <c r="B1986" s="181">
        <v>1954</v>
      </c>
      <c r="C1986" s="182" t="e">
        <f t="shared" si="218"/>
        <v>#VALUE!</v>
      </c>
      <c r="D1986" s="182" t="e">
        <f t="shared" si="219"/>
        <v>#VALUE!</v>
      </c>
      <c r="E1986" s="182" t="e">
        <f t="shared" si="220"/>
        <v>#VALUE!</v>
      </c>
      <c r="F1986" s="182" t="e">
        <f>SUM($D$33:D1986)</f>
        <v>#VALUE!</v>
      </c>
      <c r="G1986" s="182">
        <f t="shared" ca="1" si="221"/>
        <v>0</v>
      </c>
      <c r="H1986" s="182" t="e">
        <f t="shared" si="222"/>
        <v>#VALUE!</v>
      </c>
      <c r="I1986" s="183" t="e">
        <f t="shared" si="223"/>
        <v>#VALUE!</v>
      </c>
    </row>
    <row r="1987" spans="1:9" x14ac:dyDescent="0.25">
      <c r="A1987" s="180">
        <f t="shared" ca="1" si="224"/>
        <v>48059</v>
      </c>
      <c r="B1987" s="181">
        <v>1955</v>
      </c>
      <c r="C1987" s="182" t="e">
        <f t="shared" si="218"/>
        <v>#VALUE!</v>
      </c>
      <c r="D1987" s="182" t="e">
        <f t="shared" si="219"/>
        <v>#VALUE!</v>
      </c>
      <c r="E1987" s="182" t="e">
        <f t="shared" si="220"/>
        <v>#VALUE!</v>
      </c>
      <c r="F1987" s="182" t="e">
        <f>SUM($D$33:D1987)</f>
        <v>#VALUE!</v>
      </c>
      <c r="G1987" s="182">
        <f t="shared" ca="1" si="221"/>
        <v>0</v>
      </c>
      <c r="H1987" s="182" t="e">
        <f t="shared" si="222"/>
        <v>#VALUE!</v>
      </c>
      <c r="I1987" s="183" t="e">
        <f t="shared" si="223"/>
        <v>#VALUE!</v>
      </c>
    </row>
    <row r="1988" spans="1:9" x14ac:dyDescent="0.25">
      <c r="A1988" s="180">
        <f t="shared" ca="1" si="224"/>
        <v>48060</v>
      </c>
      <c r="B1988" s="181">
        <v>1956</v>
      </c>
      <c r="C1988" s="182" t="e">
        <f t="shared" si="218"/>
        <v>#VALUE!</v>
      </c>
      <c r="D1988" s="182" t="e">
        <f t="shared" si="219"/>
        <v>#VALUE!</v>
      </c>
      <c r="E1988" s="182" t="e">
        <f t="shared" si="220"/>
        <v>#VALUE!</v>
      </c>
      <c r="F1988" s="182" t="e">
        <f>SUM($D$33:D1988)</f>
        <v>#VALUE!</v>
      </c>
      <c r="G1988" s="182">
        <f t="shared" ca="1" si="221"/>
        <v>0</v>
      </c>
      <c r="H1988" s="182" t="e">
        <f t="shared" si="222"/>
        <v>#VALUE!</v>
      </c>
      <c r="I1988" s="183" t="e">
        <f t="shared" si="223"/>
        <v>#VALUE!</v>
      </c>
    </row>
    <row r="1989" spans="1:9" x14ac:dyDescent="0.25">
      <c r="A1989" s="180">
        <f t="shared" ca="1" si="224"/>
        <v>48061</v>
      </c>
      <c r="B1989" s="181">
        <v>1957</v>
      </c>
      <c r="C1989" s="182" t="e">
        <f t="shared" si="218"/>
        <v>#VALUE!</v>
      </c>
      <c r="D1989" s="182" t="e">
        <f t="shared" si="219"/>
        <v>#VALUE!</v>
      </c>
      <c r="E1989" s="182" t="e">
        <f t="shared" si="220"/>
        <v>#VALUE!</v>
      </c>
      <c r="F1989" s="182" t="e">
        <f>SUM($D$33:D1989)</f>
        <v>#VALUE!</v>
      </c>
      <c r="G1989" s="182">
        <f t="shared" ca="1" si="221"/>
        <v>0</v>
      </c>
      <c r="H1989" s="182" t="e">
        <f t="shared" si="222"/>
        <v>#VALUE!</v>
      </c>
      <c r="I1989" s="183" t="e">
        <f t="shared" si="223"/>
        <v>#VALUE!</v>
      </c>
    </row>
    <row r="1990" spans="1:9" x14ac:dyDescent="0.25">
      <c r="A1990" s="180">
        <f t="shared" ca="1" si="224"/>
        <v>48062</v>
      </c>
      <c r="B1990" s="181">
        <v>1958</v>
      </c>
      <c r="C1990" s="182" t="e">
        <f t="shared" si="218"/>
        <v>#VALUE!</v>
      </c>
      <c r="D1990" s="182" t="e">
        <f t="shared" si="219"/>
        <v>#VALUE!</v>
      </c>
      <c r="E1990" s="182" t="e">
        <f t="shared" si="220"/>
        <v>#VALUE!</v>
      </c>
      <c r="F1990" s="182" t="e">
        <f>SUM($D$33:D1990)</f>
        <v>#VALUE!</v>
      </c>
      <c r="G1990" s="182">
        <f t="shared" ca="1" si="221"/>
        <v>0</v>
      </c>
      <c r="H1990" s="182" t="e">
        <f t="shared" si="222"/>
        <v>#VALUE!</v>
      </c>
      <c r="I1990" s="183" t="e">
        <f t="shared" si="223"/>
        <v>#VALUE!</v>
      </c>
    </row>
    <row r="1991" spans="1:9" x14ac:dyDescent="0.25">
      <c r="A1991" s="180">
        <f t="shared" ca="1" si="224"/>
        <v>48063</v>
      </c>
      <c r="B1991" s="181">
        <v>1959</v>
      </c>
      <c r="C1991" s="182" t="e">
        <f t="shared" si="218"/>
        <v>#VALUE!</v>
      </c>
      <c r="D1991" s="182" t="e">
        <f t="shared" si="219"/>
        <v>#VALUE!</v>
      </c>
      <c r="E1991" s="182" t="e">
        <f t="shared" si="220"/>
        <v>#VALUE!</v>
      </c>
      <c r="F1991" s="182" t="e">
        <f>SUM($D$33:D1991)</f>
        <v>#VALUE!</v>
      </c>
      <c r="G1991" s="182">
        <f t="shared" ca="1" si="221"/>
        <v>0</v>
      </c>
      <c r="H1991" s="182" t="e">
        <f t="shared" si="222"/>
        <v>#VALUE!</v>
      </c>
      <c r="I1991" s="183" t="e">
        <f t="shared" si="223"/>
        <v>#VALUE!</v>
      </c>
    </row>
    <row r="1992" spans="1:9" x14ac:dyDescent="0.25">
      <c r="A1992" s="180">
        <f t="shared" ca="1" si="224"/>
        <v>48064</v>
      </c>
      <c r="B1992" s="181">
        <v>1960</v>
      </c>
      <c r="C1992" s="182" t="e">
        <f t="shared" si="218"/>
        <v>#VALUE!</v>
      </c>
      <c r="D1992" s="182" t="e">
        <f t="shared" si="219"/>
        <v>#VALUE!</v>
      </c>
      <c r="E1992" s="182" t="e">
        <f t="shared" si="220"/>
        <v>#VALUE!</v>
      </c>
      <c r="F1992" s="182" t="e">
        <f>SUM($D$33:D1992)</f>
        <v>#VALUE!</v>
      </c>
      <c r="G1992" s="182">
        <f t="shared" ca="1" si="221"/>
        <v>0</v>
      </c>
      <c r="H1992" s="182" t="e">
        <f t="shared" si="222"/>
        <v>#VALUE!</v>
      </c>
      <c r="I1992" s="183" t="e">
        <f t="shared" si="223"/>
        <v>#VALUE!</v>
      </c>
    </row>
    <row r="1993" spans="1:9" x14ac:dyDescent="0.25">
      <c r="A1993" s="180">
        <f t="shared" ca="1" si="224"/>
        <v>48065</v>
      </c>
      <c r="B1993" s="181">
        <v>1961</v>
      </c>
      <c r="C1993" s="182" t="e">
        <f t="shared" si="218"/>
        <v>#VALUE!</v>
      </c>
      <c r="D1993" s="182" t="e">
        <f t="shared" si="219"/>
        <v>#VALUE!</v>
      </c>
      <c r="E1993" s="182" t="e">
        <f t="shared" si="220"/>
        <v>#VALUE!</v>
      </c>
      <c r="F1993" s="182" t="e">
        <f>SUM($D$33:D1993)</f>
        <v>#VALUE!</v>
      </c>
      <c r="G1993" s="182">
        <f t="shared" ca="1" si="221"/>
        <v>0</v>
      </c>
      <c r="H1993" s="182" t="e">
        <f t="shared" si="222"/>
        <v>#VALUE!</v>
      </c>
      <c r="I1993" s="183" t="e">
        <f t="shared" si="223"/>
        <v>#VALUE!</v>
      </c>
    </row>
    <row r="1994" spans="1:9" x14ac:dyDescent="0.25">
      <c r="A1994" s="180">
        <f t="shared" ca="1" si="224"/>
        <v>48066</v>
      </c>
      <c r="B1994" s="181">
        <v>1962</v>
      </c>
      <c r="C1994" s="182" t="e">
        <f t="shared" si="218"/>
        <v>#VALUE!</v>
      </c>
      <c r="D1994" s="182" t="e">
        <f t="shared" si="219"/>
        <v>#VALUE!</v>
      </c>
      <c r="E1994" s="182" t="e">
        <f t="shared" si="220"/>
        <v>#VALUE!</v>
      </c>
      <c r="F1994" s="182" t="e">
        <f>SUM($D$33:D1994)</f>
        <v>#VALUE!</v>
      </c>
      <c r="G1994" s="182">
        <f t="shared" ca="1" si="221"/>
        <v>0</v>
      </c>
      <c r="H1994" s="182" t="e">
        <f t="shared" si="222"/>
        <v>#VALUE!</v>
      </c>
      <c r="I1994" s="183" t="e">
        <f t="shared" si="223"/>
        <v>#VALUE!</v>
      </c>
    </row>
    <row r="1995" spans="1:9" x14ac:dyDescent="0.25">
      <c r="A1995" s="180">
        <f t="shared" ca="1" si="224"/>
        <v>48067</v>
      </c>
      <c r="B1995" s="181">
        <v>1963</v>
      </c>
      <c r="C1995" s="182" t="e">
        <f t="shared" si="218"/>
        <v>#VALUE!</v>
      </c>
      <c r="D1995" s="182" t="e">
        <f t="shared" si="219"/>
        <v>#VALUE!</v>
      </c>
      <c r="E1995" s="182" t="e">
        <f t="shared" si="220"/>
        <v>#VALUE!</v>
      </c>
      <c r="F1995" s="182" t="e">
        <f>SUM($D$33:D1995)</f>
        <v>#VALUE!</v>
      </c>
      <c r="G1995" s="182">
        <f t="shared" ca="1" si="221"/>
        <v>0</v>
      </c>
      <c r="H1995" s="182" t="e">
        <f t="shared" si="222"/>
        <v>#VALUE!</v>
      </c>
      <c r="I1995" s="183" t="e">
        <f t="shared" si="223"/>
        <v>#VALUE!</v>
      </c>
    </row>
    <row r="1996" spans="1:9" x14ac:dyDescent="0.25">
      <c r="A1996" s="180">
        <f t="shared" ca="1" si="224"/>
        <v>48068</v>
      </c>
      <c r="B1996" s="181">
        <v>1964</v>
      </c>
      <c r="C1996" s="182" t="e">
        <f t="shared" si="218"/>
        <v>#VALUE!</v>
      </c>
      <c r="D1996" s="182" t="e">
        <f t="shared" si="219"/>
        <v>#VALUE!</v>
      </c>
      <c r="E1996" s="182" t="e">
        <f t="shared" si="220"/>
        <v>#VALUE!</v>
      </c>
      <c r="F1996" s="182" t="e">
        <f>SUM($D$33:D1996)</f>
        <v>#VALUE!</v>
      </c>
      <c r="G1996" s="182">
        <f t="shared" ca="1" si="221"/>
        <v>0</v>
      </c>
      <c r="H1996" s="182" t="e">
        <f t="shared" si="222"/>
        <v>#VALUE!</v>
      </c>
      <c r="I1996" s="183" t="e">
        <f t="shared" si="223"/>
        <v>#VALUE!</v>
      </c>
    </row>
    <row r="1997" spans="1:9" x14ac:dyDescent="0.25">
      <c r="A1997" s="180">
        <f t="shared" ca="1" si="224"/>
        <v>48069</v>
      </c>
      <c r="B1997" s="181">
        <v>1965</v>
      </c>
      <c r="C1997" s="182" t="e">
        <f t="shared" si="218"/>
        <v>#VALUE!</v>
      </c>
      <c r="D1997" s="182" t="e">
        <f t="shared" si="219"/>
        <v>#VALUE!</v>
      </c>
      <c r="E1997" s="182" t="e">
        <f t="shared" si="220"/>
        <v>#VALUE!</v>
      </c>
      <c r="F1997" s="182" t="e">
        <f>SUM($D$33:D1997)</f>
        <v>#VALUE!</v>
      </c>
      <c r="G1997" s="182">
        <f t="shared" ca="1" si="221"/>
        <v>0</v>
      </c>
      <c r="H1997" s="182" t="e">
        <f t="shared" si="222"/>
        <v>#VALUE!</v>
      </c>
      <c r="I1997" s="183" t="e">
        <f t="shared" si="223"/>
        <v>#VALUE!</v>
      </c>
    </row>
    <row r="1998" spans="1:9" x14ac:dyDescent="0.25">
      <c r="A1998" s="180">
        <f t="shared" ca="1" si="224"/>
        <v>48070</v>
      </c>
      <c r="B1998" s="181">
        <v>1966</v>
      </c>
      <c r="C1998" s="182" t="e">
        <f t="shared" si="218"/>
        <v>#VALUE!</v>
      </c>
      <c r="D1998" s="182" t="e">
        <f t="shared" si="219"/>
        <v>#VALUE!</v>
      </c>
      <c r="E1998" s="182" t="e">
        <f t="shared" si="220"/>
        <v>#VALUE!</v>
      </c>
      <c r="F1998" s="182" t="e">
        <f>SUM($D$33:D1998)</f>
        <v>#VALUE!</v>
      </c>
      <c r="G1998" s="182">
        <f t="shared" ca="1" si="221"/>
        <v>0</v>
      </c>
      <c r="H1998" s="182" t="e">
        <f t="shared" si="222"/>
        <v>#VALUE!</v>
      </c>
      <c r="I1998" s="183" t="e">
        <f t="shared" si="223"/>
        <v>#VALUE!</v>
      </c>
    </row>
    <row r="1999" spans="1:9" x14ac:dyDescent="0.25">
      <c r="A1999" s="180">
        <f t="shared" ca="1" si="224"/>
        <v>48071</v>
      </c>
      <c r="B1999" s="181">
        <v>1967</v>
      </c>
      <c r="C1999" s="182" t="e">
        <f t="shared" si="218"/>
        <v>#VALUE!</v>
      </c>
      <c r="D1999" s="182" t="e">
        <f t="shared" si="219"/>
        <v>#VALUE!</v>
      </c>
      <c r="E1999" s="182" t="e">
        <f t="shared" si="220"/>
        <v>#VALUE!</v>
      </c>
      <c r="F1999" s="182" t="e">
        <f>SUM($D$33:D1999)</f>
        <v>#VALUE!</v>
      </c>
      <c r="G1999" s="182">
        <f t="shared" ca="1" si="221"/>
        <v>0</v>
      </c>
      <c r="H1999" s="182" t="e">
        <f t="shared" si="222"/>
        <v>#VALUE!</v>
      </c>
      <c r="I1999" s="183" t="e">
        <f t="shared" si="223"/>
        <v>#VALUE!</v>
      </c>
    </row>
    <row r="2000" spans="1:9" x14ac:dyDescent="0.25">
      <c r="A2000" s="180">
        <f t="shared" ca="1" si="224"/>
        <v>48072</v>
      </c>
      <c r="B2000" s="181">
        <v>1968</v>
      </c>
      <c r="C2000" s="182" t="e">
        <f t="shared" ref="C2000:C2063" si="225">H1999</f>
        <v>#VALUE!</v>
      </c>
      <c r="D2000" s="182" t="e">
        <f t="shared" ref="D2000:D2063" si="226">IF(C2000&gt;$H$21,C2000*($L$16/360),$H$21*($L$16/360))</f>
        <v>#VALUE!</v>
      </c>
      <c r="E2000" s="182" t="e">
        <f t="shared" ref="E2000:E2063" si="227">IF(E1999&gt;0,E1999-D2000,0)</f>
        <v>#VALUE!</v>
      </c>
      <c r="F2000" s="182" t="e">
        <f>SUM($D$33:D2000)</f>
        <v>#VALUE!</v>
      </c>
      <c r="G2000" s="182">
        <f t="shared" ref="G2000:G2063" ca="1" si="228">IFERROR(-VLOOKUP(A2000,$K$30:$M$36,2,FALSE),0)</f>
        <v>0</v>
      </c>
      <c r="H2000" s="182" t="e">
        <f t="shared" ref="H2000:H2063" si="229">IF(E2000&gt;0,C2000+G2000,IF(E2000&lt;0,C2000+G2000+D2000-E1999,C2000+D2000+G2000))</f>
        <v>#VALUE!</v>
      </c>
      <c r="I2000" s="183" t="e">
        <f t="shared" ref="I2000:I2063" si="230">(C2000+D2000-E2000)</f>
        <v>#VALUE!</v>
      </c>
    </row>
    <row r="2001" spans="1:9" x14ac:dyDescent="0.25">
      <c r="A2001" s="180">
        <f t="shared" ca="1" si="224"/>
        <v>48073</v>
      </c>
      <c r="B2001" s="181">
        <v>1969</v>
      </c>
      <c r="C2001" s="182" t="e">
        <f t="shared" si="225"/>
        <v>#VALUE!</v>
      </c>
      <c r="D2001" s="182" t="e">
        <f t="shared" si="226"/>
        <v>#VALUE!</v>
      </c>
      <c r="E2001" s="182" t="e">
        <f t="shared" si="227"/>
        <v>#VALUE!</v>
      </c>
      <c r="F2001" s="182" t="e">
        <f>SUM($D$33:D2001)</f>
        <v>#VALUE!</v>
      </c>
      <c r="G2001" s="182">
        <f t="shared" ca="1" si="228"/>
        <v>0</v>
      </c>
      <c r="H2001" s="182" t="e">
        <f t="shared" si="229"/>
        <v>#VALUE!</v>
      </c>
      <c r="I2001" s="183" t="e">
        <f t="shared" si="230"/>
        <v>#VALUE!</v>
      </c>
    </row>
    <row r="2002" spans="1:9" x14ac:dyDescent="0.25">
      <c r="A2002" s="180">
        <f t="shared" ca="1" si="224"/>
        <v>48074</v>
      </c>
      <c r="B2002" s="181">
        <v>1970</v>
      </c>
      <c r="C2002" s="182" t="e">
        <f t="shared" si="225"/>
        <v>#VALUE!</v>
      </c>
      <c r="D2002" s="182" t="e">
        <f t="shared" si="226"/>
        <v>#VALUE!</v>
      </c>
      <c r="E2002" s="182" t="e">
        <f t="shared" si="227"/>
        <v>#VALUE!</v>
      </c>
      <c r="F2002" s="182" t="e">
        <f>SUM($D$33:D2002)</f>
        <v>#VALUE!</v>
      </c>
      <c r="G2002" s="182">
        <f t="shared" ca="1" si="228"/>
        <v>0</v>
      </c>
      <c r="H2002" s="182" t="e">
        <f t="shared" si="229"/>
        <v>#VALUE!</v>
      </c>
      <c r="I2002" s="183" t="e">
        <f t="shared" si="230"/>
        <v>#VALUE!</v>
      </c>
    </row>
    <row r="2003" spans="1:9" x14ac:dyDescent="0.25">
      <c r="A2003" s="180">
        <f t="shared" ca="1" si="224"/>
        <v>48075</v>
      </c>
      <c r="B2003" s="181">
        <v>1971</v>
      </c>
      <c r="C2003" s="182" t="e">
        <f t="shared" si="225"/>
        <v>#VALUE!</v>
      </c>
      <c r="D2003" s="182" t="e">
        <f t="shared" si="226"/>
        <v>#VALUE!</v>
      </c>
      <c r="E2003" s="182" t="e">
        <f t="shared" si="227"/>
        <v>#VALUE!</v>
      </c>
      <c r="F2003" s="182" t="e">
        <f>SUM($D$33:D2003)</f>
        <v>#VALUE!</v>
      </c>
      <c r="G2003" s="182">
        <f t="shared" ca="1" si="228"/>
        <v>0</v>
      </c>
      <c r="H2003" s="182" t="e">
        <f t="shared" si="229"/>
        <v>#VALUE!</v>
      </c>
      <c r="I2003" s="183" t="e">
        <f t="shared" si="230"/>
        <v>#VALUE!</v>
      </c>
    </row>
    <row r="2004" spans="1:9" x14ac:dyDescent="0.25">
      <c r="A2004" s="180">
        <f t="shared" ca="1" si="224"/>
        <v>48076</v>
      </c>
      <c r="B2004" s="181">
        <v>1972</v>
      </c>
      <c r="C2004" s="182" t="e">
        <f t="shared" si="225"/>
        <v>#VALUE!</v>
      </c>
      <c r="D2004" s="182" t="e">
        <f t="shared" si="226"/>
        <v>#VALUE!</v>
      </c>
      <c r="E2004" s="182" t="e">
        <f t="shared" si="227"/>
        <v>#VALUE!</v>
      </c>
      <c r="F2004" s="182" t="e">
        <f>SUM($D$33:D2004)</f>
        <v>#VALUE!</v>
      </c>
      <c r="G2004" s="182">
        <f t="shared" ca="1" si="228"/>
        <v>0</v>
      </c>
      <c r="H2004" s="182" t="e">
        <f t="shared" si="229"/>
        <v>#VALUE!</v>
      </c>
      <c r="I2004" s="183" t="e">
        <f t="shared" si="230"/>
        <v>#VALUE!</v>
      </c>
    </row>
    <row r="2005" spans="1:9" x14ac:dyDescent="0.25">
      <c r="A2005" s="180">
        <f t="shared" ca="1" si="224"/>
        <v>48077</v>
      </c>
      <c r="B2005" s="181">
        <v>1973</v>
      </c>
      <c r="C2005" s="182" t="e">
        <f t="shared" si="225"/>
        <v>#VALUE!</v>
      </c>
      <c r="D2005" s="182" t="e">
        <f t="shared" si="226"/>
        <v>#VALUE!</v>
      </c>
      <c r="E2005" s="182" t="e">
        <f t="shared" si="227"/>
        <v>#VALUE!</v>
      </c>
      <c r="F2005" s="182" t="e">
        <f>SUM($D$33:D2005)</f>
        <v>#VALUE!</v>
      </c>
      <c r="G2005" s="182">
        <f t="shared" ca="1" si="228"/>
        <v>0</v>
      </c>
      <c r="H2005" s="182" t="e">
        <f t="shared" si="229"/>
        <v>#VALUE!</v>
      </c>
      <c r="I2005" s="183" t="e">
        <f t="shared" si="230"/>
        <v>#VALUE!</v>
      </c>
    </row>
    <row r="2006" spans="1:9" x14ac:dyDescent="0.25">
      <c r="A2006" s="180">
        <f t="shared" ca="1" si="224"/>
        <v>48078</v>
      </c>
      <c r="B2006" s="181">
        <v>1974</v>
      </c>
      <c r="C2006" s="182" t="e">
        <f t="shared" si="225"/>
        <v>#VALUE!</v>
      </c>
      <c r="D2006" s="182" t="e">
        <f t="shared" si="226"/>
        <v>#VALUE!</v>
      </c>
      <c r="E2006" s="182" t="e">
        <f t="shared" si="227"/>
        <v>#VALUE!</v>
      </c>
      <c r="F2006" s="182" t="e">
        <f>SUM($D$33:D2006)</f>
        <v>#VALUE!</v>
      </c>
      <c r="G2006" s="182">
        <f t="shared" ca="1" si="228"/>
        <v>0</v>
      </c>
      <c r="H2006" s="182" t="e">
        <f t="shared" si="229"/>
        <v>#VALUE!</v>
      </c>
      <c r="I2006" s="183" t="e">
        <f t="shared" si="230"/>
        <v>#VALUE!</v>
      </c>
    </row>
    <row r="2007" spans="1:9" x14ac:dyDescent="0.25">
      <c r="A2007" s="180">
        <f t="shared" ca="1" si="224"/>
        <v>48079</v>
      </c>
      <c r="B2007" s="181">
        <v>1975</v>
      </c>
      <c r="C2007" s="182" t="e">
        <f t="shared" si="225"/>
        <v>#VALUE!</v>
      </c>
      <c r="D2007" s="182" t="e">
        <f t="shared" si="226"/>
        <v>#VALUE!</v>
      </c>
      <c r="E2007" s="182" t="e">
        <f t="shared" si="227"/>
        <v>#VALUE!</v>
      </c>
      <c r="F2007" s="182" t="e">
        <f>SUM($D$33:D2007)</f>
        <v>#VALUE!</v>
      </c>
      <c r="G2007" s="182">
        <f t="shared" ca="1" si="228"/>
        <v>0</v>
      </c>
      <c r="H2007" s="182" t="e">
        <f t="shared" si="229"/>
        <v>#VALUE!</v>
      </c>
      <c r="I2007" s="183" t="e">
        <f t="shared" si="230"/>
        <v>#VALUE!</v>
      </c>
    </row>
    <row r="2008" spans="1:9" x14ac:dyDescent="0.25">
      <c r="A2008" s="180">
        <f t="shared" ca="1" si="224"/>
        <v>48080</v>
      </c>
      <c r="B2008" s="181">
        <v>1976</v>
      </c>
      <c r="C2008" s="182" t="e">
        <f t="shared" si="225"/>
        <v>#VALUE!</v>
      </c>
      <c r="D2008" s="182" t="e">
        <f t="shared" si="226"/>
        <v>#VALUE!</v>
      </c>
      <c r="E2008" s="182" t="e">
        <f t="shared" si="227"/>
        <v>#VALUE!</v>
      </c>
      <c r="F2008" s="182" t="e">
        <f>SUM($D$33:D2008)</f>
        <v>#VALUE!</v>
      </c>
      <c r="G2008" s="182">
        <f t="shared" ca="1" si="228"/>
        <v>0</v>
      </c>
      <c r="H2008" s="182" t="e">
        <f t="shared" si="229"/>
        <v>#VALUE!</v>
      </c>
      <c r="I2008" s="183" t="e">
        <f t="shared" si="230"/>
        <v>#VALUE!</v>
      </c>
    </row>
    <row r="2009" spans="1:9" x14ac:dyDescent="0.25">
      <c r="A2009" s="180">
        <f t="shared" ca="1" si="224"/>
        <v>48081</v>
      </c>
      <c r="B2009" s="181">
        <v>1977</v>
      </c>
      <c r="C2009" s="182" t="e">
        <f t="shared" si="225"/>
        <v>#VALUE!</v>
      </c>
      <c r="D2009" s="182" t="e">
        <f t="shared" si="226"/>
        <v>#VALUE!</v>
      </c>
      <c r="E2009" s="182" t="e">
        <f t="shared" si="227"/>
        <v>#VALUE!</v>
      </c>
      <c r="F2009" s="182" t="e">
        <f>SUM($D$33:D2009)</f>
        <v>#VALUE!</v>
      </c>
      <c r="G2009" s="182">
        <f t="shared" ca="1" si="228"/>
        <v>0</v>
      </c>
      <c r="H2009" s="182" t="e">
        <f t="shared" si="229"/>
        <v>#VALUE!</v>
      </c>
      <c r="I2009" s="183" t="e">
        <f t="shared" si="230"/>
        <v>#VALUE!</v>
      </c>
    </row>
    <row r="2010" spans="1:9" x14ac:dyDescent="0.25">
      <c r="A2010" s="180">
        <f t="shared" ca="1" si="224"/>
        <v>48082</v>
      </c>
      <c r="B2010" s="181">
        <v>1978</v>
      </c>
      <c r="C2010" s="182" t="e">
        <f t="shared" si="225"/>
        <v>#VALUE!</v>
      </c>
      <c r="D2010" s="182" t="e">
        <f t="shared" si="226"/>
        <v>#VALUE!</v>
      </c>
      <c r="E2010" s="182" t="e">
        <f t="shared" si="227"/>
        <v>#VALUE!</v>
      </c>
      <c r="F2010" s="182" t="e">
        <f>SUM($D$33:D2010)</f>
        <v>#VALUE!</v>
      </c>
      <c r="G2010" s="182">
        <f t="shared" ca="1" si="228"/>
        <v>0</v>
      </c>
      <c r="H2010" s="182" t="e">
        <f t="shared" si="229"/>
        <v>#VALUE!</v>
      </c>
      <c r="I2010" s="183" t="e">
        <f t="shared" si="230"/>
        <v>#VALUE!</v>
      </c>
    </row>
    <row r="2011" spans="1:9" x14ac:dyDescent="0.25">
      <c r="A2011" s="180">
        <f t="shared" ca="1" si="224"/>
        <v>48083</v>
      </c>
      <c r="B2011" s="181">
        <v>1979</v>
      </c>
      <c r="C2011" s="182" t="e">
        <f t="shared" si="225"/>
        <v>#VALUE!</v>
      </c>
      <c r="D2011" s="182" t="e">
        <f t="shared" si="226"/>
        <v>#VALUE!</v>
      </c>
      <c r="E2011" s="182" t="e">
        <f t="shared" si="227"/>
        <v>#VALUE!</v>
      </c>
      <c r="F2011" s="182" t="e">
        <f>SUM($D$33:D2011)</f>
        <v>#VALUE!</v>
      </c>
      <c r="G2011" s="182">
        <f t="shared" ca="1" si="228"/>
        <v>0</v>
      </c>
      <c r="H2011" s="182" t="e">
        <f t="shared" si="229"/>
        <v>#VALUE!</v>
      </c>
      <c r="I2011" s="183" t="e">
        <f t="shared" si="230"/>
        <v>#VALUE!</v>
      </c>
    </row>
    <row r="2012" spans="1:9" x14ac:dyDescent="0.25">
      <c r="A2012" s="180">
        <f t="shared" ca="1" si="224"/>
        <v>48084</v>
      </c>
      <c r="B2012" s="181">
        <v>1980</v>
      </c>
      <c r="C2012" s="182" t="e">
        <f t="shared" si="225"/>
        <v>#VALUE!</v>
      </c>
      <c r="D2012" s="182" t="e">
        <f t="shared" si="226"/>
        <v>#VALUE!</v>
      </c>
      <c r="E2012" s="182" t="e">
        <f t="shared" si="227"/>
        <v>#VALUE!</v>
      </c>
      <c r="F2012" s="182" t="e">
        <f>SUM($D$33:D2012)</f>
        <v>#VALUE!</v>
      </c>
      <c r="G2012" s="182">
        <f t="shared" ca="1" si="228"/>
        <v>0</v>
      </c>
      <c r="H2012" s="182" t="e">
        <f t="shared" si="229"/>
        <v>#VALUE!</v>
      </c>
      <c r="I2012" s="183" t="e">
        <f t="shared" si="230"/>
        <v>#VALUE!</v>
      </c>
    </row>
    <row r="2013" spans="1:9" x14ac:dyDescent="0.25">
      <c r="A2013" s="180">
        <f t="shared" ca="1" si="224"/>
        <v>48085</v>
      </c>
      <c r="B2013" s="181">
        <v>1981</v>
      </c>
      <c r="C2013" s="182" t="e">
        <f t="shared" si="225"/>
        <v>#VALUE!</v>
      </c>
      <c r="D2013" s="182" t="e">
        <f t="shared" si="226"/>
        <v>#VALUE!</v>
      </c>
      <c r="E2013" s="182" t="e">
        <f t="shared" si="227"/>
        <v>#VALUE!</v>
      </c>
      <c r="F2013" s="182" t="e">
        <f>SUM($D$33:D2013)</f>
        <v>#VALUE!</v>
      </c>
      <c r="G2013" s="182">
        <f t="shared" ca="1" si="228"/>
        <v>0</v>
      </c>
      <c r="H2013" s="182" t="e">
        <f t="shared" si="229"/>
        <v>#VALUE!</v>
      </c>
      <c r="I2013" s="183" t="e">
        <f t="shared" si="230"/>
        <v>#VALUE!</v>
      </c>
    </row>
    <row r="2014" spans="1:9" x14ac:dyDescent="0.25">
      <c r="A2014" s="180">
        <f t="shared" ca="1" si="224"/>
        <v>48086</v>
      </c>
      <c r="B2014" s="181">
        <v>1982</v>
      </c>
      <c r="C2014" s="182" t="e">
        <f t="shared" si="225"/>
        <v>#VALUE!</v>
      </c>
      <c r="D2014" s="182" t="e">
        <f t="shared" si="226"/>
        <v>#VALUE!</v>
      </c>
      <c r="E2014" s="182" t="e">
        <f t="shared" si="227"/>
        <v>#VALUE!</v>
      </c>
      <c r="F2014" s="182" t="e">
        <f>SUM($D$33:D2014)</f>
        <v>#VALUE!</v>
      </c>
      <c r="G2014" s="182">
        <f t="shared" ca="1" si="228"/>
        <v>0</v>
      </c>
      <c r="H2014" s="182" t="e">
        <f t="shared" si="229"/>
        <v>#VALUE!</v>
      </c>
      <c r="I2014" s="183" t="e">
        <f t="shared" si="230"/>
        <v>#VALUE!</v>
      </c>
    </row>
    <row r="2015" spans="1:9" x14ac:dyDescent="0.25">
      <c r="A2015" s="180">
        <f t="shared" ca="1" si="224"/>
        <v>48087</v>
      </c>
      <c r="B2015" s="181">
        <v>1983</v>
      </c>
      <c r="C2015" s="182" t="e">
        <f t="shared" si="225"/>
        <v>#VALUE!</v>
      </c>
      <c r="D2015" s="182" t="e">
        <f t="shared" si="226"/>
        <v>#VALUE!</v>
      </c>
      <c r="E2015" s="182" t="e">
        <f t="shared" si="227"/>
        <v>#VALUE!</v>
      </c>
      <c r="F2015" s="182" t="e">
        <f>SUM($D$33:D2015)</f>
        <v>#VALUE!</v>
      </c>
      <c r="G2015" s="182">
        <f t="shared" ca="1" si="228"/>
        <v>0</v>
      </c>
      <c r="H2015" s="182" t="e">
        <f t="shared" si="229"/>
        <v>#VALUE!</v>
      </c>
      <c r="I2015" s="183" t="e">
        <f t="shared" si="230"/>
        <v>#VALUE!</v>
      </c>
    </row>
    <row r="2016" spans="1:9" x14ac:dyDescent="0.25">
      <c r="A2016" s="180">
        <f t="shared" ca="1" si="224"/>
        <v>48088</v>
      </c>
      <c r="B2016" s="181">
        <v>1984</v>
      </c>
      <c r="C2016" s="182" t="e">
        <f t="shared" si="225"/>
        <v>#VALUE!</v>
      </c>
      <c r="D2016" s="182" t="e">
        <f t="shared" si="226"/>
        <v>#VALUE!</v>
      </c>
      <c r="E2016" s="182" t="e">
        <f t="shared" si="227"/>
        <v>#VALUE!</v>
      </c>
      <c r="F2016" s="182" t="e">
        <f>SUM($D$33:D2016)</f>
        <v>#VALUE!</v>
      </c>
      <c r="G2016" s="182">
        <f t="shared" ca="1" si="228"/>
        <v>0</v>
      </c>
      <c r="H2016" s="182" t="e">
        <f t="shared" si="229"/>
        <v>#VALUE!</v>
      </c>
      <c r="I2016" s="183" t="e">
        <f t="shared" si="230"/>
        <v>#VALUE!</v>
      </c>
    </row>
    <row r="2017" spans="1:9" x14ac:dyDescent="0.25">
      <c r="A2017" s="180">
        <f t="shared" ca="1" si="224"/>
        <v>48089</v>
      </c>
      <c r="B2017" s="181">
        <v>1985</v>
      </c>
      <c r="C2017" s="182" t="e">
        <f t="shared" si="225"/>
        <v>#VALUE!</v>
      </c>
      <c r="D2017" s="182" t="e">
        <f t="shared" si="226"/>
        <v>#VALUE!</v>
      </c>
      <c r="E2017" s="182" t="e">
        <f t="shared" si="227"/>
        <v>#VALUE!</v>
      </c>
      <c r="F2017" s="182" t="e">
        <f>SUM($D$33:D2017)</f>
        <v>#VALUE!</v>
      </c>
      <c r="G2017" s="182">
        <f t="shared" ca="1" si="228"/>
        <v>0</v>
      </c>
      <c r="H2017" s="182" t="e">
        <f t="shared" si="229"/>
        <v>#VALUE!</v>
      </c>
      <c r="I2017" s="183" t="e">
        <f t="shared" si="230"/>
        <v>#VALUE!</v>
      </c>
    </row>
    <row r="2018" spans="1:9" x14ac:dyDescent="0.25">
      <c r="A2018" s="180">
        <f t="shared" ref="A2018:A2081" ca="1" si="231">A2017+1</f>
        <v>48090</v>
      </c>
      <c r="B2018" s="181">
        <v>1986</v>
      </c>
      <c r="C2018" s="182" t="e">
        <f t="shared" si="225"/>
        <v>#VALUE!</v>
      </c>
      <c r="D2018" s="182" t="e">
        <f t="shared" si="226"/>
        <v>#VALUE!</v>
      </c>
      <c r="E2018" s="182" t="e">
        <f t="shared" si="227"/>
        <v>#VALUE!</v>
      </c>
      <c r="F2018" s="182" t="e">
        <f>SUM($D$33:D2018)</f>
        <v>#VALUE!</v>
      </c>
      <c r="G2018" s="182">
        <f t="shared" ca="1" si="228"/>
        <v>0</v>
      </c>
      <c r="H2018" s="182" t="e">
        <f t="shared" si="229"/>
        <v>#VALUE!</v>
      </c>
      <c r="I2018" s="183" t="e">
        <f t="shared" si="230"/>
        <v>#VALUE!</v>
      </c>
    </row>
    <row r="2019" spans="1:9" x14ac:dyDescent="0.25">
      <c r="A2019" s="180">
        <f t="shared" ca="1" si="231"/>
        <v>48091</v>
      </c>
      <c r="B2019" s="181">
        <v>1987</v>
      </c>
      <c r="C2019" s="182" t="e">
        <f t="shared" si="225"/>
        <v>#VALUE!</v>
      </c>
      <c r="D2019" s="182" t="e">
        <f t="shared" si="226"/>
        <v>#VALUE!</v>
      </c>
      <c r="E2019" s="182" t="e">
        <f t="shared" si="227"/>
        <v>#VALUE!</v>
      </c>
      <c r="F2019" s="182" t="e">
        <f>SUM($D$33:D2019)</f>
        <v>#VALUE!</v>
      </c>
      <c r="G2019" s="182">
        <f t="shared" ca="1" si="228"/>
        <v>0</v>
      </c>
      <c r="H2019" s="182" t="e">
        <f t="shared" si="229"/>
        <v>#VALUE!</v>
      </c>
      <c r="I2019" s="183" t="e">
        <f t="shared" si="230"/>
        <v>#VALUE!</v>
      </c>
    </row>
    <row r="2020" spans="1:9" x14ac:dyDescent="0.25">
      <c r="A2020" s="180">
        <f t="shared" ca="1" si="231"/>
        <v>48092</v>
      </c>
      <c r="B2020" s="181">
        <v>1988</v>
      </c>
      <c r="C2020" s="182" t="e">
        <f t="shared" si="225"/>
        <v>#VALUE!</v>
      </c>
      <c r="D2020" s="182" t="e">
        <f t="shared" si="226"/>
        <v>#VALUE!</v>
      </c>
      <c r="E2020" s="182" t="e">
        <f t="shared" si="227"/>
        <v>#VALUE!</v>
      </c>
      <c r="F2020" s="182" t="e">
        <f>SUM($D$33:D2020)</f>
        <v>#VALUE!</v>
      </c>
      <c r="G2020" s="182">
        <f t="shared" ca="1" si="228"/>
        <v>0</v>
      </c>
      <c r="H2020" s="182" t="e">
        <f t="shared" si="229"/>
        <v>#VALUE!</v>
      </c>
      <c r="I2020" s="183" t="e">
        <f t="shared" si="230"/>
        <v>#VALUE!</v>
      </c>
    </row>
    <row r="2021" spans="1:9" x14ac:dyDescent="0.25">
      <c r="A2021" s="180">
        <f t="shared" ca="1" si="231"/>
        <v>48093</v>
      </c>
      <c r="B2021" s="181">
        <v>1989</v>
      </c>
      <c r="C2021" s="182" t="e">
        <f t="shared" si="225"/>
        <v>#VALUE!</v>
      </c>
      <c r="D2021" s="182" t="e">
        <f t="shared" si="226"/>
        <v>#VALUE!</v>
      </c>
      <c r="E2021" s="182" t="e">
        <f t="shared" si="227"/>
        <v>#VALUE!</v>
      </c>
      <c r="F2021" s="182" t="e">
        <f>SUM($D$33:D2021)</f>
        <v>#VALUE!</v>
      </c>
      <c r="G2021" s="182">
        <f t="shared" ca="1" si="228"/>
        <v>0</v>
      </c>
      <c r="H2021" s="182" t="e">
        <f t="shared" si="229"/>
        <v>#VALUE!</v>
      </c>
      <c r="I2021" s="183" t="e">
        <f t="shared" si="230"/>
        <v>#VALUE!</v>
      </c>
    </row>
    <row r="2022" spans="1:9" x14ac:dyDescent="0.25">
      <c r="A2022" s="180">
        <f t="shared" ca="1" si="231"/>
        <v>48094</v>
      </c>
      <c r="B2022" s="181">
        <v>1990</v>
      </c>
      <c r="C2022" s="182" t="e">
        <f t="shared" si="225"/>
        <v>#VALUE!</v>
      </c>
      <c r="D2022" s="182" t="e">
        <f t="shared" si="226"/>
        <v>#VALUE!</v>
      </c>
      <c r="E2022" s="182" t="e">
        <f t="shared" si="227"/>
        <v>#VALUE!</v>
      </c>
      <c r="F2022" s="182" t="e">
        <f>SUM($D$33:D2022)</f>
        <v>#VALUE!</v>
      </c>
      <c r="G2022" s="182">
        <f t="shared" ca="1" si="228"/>
        <v>0</v>
      </c>
      <c r="H2022" s="182" t="e">
        <f t="shared" si="229"/>
        <v>#VALUE!</v>
      </c>
      <c r="I2022" s="183" t="e">
        <f t="shared" si="230"/>
        <v>#VALUE!</v>
      </c>
    </row>
    <row r="2023" spans="1:9" x14ac:dyDescent="0.25">
      <c r="A2023" s="180">
        <f t="shared" ca="1" si="231"/>
        <v>48095</v>
      </c>
      <c r="B2023" s="181">
        <v>1991</v>
      </c>
      <c r="C2023" s="182" t="e">
        <f t="shared" si="225"/>
        <v>#VALUE!</v>
      </c>
      <c r="D2023" s="182" t="e">
        <f t="shared" si="226"/>
        <v>#VALUE!</v>
      </c>
      <c r="E2023" s="182" t="e">
        <f t="shared" si="227"/>
        <v>#VALUE!</v>
      </c>
      <c r="F2023" s="182" t="e">
        <f>SUM($D$33:D2023)</f>
        <v>#VALUE!</v>
      </c>
      <c r="G2023" s="182">
        <f t="shared" ca="1" si="228"/>
        <v>0</v>
      </c>
      <c r="H2023" s="182" t="e">
        <f t="shared" si="229"/>
        <v>#VALUE!</v>
      </c>
      <c r="I2023" s="183" t="e">
        <f t="shared" si="230"/>
        <v>#VALUE!</v>
      </c>
    </row>
    <row r="2024" spans="1:9" x14ac:dyDescent="0.25">
      <c r="A2024" s="180">
        <f t="shared" ca="1" si="231"/>
        <v>48096</v>
      </c>
      <c r="B2024" s="181">
        <v>1992</v>
      </c>
      <c r="C2024" s="182" t="e">
        <f t="shared" si="225"/>
        <v>#VALUE!</v>
      </c>
      <c r="D2024" s="182" t="e">
        <f t="shared" si="226"/>
        <v>#VALUE!</v>
      </c>
      <c r="E2024" s="182" t="e">
        <f t="shared" si="227"/>
        <v>#VALUE!</v>
      </c>
      <c r="F2024" s="182" t="e">
        <f>SUM($D$33:D2024)</f>
        <v>#VALUE!</v>
      </c>
      <c r="G2024" s="182">
        <f t="shared" ca="1" si="228"/>
        <v>0</v>
      </c>
      <c r="H2024" s="182" t="e">
        <f t="shared" si="229"/>
        <v>#VALUE!</v>
      </c>
      <c r="I2024" s="183" t="e">
        <f t="shared" si="230"/>
        <v>#VALUE!</v>
      </c>
    </row>
    <row r="2025" spans="1:9" x14ac:dyDescent="0.25">
      <c r="A2025" s="180">
        <f t="shared" ca="1" si="231"/>
        <v>48097</v>
      </c>
      <c r="B2025" s="181">
        <v>1993</v>
      </c>
      <c r="C2025" s="182" t="e">
        <f t="shared" si="225"/>
        <v>#VALUE!</v>
      </c>
      <c r="D2025" s="182" t="e">
        <f t="shared" si="226"/>
        <v>#VALUE!</v>
      </c>
      <c r="E2025" s="182" t="e">
        <f t="shared" si="227"/>
        <v>#VALUE!</v>
      </c>
      <c r="F2025" s="182" t="e">
        <f>SUM($D$33:D2025)</f>
        <v>#VALUE!</v>
      </c>
      <c r="G2025" s="182">
        <f t="shared" ca="1" si="228"/>
        <v>0</v>
      </c>
      <c r="H2025" s="182" t="e">
        <f t="shared" si="229"/>
        <v>#VALUE!</v>
      </c>
      <c r="I2025" s="183" t="e">
        <f t="shared" si="230"/>
        <v>#VALUE!</v>
      </c>
    </row>
    <row r="2026" spans="1:9" x14ac:dyDescent="0.25">
      <c r="A2026" s="180">
        <f t="shared" ca="1" si="231"/>
        <v>48098</v>
      </c>
      <c r="B2026" s="181">
        <v>1994</v>
      </c>
      <c r="C2026" s="182" t="e">
        <f t="shared" si="225"/>
        <v>#VALUE!</v>
      </c>
      <c r="D2026" s="182" t="e">
        <f t="shared" si="226"/>
        <v>#VALUE!</v>
      </c>
      <c r="E2026" s="182" t="e">
        <f t="shared" si="227"/>
        <v>#VALUE!</v>
      </c>
      <c r="F2026" s="182" t="e">
        <f>SUM($D$33:D2026)</f>
        <v>#VALUE!</v>
      </c>
      <c r="G2026" s="182">
        <f t="shared" ca="1" si="228"/>
        <v>0</v>
      </c>
      <c r="H2026" s="182" t="e">
        <f t="shared" si="229"/>
        <v>#VALUE!</v>
      </c>
      <c r="I2026" s="183" t="e">
        <f t="shared" si="230"/>
        <v>#VALUE!</v>
      </c>
    </row>
    <row r="2027" spans="1:9" x14ac:dyDescent="0.25">
      <c r="A2027" s="180">
        <f t="shared" ca="1" si="231"/>
        <v>48099</v>
      </c>
      <c r="B2027" s="181">
        <v>1995</v>
      </c>
      <c r="C2027" s="182" t="e">
        <f t="shared" si="225"/>
        <v>#VALUE!</v>
      </c>
      <c r="D2027" s="182" t="e">
        <f t="shared" si="226"/>
        <v>#VALUE!</v>
      </c>
      <c r="E2027" s="182" t="e">
        <f t="shared" si="227"/>
        <v>#VALUE!</v>
      </c>
      <c r="F2027" s="182" t="e">
        <f>SUM($D$33:D2027)</f>
        <v>#VALUE!</v>
      </c>
      <c r="G2027" s="182">
        <f t="shared" ca="1" si="228"/>
        <v>0</v>
      </c>
      <c r="H2027" s="182" t="e">
        <f t="shared" si="229"/>
        <v>#VALUE!</v>
      </c>
      <c r="I2027" s="183" t="e">
        <f t="shared" si="230"/>
        <v>#VALUE!</v>
      </c>
    </row>
    <row r="2028" spans="1:9" x14ac:dyDescent="0.25">
      <c r="A2028" s="180">
        <f t="shared" ca="1" si="231"/>
        <v>48100</v>
      </c>
      <c r="B2028" s="181">
        <v>1996</v>
      </c>
      <c r="C2028" s="182" t="e">
        <f t="shared" si="225"/>
        <v>#VALUE!</v>
      </c>
      <c r="D2028" s="182" t="e">
        <f t="shared" si="226"/>
        <v>#VALUE!</v>
      </c>
      <c r="E2028" s="182" t="e">
        <f t="shared" si="227"/>
        <v>#VALUE!</v>
      </c>
      <c r="F2028" s="182" t="e">
        <f>SUM($D$33:D2028)</f>
        <v>#VALUE!</v>
      </c>
      <c r="G2028" s="182">
        <f t="shared" ca="1" si="228"/>
        <v>0</v>
      </c>
      <c r="H2028" s="182" t="e">
        <f t="shared" si="229"/>
        <v>#VALUE!</v>
      </c>
      <c r="I2028" s="183" t="e">
        <f t="shared" si="230"/>
        <v>#VALUE!</v>
      </c>
    </row>
    <row r="2029" spans="1:9" x14ac:dyDescent="0.25">
      <c r="A2029" s="180">
        <f t="shared" ca="1" si="231"/>
        <v>48101</v>
      </c>
      <c r="B2029" s="181">
        <v>1997</v>
      </c>
      <c r="C2029" s="182" t="e">
        <f t="shared" si="225"/>
        <v>#VALUE!</v>
      </c>
      <c r="D2029" s="182" t="e">
        <f t="shared" si="226"/>
        <v>#VALUE!</v>
      </c>
      <c r="E2029" s="182" t="e">
        <f t="shared" si="227"/>
        <v>#VALUE!</v>
      </c>
      <c r="F2029" s="182" t="e">
        <f>SUM($D$33:D2029)</f>
        <v>#VALUE!</v>
      </c>
      <c r="G2029" s="182">
        <f t="shared" ca="1" si="228"/>
        <v>0</v>
      </c>
      <c r="H2029" s="182" t="e">
        <f t="shared" si="229"/>
        <v>#VALUE!</v>
      </c>
      <c r="I2029" s="183" t="e">
        <f t="shared" si="230"/>
        <v>#VALUE!</v>
      </c>
    </row>
    <row r="2030" spans="1:9" x14ac:dyDescent="0.25">
      <c r="A2030" s="180">
        <f t="shared" ca="1" si="231"/>
        <v>48102</v>
      </c>
      <c r="B2030" s="181">
        <v>1998</v>
      </c>
      <c r="C2030" s="182" t="e">
        <f t="shared" si="225"/>
        <v>#VALUE!</v>
      </c>
      <c r="D2030" s="182" t="e">
        <f t="shared" si="226"/>
        <v>#VALUE!</v>
      </c>
      <c r="E2030" s="182" t="e">
        <f t="shared" si="227"/>
        <v>#VALUE!</v>
      </c>
      <c r="F2030" s="182" t="e">
        <f>SUM($D$33:D2030)</f>
        <v>#VALUE!</v>
      </c>
      <c r="G2030" s="182">
        <f t="shared" ca="1" si="228"/>
        <v>0</v>
      </c>
      <c r="H2030" s="182" t="e">
        <f t="shared" si="229"/>
        <v>#VALUE!</v>
      </c>
      <c r="I2030" s="183" t="e">
        <f t="shared" si="230"/>
        <v>#VALUE!</v>
      </c>
    </row>
    <row r="2031" spans="1:9" x14ac:dyDescent="0.25">
      <c r="A2031" s="180">
        <f t="shared" ca="1" si="231"/>
        <v>48103</v>
      </c>
      <c r="B2031" s="181">
        <v>1999</v>
      </c>
      <c r="C2031" s="182" t="e">
        <f t="shared" si="225"/>
        <v>#VALUE!</v>
      </c>
      <c r="D2031" s="182" t="e">
        <f t="shared" si="226"/>
        <v>#VALUE!</v>
      </c>
      <c r="E2031" s="182" t="e">
        <f t="shared" si="227"/>
        <v>#VALUE!</v>
      </c>
      <c r="F2031" s="182" t="e">
        <f>SUM($D$33:D2031)</f>
        <v>#VALUE!</v>
      </c>
      <c r="G2031" s="182">
        <f t="shared" ca="1" si="228"/>
        <v>0</v>
      </c>
      <c r="H2031" s="182" t="e">
        <f t="shared" si="229"/>
        <v>#VALUE!</v>
      </c>
      <c r="I2031" s="183" t="e">
        <f t="shared" si="230"/>
        <v>#VALUE!</v>
      </c>
    </row>
    <row r="2032" spans="1:9" x14ac:dyDescent="0.25">
      <c r="A2032" s="180">
        <f t="shared" ca="1" si="231"/>
        <v>48104</v>
      </c>
      <c r="B2032" s="181">
        <v>2000</v>
      </c>
      <c r="C2032" s="182" t="e">
        <f t="shared" si="225"/>
        <v>#VALUE!</v>
      </c>
      <c r="D2032" s="182" t="e">
        <f t="shared" si="226"/>
        <v>#VALUE!</v>
      </c>
      <c r="E2032" s="182" t="e">
        <f t="shared" si="227"/>
        <v>#VALUE!</v>
      </c>
      <c r="F2032" s="182" t="e">
        <f>SUM($D$33:D2032)</f>
        <v>#VALUE!</v>
      </c>
      <c r="G2032" s="182">
        <f t="shared" ca="1" si="228"/>
        <v>0</v>
      </c>
      <c r="H2032" s="182" t="e">
        <f t="shared" si="229"/>
        <v>#VALUE!</v>
      </c>
      <c r="I2032" s="183" t="e">
        <f t="shared" si="230"/>
        <v>#VALUE!</v>
      </c>
    </row>
    <row r="2033" spans="1:9" x14ac:dyDescent="0.25">
      <c r="A2033" s="180">
        <f t="shared" ca="1" si="231"/>
        <v>48105</v>
      </c>
      <c r="B2033" s="181">
        <v>2001</v>
      </c>
      <c r="C2033" s="182" t="e">
        <f t="shared" si="225"/>
        <v>#VALUE!</v>
      </c>
      <c r="D2033" s="182" t="e">
        <f t="shared" si="226"/>
        <v>#VALUE!</v>
      </c>
      <c r="E2033" s="182" t="e">
        <f t="shared" si="227"/>
        <v>#VALUE!</v>
      </c>
      <c r="F2033" s="182" t="e">
        <f>SUM($D$33:D2033)</f>
        <v>#VALUE!</v>
      </c>
      <c r="G2033" s="182">
        <f t="shared" ca="1" si="228"/>
        <v>0</v>
      </c>
      <c r="H2033" s="182" t="e">
        <f t="shared" si="229"/>
        <v>#VALUE!</v>
      </c>
      <c r="I2033" s="183" t="e">
        <f t="shared" si="230"/>
        <v>#VALUE!</v>
      </c>
    </row>
    <row r="2034" spans="1:9" x14ac:dyDescent="0.25">
      <c r="A2034" s="180">
        <f t="shared" ca="1" si="231"/>
        <v>48106</v>
      </c>
      <c r="B2034" s="181">
        <v>2002</v>
      </c>
      <c r="C2034" s="182" t="e">
        <f t="shared" si="225"/>
        <v>#VALUE!</v>
      </c>
      <c r="D2034" s="182" t="e">
        <f t="shared" si="226"/>
        <v>#VALUE!</v>
      </c>
      <c r="E2034" s="182" t="e">
        <f t="shared" si="227"/>
        <v>#VALUE!</v>
      </c>
      <c r="F2034" s="182" t="e">
        <f>SUM($D$33:D2034)</f>
        <v>#VALUE!</v>
      </c>
      <c r="G2034" s="182">
        <f t="shared" ca="1" si="228"/>
        <v>0</v>
      </c>
      <c r="H2034" s="182" t="e">
        <f t="shared" si="229"/>
        <v>#VALUE!</v>
      </c>
      <c r="I2034" s="183" t="e">
        <f t="shared" si="230"/>
        <v>#VALUE!</v>
      </c>
    </row>
    <row r="2035" spans="1:9" x14ac:dyDescent="0.25">
      <c r="A2035" s="180">
        <f t="shared" ca="1" si="231"/>
        <v>48107</v>
      </c>
      <c r="B2035" s="181">
        <v>2003</v>
      </c>
      <c r="C2035" s="182" t="e">
        <f t="shared" si="225"/>
        <v>#VALUE!</v>
      </c>
      <c r="D2035" s="182" t="e">
        <f t="shared" si="226"/>
        <v>#VALUE!</v>
      </c>
      <c r="E2035" s="182" t="e">
        <f t="shared" si="227"/>
        <v>#VALUE!</v>
      </c>
      <c r="F2035" s="182" t="e">
        <f>SUM($D$33:D2035)</f>
        <v>#VALUE!</v>
      </c>
      <c r="G2035" s="182">
        <f t="shared" ca="1" si="228"/>
        <v>0</v>
      </c>
      <c r="H2035" s="182" t="e">
        <f t="shared" si="229"/>
        <v>#VALUE!</v>
      </c>
      <c r="I2035" s="183" t="e">
        <f t="shared" si="230"/>
        <v>#VALUE!</v>
      </c>
    </row>
    <row r="2036" spans="1:9" x14ac:dyDescent="0.25">
      <c r="A2036" s="180">
        <f t="shared" ca="1" si="231"/>
        <v>48108</v>
      </c>
      <c r="B2036" s="181">
        <v>2004</v>
      </c>
      <c r="C2036" s="182" t="e">
        <f t="shared" si="225"/>
        <v>#VALUE!</v>
      </c>
      <c r="D2036" s="182" t="e">
        <f t="shared" si="226"/>
        <v>#VALUE!</v>
      </c>
      <c r="E2036" s="182" t="e">
        <f t="shared" si="227"/>
        <v>#VALUE!</v>
      </c>
      <c r="F2036" s="182" t="e">
        <f>SUM($D$33:D2036)</f>
        <v>#VALUE!</v>
      </c>
      <c r="G2036" s="182">
        <f t="shared" ca="1" si="228"/>
        <v>0</v>
      </c>
      <c r="H2036" s="182" t="e">
        <f t="shared" si="229"/>
        <v>#VALUE!</v>
      </c>
      <c r="I2036" s="183" t="e">
        <f t="shared" si="230"/>
        <v>#VALUE!</v>
      </c>
    </row>
    <row r="2037" spans="1:9" x14ac:dyDescent="0.25">
      <c r="A2037" s="180">
        <f t="shared" ca="1" si="231"/>
        <v>48109</v>
      </c>
      <c r="B2037" s="181">
        <v>2005</v>
      </c>
      <c r="C2037" s="182" t="e">
        <f t="shared" si="225"/>
        <v>#VALUE!</v>
      </c>
      <c r="D2037" s="182" t="e">
        <f t="shared" si="226"/>
        <v>#VALUE!</v>
      </c>
      <c r="E2037" s="182" t="e">
        <f t="shared" si="227"/>
        <v>#VALUE!</v>
      </c>
      <c r="F2037" s="182" t="e">
        <f>SUM($D$33:D2037)</f>
        <v>#VALUE!</v>
      </c>
      <c r="G2037" s="182">
        <f t="shared" ca="1" si="228"/>
        <v>0</v>
      </c>
      <c r="H2037" s="182" t="e">
        <f t="shared" si="229"/>
        <v>#VALUE!</v>
      </c>
      <c r="I2037" s="183" t="e">
        <f t="shared" si="230"/>
        <v>#VALUE!</v>
      </c>
    </row>
    <row r="2038" spans="1:9" x14ac:dyDescent="0.25">
      <c r="A2038" s="180">
        <f t="shared" ca="1" si="231"/>
        <v>48110</v>
      </c>
      <c r="B2038" s="181">
        <v>2006</v>
      </c>
      <c r="C2038" s="182" t="e">
        <f t="shared" si="225"/>
        <v>#VALUE!</v>
      </c>
      <c r="D2038" s="182" t="e">
        <f t="shared" si="226"/>
        <v>#VALUE!</v>
      </c>
      <c r="E2038" s="182" t="e">
        <f t="shared" si="227"/>
        <v>#VALUE!</v>
      </c>
      <c r="F2038" s="182" t="e">
        <f>SUM($D$33:D2038)</f>
        <v>#VALUE!</v>
      </c>
      <c r="G2038" s="182">
        <f t="shared" ca="1" si="228"/>
        <v>0</v>
      </c>
      <c r="H2038" s="182" t="e">
        <f t="shared" si="229"/>
        <v>#VALUE!</v>
      </c>
      <c r="I2038" s="183" t="e">
        <f t="shared" si="230"/>
        <v>#VALUE!</v>
      </c>
    </row>
    <row r="2039" spans="1:9" x14ac:dyDescent="0.25">
      <c r="A2039" s="180">
        <f t="shared" ca="1" si="231"/>
        <v>48111</v>
      </c>
      <c r="B2039" s="181">
        <v>2007</v>
      </c>
      <c r="C2039" s="182" t="e">
        <f t="shared" si="225"/>
        <v>#VALUE!</v>
      </c>
      <c r="D2039" s="182" t="e">
        <f t="shared" si="226"/>
        <v>#VALUE!</v>
      </c>
      <c r="E2039" s="182" t="e">
        <f t="shared" si="227"/>
        <v>#VALUE!</v>
      </c>
      <c r="F2039" s="182" t="e">
        <f>SUM($D$33:D2039)</f>
        <v>#VALUE!</v>
      </c>
      <c r="G2039" s="182">
        <f t="shared" ca="1" si="228"/>
        <v>0</v>
      </c>
      <c r="H2039" s="182" t="e">
        <f t="shared" si="229"/>
        <v>#VALUE!</v>
      </c>
      <c r="I2039" s="183" t="e">
        <f t="shared" si="230"/>
        <v>#VALUE!</v>
      </c>
    </row>
    <row r="2040" spans="1:9" x14ac:dyDescent="0.25">
      <c r="A2040" s="180">
        <f t="shared" ca="1" si="231"/>
        <v>48112</v>
      </c>
      <c r="B2040" s="181">
        <v>2008</v>
      </c>
      <c r="C2040" s="182" t="e">
        <f t="shared" si="225"/>
        <v>#VALUE!</v>
      </c>
      <c r="D2040" s="182" t="e">
        <f t="shared" si="226"/>
        <v>#VALUE!</v>
      </c>
      <c r="E2040" s="182" t="e">
        <f t="shared" si="227"/>
        <v>#VALUE!</v>
      </c>
      <c r="F2040" s="182" t="e">
        <f>SUM($D$33:D2040)</f>
        <v>#VALUE!</v>
      </c>
      <c r="G2040" s="182">
        <f t="shared" ca="1" si="228"/>
        <v>0</v>
      </c>
      <c r="H2040" s="182" t="e">
        <f t="shared" si="229"/>
        <v>#VALUE!</v>
      </c>
      <c r="I2040" s="183" t="e">
        <f t="shared" si="230"/>
        <v>#VALUE!</v>
      </c>
    </row>
    <row r="2041" spans="1:9" x14ac:dyDescent="0.25">
      <c r="A2041" s="180">
        <f t="shared" ca="1" si="231"/>
        <v>48113</v>
      </c>
      <c r="B2041" s="181">
        <v>2009</v>
      </c>
      <c r="C2041" s="182" t="e">
        <f t="shared" si="225"/>
        <v>#VALUE!</v>
      </c>
      <c r="D2041" s="182" t="e">
        <f t="shared" si="226"/>
        <v>#VALUE!</v>
      </c>
      <c r="E2041" s="182" t="e">
        <f t="shared" si="227"/>
        <v>#VALUE!</v>
      </c>
      <c r="F2041" s="182" t="e">
        <f>SUM($D$33:D2041)</f>
        <v>#VALUE!</v>
      </c>
      <c r="G2041" s="182">
        <f t="shared" ca="1" si="228"/>
        <v>0</v>
      </c>
      <c r="H2041" s="182" t="e">
        <f t="shared" si="229"/>
        <v>#VALUE!</v>
      </c>
      <c r="I2041" s="183" t="e">
        <f t="shared" si="230"/>
        <v>#VALUE!</v>
      </c>
    </row>
    <row r="2042" spans="1:9" x14ac:dyDescent="0.25">
      <c r="A2042" s="180">
        <f t="shared" ca="1" si="231"/>
        <v>48114</v>
      </c>
      <c r="B2042" s="181">
        <v>2010</v>
      </c>
      <c r="C2042" s="182" t="e">
        <f t="shared" si="225"/>
        <v>#VALUE!</v>
      </c>
      <c r="D2042" s="182" t="e">
        <f t="shared" si="226"/>
        <v>#VALUE!</v>
      </c>
      <c r="E2042" s="182" t="e">
        <f t="shared" si="227"/>
        <v>#VALUE!</v>
      </c>
      <c r="F2042" s="182" t="e">
        <f>SUM($D$33:D2042)</f>
        <v>#VALUE!</v>
      </c>
      <c r="G2042" s="182">
        <f t="shared" ca="1" si="228"/>
        <v>0</v>
      </c>
      <c r="H2042" s="182" t="e">
        <f t="shared" si="229"/>
        <v>#VALUE!</v>
      </c>
      <c r="I2042" s="183" t="e">
        <f t="shared" si="230"/>
        <v>#VALUE!</v>
      </c>
    </row>
    <row r="2043" spans="1:9" x14ac:dyDescent="0.25">
      <c r="A2043" s="180">
        <f t="shared" ca="1" si="231"/>
        <v>48115</v>
      </c>
      <c r="B2043" s="181">
        <v>2011</v>
      </c>
      <c r="C2043" s="182" t="e">
        <f t="shared" si="225"/>
        <v>#VALUE!</v>
      </c>
      <c r="D2043" s="182" t="e">
        <f t="shared" si="226"/>
        <v>#VALUE!</v>
      </c>
      <c r="E2043" s="182" t="e">
        <f t="shared" si="227"/>
        <v>#VALUE!</v>
      </c>
      <c r="F2043" s="182" t="e">
        <f>SUM($D$33:D2043)</f>
        <v>#VALUE!</v>
      </c>
      <c r="G2043" s="182">
        <f t="shared" ca="1" si="228"/>
        <v>0</v>
      </c>
      <c r="H2043" s="182" t="e">
        <f t="shared" si="229"/>
        <v>#VALUE!</v>
      </c>
      <c r="I2043" s="183" t="e">
        <f t="shared" si="230"/>
        <v>#VALUE!</v>
      </c>
    </row>
    <row r="2044" spans="1:9" x14ac:dyDescent="0.25">
      <c r="A2044" s="180">
        <f t="shared" ca="1" si="231"/>
        <v>48116</v>
      </c>
      <c r="B2044" s="181">
        <v>2012</v>
      </c>
      <c r="C2044" s="182" t="e">
        <f t="shared" si="225"/>
        <v>#VALUE!</v>
      </c>
      <c r="D2044" s="182" t="e">
        <f t="shared" si="226"/>
        <v>#VALUE!</v>
      </c>
      <c r="E2044" s="182" t="e">
        <f t="shared" si="227"/>
        <v>#VALUE!</v>
      </c>
      <c r="F2044" s="182" t="e">
        <f>SUM($D$33:D2044)</f>
        <v>#VALUE!</v>
      </c>
      <c r="G2044" s="182">
        <f t="shared" ca="1" si="228"/>
        <v>0</v>
      </c>
      <c r="H2044" s="182" t="e">
        <f t="shared" si="229"/>
        <v>#VALUE!</v>
      </c>
      <c r="I2044" s="183" t="e">
        <f t="shared" si="230"/>
        <v>#VALUE!</v>
      </c>
    </row>
    <row r="2045" spans="1:9" x14ac:dyDescent="0.25">
      <c r="A2045" s="180">
        <f t="shared" ca="1" si="231"/>
        <v>48117</v>
      </c>
      <c r="B2045" s="181">
        <v>2013</v>
      </c>
      <c r="C2045" s="182" t="e">
        <f t="shared" si="225"/>
        <v>#VALUE!</v>
      </c>
      <c r="D2045" s="182" t="e">
        <f t="shared" si="226"/>
        <v>#VALUE!</v>
      </c>
      <c r="E2045" s="182" t="e">
        <f t="shared" si="227"/>
        <v>#VALUE!</v>
      </c>
      <c r="F2045" s="182" t="e">
        <f>SUM($D$33:D2045)</f>
        <v>#VALUE!</v>
      </c>
      <c r="G2045" s="182">
        <f t="shared" ca="1" si="228"/>
        <v>0</v>
      </c>
      <c r="H2045" s="182" t="e">
        <f t="shared" si="229"/>
        <v>#VALUE!</v>
      </c>
      <c r="I2045" s="183" t="e">
        <f t="shared" si="230"/>
        <v>#VALUE!</v>
      </c>
    </row>
    <row r="2046" spans="1:9" x14ac:dyDescent="0.25">
      <c r="A2046" s="180">
        <f t="shared" ca="1" si="231"/>
        <v>48118</v>
      </c>
      <c r="B2046" s="181">
        <v>2014</v>
      </c>
      <c r="C2046" s="182" t="e">
        <f t="shared" si="225"/>
        <v>#VALUE!</v>
      </c>
      <c r="D2046" s="182" t="e">
        <f t="shared" si="226"/>
        <v>#VALUE!</v>
      </c>
      <c r="E2046" s="182" t="e">
        <f t="shared" si="227"/>
        <v>#VALUE!</v>
      </c>
      <c r="F2046" s="182" t="e">
        <f>SUM($D$33:D2046)</f>
        <v>#VALUE!</v>
      </c>
      <c r="G2046" s="182">
        <f t="shared" ca="1" si="228"/>
        <v>0</v>
      </c>
      <c r="H2046" s="182" t="e">
        <f t="shared" si="229"/>
        <v>#VALUE!</v>
      </c>
      <c r="I2046" s="183" t="e">
        <f t="shared" si="230"/>
        <v>#VALUE!</v>
      </c>
    </row>
    <row r="2047" spans="1:9" x14ac:dyDescent="0.25">
      <c r="A2047" s="180">
        <f t="shared" ca="1" si="231"/>
        <v>48119</v>
      </c>
      <c r="B2047" s="181">
        <v>2015</v>
      </c>
      <c r="C2047" s="182" t="e">
        <f t="shared" si="225"/>
        <v>#VALUE!</v>
      </c>
      <c r="D2047" s="182" t="e">
        <f t="shared" si="226"/>
        <v>#VALUE!</v>
      </c>
      <c r="E2047" s="182" t="e">
        <f t="shared" si="227"/>
        <v>#VALUE!</v>
      </c>
      <c r="F2047" s="182" t="e">
        <f>SUM($D$33:D2047)</f>
        <v>#VALUE!</v>
      </c>
      <c r="G2047" s="182">
        <f t="shared" ca="1" si="228"/>
        <v>0</v>
      </c>
      <c r="H2047" s="182" t="e">
        <f t="shared" si="229"/>
        <v>#VALUE!</v>
      </c>
      <c r="I2047" s="183" t="e">
        <f t="shared" si="230"/>
        <v>#VALUE!</v>
      </c>
    </row>
    <row r="2048" spans="1:9" x14ac:dyDescent="0.25">
      <c r="A2048" s="180">
        <f t="shared" ca="1" si="231"/>
        <v>48120</v>
      </c>
      <c r="B2048" s="181">
        <v>2016</v>
      </c>
      <c r="C2048" s="182" t="e">
        <f t="shared" si="225"/>
        <v>#VALUE!</v>
      </c>
      <c r="D2048" s="182" t="e">
        <f t="shared" si="226"/>
        <v>#VALUE!</v>
      </c>
      <c r="E2048" s="182" t="e">
        <f t="shared" si="227"/>
        <v>#VALUE!</v>
      </c>
      <c r="F2048" s="182" t="e">
        <f>SUM($D$33:D2048)</f>
        <v>#VALUE!</v>
      </c>
      <c r="G2048" s="182">
        <f t="shared" ca="1" si="228"/>
        <v>0</v>
      </c>
      <c r="H2048" s="182" t="e">
        <f t="shared" si="229"/>
        <v>#VALUE!</v>
      </c>
      <c r="I2048" s="183" t="e">
        <f t="shared" si="230"/>
        <v>#VALUE!</v>
      </c>
    </row>
    <row r="2049" spans="1:9" x14ac:dyDescent="0.25">
      <c r="A2049" s="180">
        <f t="shared" ca="1" si="231"/>
        <v>48121</v>
      </c>
      <c r="B2049" s="181">
        <v>2017</v>
      </c>
      <c r="C2049" s="182" t="e">
        <f t="shared" si="225"/>
        <v>#VALUE!</v>
      </c>
      <c r="D2049" s="182" t="e">
        <f t="shared" si="226"/>
        <v>#VALUE!</v>
      </c>
      <c r="E2049" s="182" t="e">
        <f t="shared" si="227"/>
        <v>#VALUE!</v>
      </c>
      <c r="F2049" s="182" t="e">
        <f>SUM($D$33:D2049)</f>
        <v>#VALUE!</v>
      </c>
      <c r="G2049" s="182">
        <f t="shared" ca="1" si="228"/>
        <v>0</v>
      </c>
      <c r="H2049" s="182" t="e">
        <f t="shared" si="229"/>
        <v>#VALUE!</v>
      </c>
      <c r="I2049" s="183" t="e">
        <f t="shared" si="230"/>
        <v>#VALUE!</v>
      </c>
    </row>
    <row r="2050" spans="1:9" x14ac:dyDescent="0.25">
      <c r="A2050" s="180">
        <f t="shared" ca="1" si="231"/>
        <v>48122</v>
      </c>
      <c r="B2050" s="181">
        <v>2018</v>
      </c>
      <c r="C2050" s="182" t="e">
        <f t="shared" si="225"/>
        <v>#VALUE!</v>
      </c>
      <c r="D2050" s="182" t="e">
        <f t="shared" si="226"/>
        <v>#VALUE!</v>
      </c>
      <c r="E2050" s="182" t="e">
        <f t="shared" si="227"/>
        <v>#VALUE!</v>
      </c>
      <c r="F2050" s="182" t="e">
        <f>SUM($D$33:D2050)</f>
        <v>#VALUE!</v>
      </c>
      <c r="G2050" s="182">
        <f t="shared" ca="1" si="228"/>
        <v>0</v>
      </c>
      <c r="H2050" s="182" t="e">
        <f t="shared" si="229"/>
        <v>#VALUE!</v>
      </c>
      <c r="I2050" s="183" t="e">
        <f t="shared" si="230"/>
        <v>#VALUE!</v>
      </c>
    </row>
    <row r="2051" spans="1:9" x14ac:dyDescent="0.25">
      <c r="A2051" s="180">
        <f t="shared" ca="1" si="231"/>
        <v>48123</v>
      </c>
      <c r="B2051" s="181">
        <v>2019</v>
      </c>
      <c r="C2051" s="182" t="e">
        <f t="shared" si="225"/>
        <v>#VALUE!</v>
      </c>
      <c r="D2051" s="182" t="e">
        <f t="shared" si="226"/>
        <v>#VALUE!</v>
      </c>
      <c r="E2051" s="182" t="e">
        <f t="shared" si="227"/>
        <v>#VALUE!</v>
      </c>
      <c r="F2051" s="182" t="e">
        <f>SUM($D$33:D2051)</f>
        <v>#VALUE!</v>
      </c>
      <c r="G2051" s="182">
        <f t="shared" ca="1" si="228"/>
        <v>0</v>
      </c>
      <c r="H2051" s="182" t="e">
        <f t="shared" si="229"/>
        <v>#VALUE!</v>
      </c>
      <c r="I2051" s="183" t="e">
        <f t="shared" si="230"/>
        <v>#VALUE!</v>
      </c>
    </row>
    <row r="2052" spans="1:9" x14ac:dyDescent="0.25">
      <c r="A2052" s="180">
        <f t="shared" ca="1" si="231"/>
        <v>48124</v>
      </c>
      <c r="B2052" s="181">
        <v>2020</v>
      </c>
      <c r="C2052" s="182" t="e">
        <f t="shared" si="225"/>
        <v>#VALUE!</v>
      </c>
      <c r="D2052" s="182" t="e">
        <f t="shared" si="226"/>
        <v>#VALUE!</v>
      </c>
      <c r="E2052" s="182" t="e">
        <f t="shared" si="227"/>
        <v>#VALUE!</v>
      </c>
      <c r="F2052" s="182" t="e">
        <f>SUM($D$33:D2052)</f>
        <v>#VALUE!</v>
      </c>
      <c r="G2052" s="182">
        <f t="shared" ca="1" si="228"/>
        <v>0</v>
      </c>
      <c r="H2052" s="182" t="e">
        <f t="shared" si="229"/>
        <v>#VALUE!</v>
      </c>
      <c r="I2052" s="183" t="e">
        <f t="shared" si="230"/>
        <v>#VALUE!</v>
      </c>
    </row>
    <row r="2053" spans="1:9" x14ac:dyDescent="0.25">
      <c r="A2053" s="180">
        <f t="shared" ca="1" si="231"/>
        <v>48125</v>
      </c>
      <c r="B2053" s="181">
        <v>2021</v>
      </c>
      <c r="C2053" s="182" t="e">
        <f t="shared" si="225"/>
        <v>#VALUE!</v>
      </c>
      <c r="D2053" s="182" t="e">
        <f t="shared" si="226"/>
        <v>#VALUE!</v>
      </c>
      <c r="E2053" s="182" t="e">
        <f t="shared" si="227"/>
        <v>#VALUE!</v>
      </c>
      <c r="F2053" s="182" t="e">
        <f>SUM($D$33:D2053)</f>
        <v>#VALUE!</v>
      </c>
      <c r="G2053" s="182">
        <f t="shared" ca="1" si="228"/>
        <v>0</v>
      </c>
      <c r="H2053" s="182" t="e">
        <f t="shared" si="229"/>
        <v>#VALUE!</v>
      </c>
      <c r="I2053" s="183" t="e">
        <f t="shared" si="230"/>
        <v>#VALUE!</v>
      </c>
    </row>
    <row r="2054" spans="1:9" x14ac:dyDescent="0.25">
      <c r="A2054" s="180">
        <f t="shared" ca="1" si="231"/>
        <v>48126</v>
      </c>
      <c r="B2054" s="181">
        <v>2022</v>
      </c>
      <c r="C2054" s="182" t="e">
        <f t="shared" si="225"/>
        <v>#VALUE!</v>
      </c>
      <c r="D2054" s="182" t="e">
        <f t="shared" si="226"/>
        <v>#VALUE!</v>
      </c>
      <c r="E2054" s="182" t="e">
        <f t="shared" si="227"/>
        <v>#VALUE!</v>
      </c>
      <c r="F2054" s="182" t="e">
        <f>SUM($D$33:D2054)</f>
        <v>#VALUE!</v>
      </c>
      <c r="G2054" s="182">
        <f t="shared" ca="1" si="228"/>
        <v>0</v>
      </c>
      <c r="H2054" s="182" t="e">
        <f t="shared" si="229"/>
        <v>#VALUE!</v>
      </c>
      <c r="I2054" s="183" t="e">
        <f t="shared" si="230"/>
        <v>#VALUE!</v>
      </c>
    </row>
    <row r="2055" spans="1:9" x14ac:dyDescent="0.25">
      <c r="A2055" s="180">
        <f t="shared" ca="1" si="231"/>
        <v>48127</v>
      </c>
      <c r="B2055" s="181">
        <v>2023</v>
      </c>
      <c r="C2055" s="182" t="e">
        <f t="shared" si="225"/>
        <v>#VALUE!</v>
      </c>
      <c r="D2055" s="182" t="e">
        <f t="shared" si="226"/>
        <v>#VALUE!</v>
      </c>
      <c r="E2055" s="182" t="e">
        <f t="shared" si="227"/>
        <v>#VALUE!</v>
      </c>
      <c r="F2055" s="182" t="e">
        <f>SUM($D$33:D2055)</f>
        <v>#VALUE!</v>
      </c>
      <c r="G2055" s="182">
        <f t="shared" ca="1" si="228"/>
        <v>0</v>
      </c>
      <c r="H2055" s="182" t="e">
        <f t="shared" si="229"/>
        <v>#VALUE!</v>
      </c>
      <c r="I2055" s="183" t="e">
        <f t="shared" si="230"/>
        <v>#VALUE!</v>
      </c>
    </row>
    <row r="2056" spans="1:9" x14ac:dyDescent="0.25">
      <c r="A2056" s="180">
        <f t="shared" ca="1" si="231"/>
        <v>48128</v>
      </c>
      <c r="B2056" s="181">
        <v>2024</v>
      </c>
      <c r="C2056" s="182" t="e">
        <f t="shared" si="225"/>
        <v>#VALUE!</v>
      </c>
      <c r="D2056" s="182" t="e">
        <f t="shared" si="226"/>
        <v>#VALUE!</v>
      </c>
      <c r="E2056" s="182" t="e">
        <f t="shared" si="227"/>
        <v>#VALUE!</v>
      </c>
      <c r="F2056" s="182" t="e">
        <f>SUM($D$33:D2056)</f>
        <v>#VALUE!</v>
      </c>
      <c r="G2056" s="182">
        <f t="shared" ca="1" si="228"/>
        <v>0</v>
      </c>
      <c r="H2056" s="182" t="e">
        <f t="shared" si="229"/>
        <v>#VALUE!</v>
      </c>
      <c r="I2056" s="183" t="e">
        <f t="shared" si="230"/>
        <v>#VALUE!</v>
      </c>
    </row>
    <row r="2057" spans="1:9" x14ac:dyDescent="0.25">
      <c r="A2057" s="180">
        <f t="shared" ca="1" si="231"/>
        <v>48129</v>
      </c>
      <c r="B2057" s="181">
        <v>2025</v>
      </c>
      <c r="C2057" s="182" t="e">
        <f t="shared" si="225"/>
        <v>#VALUE!</v>
      </c>
      <c r="D2057" s="182" t="e">
        <f t="shared" si="226"/>
        <v>#VALUE!</v>
      </c>
      <c r="E2057" s="182" t="e">
        <f t="shared" si="227"/>
        <v>#VALUE!</v>
      </c>
      <c r="F2057" s="182" t="e">
        <f>SUM($D$33:D2057)</f>
        <v>#VALUE!</v>
      </c>
      <c r="G2057" s="182">
        <f t="shared" ca="1" si="228"/>
        <v>0</v>
      </c>
      <c r="H2057" s="182" t="e">
        <f t="shared" si="229"/>
        <v>#VALUE!</v>
      </c>
      <c r="I2057" s="183" t="e">
        <f t="shared" si="230"/>
        <v>#VALUE!</v>
      </c>
    </row>
    <row r="2058" spans="1:9" x14ac:dyDescent="0.25">
      <c r="A2058" s="180">
        <f t="shared" ca="1" si="231"/>
        <v>48130</v>
      </c>
      <c r="B2058" s="181">
        <v>2026</v>
      </c>
      <c r="C2058" s="182" t="e">
        <f t="shared" si="225"/>
        <v>#VALUE!</v>
      </c>
      <c r="D2058" s="182" t="e">
        <f t="shared" si="226"/>
        <v>#VALUE!</v>
      </c>
      <c r="E2058" s="182" t="e">
        <f t="shared" si="227"/>
        <v>#VALUE!</v>
      </c>
      <c r="F2058" s="182" t="e">
        <f>SUM($D$33:D2058)</f>
        <v>#VALUE!</v>
      </c>
      <c r="G2058" s="182">
        <f t="shared" ca="1" si="228"/>
        <v>0</v>
      </c>
      <c r="H2058" s="182" t="e">
        <f t="shared" si="229"/>
        <v>#VALUE!</v>
      </c>
      <c r="I2058" s="183" t="e">
        <f t="shared" si="230"/>
        <v>#VALUE!</v>
      </c>
    </row>
    <row r="2059" spans="1:9" x14ac:dyDescent="0.25">
      <c r="A2059" s="180">
        <f t="shared" ca="1" si="231"/>
        <v>48131</v>
      </c>
      <c r="B2059" s="181">
        <v>2027</v>
      </c>
      <c r="C2059" s="182" t="e">
        <f t="shared" si="225"/>
        <v>#VALUE!</v>
      </c>
      <c r="D2059" s="182" t="e">
        <f t="shared" si="226"/>
        <v>#VALUE!</v>
      </c>
      <c r="E2059" s="182" t="e">
        <f t="shared" si="227"/>
        <v>#VALUE!</v>
      </c>
      <c r="F2059" s="182" t="e">
        <f>SUM($D$33:D2059)</f>
        <v>#VALUE!</v>
      </c>
      <c r="G2059" s="182">
        <f t="shared" ca="1" si="228"/>
        <v>0</v>
      </c>
      <c r="H2059" s="182" t="e">
        <f t="shared" si="229"/>
        <v>#VALUE!</v>
      </c>
      <c r="I2059" s="183" t="e">
        <f t="shared" si="230"/>
        <v>#VALUE!</v>
      </c>
    </row>
    <row r="2060" spans="1:9" x14ac:dyDescent="0.25">
      <c r="A2060" s="180">
        <f t="shared" ca="1" si="231"/>
        <v>48132</v>
      </c>
      <c r="B2060" s="181">
        <v>2028</v>
      </c>
      <c r="C2060" s="182" t="e">
        <f t="shared" si="225"/>
        <v>#VALUE!</v>
      </c>
      <c r="D2060" s="182" t="e">
        <f t="shared" si="226"/>
        <v>#VALUE!</v>
      </c>
      <c r="E2060" s="182" t="e">
        <f t="shared" si="227"/>
        <v>#VALUE!</v>
      </c>
      <c r="F2060" s="182" t="e">
        <f>SUM($D$33:D2060)</f>
        <v>#VALUE!</v>
      </c>
      <c r="G2060" s="182">
        <f t="shared" ca="1" si="228"/>
        <v>0</v>
      </c>
      <c r="H2060" s="182" t="e">
        <f t="shared" si="229"/>
        <v>#VALUE!</v>
      </c>
      <c r="I2060" s="183" t="e">
        <f t="shared" si="230"/>
        <v>#VALUE!</v>
      </c>
    </row>
    <row r="2061" spans="1:9" x14ac:dyDescent="0.25">
      <c r="A2061" s="180">
        <f t="shared" ca="1" si="231"/>
        <v>48133</v>
      </c>
      <c r="B2061" s="181">
        <v>2029</v>
      </c>
      <c r="C2061" s="182" t="e">
        <f t="shared" si="225"/>
        <v>#VALUE!</v>
      </c>
      <c r="D2061" s="182" t="e">
        <f t="shared" si="226"/>
        <v>#VALUE!</v>
      </c>
      <c r="E2061" s="182" t="e">
        <f t="shared" si="227"/>
        <v>#VALUE!</v>
      </c>
      <c r="F2061" s="182" t="e">
        <f>SUM($D$33:D2061)</f>
        <v>#VALUE!</v>
      </c>
      <c r="G2061" s="182">
        <f t="shared" ca="1" si="228"/>
        <v>0</v>
      </c>
      <c r="H2061" s="182" t="e">
        <f t="shared" si="229"/>
        <v>#VALUE!</v>
      </c>
      <c r="I2061" s="183" t="e">
        <f t="shared" si="230"/>
        <v>#VALUE!</v>
      </c>
    </row>
    <row r="2062" spans="1:9" x14ac:dyDescent="0.25">
      <c r="A2062" s="180">
        <f t="shared" ca="1" si="231"/>
        <v>48134</v>
      </c>
      <c r="B2062" s="181">
        <v>2030</v>
      </c>
      <c r="C2062" s="182" t="e">
        <f t="shared" si="225"/>
        <v>#VALUE!</v>
      </c>
      <c r="D2062" s="182" t="e">
        <f t="shared" si="226"/>
        <v>#VALUE!</v>
      </c>
      <c r="E2062" s="182" t="e">
        <f t="shared" si="227"/>
        <v>#VALUE!</v>
      </c>
      <c r="F2062" s="182" t="e">
        <f>SUM($D$33:D2062)</f>
        <v>#VALUE!</v>
      </c>
      <c r="G2062" s="182">
        <f t="shared" ca="1" si="228"/>
        <v>0</v>
      </c>
      <c r="H2062" s="182" t="e">
        <f t="shared" si="229"/>
        <v>#VALUE!</v>
      </c>
      <c r="I2062" s="183" t="e">
        <f t="shared" si="230"/>
        <v>#VALUE!</v>
      </c>
    </row>
    <row r="2063" spans="1:9" x14ac:dyDescent="0.25">
      <c r="A2063" s="180">
        <f t="shared" ca="1" si="231"/>
        <v>48135</v>
      </c>
      <c r="B2063" s="181">
        <v>2031</v>
      </c>
      <c r="C2063" s="182" t="e">
        <f t="shared" si="225"/>
        <v>#VALUE!</v>
      </c>
      <c r="D2063" s="182" t="e">
        <f t="shared" si="226"/>
        <v>#VALUE!</v>
      </c>
      <c r="E2063" s="182" t="e">
        <f t="shared" si="227"/>
        <v>#VALUE!</v>
      </c>
      <c r="F2063" s="182" t="e">
        <f>SUM($D$33:D2063)</f>
        <v>#VALUE!</v>
      </c>
      <c r="G2063" s="182">
        <f t="shared" ca="1" si="228"/>
        <v>0</v>
      </c>
      <c r="H2063" s="182" t="e">
        <f t="shared" si="229"/>
        <v>#VALUE!</v>
      </c>
      <c r="I2063" s="183" t="e">
        <f t="shared" si="230"/>
        <v>#VALUE!</v>
      </c>
    </row>
    <row r="2064" spans="1:9" x14ac:dyDescent="0.25">
      <c r="A2064" s="180">
        <f t="shared" ca="1" si="231"/>
        <v>48136</v>
      </c>
      <c r="B2064" s="181">
        <v>2032</v>
      </c>
      <c r="C2064" s="182" t="e">
        <f t="shared" ref="C2064:C2127" si="232">H2063</f>
        <v>#VALUE!</v>
      </c>
      <c r="D2064" s="182" t="e">
        <f t="shared" ref="D2064:D2127" si="233">IF(C2064&gt;$H$21,C2064*($L$16/360),$H$21*($L$16/360))</f>
        <v>#VALUE!</v>
      </c>
      <c r="E2064" s="182" t="e">
        <f t="shared" ref="E2064:E2127" si="234">IF(E2063&gt;0,E2063-D2064,0)</f>
        <v>#VALUE!</v>
      </c>
      <c r="F2064" s="182" t="e">
        <f>SUM($D$33:D2064)</f>
        <v>#VALUE!</v>
      </c>
      <c r="G2064" s="182">
        <f t="shared" ref="G2064:G2127" ca="1" si="235">IFERROR(-VLOOKUP(A2064,$K$30:$M$36,2,FALSE),0)</f>
        <v>0</v>
      </c>
      <c r="H2064" s="182" t="e">
        <f t="shared" ref="H2064:H2127" si="236">IF(E2064&gt;0,C2064+G2064,IF(E2064&lt;0,C2064+G2064+D2064-E2063,C2064+D2064+G2064))</f>
        <v>#VALUE!</v>
      </c>
      <c r="I2064" s="183" t="e">
        <f t="shared" ref="I2064:I2127" si="237">(C2064+D2064-E2064)</f>
        <v>#VALUE!</v>
      </c>
    </row>
    <row r="2065" spans="1:9" x14ac:dyDescent="0.25">
      <c r="A2065" s="180">
        <f t="shared" ca="1" si="231"/>
        <v>48137</v>
      </c>
      <c r="B2065" s="181">
        <v>2033</v>
      </c>
      <c r="C2065" s="182" t="e">
        <f t="shared" si="232"/>
        <v>#VALUE!</v>
      </c>
      <c r="D2065" s="182" t="e">
        <f t="shared" si="233"/>
        <v>#VALUE!</v>
      </c>
      <c r="E2065" s="182" t="e">
        <f t="shared" si="234"/>
        <v>#VALUE!</v>
      </c>
      <c r="F2065" s="182" t="e">
        <f>SUM($D$33:D2065)</f>
        <v>#VALUE!</v>
      </c>
      <c r="G2065" s="182">
        <f t="shared" ca="1" si="235"/>
        <v>0</v>
      </c>
      <c r="H2065" s="182" t="e">
        <f t="shared" si="236"/>
        <v>#VALUE!</v>
      </c>
      <c r="I2065" s="183" t="e">
        <f t="shared" si="237"/>
        <v>#VALUE!</v>
      </c>
    </row>
    <row r="2066" spans="1:9" x14ac:dyDescent="0.25">
      <c r="A2066" s="180">
        <f t="shared" ca="1" si="231"/>
        <v>48138</v>
      </c>
      <c r="B2066" s="181">
        <v>2034</v>
      </c>
      <c r="C2066" s="182" t="e">
        <f t="shared" si="232"/>
        <v>#VALUE!</v>
      </c>
      <c r="D2066" s="182" t="e">
        <f t="shared" si="233"/>
        <v>#VALUE!</v>
      </c>
      <c r="E2066" s="182" t="e">
        <f t="shared" si="234"/>
        <v>#VALUE!</v>
      </c>
      <c r="F2066" s="182" t="e">
        <f>SUM($D$33:D2066)</f>
        <v>#VALUE!</v>
      </c>
      <c r="G2066" s="182">
        <f t="shared" ca="1" si="235"/>
        <v>0</v>
      </c>
      <c r="H2066" s="182" t="e">
        <f t="shared" si="236"/>
        <v>#VALUE!</v>
      </c>
      <c r="I2066" s="183" t="e">
        <f t="shared" si="237"/>
        <v>#VALUE!</v>
      </c>
    </row>
    <row r="2067" spans="1:9" x14ac:dyDescent="0.25">
      <c r="A2067" s="180">
        <f t="shared" ca="1" si="231"/>
        <v>48139</v>
      </c>
      <c r="B2067" s="181">
        <v>2035</v>
      </c>
      <c r="C2067" s="182" t="e">
        <f t="shared" si="232"/>
        <v>#VALUE!</v>
      </c>
      <c r="D2067" s="182" t="e">
        <f t="shared" si="233"/>
        <v>#VALUE!</v>
      </c>
      <c r="E2067" s="182" t="e">
        <f t="shared" si="234"/>
        <v>#VALUE!</v>
      </c>
      <c r="F2067" s="182" t="e">
        <f>SUM($D$33:D2067)</f>
        <v>#VALUE!</v>
      </c>
      <c r="G2067" s="182">
        <f t="shared" ca="1" si="235"/>
        <v>0</v>
      </c>
      <c r="H2067" s="182" t="e">
        <f t="shared" si="236"/>
        <v>#VALUE!</v>
      </c>
      <c r="I2067" s="183" t="e">
        <f t="shared" si="237"/>
        <v>#VALUE!</v>
      </c>
    </row>
    <row r="2068" spans="1:9" x14ac:dyDescent="0.25">
      <c r="A2068" s="180">
        <f t="shared" ca="1" si="231"/>
        <v>48140</v>
      </c>
      <c r="B2068" s="181">
        <v>2036</v>
      </c>
      <c r="C2068" s="182" t="e">
        <f t="shared" si="232"/>
        <v>#VALUE!</v>
      </c>
      <c r="D2068" s="182" t="e">
        <f t="shared" si="233"/>
        <v>#VALUE!</v>
      </c>
      <c r="E2068" s="182" t="e">
        <f t="shared" si="234"/>
        <v>#VALUE!</v>
      </c>
      <c r="F2068" s="182" t="e">
        <f>SUM($D$33:D2068)</f>
        <v>#VALUE!</v>
      </c>
      <c r="G2068" s="182">
        <f t="shared" ca="1" si="235"/>
        <v>0</v>
      </c>
      <c r="H2068" s="182" t="e">
        <f t="shared" si="236"/>
        <v>#VALUE!</v>
      </c>
      <c r="I2068" s="183" t="e">
        <f t="shared" si="237"/>
        <v>#VALUE!</v>
      </c>
    </row>
    <row r="2069" spans="1:9" x14ac:dyDescent="0.25">
      <c r="A2069" s="180">
        <f t="shared" ca="1" si="231"/>
        <v>48141</v>
      </c>
      <c r="B2069" s="181">
        <v>2037</v>
      </c>
      <c r="C2069" s="182" t="e">
        <f t="shared" si="232"/>
        <v>#VALUE!</v>
      </c>
      <c r="D2069" s="182" t="e">
        <f t="shared" si="233"/>
        <v>#VALUE!</v>
      </c>
      <c r="E2069" s="182" t="e">
        <f t="shared" si="234"/>
        <v>#VALUE!</v>
      </c>
      <c r="F2069" s="182" t="e">
        <f>SUM($D$33:D2069)</f>
        <v>#VALUE!</v>
      </c>
      <c r="G2069" s="182">
        <f t="shared" ca="1" si="235"/>
        <v>0</v>
      </c>
      <c r="H2069" s="182" t="e">
        <f t="shared" si="236"/>
        <v>#VALUE!</v>
      </c>
      <c r="I2069" s="183" t="e">
        <f t="shared" si="237"/>
        <v>#VALUE!</v>
      </c>
    </row>
    <row r="2070" spans="1:9" x14ac:dyDescent="0.25">
      <c r="A2070" s="180">
        <f t="shared" ca="1" si="231"/>
        <v>48142</v>
      </c>
      <c r="B2070" s="181">
        <v>2038</v>
      </c>
      <c r="C2070" s="182" t="e">
        <f t="shared" si="232"/>
        <v>#VALUE!</v>
      </c>
      <c r="D2070" s="182" t="e">
        <f t="shared" si="233"/>
        <v>#VALUE!</v>
      </c>
      <c r="E2070" s="182" t="e">
        <f t="shared" si="234"/>
        <v>#VALUE!</v>
      </c>
      <c r="F2070" s="182" t="e">
        <f>SUM($D$33:D2070)</f>
        <v>#VALUE!</v>
      </c>
      <c r="G2070" s="182">
        <f t="shared" ca="1" si="235"/>
        <v>0</v>
      </c>
      <c r="H2070" s="182" t="e">
        <f t="shared" si="236"/>
        <v>#VALUE!</v>
      </c>
      <c r="I2070" s="183" t="e">
        <f t="shared" si="237"/>
        <v>#VALUE!</v>
      </c>
    </row>
    <row r="2071" spans="1:9" x14ac:dyDescent="0.25">
      <c r="A2071" s="180">
        <f t="shared" ca="1" si="231"/>
        <v>48143</v>
      </c>
      <c r="B2071" s="181">
        <v>2039</v>
      </c>
      <c r="C2071" s="182" t="e">
        <f t="shared" si="232"/>
        <v>#VALUE!</v>
      </c>
      <c r="D2071" s="182" t="e">
        <f t="shared" si="233"/>
        <v>#VALUE!</v>
      </c>
      <c r="E2071" s="182" t="e">
        <f t="shared" si="234"/>
        <v>#VALUE!</v>
      </c>
      <c r="F2071" s="182" t="e">
        <f>SUM($D$33:D2071)</f>
        <v>#VALUE!</v>
      </c>
      <c r="G2071" s="182">
        <f t="shared" ca="1" si="235"/>
        <v>0</v>
      </c>
      <c r="H2071" s="182" t="e">
        <f t="shared" si="236"/>
        <v>#VALUE!</v>
      </c>
      <c r="I2071" s="183" t="e">
        <f t="shared" si="237"/>
        <v>#VALUE!</v>
      </c>
    </row>
    <row r="2072" spans="1:9" x14ac:dyDescent="0.25">
      <c r="A2072" s="180">
        <f t="shared" ca="1" si="231"/>
        <v>48144</v>
      </c>
      <c r="B2072" s="181">
        <v>2040</v>
      </c>
      <c r="C2072" s="182" t="e">
        <f t="shared" si="232"/>
        <v>#VALUE!</v>
      </c>
      <c r="D2072" s="182" t="e">
        <f t="shared" si="233"/>
        <v>#VALUE!</v>
      </c>
      <c r="E2072" s="182" t="e">
        <f t="shared" si="234"/>
        <v>#VALUE!</v>
      </c>
      <c r="F2072" s="182" t="e">
        <f>SUM($D$33:D2072)</f>
        <v>#VALUE!</v>
      </c>
      <c r="G2072" s="182">
        <f t="shared" ca="1" si="235"/>
        <v>0</v>
      </c>
      <c r="H2072" s="182" t="e">
        <f t="shared" si="236"/>
        <v>#VALUE!</v>
      </c>
      <c r="I2072" s="183" t="e">
        <f t="shared" si="237"/>
        <v>#VALUE!</v>
      </c>
    </row>
    <row r="2073" spans="1:9" x14ac:dyDescent="0.25">
      <c r="A2073" s="180">
        <f t="shared" ca="1" si="231"/>
        <v>48145</v>
      </c>
      <c r="B2073" s="181">
        <v>2041</v>
      </c>
      <c r="C2073" s="182" t="e">
        <f t="shared" si="232"/>
        <v>#VALUE!</v>
      </c>
      <c r="D2073" s="182" t="e">
        <f t="shared" si="233"/>
        <v>#VALUE!</v>
      </c>
      <c r="E2073" s="182" t="e">
        <f t="shared" si="234"/>
        <v>#VALUE!</v>
      </c>
      <c r="F2073" s="182" t="e">
        <f>SUM($D$33:D2073)</f>
        <v>#VALUE!</v>
      </c>
      <c r="G2073" s="182">
        <f t="shared" ca="1" si="235"/>
        <v>0</v>
      </c>
      <c r="H2073" s="182" t="e">
        <f t="shared" si="236"/>
        <v>#VALUE!</v>
      </c>
      <c r="I2073" s="183" t="e">
        <f t="shared" si="237"/>
        <v>#VALUE!</v>
      </c>
    </row>
    <row r="2074" spans="1:9" x14ac:dyDescent="0.25">
      <c r="A2074" s="180">
        <f t="shared" ca="1" si="231"/>
        <v>48146</v>
      </c>
      <c r="B2074" s="181">
        <v>2042</v>
      </c>
      <c r="C2074" s="182" t="e">
        <f t="shared" si="232"/>
        <v>#VALUE!</v>
      </c>
      <c r="D2074" s="182" t="e">
        <f t="shared" si="233"/>
        <v>#VALUE!</v>
      </c>
      <c r="E2074" s="182" t="e">
        <f t="shared" si="234"/>
        <v>#VALUE!</v>
      </c>
      <c r="F2074" s="182" t="e">
        <f>SUM($D$33:D2074)</f>
        <v>#VALUE!</v>
      </c>
      <c r="G2074" s="182">
        <f t="shared" ca="1" si="235"/>
        <v>0</v>
      </c>
      <c r="H2074" s="182" t="e">
        <f t="shared" si="236"/>
        <v>#VALUE!</v>
      </c>
      <c r="I2074" s="183" t="e">
        <f t="shared" si="237"/>
        <v>#VALUE!</v>
      </c>
    </row>
    <row r="2075" spans="1:9" x14ac:dyDescent="0.25">
      <c r="A2075" s="180">
        <f t="shared" ca="1" si="231"/>
        <v>48147</v>
      </c>
      <c r="B2075" s="181">
        <v>2043</v>
      </c>
      <c r="C2075" s="182" t="e">
        <f t="shared" si="232"/>
        <v>#VALUE!</v>
      </c>
      <c r="D2075" s="182" t="e">
        <f t="shared" si="233"/>
        <v>#VALUE!</v>
      </c>
      <c r="E2075" s="182" t="e">
        <f t="shared" si="234"/>
        <v>#VALUE!</v>
      </c>
      <c r="F2075" s="182" t="e">
        <f>SUM($D$33:D2075)</f>
        <v>#VALUE!</v>
      </c>
      <c r="G2075" s="182">
        <f t="shared" ca="1" si="235"/>
        <v>0</v>
      </c>
      <c r="H2075" s="182" t="e">
        <f t="shared" si="236"/>
        <v>#VALUE!</v>
      </c>
      <c r="I2075" s="183" t="e">
        <f t="shared" si="237"/>
        <v>#VALUE!</v>
      </c>
    </row>
    <row r="2076" spans="1:9" x14ac:dyDescent="0.25">
      <c r="A2076" s="180">
        <f t="shared" ca="1" si="231"/>
        <v>48148</v>
      </c>
      <c r="B2076" s="181">
        <v>2044</v>
      </c>
      <c r="C2076" s="182" t="e">
        <f t="shared" si="232"/>
        <v>#VALUE!</v>
      </c>
      <c r="D2076" s="182" t="e">
        <f t="shared" si="233"/>
        <v>#VALUE!</v>
      </c>
      <c r="E2076" s="182" t="e">
        <f t="shared" si="234"/>
        <v>#VALUE!</v>
      </c>
      <c r="F2076" s="182" t="e">
        <f>SUM($D$33:D2076)</f>
        <v>#VALUE!</v>
      </c>
      <c r="G2076" s="182">
        <f t="shared" ca="1" si="235"/>
        <v>0</v>
      </c>
      <c r="H2076" s="182" t="e">
        <f t="shared" si="236"/>
        <v>#VALUE!</v>
      </c>
      <c r="I2076" s="183" t="e">
        <f t="shared" si="237"/>
        <v>#VALUE!</v>
      </c>
    </row>
    <row r="2077" spans="1:9" x14ac:dyDescent="0.25">
      <c r="A2077" s="180">
        <f t="shared" ca="1" si="231"/>
        <v>48149</v>
      </c>
      <c r="B2077" s="181">
        <v>2045</v>
      </c>
      <c r="C2077" s="182" t="e">
        <f t="shared" si="232"/>
        <v>#VALUE!</v>
      </c>
      <c r="D2077" s="182" t="e">
        <f t="shared" si="233"/>
        <v>#VALUE!</v>
      </c>
      <c r="E2077" s="182" t="e">
        <f t="shared" si="234"/>
        <v>#VALUE!</v>
      </c>
      <c r="F2077" s="182" t="e">
        <f>SUM($D$33:D2077)</f>
        <v>#VALUE!</v>
      </c>
      <c r="G2077" s="182">
        <f t="shared" ca="1" si="235"/>
        <v>0</v>
      </c>
      <c r="H2077" s="182" t="e">
        <f t="shared" si="236"/>
        <v>#VALUE!</v>
      </c>
      <c r="I2077" s="183" t="e">
        <f t="shared" si="237"/>
        <v>#VALUE!</v>
      </c>
    </row>
    <row r="2078" spans="1:9" x14ac:dyDescent="0.25">
      <c r="A2078" s="180">
        <f t="shared" ca="1" si="231"/>
        <v>48150</v>
      </c>
      <c r="B2078" s="181">
        <v>2046</v>
      </c>
      <c r="C2078" s="182" t="e">
        <f t="shared" si="232"/>
        <v>#VALUE!</v>
      </c>
      <c r="D2078" s="182" t="e">
        <f t="shared" si="233"/>
        <v>#VALUE!</v>
      </c>
      <c r="E2078" s="182" t="e">
        <f t="shared" si="234"/>
        <v>#VALUE!</v>
      </c>
      <c r="F2078" s="182" t="e">
        <f>SUM($D$33:D2078)</f>
        <v>#VALUE!</v>
      </c>
      <c r="G2078" s="182">
        <f t="shared" ca="1" si="235"/>
        <v>0</v>
      </c>
      <c r="H2078" s="182" t="e">
        <f t="shared" si="236"/>
        <v>#VALUE!</v>
      </c>
      <c r="I2078" s="183" t="e">
        <f t="shared" si="237"/>
        <v>#VALUE!</v>
      </c>
    </row>
    <row r="2079" spans="1:9" x14ac:dyDescent="0.25">
      <c r="A2079" s="180">
        <f t="shared" ca="1" si="231"/>
        <v>48151</v>
      </c>
      <c r="B2079" s="181">
        <v>2047</v>
      </c>
      <c r="C2079" s="182" t="e">
        <f t="shared" si="232"/>
        <v>#VALUE!</v>
      </c>
      <c r="D2079" s="182" t="e">
        <f t="shared" si="233"/>
        <v>#VALUE!</v>
      </c>
      <c r="E2079" s="182" t="e">
        <f t="shared" si="234"/>
        <v>#VALUE!</v>
      </c>
      <c r="F2079" s="182" t="e">
        <f>SUM($D$33:D2079)</f>
        <v>#VALUE!</v>
      </c>
      <c r="G2079" s="182">
        <f t="shared" ca="1" si="235"/>
        <v>0</v>
      </c>
      <c r="H2079" s="182" t="e">
        <f t="shared" si="236"/>
        <v>#VALUE!</v>
      </c>
      <c r="I2079" s="183" t="e">
        <f t="shared" si="237"/>
        <v>#VALUE!</v>
      </c>
    </row>
    <row r="2080" spans="1:9" x14ac:dyDescent="0.25">
      <c r="A2080" s="180">
        <f t="shared" ca="1" si="231"/>
        <v>48152</v>
      </c>
      <c r="B2080" s="181">
        <v>2048</v>
      </c>
      <c r="C2080" s="182" t="e">
        <f t="shared" si="232"/>
        <v>#VALUE!</v>
      </c>
      <c r="D2080" s="182" t="e">
        <f t="shared" si="233"/>
        <v>#VALUE!</v>
      </c>
      <c r="E2080" s="182" t="e">
        <f t="shared" si="234"/>
        <v>#VALUE!</v>
      </c>
      <c r="F2080" s="182" t="e">
        <f>SUM($D$33:D2080)</f>
        <v>#VALUE!</v>
      </c>
      <c r="G2080" s="182">
        <f t="shared" ca="1" si="235"/>
        <v>0</v>
      </c>
      <c r="H2080" s="182" t="e">
        <f t="shared" si="236"/>
        <v>#VALUE!</v>
      </c>
      <c r="I2080" s="183" t="e">
        <f t="shared" si="237"/>
        <v>#VALUE!</v>
      </c>
    </row>
    <row r="2081" spans="1:9" x14ac:dyDescent="0.25">
      <c r="A2081" s="180">
        <f t="shared" ca="1" si="231"/>
        <v>48153</v>
      </c>
      <c r="B2081" s="181">
        <v>2049</v>
      </c>
      <c r="C2081" s="182" t="e">
        <f t="shared" si="232"/>
        <v>#VALUE!</v>
      </c>
      <c r="D2081" s="182" t="e">
        <f t="shared" si="233"/>
        <v>#VALUE!</v>
      </c>
      <c r="E2081" s="182" t="e">
        <f t="shared" si="234"/>
        <v>#VALUE!</v>
      </c>
      <c r="F2081" s="182" t="e">
        <f>SUM($D$33:D2081)</f>
        <v>#VALUE!</v>
      </c>
      <c r="G2081" s="182">
        <f t="shared" ca="1" si="235"/>
        <v>0</v>
      </c>
      <c r="H2081" s="182" t="e">
        <f t="shared" si="236"/>
        <v>#VALUE!</v>
      </c>
      <c r="I2081" s="183" t="e">
        <f t="shared" si="237"/>
        <v>#VALUE!</v>
      </c>
    </row>
    <row r="2082" spans="1:9" x14ac:dyDescent="0.25">
      <c r="A2082" s="180">
        <f t="shared" ref="A2082:A2145" ca="1" si="238">A2081+1</f>
        <v>48154</v>
      </c>
      <c r="B2082" s="181">
        <v>2050</v>
      </c>
      <c r="C2082" s="182" t="e">
        <f t="shared" si="232"/>
        <v>#VALUE!</v>
      </c>
      <c r="D2082" s="182" t="e">
        <f t="shared" si="233"/>
        <v>#VALUE!</v>
      </c>
      <c r="E2082" s="182" t="e">
        <f t="shared" si="234"/>
        <v>#VALUE!</v>
      </c>
      <c r="F2082" s="182" t="e">
        <f>SUM($D$33:D2082)</f>
        <v>#VALUE!</v>
      </c>
      <c r="G2082" s="182">
        <f t="shared" ca="1" si="235"/>
        <v>0</v>
      </c>
      <c r="H2082" s="182" t="e">
        <f t="shared" si="236"/>
        <v>#VALUE!</v>
      </c>
      <c r="I2082" s="183" t="e">
        <f t="shared" si="237"/>
        <v>#VALUE!</v>
      </c>
    </row>
    <row r="2083" spans="1:9" x14ac:dyDescent="0.25">
      <c r="A2083" s="180">
        <f t="shared" ca="1" si="238"/>
        <v>48155</v>
      </c>
      <c r="B2083" s="181">
        <v>2051</v>
      </c>
      <c r="C2083" s="182" t="e">
        <f t="shared" si="232"/>
        <v>#VALUE!</v>
      </c>
      <c r="D2083" s="182" t="e">
        <f t="shared" si="233"/>
        <v>#VALUE!</v>
      </c>
      <c r="E2083" s="182" t="e">
        <f t="shared" si="234"/>
        <v>#VALUE!</v>
      </c>
      <c r="F2083" s="182" t="e">
        <f>SUM($D$33:D2083)</f>
        <v>#VALUE!</v>
      </c>
      <c r="G2083" s="182">
        <f t="shared" ca="1" si="235"/>
        <v>0</v>
      </c>
      <c r="H2083" s="182" t="e">
        <f t="shared" si="236"/>
        <v>#VALUE!</v>
      </c>
      <c r="I2083" s="183" t="e">
        <f t="shared" si="237"/>
        <v>#VALUE!</v>
      </c>
    </row>
    <row r="2084" spans="1:9" x14ac:dyDescent="0.25">
      <c r="A2084" s="180">
        <f t="shared" ca="1" si="238"/>
        <v>48156</v>
      </c>
      <c r="B2084" s="181">
        <v>2052</v>
      </c>
      <c r="C2084" s="182" t="e">
        <f t="shared" si="232"/>
        <v>#VALUE!</v>
      </c>
      <c r="D2084" s="182" t="e">
        <f t="shared" si="233"/>
        <v>#VALUE!</v>
      </c>
      <c r="E2084" s="182" t="e">
        <f t="shared" si="234"/>
        <v>#VALUE!</v>
      </c>
      <c r="F2084" s="182" t="e">
        <f>SUM($D$33:D2084)</f>
        <v>#VALUE!</v>
      </c>
      <c r="G2084" s="182">
        <f t="shared" ca="1" si="235"/>
        <v>0</v>
      </c>
      <c r="H2084" s="182" t="e">
        <f t="shared" si="236"/>
        <v>#VALUE!</v>
      </c>
      <c r="I2084" s="183" t="e">
        <f t="shared" si="237"/>
        <v>#VALUE!</v>
      </c>
    </row>
    <row r="2085" spans="1:9" x14ac:dyDescent="0.25">
      <c r="A2085" s="180">
        <f t="shared" ca="1" si="238"/>
        <v>48157</v>
      </c>
      <c r="B2085" s="181">
        <v>2053</v>
      </c>
      <c r="C2085" s="182" t="e">
        <f t="shared" si="232"/>
        <v>#VALUE!</v>
      </c>
      <c r="D2085" s="182" t="e">
        <f t="shared" si="233"/>
        <v>#VALUE!</v>
      </c>
      <c r="E2085" s="182" t="e">
        <f t="shared" si="234"/>
        <v>#VALUE!</v>
      </c>
      <c r="F2085" s="182" t="e">
        <f>SUM($D$33:D2085)</f>
        <v>#VALUE!</v>
      </c>
      <c r="G2085" s="182">
        <f t="shared" ca="1" si="235"/>
        <v>0</v>
      </c>
      <c r="H2085" s="182" t="e">
        <f t="shared" si="236"/>
        <v>#VALUE!</v>
      </c>
      <c r="I2085" s="183" t="e">
        <f t="shared" si="237"/>
        <v>#VALUE!</v>
      </c>
    </row>
    <row r="2086" spans="1:9" x14ac:dyDescent="0.25">
      <c r="A2086" s="180">
        <f t="shared" ca="1" si="238"/>
        <v>48158</v>
      </c>
      <c r="B2086" s="181">
        <v>2054</v>
      </c>
      <c r="C2086" s="182" t="e">
        <f t="shared" si="232"/>
        <v>#VALUE!</v>
      </c>
      <c r="D2086" s="182" t="e">
        <f t="shared" si="233"/>
        <v>#VALUE!</v>
      </c>
      <c r="E2086" s="182" t="e">
        <f t="shared" si="234"/>
        <v>#VALUE!</v>
      </c>
      <c r="F2086" s="182" t="e">
        <f>SUM($D$33:D2086)</f>
        <v>#VALUE!</v>
      </c>
      <c r="G2086" s="182">
        <f t="shared" ca="1" si="235"/>
        <v>0</v>
      </c>
      <c r="H2086" s="182" t="e">
        <f t="shared" si="236"/>
        <v>#VALUE!</v>
      </c>
      <c r="I2086" s="183" t="e">
        <f t="shared" si="237"/>
        <v>#VALUE!</v>
      </c>
    </row>
    <row r="2087" spans="1:9" x14ac:dyDescent="0.25">
      <c r="A2087" s="180">
        <f t="shared" ca="1" si="238"/>
        <v>48159</v>
      </c>
      <c r="B2087" s="181">
        <v>2055</v>
      </c>
      <c r="C2087" s="182" t="e">
        <f t="shared" si="232"/>
        <v>#VALUE!</v>
      </c>
      <c r="D2087" s="182" t="e">
        <f t="shared" si="233"/>
        <v>#VALUE!</v>
      </c>
      <c r="E2087" s="182" t="e">
        <f t="shared" si="234"/>
        <v>#VALUE!</v>
      </c>
      <c r="F2087" s="182" t="e">
        <f>SUM($D$33:D2087)</f>
        <v>#VALUE!</v>
      </c>
      <c r="G2087" s="182">
        <f t="shared" ca="1" si="235"/>
        <v>0</v>
      </c>
      <c r="H2087" s="182" t="e">
        <f t="shared" si="236"/>
        <v>#VALUE!</v>
      </c>
      <c r="I2087" s="183" t="e">
        <f t="shared" si="237"/>
        <v>#VALUE!</v>
      </c>
    </row>
    <row r="2088" spans="1:9" x14ac:dyDescent="0.25">
      <c r="A2088" s="180">
        <f t="shared" ca="1" si="238"/>
        <v>48160</v>
      </c>
      <c r="B2088" s="181">
        <v>2056</v>
      </c>
      <c r="C2088" s="182" t="e">
        <f t="shared" si="232"/>
        <v>#VALUE!</v>
      </c>
      <c r="D2088" s="182" t="e">
        <f t="shared" si="233"/>
        <v>#VALUE!</v>
      </c>
      <c r="E2088" s="182" t="e">
        <f t="shared" si="234"/>
        <v>#VALUE!</v>
      </c>
      <c r="F2088" s="182" t="e">
        <f>SUM($D$33:D2088)</f>
        <v>#VALUE!</v>
      </c>
      <c r="G2088" s="182">
        <f t="shared" ca="1" si="235"/>
        <v>0</v>
      </c>
      <c r="H2088" s="182" t="e">
        <f t="shared" si="236"/>
        <v>#VALUE!</v>
      </c>
      <c r="I2088" s="183" t="e">
        <f t="shared" si="237"/>
        <v>#VALUE!</v>
      </c>
    </row>
    <row r="2089" spans="1:9" x14ac:dyDescent="0.25">
      <c r="A2089" s="180">
        <f t="shared" ca="1" si="238"/>
        <v>48161</v>
      </c>
      <c r="B2089" s="181">
        <v>2057</v>
      </c>
      <c r="C2089" s="182" t="e">
        <f t="shared" si="232"/>
        <v>#VALUE!</v>
      </c>
      <c r="D2089" s="182" t="e">
        <f t="shared" si="233"/>
        <v>#VALUE!</v>
      </c>
      <c r="E2089" s="182" t="e">
        <f t="shared" si="234"/>
        <v>#VALUE!</v>
      </c>
      <c r="F2089" s="182" t="e">
        <f>SUM($D$33:D2089)</f>
        <v>#VALUE!</v>
      </c>
      <c r="G2089" s="182">
        <f t="shared" ca="1" si="235"/>
        <v>0</v>
      </c>
      <c r="H2089" s="182" t="e">
        <f t="shared" si="236"/>
        <v>#VALUE!</v>
      </c>
      <c r="I2089" s="183" t="e">
        <f t="shared" si="237"/>
        <v>#VALUE!</v>
      </c>
    </row>
    <row r="2090" spans="1:9" x14ac:dyDescent="0.25">
      <c r="A2090" s="180">
        <f t="shared" ca="1" si="238"/>
        <v>48162</v>
      </c>
      <c r="B2090" s="181">
        <v>2058</v>
      </c>
      <c r="C2090" s="182" t="e">
        <f t="shared" si="232"/>
        <v>#VALUE!</v>
      </c>
      <c r="D2090" s="182" t="e">
        <f t="shared" si="233"/>
        <v>#VALUE!</v>
      </c>
      <c r="E2090" s="182" t="e">
        <f t="shared" si="234"/>
        <v>#VALUE!</v>
      </c>
      <c r="F2090" s="182" t="e">
        <f>SUM($D$33:D2090)</f>
        <v>#VALUE!</v>
      </c>
      <c r="G2090" s="182">
        <f t="shared" ca="1" si="235"/>
        <v>0</v>
      </c>
      <c r="H2090" s="182" t="e">
        <f t="shared" si="236"/>
        <v>#VALUE!</v>
      </c>
      <c r="I2090" s="183" t="e">
        <f t="shared" si="237"/>
        <v>#VALUE!</v>
      </c>
    </row>
    <row r="2091" spans="1:9" x14ac:dyDescent="0.25">
      <c r="A2091" s="180">
        <f t="shared" ca="1" si="238"/>
        <v>48163</v>
      </c>
      <c r="B2091" s="181">
        <v>2059</v>
      </c>
      <c r="C2091" s="182" t="e">
        <f t="shared" si="232"/>
        <v>#VALUE!</v>
      </c>
      <c r="D2091" s="182" t="e">
        <f t="shared" si="233"/>
        <v>#VALUE!</v>
      </c>
      <c r="E2091" s="182" t="e">
        <f t="shared" si="234"/>
        <v>#VALUE!</v>
      </c>
      <c r="F2091" s="182" t="e">
        <f>SUM($D$33:D2091)</f>
        <v>#VALUE!</v>
      </c>
      <c r="G2091" s="182">
        <f t="shared" ca="1" si="235"/>
        <v>0</v>
      </c>
      <c r="H2091" s="182" t="e">
        <f t="shared" si="236"/>
        <v>#VALUE!</v>
      </c>
      <c r="I2091" s="183" t="e">
        <f t="shared" si="237"/>
        <v>#VALUE!</v>
      </c>
    </row>
    <row r="2092" spans="1:9" x14ac:dyDescent="0.25">
      <c r="A2092" s="180">
        <f t="shared" ca="1" si="238"/>
        <v>48164</v>
      </c>
      <c r="B2092" s="181">
        <v>2060</v>
      </c>
      <c r="C2092" s="182" t="e">
        <f t="shared" si="232"/>
        <v>#VALUE!</v>
      </c>
      <c r="D2092" s="182" t="e">
        <f t="shared" si="233"/>
        <v>#VALUE!</v>
      </c>
      <c r="E2092" s="182" t="e">
        <f t="shared" si="234"/>
        <v>#VALUE!</v>
      </c>
      <c r="F2092" s="182" t="e">
        <f>SUM($D$33:D2092)</f>
        <v>#VALUE!</v>
      </c>
      <c r="G2092" s="182">
        <f t="shared" ca="1" si="235"/>
        <v>0</v>
      </c>
      <c r="H2092" s="182" t="e">
        <f t="shared" si="236"/>
        <v>#VALUE!</v>
      </c>
      <c r="I2092" s="183" t="e">
        <f t="shared" si="237"/>
        <v>#VALUE!</v>
      </c>
    </row>
    <row r="2093" spans="1:9" x14ac:dyDescent="0.25">
      <c r="A2093" s="180">
        <f t="shared" ca="1" si="238"/>
        <v>48165</v>
      </c>
      <c r="B2093" s="181">
        <v>2061</v>
      </c>
      <c r="C2093" s="182" t="e">
        <f t="shared" si="232"/>
        <v>#VALUE!</v>
      </c>
      <c r="D2093" s="182" t="e">
        <f t="shared" si="233"/>
        <v>#VALUE!</v>
      </c>
      <c r="E2093" s="182" t="e">
        <f t="shared" si="234"/>
        <v>#VALUE!</v>
      </c>
      <c r="F2093" s="182" t="e">
        <f>SUM($D$33:D2093)</f>
        <v>#VALUE!</v>
      </c>
      <c r="G2093" s="182">
        <f t="shared" ca="1" si="235"/>
        <v>0</v>
      </c>
      <c r="H2093" s="182" t="e">
        <f t="shared" si="236"/>
        <v>#VALUE!</v>
      </c>
      <c r="I2093" s="183" t="e">
        <f t="shared" si="237"/>
        <v>#VALUE!</v>
      </c>
    </row>
    <row r="2094" spans="1:9" x14ac:dyDescent="0.25">
      <c r="A2094" s="180">
        <f t="shared" ca="1" si="238"/>
        <v>48166</v>
      </c>
      <c r="B2094" s="181">
        <v>2062</v>
      </c>
      <c r="C2094" s="182" t="e">
        <f t="shared" si="232"/>
        <v>#VALUE!</v>
      </c>
      <c r="D2094" s="182" t="e">
        <f t="shared" si="233"/>
        <v>#VALUE!</v>
      </c>
      <c r="E2094" s="182" t="e">
        <f t="shared" si="234"/>
        <v>#VALUE!</v>
      </c>
      <c r="F2094" s="182" t="e">
        <f>SUM($D$33:D2094)</f>
        <v>#VALUE!</v>
      </c>
      <c r="G2094" s="182">
        <f t="shared" ca="1" si="235"/>
        <v>0</v>
      </c>
      <c r="H2094" s="182" t="e">
        <f t="shared" si="236"/>
        <v>#VALUE!</v>
      </c>
      <c r="I2094" s="183" t="e">
        <f t="shared" si="237"/>
        <v>#VALUE!</v>
      </c>
    </row>
    <row r="2095" spans="1:9" x14ac:dyDescent="0.25">
      <c r="A2095" s="180">
        <f t="shared" ca="1" si="238"/>
        <v>48167</v>
      </c>
      <c r="B2095" s="181">
        <v>2063</v>
      </c>
      <c r="C2095" s="182" t="e">
        <f t="shared" si="232"/>
        <v>#VALUE!</v>
      </c>
      <c r="D2095" s="182" t="e">
        <f t="shared" si="233"/>
        <v>#VALUE!</v>
      </c>
      <c r="E2095" s="182" t="e">
        <f t="shared" si="234"/>
        <v>#VALUE!</v>
      </c>
      <c r="F2095" s="182" t="e">
        <f>SUM($D$33:D2095)</f>
        <v>#VALUE!</v>
      </c>
      <c r="G2095" s="182">
        <f t="shared" ca="1" si="235"/>
        <v>0</v>
      </c>
      <c r="H2095" s="182" t="e">
        <f t="shared" si="236"/>
        <v>#VALUE!</v>
      </c>
      <c r="I2095" s="183" t="e">
        <f t="shared" si="237"/>
        <v>#VALUE!</v>
      </c>
    </row>
    <row r="2096" spans="1:9" x14ac:dyDescent="0.25">
      <c r="A2096" s="180">
        <f t="shared" ca="1" si="238"/>
        <v>48168</v>
      </c>
      <c r="B2096" s="181">
        <v>2064</v>
      </c>
      <c r="C2096" s="182" t="e">
        <f t="shared" si="232"/>
        <v>#VALUE!</v>
      </c>
      <c r="D2096" s="182" t="e">
        <f t="shared" si="233"/>
        <v>#VALUE!</v>
      </c>
      <c r="E2096" s="182" t="e">
        <f t="shared" si="234"/>
        <v>#VALUE!</v>
      </c>
      <c r="F2096" s="182" t="e">
        <f>SUM($D$33:D2096)</f>
        <v>#VALUE!</v>
      </c>
      <c r="G2096" s="182">
        <f t="shared" ca="1" si="235"/>
        <v>0</v>
      </c>
      <c r="H2096" s="182" t="e">
        <f t="shared" si="236"/>
        <v>#VALUE!</v>
      </c>
      <c r="I2096" s="183" t="e">
        <f t="shared" si="237"/>
        <v>#VALUE!</v>
      </c>
    </row>
    <row r="2097" spans="1:9" x14ac:dyDescent="0.25">
      <c r="A2097" s="180">
        <f t="shared" ca="1" si="238"/>
        <v>48169</v>
      </c>
      <c r="B2097" s="181">
        <v>2065</v>
      </c>
      <c r="C2097" s="182" t="e">
        <f t="shared" si="232"/>
        <v>#VALUE!</v>
      </c>
      <c r="D2097" s="182" t="e">
        <f t="shared" si="233"/>
        <v>#VALUE!</v>
      </c>
      <c r="E2097" s="182" t="e">
        <f t="shared" si="234"/>
        <v>#VALUE!</v>
      </c>
      <c r="F2097" s="182" t="e">
        <f>SUM($D$33:D2097)</f>
        <v>#VALUE!</v>
      </c>
      <c r="G2097" s="182">
        <f t="shared" ca="1" si="235"/>
        <v>0</v>
      </c>
      <c r="H2097" s="182" t="e">
        <f t="shared" si="236"/>
        <v>#VALUE!</v>
      </c>
      <c r="I2097" s="183" t="e">
        <f t="shared" si="237"/>
        <v>#VALUE!</v>
      </c>
    </row>
    <row r="2098" spans="1:9" x14ac:dyDescent="0.25">
      <c r="A2098" s="180">
        <f t="shared" ca="1" si="238"/>
        <v>48170</v>
      </c>
      <c r="B2098" s="181">
        <v>2066</v>
      </c>
      <c r="C2098" s="182" t="e">
        <f t="shared" si="232"/>
        <v>#VALUE!</v>
      </c>
      <c r="D2098" s="182" t="e">
        <f t="shared" si="233"/>
        <v>#VALUE!</v>
      </c>
      <c r="E2098" s="182" t="e">
        <f t="shared" si="234"/>
        <v>#VALUE!</v>
      </c>
      <c r="F2098" s="182" t="e">
        <f>SUM($D$33:D2098)</f>
        <v>#VALUE!</v>
      </c>
      <c r="G2098" s="182">
        <f t="shared" ca="1" si="235"/>
        <v>0</v>
      </c>
      <c r="H2098" s="182" t="e">
        <f t="shared" si="236"/>
        <v>#VALUE!</v>
      </c>
      <c r="I2098" s="183" t="e">
        <f t="shared" si="237"/>
        <v>#VALUE!</v>
      </c>
    </row>
    <row r="2099" spans="1:9" x14ac:dyDescent="0.25">
      <c r="A2099" s="180">
        <f t="shared" ca="1" si="238"/>
        <v>48171</v>
      </c>
      <c r="B2099" s="181">
        <v>2067</v>
      </c>
      <c r="C2099" s="182" t="e">
        <f t="shared" si="232"/>
        <v>#VALUE!</v>
      </c>
      <c r="D2099" s="182" t="e">
        <f t="shared" si="233"/>
        <v>#VALUE!</v>
      </c>
      <c r="E2099" s="182" t="e">
        <f t="shared" si="234"/>
        <v>#VALUE!</v>
      </c>
      <c r="F2099" s="182" t="e">
        <f>SUM($D$33:D2099)</f>
        <v>#VALUE!</v>
      </c>
      <c r="G2099" s="182">
        <f t="shared" ca="1" si="235"/>
        <v>0</v>
      </c>
      <c r="H2099" s="182" t="e">
        <f t="shared" si="236"/>
        <v>#VALUE!</v>
      </c>
      <c r="I2099" s="183" t="e">
        <f t="shared" si="237"/>
        <v>#VALUE!</v>
      </c>
    </row>
    <row r="2100" spans="1:9" x14ac:dyDescent="0.25">
      <c r="A2100" s="180">
        <f t="shared" ca="1" si="238"/>
        <v>48172</v>
      </c>
      <c r="B2100" s="181">
        <v>2068</v>
      </c>
      <c r="C2100" s="182" t="e">
        <f t="shared" si="232"/>
        <v>#VALUE!</v>
      </c>
      <c r="D2100" s="182" t="e">
        <f t="shared" si="233"/>
        <v>#VALUE!</v>
      </c>
      <c r="E2100" s="182" t="e">
        <f t="shared" si="234"/>
        <v>#VALUE!</v>
      </c>
      <c r="F2100" s="182" t="e">
        <f>SUM($D$33:D2100)</f>
        <v>#VALUE!</v>
      </c>
      <c r="G2100" s="182">
        <f t="shared" ca="1" si="235"/>
        <v>0</v>
      </c>
      <c r="H2100" s="182" t="e">
        <f t="shared" si="236"/>
        <v>#VALUE!</v>
      </c>
      <c r="I2100" s="183" t="e">
        <f t="shared" si="237"/>
        <v>#VALUE!</v>
      </c>
    </row>
    <row r="2101" spans="1:9" x14ac:dyDescent="0.25">
      <c r="A2101" s="180">
        <f t="shared" ca="1" si="238"/>
        <v>48173</v>
      </c>
      <c r="B2101" s="181">
        <v>2069</v>
      </c>
      <c r="C2101" s="182" t="e">
        <f t="shared" si="232"/>
        <v>#VALUE!</v>
      </c>
      <c r="D2101" s="182" t="e">
        <f t="shared" si="233"/>
        <v>#VALUE!</v>
      </c>
      <c r="E2101" s="182" t="e">
        <f t="shared" si="234"/>
        <v>#VALUE!</v>
      </c>
      <c r="F2101" s="182" t="e">
        <f>SUM($D$33:D2101)</f>
        <v>#VALUE!</v>
      </c>
      <c r="G2101" s="182">
        <f t="shared" ca="1" si="235"/>
        <v>0</v>
      </c>
      <c r="H2101" s="182" t="e">
        <f t="shared" si="236"/>
        <v>#VALUE!</v>
      </c>
      <c r="I2101" s="183" t="e">
        <f t="shared" si="237"/>
        <v>#VALUE!</v>
      </c>
    </row>
    <row r="2102" spans="1:9" x14ac:dyDescent="0.25">
      <c r="A2102" s="180">
        <f t="shared" ca="1" si="238"/>
        <v>48174</v>
      </c>
      <c r="B2102" s="181">
        <v>2070</v>
      </c>
      <c r="C2102" s="182" t="e">
        <f t="shared" si="232"/>
        <v>#VALUE!</v>
      </c>
      <c r="D2102" s="182" t="e">
        <f t="shared" si="233"/>
        <v>#VALUE!</v>
      </c>
      <c r="E2102" s="182" t="e">
        <f t="shared" si="234"/>
        <v>#VALUE!</v>
      </c>
      <c r="F2102" s="182" t="e">
        <f>SUM($D$33:D2102)</f>
        <v>#VALUE!</v>
      </c>
      <c r="G2102" s="182">
        <f t="shared" ca="1" si="235"/>
        <v>0</v>
      </c>
      <c r="H2102" s="182" t="e">
        <f t="shared" si="236"/>
        <v>#VALUE!</v>
      </c>
      <c r="I2102" s="183" t="e">
        <f t="shared" si="237"/>
        <v>#VALUE!</v>
      </c>
    </row>
    <row r="2103" spans="1:9" x14ac:dyDescent="0.25">
      <c r="A2103" s="180">
        <f t="shared" ca="1" si="238"/>
        <v>48175</v>
      </c>
      <c r="B2103" s="181">
        <v>2071</v>
      </c>
      <c r="C2103" s="182" t="e">
        <f t="shared" si="232"/>
        <v>#VALUE!</v>
      </c>
      <c r="D2103" s="182" t="e">
        <f t="shared" si="233"/>
        <v>#VALUE!</v>
      </c>
      <c r="E2103" s="182" t="e">
        <f t="shared" si="234"/>
        <v>#VALUE!</v>
      </c>
      <c r="F2103" s="182" t="e">
        <f>SUM($D$33:D2103)</f>
        <v>#VALUE!</v>
      </c>
      <c r="G2103" s="182">
        <f t="shared" ca="1" si="235"/>
        <v>0</v>
      </c>
      <c r="H2103" s="182" t="e">
        <f t="shared" si="236"/>
        <v>#VALUE!</v>
      </c>
      <c r="I2103" s="183" t="e">
        <f t="shared" si="237"/>
        <v>#VALUE!</v>
      </c>
    </row>
    <row r="2104" spans="1:9" x14ac:dyDescent="0.25">
      <c r="A2104" s="180">
        <f t="shared" ca="1" si="238"/>
        <v>48176</v>
      </c>
      <c r="B2104" s="181">
        <v>2072</v>
      </c>
      <c r="C2104" s="182" t="e">
        <f t="shared" si="232"/>
        <v>#VALUE!</v>
      </c>
      <c r="D2104" s="182" t="e">
        <f t="shared" si="233"/>
        <v>#VALUE!</v>
      </c>
      <c r="E2104" s="182" t="e">
        <f t="shared" si="234"/>
        <v>#VALUE!</v>
      </c>
      <c r="F2104" s="182" t="e">
        <f>SUM($D$33:D2104)</f>
        <v>#VALUE!</v>
      </c>
      <c r="G2104" s="182">
        <f t="shared" ca="1" si="235"/>
        <v>0</v>
      </c>
      <c r="H2104" s="182" t="e">
        <f t="shared" si="236"/>
        <v>#VALUE!</v>
      </c>
      <c r="I2104" s="183" t="e">
        <f t="shared" si="237"/>
        <v>#VALUE!</v>
      </c>
    </row>
    <row r="2105" spans="1:9" x14ac:dyDescent="0.25">
      <c r="A2105" s="180">
        <f t="shared" ca="1" si="238"/>
        <v>48177</v>
      </c>
      <c r="B2105" s="181">
        <v>2073</v>
      </c>
      <c r="C2105" s="182" t="e">
        <f t="shared" si="232"/>
        <v>#VALUE!</v>
      </c>
      <c r="D2105" s="182" t="e">
        <f t="shared" si="233"/>
        <v>#VALUE!</v>
      </c>
      <c r="E2105" s="182" t="e">
        <f t="shared" si="234"/>
        <v>#VALUE!</v>
      </c>
      <c r="F2105" s="182" t="e">
        <f>SUM($D$33:D2105)</f>
        <v>#VALUE!</v>
      </c>
      <c r="G2105" s="182">
        <f t="shared" ca="1" si="235"/>
        <v>0</v>
      </c>
      <c r="H2105" s="182" t="e">
        <f t="shared" si="236"/>
        <v>#VALUE!</v>
      </c>
      <c r="I2105" s="183" t="e">
        <f t="shared" si="237"/>
        <v>#VALUE!</v>
      </c>
    </row>
    <row r="2106" spans="1:9" x14ac:dyDescent="0.25">
      <c r="A2106" s="180">
        <f t="shared" ca="1" si="238"/>
        <v>48178</v>
      </c>
      <c r="B2106" s="181">
        <v>2074</v>
      </c>
      <c r="C2106" s="182" t="e">
        <f t="shared" si="232"/>
        <v>#VALUE!</v>
      </c>
      <c r="D2106" s="182" t="e">
        <f t="shared" si="233"/>
        <v>#VALUE!</v>
      </c>
      <c r="E2106" s="182" t="e">
        <f t="shared" si="234"/>
        <v>#VALUE!</v>
      </c>
      <c r="F2106" s="182" t="e">
        <f>SUM($D$33:D2106)</f>
        <v>#VALUE!</v>
      </c>
      <c r="G2106" s="182">
        <f t="shared" ca="1" si="235"/>
        <v>0</v>
      </c>
      <c r="H2106" s="182" t="e">
        <f t="shared" si="236"/>
        <v>#VALUE!</v>
      </c>
      <c r="I2106" s="183" t="e">
        <f t="shared" si="237"/>
        <v>#VALUE!</v>
      </c>
    </row>
    <row r="2107" spans="1:9" x14ac:dyDescent="0.25">
      <c r="A2107" s="180">
        <f t="shared" ca="1" si="238"/>
        <v>48179</v>
      </c>
      <c r="B2107" s="181">
        <v>2075</v>
      </c>
      <c r="C2107" s="182" t="e">
        <f t="shared" si="232"/>
        <v>#VALUE!</v>
      </c>
      <c r="D2107" s="182" t="e">
        <f t="shared" si="233"/>
        <v>#VALUE!</v>
      </c>
      <c r="E2107" s="182" t="e">
        <f t="shared" si="234"/>
        <v>#VALUE!</v>
      </c>
      <c r="F2107" s="182" t="e">
        <f>SUM($D$33:D2107)</f>
        <v>#VALUE!</v>
      </c>
      <c r="G2107" s="182">
        <f t="shared" ca="1" si="235"/>
        <v>0</v>
      </c>
      <c r="H2107" s="182" t="e">
        <f t="shared" si="236"/>
        <v>#VALUE!</v>
      </c>
      <c r="I2107" s="183" t="e">
        <f t="shared" si="237"/>
        <v>#VALUE!</v>
      </c>
    </row>
    <row r="2108" spans="1:9" x14ac:dyDescent="0.25">
      <c r="A2108" s="180">
        <f t="shared" ca="1" si="238"/>
        <v>48180</v>
      </c>
      <c r="B2108" s="181">
        <v>2076</v>
      </c>
      <c r="C2108" s="182" t="e">
        <f t="shared" si="232"/>
        <v>#VALUE!</v>
      </c>
      <c r="D2108" s="182" t="e">
        <f t="shared" si="233"/>
        <v>#VALUE!</v>
      </c>
      <c r="E2108" s="182" t="e">
        <f t="shared" si="234"/>
        <v>#VALUE!</v>
      </c>
      <c r="F2108" s="182" t="e">
        <f>SUM($D$33:D2108)</f>
        <v>#VALUE!</v>
      </c>
      <c r="G2108" s="182">
        <f t="shared" ca="1" si="235"/>
        <v>0</v>
      </c>
      <c r="H2108" s="182" t="e">
        <f t="shared" si="236"/>
        <v>#VALUE!</v>
      </c>
      <c r="I2108" s="183" t="e">
        <f t="shared" si="237"/>
        <v>#VALUE!</v>
      </c>
    </row>
    <row r="2109" spans="1:9" x14ac:dyDescent="0.25">
      <c r="A2109" s="180">
        <f t="shared" ca="1" si="238"/>
        <v>48181</v>
      </c>
      <c r="B2109" s="181">
        <v>2077</v>
      </c>
      <c r="C2109" s="182" t="e">
        <f t="shared" si="232"/>
        <v>#VALUE!</v>
      </c>
      <c r="D2109" s="182" t="e">
        <f t="shared" si="233"/>
        <v>#VALUE!</v>
      </c>
      <c r="E2109" s="182" t="e">
        <f t="shared" si="234"/>
        <v>#VALUE!</v>
      </c>
      <c r="F2109" s="182" t="e">
        <f>SUM($D$33:D2109)</f>
        <v>#VALUE!</v>
      </c>
      <c r="G2109" s="182">
        <f t="shared" ca="1" si="235"/>
        <v>0</v>
      </c>
      <c r="H2109" s="182" t="e">
        <f t="shared" si="236"/>
        <v>#VALUE!</v>
      </c>
      <c r="I2109" s="183" t="e">
        <f t="shared" si="237"/>
        <v>#VALUE!</v>
      </c>
    </row>
    <row r="2110" spans="1:9" x14ac:dyDescent="0.25">
      <c r="A2110" s="180">
        <f t="shared" ca="1" si="238"/>
        <v>48182</v>
      </c>
      <c r="B2110" s="181">
        <v>2078</v>
      </c>
      <c r="C2110" s="182" t="e">
        <f t="shared" si="232"/>
        <v>#VALUE!</v>
      </c>
      <c r="D2110" s="182" t="e">
        <f t="shared" si="233"/>
        <v>#VALUE!</v>
      </c>
      <c r="E2110" s="182" t="e">
        <f t="shared" si="234"/>
        <v>#VALUE!</v>
      </c>
      <c r="F2110" s="182" t="e">
        <f>SUM($D$33:D2110)</f>
        <v>#VALUE!</v>
      </c>
      <c r="G2110" s="182">
        <f t="shared" ca="1" si="235"/>
        <v>0</v>
      </c>
      <c r="H2110" s="182" t="e">
        <f t="shared" si="236"/>
        <v>#VALUE!</v>
      </c>
      <c r="I2110" s="183" t="e">
        <f t="shared" si="237"/>
        <v>#VALUE!</v>
      </c>
    </row>
    <row r="2111" spans="1:9" x14ac:dyDescent="0.25">
      <c r="A2111" s="180">
        <f t="shared" ca="1" si="238"/>
        <v>48183</v>
      </c>
      <c r="B2111" s="181">
        <v>2079</v>
      </c>
      <c r="C2111" s="182" t="e">
        <f t="shared" si="232"/>
        <v>#VALUE!</v>
      </c>
      <c r="D2111" s="182" t="e">
        <f t="shared" si="233"/>
        <v>#VALUE!</v>
      </c>
      <c r="E2111" s="182" t="e">
        <f t="shared" si="234"/>
        <v>#VALUE!</v>
      </c>
      <c r="F2111" s="182" t="e">
        <f>SUM($D$33:D2111)</f>
        <v>#VALUE!</v>
      </c>
      <c r="G2111" s="182">
        <f t="shared" ca="1" si="235"/>
        <v>0</v>
      </c>
      <c r="H2111" s="182" t="e">
        <f t="shared" si="236"/>
        <v>#VALUE!</v>
      </c>
      <c r="I2111" s="183" t="e">
        <f t="shared" si="237"/>
        <v>#VALUE!</v>
      </c>
    </row>
    <row r="2112" spans="1:9" x14ac:dyDescent="0.25">
      <c r="A2112" s="180">
        <f t="shared" ca="1" si="238"/>
        <v>48184</v>
      </c>
      <c r="B2112" s="181">
        <v>2080</v>
      </c>
      <c r="C2112" s="182" t="e">
        <f t="shared" si="232"/>
        <v>#VALUE!</v>
      </c>
      <c r="D2112" s="182" t="e">
        <f t="shared" si="233"/>
        <v>#VALUE!</v>
      </c>
      <c r="E2112" s="182" t="e">
        <f t="shared" si="234"/>
        <v>#VALUE!</v>
      </c>
      <c r="F2112" s="182" t="e">
        <f>SUM($D$33:D2112)</f>
        <v>#VALUE!</v>
      </c>
      <c r="G2112" s="182">
        <f t="shared" ca="1" si="235"/>
        <v>0</v>
      </c>
      <c r="H2112" s="182" t="e">
        <f t="shared" si="236"/>
        <v>#VALUE!</v>
      </c>
      <c r="I2112" s="183" t="e">
        <f t="shared" si="237"/>
        <v>#VALUE!</v>
      </c>
    </row>
    <row r="2113" spans="1:9" x14ac:dyDescent="0.25">
      <c r="A2113" s="180">
        <f t="shared" ca="1" si="238"/>
        <v>48185</v>
      </c>
      <c r="B2113" s="181">
        <v>2081</v>
      </c>
      <c r="C2113" s="182" t="e">
        <f t="shared" si="232"/>
        <v>#VALUE!</v>
      </c>
      <c r="D2113" s="182" t="e">
        <f t="shared" si="233"/>
        <v>#VALUE!</v>
      </c>
      <c r="E2113" s="182" t="e">
        <f t="shared" si="234"/>
        <v>#VALUE!</v>
      </c>
      <c r="F2113" s="182" t="e">
        <f>SUM($D$33:D2113)</f>
        <v>#VALUE!</v>
      </c>
      <c r="G2113" s="182">
        <f t="shared" ca="1" si="235"/>
        <v>0</v>
      </c>
      <c r="H2113" s="182" t="e">
        <f t="shared" si="236"/>
        <v>#VALUE!</v>
      </c>
      <c r="I2113" s="183" t="e">
        <f t="shared" si="237"/>
        <v>#VALUE!</v>
      </c>
    </row>
    <row r="2114" spans="1:9" x14ac:dyDescent="0.25">
      <c r="A2114" s="180">
        <f t="shared" ca="1" si="238"/>
        <v>48186</v>
      </c>
      <c r="B2114" s="181">
        <v>2082</v>
      </c>
      <c r="C2114" s="182" t="e">
        <f t="shared" si="232"/>
        <v>#VALUE!</v>
      </c>
      <c r="D2114" s="182" t="e">
        <f t="shared" si="233"/>
        <v>#VALUE!</v>
      </c>
      <c r="E2114" s="182" t="e">
        <f t="shared" si="234"/>
        <v>#VALUE!</v>
      </c>
      <c r="F2114" s="182" t="e">
        <f>SUM($D$33:D2114)</f>
        <v>#VALUE!</v>
      </c>
      <c r="G2114" s="182">
        <f t="shared" ca="1" si="235"/>
        <v>0</v>
      </c>
      <c r="H2114" s="182" t="e">
        <f t="shared" si="236"/>
        <v>#VALUE!</v>
      </c>
      <c r="I2114" s="183" t="e">
        <f t="shared" si="237"/>
        <v>#VALUE!</v>
      </c>
    </row>
    <row r="2115" spans="1:9" x14ac:dyDescent="0.25">
      <c r="A2115" s="180">
        <f t="shared" ca="1" si="238"/>
        <v>48187</v>
      </c>
      <c r="B2115" s="181">
        <v>2083</v>
      </c>
      <c r="C2115" s="182" t="e">
        <f t="shared" si="232"/>
        <v>#VALUE!</v>
      </c>
      <c r="D2115" s="182" t="e">
        <f t="shared" si="233"/>
        <v>#VALUE!</v>
      </c>
      <c r="E2115" s="182" t="e">
        <f t="shared" si="234"/>
        <v>#VALUE!</v>
      </c>
      <c r="F2115" s="182" t="e">
        <f>SUM($D$33:D2115)</f>
        <v>#VALUE!</v>
      </c>
      <c r="G2115" s="182">
        <f t="shared" ca="1" si="235"/>
        <v>0</v>
      </c>
      <c r="H2115" s="182" t="e">
        <f t="shared" si="236"/>
        <v>#VALUE!</v>
      </c>
      <c r="I2115" s="183" t="e">
        <f t="shared" si="237"/>
        <v>#VALUE!</v>
      </c>
    </row>
    <row r="2116" spans="1:9" x14ac:dyDescent="0.25">
      <c r="A2116" s="180">
        <f t="shared" ca="1" si="238"/>
        <v>48188</v>
      </c>
      <c r="B2116" s="181">
        <v>2084</v>
      </c>
      <c r="C2116" s="182" t="e">
        <f t="shared" si="232"/>
        <v>#VALUE!</v>
      </c>
      <c r="D2116" s="182" t="e">
        <f t="shared" si="233"/>
        <v>#VALUE!</v>
      </c>
      <c r="E2116" s="182" t="e">
        <f t="shared" si="234"/>
        <v>#VALUE!</v>
      </c>
      <c r="F2116" s="182" t="e">
        <f>SUM($D$33:D2116)</f>
        <v>#VALUE!</v>
      </c>
      <c r="G2116" s="182">
        <f t="shared" ca="1" si="235"/>
        <v>0</v>
      </c>
      <c r="H2116" s="182" t="e">
        <f t="shared" si="236"/>
        <v>#VALUE!</v>
      </c>
      <c r="I2116" s="183" t="e">
        <f t="shared" si="237"/>
        <v>#VALUE!</v>
      </c>
    </row>
    <row r="2117" spans="1:9" x14ac:dyDescent="0.25">
      <c r="A2117" s="180">
        <f t="shared" ca="1" si="238"/>
        <v>48189</v>
      </c>
      <c r="B2117" s="181">
        <v>2085</v>
      </c>
      <c r="C2117" s="182" t="e">
        <f t="shared" si="232"/>
        <v>#VALUE!</v>
      </c>
      <c r="D2117" s="182" t="e">
        <f t="shared" si="233"/>
        <v>#VALUE!</v>
      </c>
      <c r="E2117" s="182" t="e">
        <f t="shared" si="234"/>
        <v>#VALUE!</v>
      </c>
      <c r="F2117" s="182" t="e">
        <f>SUM($D$33:D2117)</f>
        <v>#VALUE!</v>
      </c>
      <c r="G2117" s="182">
        <f t="shared" ca="1" si="235"/>
        <v>0</v>
      </c>
      <c r="H2117" s="182" t="e">
        <f t="shared" si="236"/>
        <v>#VALUE!</v>
      </c>
      <c r="I2117" s="183" t="e">
        <f t="shared" si="237"/>
        <v>#VALUE!</v>
      </c>
    </row>
    <row r="2118" spans="1:9" x14ac:dyDescent="0.25">
      <c r="A2118" s="180">
        <f t="shared" ca="1" si="238"/>
        <v>48190</v>
      </c>
      <c r="B2118" s="181">
        <v>2086</v>
      </c>
      <c r="C2118" s="182" t="e">
        <f t="shared" si="232"/>
        <v>#VALUE!</v>
      </c>
      <c r="D2118" s="182" t="e">
        <f t="shared" si="233"/>
        <v>#VALUE!</v>
      </c>
      <c r="E2118" s="182" t="e">
        <f t="shared" si="234"/>
        <v>#VALUE!</v>
      </c>
      <c r="F2118" s="182" t="e">
        <f>SUM($D$33:D2118)</f>
        <v>#VALUE!</v>
      </c>
      <c r="G2118" s="182">
        <f t="shared" ca="1" si="235"/>
        <v>0</v>
      </c>
      <c r="H2118" s="182" t="e">
        <f t="shared" si="236"/>
        <v>#VALUE!</v>
      </c>
      <c r="I2118" s="183" t="e">
        <f t="shared" si="237"/>
        <v>#VALUE!</v>
      </c>
    </row>
    <row r="2119" spans="1:9" x14ac:dyDescent="0.25">
      <c r="A2119" s="180">
        <f t="shared" ca="1" si="238"/>
        <v>48191</v>
      </c>
      <c r="B2119" s="181">
        <v>2087</v>
      </c>
      <c r="C2119" s="182" t="e">
        <f t="shared" si="232"/>
        <v>#VALUE!</v>
      </c>
      <c r="D2119" s="182" t="e">
        <f t="shared" si="233"/>
        <v>#VALUE!</v>
      </c>
      <c r="E2119" s="182" t="e">
        <f t="shared" si="234"/>
        <v>#VALUE!</v>
      </c>
      <c r="F2119" s="182" t="e">
        <f>SUM($D$33:D2119)</f>
        <v>#VALUE!</v>
      </c>
      <c r="G2119" s="182">
        <f t="shared" ca="1" si="235"/>
        <v>0</v>
      </c>
      <c r="H2119" s="182" t="e">
        <f t="shared" si="236"/>
        <v>#VALUE!</v>
      </c>
      <c r="I2119" s="183" t="e">
        <f t="shared" si="237"/>
        <v>#VALUE!</v>
      </c>
    </row>
    <row r="2120" spans="1:9" x14ac:dyDescent="0.25">
      <c r="A2120" s="180">
        <f t="shared" ca="1" si="238"/>
        <v>48192</v>
      </c>
      <c r="B2120" s="181">
        <v>2088</v>
      </c>
      <c r="C2120" s="182" t="e">
        <f t="shared" si="232"/>
        <v>#VALUE!</v>
      </c>
      <c r="D2120" s="182" t="e">
        <f t="shared" si="233"/>
        <v>#VALUE!</v>
      </c>
      <c r="E2120" s="182" t="e">
        <f t="shared" si="234"/>
        <v>#VALUE!</v>
      </c>
      <c r="F2120" s="182" t="e">
        <f>SUM($D$33:D2120)</f>
        <v>#VALUE!</v>
      </c>
      <c r="G2120" s="182">
        <f t="shared" ca="1" si="235"/>
        <v>0</v>
      </c>
      <c r="H2120" s="182" t="e">
        <f t="shared" si="236"/>
        <v>#VALUE!</v>
      </c>
      <c r="I2120" s="183" t="e">
        <f t="shared" si="237"/>
        <v>#VALUE!</v>
      </c>
    </row>
    <row r="2121" spans="1:9" x14ac:dyDescent="0.25">
      <c r="A2121" s="180">
        <f t="shared" ca="1" si="238"/>
        <v>48193</v>
      </c>
      <c r="B2121" s="181">
        <v>2089</v>
      </c>
      <c r="C2121" s="182" t="e">
        <f t="shared" si="232"/>
        <v>#VALUE!</v>
      </c>
      <c r="D2121" s="182" t="e">
        <f t="shared" si="233"/>
        <v>#VALUE!</v>
      </c>
      <c r="E2121" s="182" t="e">
        <f t="shared" si="234"/>
        <v>#VALUE!</v>
      </c>
      <c r="F2121" s="182" t="e">
        <f>SUM($D$33:D2121)</f>
        <v>#VALUE!</v>
      </c>
      <c r="G2121" s="182">
        <f t="shared" ca="1" si="235"/>
        <v>0</v>
      </c>
      <c r="H2121" s="182" t="e">
        <f t="shared" si="236"/>
        <v>#VALUE!</v>
      </c>
      <c r="I2121" s="183" t="e">
        <f t="shared" si="237"/>
        <v>#VALUE!</v>
      </c>
    </row>
    <row r="2122" spans="1:9" x14ac:dyDescent="0.25">
      <c r="A2122" s="180">
        <f t="shared" ca="1" si="238"/>
        <v>48194</v>
      </c>
      <c r="B2122" s="181">
        <v>2090</v>
      </c>
      <c r="C2122" s="182" t="e">
        <f t="shared" si="232"/>
        <v>#VALUE!</v>
      </c>
      <c r="D2122" s="182" t="e">
        <f t="shared" si="233"/>
        <v>#VALUE!</v>
      </c>
      <c r="E2122" s="182" t="e">
        <f t="shared" si="234"/>
        <v>#VALUE!</v>
      </c>
      <c r="F2122" s="182" t="e">
        <f>SUM($D$33:D2122)</f>
        <v>#VALUE!</v>
      </c>
      <c r="G2122" s="182">
        <f t="shared" ca="1" si="235"/>
        <v>0</v>
      </c>
      <c r="H2122" s="182" t="e">
        <f t="shared" si="236"/>
        <v>#VALUE!</v>
      </c>
      <c r="I2122" s="183" t="e">
        <f t="shared" si="237"/>
        <v>#VALUE!</v>
      </c>
    </row>
    <row r="2123" spans="1:9" x14ac:dyDescent="0.25">
      <c r="A2123" s="180">
        <f t="shared" ca="1" si="238"/>
        <v>48195</v>
      </c>
      <c r="B2123" s="181">
        <v>2091</v>
      </c>
      <c r="C2123" s="182" t="e">
        <f t="shared" si="232"/>
        <v>#VALUE!</v>
      </c>
      <c r="D2123" s="182" t="e">
        <f t="shared" si="233"/>
        <v>#VALUE!</v>
      </c>
      <c r="E2123" s="182" t="e">
        <f t="shared" si="234"/>
        <v>#VALUE!</v>
      </c>
      <c r="F2123" s="182" t="e">
        <f>SUM($D$33:D2123)</f>
        <v>#VALUE!</v>
      </c>
      <c r="G2123" s="182">
        <f t="shared" ca="1" si="235"/>
        <v>0</v>
      </c>
      <c r="H2123" s="182" t="e">
        <f t="shared" si="236"/>
        <v>#VALUE!</v>
      </c>
      <c r="I2123" s="183" t="e">
        <f t="shared" si="237"/>
        <v>#VALUE!</v>
      </c>
    </row>
    <row r="2124" spans="1:9" x14ac:dyDescent="0.25">
      <c r="A2124" s="180">
        <f t="shared" ca="1" si="238"/>
        <v>48196</v>
      </c>
      <c r="B2124" s="181">
        <v>2092</v>
      </c>
      <c r="C2124" s="182" t="e">
        <f t="shared" si="232"/>
        <v>#VALUE!</v>
      </c>
      <c r="D2124" s="182" t="e">
        <f t="shared" si="233"/>
        <v>#VALUE!</v>
      </c>
      <c r="E2124" s="182" t="e">
        <f t="shared" si="234"/>
        <v>#VALUE!</v>
      </c>
      <c r="F2124" s="182" t="e">
        <f>SUM($D$33:D2124)</f>
        <v>#VALUE!</v>
      </c>
      <c r="G2124" s="182">
        <f t="shared" ca="1" si="235"/>
        <v>0</v>
      </c>
      <c r="H2124" s="182" t="e">
        <f t="shared" si="236"/>
        <v>#VALUE!</v>
      </c>
      <c r="I2124" s="183" t="e">
        <f t="shared" si="237"/>
        <v>#VALUE!</v>
      </c>
    </row>
    <row r="2125" spans="1:9" x14ac:dyDescent="0.25">
      <c r="A2125" s="180">
        <f t="shared" ca="1" si="238"/>
        <v>48197</v>
      </c>
      <c r="B2125" s="181">
        <v>2093</v>
      </c>
      <c r="C2125" s="182" t="e">
        <f t="shared" si="232"/>
        <v>#VALUE!</v>
      </c>
      <c r="D2125" s="182" t="e">
        <f t="shared" si="233"/>
        <v>#VALUE!</v>
      </c>
      <c r="E2125" s="182" t="e">
        <f t="shared" si="234"/>
        <v>#VALUE!</v>
      </c>
      <c r="F2125" s="182" t="e">
        <f>SUM($D$33:D2125)</f>
        <v>#VALUE!</v>
      </c>
      <c r="G2125" s="182">
        <f t="shared" ca="1" si="235"/>
        <v>0</v>
      </c>
      <c r="H2125" s="182" t="e">
        <f t="shared" si="236"/>
        <v>#VALUE!</v>
      </c>
      <c r="I2125" s="183" t="e">
        <f t="shared" si="237"/>
        <v>#VALUE!</v>
      </c>
    </row>
    <row r="2126" spans="1:9" x14ac:dyDescent="0.25">
      <c r="A2126" s="180">
        <f t="shared" ca="1" si="238"/>
        <v>48198</v>
      </c>
      <c r="B2126" s="181">
        <v>2094</v>
      </c>
      <c r="C2126" s="182" t="e">
        <f t="shared" si="232"/>
        <v>#VALUE!</v>
      </c>
      <c r="D2126" s="182" t="e">
        <f t="shared" si="233"/>
        <v>#VALUE!</v>
      </c>
      <c r="E2126" s="182" t="e">
        <f t="shared" si="234"/>
        <v>#VALUE!</v>
      </c>
      <c r="F2126" s="182" t="e">
        <f>SUM($D$33:D2126)</f>
        <v>#VALUE!</v>
      </c>
      <c r="G2126" s="182">
        <f t="shared" ca="1" si="235"/>
        <v>0</v>
      </c>
      <c r="H2126" s="182" t="e">
        <f t="shared" si="236"/>
        <v>#VALUE!</v>
      </c>
      <c r="I2126" s="183" t="e">
        <f t="shared" si="237"/>
        <v>#VALUE!</v>
      </c>
    </row>
    <row r="2127" spans="1:9" x14ac:dyDescent="0.25">
      <c r="A2127" s="180">
        <f t="shared" ca="1" si="238"/>
        <v>48199</v>
      </c>
      <c r="B2127" s="181">
        <v>2095</v>
      </c>
      <c r="C2127" s="182" t="e">
        <f t="shared" si="232"/>
        <v>#VALUE!</v>
      </c>
      <c r="D2127" s="182" t="e">
        <f t="shared" si="233"/>
        <v>#VALUE!</v>
      </c>
      <c r="E2127" s="182" t="e">
        <f t="shared" si="234"/>
        <v>#VALUE!</v>
      </c>
      <c r="F2127" s="182" t="e">
        <f>SUM($D$33:D2127)</f>
        <v>#VALUE!</v>
      </c>
      <c r="G2127" s="182">
        <f t="shared" ca="1" si="235"/>
        <v>0</v>
      </c>
      <c r="H2127" s="182" t="e">
        <f t="shared" si="236"/>
        <v>#VALUE!</v>
      </c>
      <c r="I2127" s="183" t="e">
        <f t="shared" si="237"/>
        <v>#VALUE!</v>
      </c>
    </row>
    <row r="2128" spans="1:9" x14ac:dyDescent="0.25">
      <c r="A2128" s="180">
        <f t="shared" ca="1" si="238"/>
        <v>48200</v>
      </c>
      <c r="B2128" s="181">
        <v>2096</v>
      </c>
      <c r="C2128" s="182" t="e">
        <f t="shared" ref="C2128:C2180" si="239">H2127</f>
        <v>#VALUE!</v>
      </c>
      <c r="D2128" s="182" t="e">
        <f t="shared" ref="D2128:D2180" si="240">IF(C2128&gt;$H$21,C2128*($L$16/360),$H$21*($L$16/360))</f>
        <v>#VALUE!</v>
      </c>
      <c r="E2128" s="182" t="e">
        <f t="shared" ref="E2128:E2180" si="241">IF(E2127&gt;0,E2127-D2128,0)</f>
        <v>#VALUE!</v>
      </c>
      <c r="F2128" s="182" t="e">
        <f>SUM($D$33:D2128)</f>
        <v>#VALUE!</v>
      </c>
      <c r="G2128" s="182">
        <f t="shared" ref="G2128:G2180" ca="1" si="242">IFERROR(-VLOOKUP(A2128,$K$30:$M$36,2,FALSE),0)</f>
        <v>0</v>
      </c>
      <c r="H2128" s="182" t="e">
        <f t="shared" ref="H2128:H2180" si="243">IF(E2128&gt;0,C2128+G2128,IF(E2128&lt;0,C2128+G2128+D2128-E2127,C2128+D2128+G2128))</f>
        <v>#VALUE!</v>
      </c>
      <c r="I2128" s="183" t="e">
        <f t="shared" ref="I2128:I2180" si="244">(C2128+D2128-E2128)</f>
        <v>#VALUE!</v>
      </c>
    </row>
    <row r="2129" spans="1:9" x14ac:dyDescent="0.25">
      <c r="A2129" s="180">
        <f t="shared" ca="1" si="238"/>
        <v>48201</v>
      </c>
      <c r="B2129" s="181">
        <v>2097</v>
      </c>
      <c r="C2129" s="182" t="e">
        <f t="shared" si="239"/>
        <v>#VALUE!</v>
      </c>
      <c r="D2129" s="182" t="e">
        <f t="shared" si="240"/>
        <v>#VALUE!</v>
      </c>
      <c r="E2129" s="182" t="e">
        <f t="shared" si="241"/>
        <v>#VALUE!</v>
      </c>
      <c r="F2129" s="182" t="e">
        <f>SUM($D$33:D2129)</f>
        <v>#VALUE!</v>
      </c>
      <c r="G2129" s="182">
        <f t="shared" ca="1" si="242"/>
        <v>0</v>
      </c>
      <c r="H2129" s="182" t="e">
        <f t="shared" si="243"/>
        <v>#VALUE!</v>
      </c>
      <c r="I2129" s="183" t="e">
        <f t="shared" si="244"/>
        <v>#VALUE!</v>
      </c>
    </row>
    <row r="2130" spans="1:9" x14ac:dyDescent="0.25">
      <c r="A2130" s="180">
        <f t="shared" ca="1" si="238"/>
        <v>48202</v>
      </c>
      <c r="B2130" s="181">
        <v>2098</v>
      </c>
      <c r="C2130" s="182" t="e">
        <f t="shared" si="239"/>
        <v>#VALUE!</v>
      </c>
      <c r="D2130" s="182" t="e">
        <f t="shared" si="240"/>
        <v>#VALUE!</v>
      </c>
      <c r="E2130" s="182" t="e">
        <f t="shared" si="241"/>
        <v>#VALUE!</v>
      </c>
      <c r="F2130" s="182" t="e">
        <f>SUM($D$33:D2130)</f>
        <v>#VALUE!</v>
      </c>
      <c r="G2130" s="182">
        <f t="shared" ca="1" si="242"/>
        <v>0</v>
      </c>
      <c r="H2130" s="182" t="e">
        <f t="shared" si="243"/>
        <v>#VALUE!</v>
      </c>
      <c r="I2130" s="183" t="e">
        <f t="shared" si="244"/>
        <v>#VALUE!</v>
      </c>
    </row>
    <row r="2131" spans="1:9" x14ac:dyDescent="0.25">
      <c r="A2131" s="180">
        <f t="shared" ca="1" si="238"/>
        <v>48203</v>
      </c>
      <c r="B2131" s="181">
        <v>2099</v>
      </c>
      <c r="C2131" s="182" t="e">
        <f t="shared" si="239"/>
        <v>#VALUE!</v>
      </c>
      <c r="D2131" s="182" t="e">
        <f t="shared" si="240"/>
        <v>#VALUE!</v>
      </c>
      <c r="E2131" s="182" t="e">
        <f t="shared" si="241"/>
        <v>#VALUE!</v>
      </c>
      <c r="F2131" s="182" t="e">
        <f>SUM($D$33:D2131)</f>
        <v>#VALUE!</v>
      </c>
      <c r="G2131" s="182">
        <f t="shared" ca="1" si="242"/>
        <v>0</v>
      </c>
      <c r="H2131" s="182" t="e">
        <f t="shared" si="243"/>
        <v>#VALUE!</v>
      </c>
      <c r="I2131" s="183" t="e">
        <f t="shared" si="244"/>
        <v>#VALUE!</v>
      </c>
    </row>
    <row r="2132" spans="1:9" x14ac:dyDescent="0.25">
      <c r="A2132" s="180">
        <f t="shared" ca="1" si="238"/>
        <v>48204</v>
      </c>
      <c r="B2132" s="181">
        <v>2100</v>
      </c>
      <c r="C2132" s="182" t="e">
        <f t="shared" si="239"/>
        <v>#VALUE!</v>
      </c>
      <c r="D2132" s="182" t="e">
        <f t="shared" si="240"/>
        <v>#VALUE!</v>
      </c>
      <c r="E2132" s="182" t="e">
        <f t="shared" si="241"/>
        <v>#VALUE!</v>
      </c>
      <c r="F2132" s="182" t="e">
        <f>SUM($D$33:D2132)</f>
        <v>#VALUE!</v>
      </c>
      <c r="G2132" s="182">
        <f t="shared" ca="1" si="242"/>
        <v>0</v>
      </c>
      <c r="H2132" s="182" t="e">
        <f t="shared" si="243"/>
        <v>#VALUE!</v>
      </c>
      <c r="I2132" s="183" t="e">
        <f t="shared" si="244"/>
        <v>#VALUE!</v>
      </c>
    </row>
    <row r="2133" spans="1:9" x14ac:dyDescent="0.25">
      <c r="A2133" s="180">
        <f t="shared" ca="1" si="238"/>
        <v>48205</v>
      </c>
      <c r="B2133" s="181">
        <v>2101</v>
      </c>
      <c r="C2133" s="182" t="e">
        <f t="shared" si="239"/>
        <v>#VALUE!</v>
      </c>
      <c r="D2133" s="182" t="e">
        <f t="shared" si="240"/>
        <v>#VALUE!</v>
      </c>
      <c r="E2133" s="182" t="e">
        <f t="shared" si="241"/>
        <v>#VALUE!</v>
      </c>
      <c r="F2133" s="182" t="e">
        <f>SUM($D$33:D2133)</f>
        <v>#VALUE!</v>
      </c>
      <c r="G2133" s="182">
        <f t="shared" ca="1" si="242"/>
        <v>0</v>
      </c>
      <c r="H2133" s="182" t="e">
        <f t="shared" si="243"/>
        <v>#VALUE!</v>
      </c>
      <c r="I2133" s="183" t="e">
        <f t="shared" si="244"/>
        <v>#VALUE!</v>
      </c>
    </row>
    <row r="2134" spans="1:9" x14ac:dyDescent="0.25">
      <c r="A2134" s="180">
        <f t="shared" ca="1" si="238"/>
        <v>48206</v>
      </c>
      <c r="B2134" s="181">
        <v>2102</v>
      </c>
      <c r="C2134" s="182" t="e">
        <f t="shared" si="239"/>
        <v>#VALUE!</v>
      </c>
      <c r="D2134" s="182" t="e">
        <f t="shared" si="240"/>
        <v>#VALUE!</v>
      </c>
      <c r="E2134" s="182" t="e">
        <f t="shared" si="241"/>
        <v>#VALUE!</v>
      </c>
      <c r="F2134" s="182" t="e">
        <f>SUM($D$33:D2134)</f>
        <v>#VALUE!</v>
      </c>
      <c r="G2134" s="182">
        <f t="shared" ca="1" si="242"/>
        <v>0</v>
      </c>
      <c r="H2134" s="182" t="e">
        <f t="shared" si="243"/>
        <v>#VALUE!</v>
      </c>
      <c r="I2134" s="183" t="e">
        <f t="shared" si="244"/>
        <v>#VALUE!</v>
      </c>
    </row>
    <row r="2135" spans="1:9" x14ac:dyDescent="0.25">
      <c r="A2135" s="180">
        <f t="shared" ca="1" si="238"/>
        <v>48207</v>
      </c>
      <c r="B2135" s="181">
        <v>2103</v>
      </c>
      <c r="C2135" s="182" t="e">
        <f t="shared" si="239"/>
        <v>#VALUE!</v>
      </c>
      <c r="D2135" s="182" t="e">
        <f t="shared" si="240"/>
        <v>#VALUE!</v>
      </c>
      <c r="E2135" s="182" t="e">
        <f t="shared" si="241"/>
        <v>#VALUE!</v>
      </c>
      <c r="F2135" s="182" t="e">
        <f>SUM($D$33:D2135)</f>
        <v>#VALUE!</v>
      </c>
      <c r="G2135" s="182">
        <f t="shared" ca="1" si="242"/>
        <v>0</v>
      </c>
      <c r="H2135" s="182" t="e">
        <f t="shared" si="243"/>
        <v>#VALUE!</v>
      </c>
      <c r="I2135" s="183" t="e">
        <f t="shared" si="244"/>
        <v>#VALUE!</v>
      </c>
    </row>
    <row r="2136" spans="1:9" x14ac:dyDescent="0.25">
      <c r="A2136" s="180">
        <f t="shared" ca="1" si="238"/>
        <v>48208</v>
      </c>
      <c r="B2136" s="181">
        <v>2104</v>
      </c>
      <c r="C2136" s="182" t="e">
        <f t="shared" si="239"/>
        <v>#VALUE!</v>
      </c>
      <c r="D2136" s="182" t="e">
        <f t="shared" si="240"/>
        <v>#VALUE!</v>
      </c>
      <c r="E2136" s="182" t="e">
        <f t="shared" si="241"/>
        <v>#VALUE!</v>
      </c>
      <c r="F2136" s="182" t="e">
        <f>SUM($D$33:D2136)</f>
        <v>#VALUE!</v>
      </c>
      <c r="G2136" s="182">
        <f t="shared" ca="1" si="242"/>
        <v>0</v>
      </c>
      <c r="H2136" s="182" t="e">
        <f t="shared" si="243"/>
        <v>#VALUE!</v>
      </c>
      <c r="I2136" s="183" t="e">
        <f t="shared" si="244"/>
        <v>#VALUE!</v>
      </c>
    </row>
    <row r="2137" spans="1:9" x14ac:dyDescent="0.25">
      <c r="A2137" s="180">
        <f t="shared" ca="1" si="238"/>
        <v>48209</v>
      </c>
      <c r="B2137" s="181">
        <v>2105</v>
      </c>
      <c r="C2137" s="182" t="e">
        <f t="shared" si="239"/>
        <v>#VALUE!</v>
      </c>
      <c r="D2137" s="182" t="e">
        <f t="shared" si="240"/>
        <v>#VALUE!</v>
      </c>
      <c r="E2137" s="182" t="e">
        <f t="shared" si="241"/>
        <v>#VALUE!</v>
      </c>
      <c r="F2137" s="182" t="e">
        <f>SUM($D$33:D2137)</f>
        <v>#VALUE!</v>
      </c>
      <c r="G2137" s="182">
        <f t="shared" ca="1" si="242"/>
        <v>0</v>
      </c>
      <c r="H2137" s="182" t="e">
        <f t="shared" si="243"/>
        <v>#VALUE!</v>
      </c>
      <c r="I2137" s="183" t="e">
        <f t="shared" si="244"/>
        <v>#VALUE!</v>
      </c>
    </row>
    <row r="2138" spans="1:9" x14ac:dyDescent="0.25">
      <c r="A2138" s="180">
        <f t="shared" ca="1" si="238"/>
        <v>48210</v>
      </c>
      <c r="B2138" s="181">
        <v>2106</v>
      </c>
      <c r="C2138" s="182" t="e">
        <f t="shared" si="239"/>
        <v>#VALUE!</v>
      </c>
      <c r="D2138" s="182" t="e">
        <f t="shared" si="240"/>
        <v>#VALUE!</v>
      </c>
      <c r="E2138" s="182" t="e">
        <f t="shared" si="241"/>
        <v>#VALUE!</v>
      </c>
      <c r="F2138" s="182" t="e">
        <f>SUM($D$33:D2138)</f>
        <v>#VALUE!</v>
      </c>
      <c r="G2138" s="182">
        <f t="shared" ca="1" si="242"/>
        <v>0</v>
      </c>
      <c r="H2138" s="182" t="e">
        <f t="shared" si="243"/>
        <v>#VALUE!</v>
      </c>
      <c r="I2138" s="183" t="e">
        <f t="shared" si="244"/>
        <v>#VALUE!</v>
      </c>
    </row>
    <row r="2139" spans="1:9" x14ac:dyDescent="0.25">
      <c r="A2139" s="180">
        <f t="shared" ca="1" si="238"/>
        <v>48211</v>
      </c>
      <c r="B2139" s="181">
        <v>2107</v>
      </c>
      <c r="C2139" s="182" t="e">
        <f t="shared" si="239"/>
        <v>#VALUE!</v>
      </c>
      <c r="D2139" s="182" t="e">
        <f t="shared" si="240"/>
        <v>#VALUE!</v>
      </c>
      <c r="E2139" s="182" t="e">
        <f t="shared" si="241"/>
        <v>#VALUE!</v>
      </c>
      <c r="F2139" s="182" t="e">
        <f>SUM($D$33:D2139)</f>
        <v>#VALUE!</v>
      </c>
      <c r="G2139" s="182">
        <f t="shared" ca="1" si="242"/>
        <v>0</v>
      </c>
      <c r="H2139" s="182" t="e">
        <f t="shared" si="243"/>
        <v>#VALUE!</v>
      </c>
      <c r="I2139" s="183" t="e">
        <f t="shared" si="244"/>
        <v>#VALUE!</v>
      </c>
    </row>
    <row r="2140" spans="1:9" x14ac:dyDescent="0.25">
      <c r="A2140" s="180">
        <f t="shared" ca="1" si="238"/>
        <v>48212</v>
      </c>
      <c r="B2140" s="181">
        <v>2108</v>
      </c>
      <c r="C2140" s="182" t="e">
        <f t="shared" si="239"/>
        <v>#VALUE!</v>
      </c>
      <c r="D2140" s="182" t="e">
        <f t="shared" si="240"/>
        <v>#VALUE!</v>
      </c>
      <c r="E2140" s="182" t="e">
        <f t="shared" si="241"/>
        <v>#VALUE!</v>
      </c>
      <c r="F2140" s="182" t="e">
        <f>SUM($D$33:D2140)</f>
        <v>#VALUE!</v>
      </c>
      <c r="G2140" s="182">
        <f t="shared" ca="1" si="242"/>
        <v>0</v>
      </c>
      <c r="H2140" s="182" t="e">
        <f t="shared" si="243"/>
        <v>#VALUE!</v>
      </c>
      <c r="I2140" s="183" t="e">
        <f t="shared" si="244"/>
        <v>#VALUE!</v>
      </c>
    </row>
    <row r="2141" spans="1:9" x14ac:dyDescent="0.25">
      <c r="A2141" s="180">
        <f t="shared" ca="1" si="238"/>
        <v>48213</v>
      </c>
      <c r="B2141" s="181">
        <v>2109</v>
      </c>
      <c r="C2141" s="182" t="e">
        <f t="shared" si="239"/>
        <v>#VALUE!</v>
      </c>
      <c r="D2141" s="182" t="e">
        <f t="shared" si="240"/>
        <v>#VALUE!</v>
      </c>
      <c r="E2141" s="182" t="e">
        <f t="shared" si="241"/>
        <v>#VALUE!</v>
      </c>
      <c r="F2141" s="182" t="e">
        <f>SUM($D$33:D2141)</f>
        <v>#VALUE!</v>
      </c>
      <c r="G2141" s="182">
        <f t="shared" ca="1" si="242"/>
        <v>0</v>
      </c>
      <c r="H2141" s="182" t="e">
        <f t="shared" si="243"/>
        <v>#VALUE!</v>
      </c>
      <c r="I2141" s="183" t="e">
        <f t="shared" si="244"/>
        <v>#VALUE!</v>
      </c>
    </row>
    <row r="2142" spans="1:9" x14ac:dyDescent="0.25">
      <c r="A2142" s="180">
        <f t="shared" ca="1" si="238"/>
        <v>48214</v>
      </c>
      <c r="B2142" s="181">
        <v>2110</v>
      </c>
      <c r="C2142" s="182" t="e">
        <f t="shared" si="239"/>
        <v>#VALUE!</v>
      </c>
      <c r="D2142" s="182" t="e">
        <f t="shared" si="240"/>
        <v>#VALUE!</v>
      </c>
      <c r="E2142" s="182" t="e">
        <f t="shared" si="241"/>
        <v>#VALUE!</v>
      </c>
      <c r="F2142" s="182" t="e">
        <f>SUM($D$33:D2142)</f>
        <v>#VALUE!</v>
      </c>
      <c r="G2142" s="182">
        <f t="shared" ca="1" si="242"/>
        <v>0</v>
      </c>
      <c r="H2142" s="182" t="e">
        <f t="shared" si="243"/>
        <v>#VALUE!</v>
      </c>
      <c r="I2142" s="183" t="e">
        <f t="shared" si="244"/>
        <v>#VALUE!</v>
      </c>
    </row>
    <row r="2143" spans="1:9" x14ac:dyDescent="0.25">
      <c r="A2143" s="180">
        <f t="shared" ca="1" si="238"/>
        <v>48215</v>
      </c>
      <c r="B2143" s="181">
        <v>2111</v>
      </c>
      <c r="C2143" s="182" t="e">
        <f t="shared" si="239"/>
        <v>#VALUE!</v>
      </c>
      <c r="D2143" s="182" t="e">
        <f t="shared" si="240"/>
        <v>#VALUE!</v>
      </c>
      <c r="E2143" s="182" t="e">
        <f t="shared" si="241"/>
        <v>#VALUE!</v>
      </c>
      <c r="F2143" s="182" t="e">
        <f>SUM($D$33:D2143)</f>
        <v>#VALUE!</v>
      </c>
      <c r="G2143" s="182">
        <f t="shared" ca="1" si="242"/>
        <v>0</v>
      </c>
      <c r="H2143" s="182" t="e">
        <f t="shared" si="243"/>
        <v>#VALUE!</v>
      </c>
      <c r="I2143" s="183" t="e">
        <f t="shared" si="244"/>
        <v>#VALUE!</v>
      </c>
    </row>
    <row r="2144" spans="1:9" x14ac:dyDescent="0.25">
      <c r="A2144" s="180">
        <f t="shared" ca="1" si="238"/>
        <v>48216</v>
      </c>
      <c r="B2144" s="181">
        <v>2112</v>
      </c>
      <c r="C2144" s="182" t="e">
        <f t="shared" si="239"/>
        <v>#VALUE!</v>
      </c>
      <c r="D2144" s="182" t="e">
        <f t="shared" si="240"/>
        <v>#VALUE!</v>
      </c>
      <c r="E2144" s="182" t="e">
        <f t="shared" si="241"/>
        <v>#VALUE!</v>
      </c>
      <c r="F2144" s="182" t="e">
        <f>SUM($D$33:D2144)</f>
        <v>#VALUE!</v>
      </c>
      <c r="G2144" s="182">
        <f t="shared" ca="1" si="242"/>
        <v>0</v>
      </c>
      <c r="H2144" s="182" t="e">
        <f t="shared" si="243"/>
        <v>#VALUE!</v>
      </c>
      <c r="I2144" s="183" t="e">
        <f t="shared" si="244"/>
        <v>#VALUE!</v>
      </c>
    </row>
    <row r="2145" spans="1:9" x14ac:dyDescent="0.25">
      <c r="A2145" s="180">
        <f t="shared" ca="1" si="238"/>
        <v>48217</v>
      </c>
      <c r="B2145" s="181">
        <v>2113</v>
      </c>
      <c r="C2145" s="182" t="e">
        <f t="shared" si="239"/>
        <v>#VALUE!</v>
      </c>
      <c r="D2145" s="182" t="e">
        <f t="shared" si="240"/>
        <v>#VALUE!</v>
      </c>
      <c r="E2145" s="182" t="e">
        <f t="shared" si="241"/>
        <v>#VALUE!</v>
      </c>
      <c r="F2145" s="182" t="e">
        <f>SUM($D$33:D2145)</f>
        <v>#VALUE!</v>
      </c>
      <c r="G2145" s="182">
        <f t="shared" ca="1" si="242"/>
        <v>0</v>
      </c>
      <c r="H2145" s="182" t="e">
        <f t="shared" si="243"/>
        <v>#VALUE!</v>
      </c>
      <c r="I2145" s="183" t="e">
        <f t="shared" si="244"/>
        <v>#VALUE!</v>
      </c>
    </row>
    <row r="2146" spans="1:9" x14ac:dyDescent="0.25">
      <c r="A2146" s="180">
        <f t="shared" ref="A2146:A2180" ca="1" si="245">A2145+1</f>
        <v>48218</v>
      </c>
      <c r="B2146" s="181">
        <v>2114</v>
      </c>
      <c r="C2146" s="182" t="e">
        <f t="shared" si="239"/>
        <v>#VALUE!</v>
      </c>
      <c r="D2146" s="182" t="e">
        <f t="shared" si="240"/>
        <v>#VALUE!</v>
      </c>
      <c r="E2146" s="182" t="e">
        <f t="shared" si="241"/>
        <v>#VALUE!</v>
      </c>
      <c r="F2146" s="182" t="e">
        <f>SUM($D$33:D2146)</f>
        <v>#VALUE!</v>
      </c>
      <c r="G2146" s="182">
        <f t="shared" ca="1" si="242"/>
        <v>0</v>
      </c>
      <c r="H2146" s="182" t="e">
        <f t="shared" si="243"/>
        <v>#VALUE!</v>
      </c>
      <c r="I2146" s="183" t="e">
        <f t="shared" si="244"/>
        <v>#VALUE!</v>
      </c>
    </row>
    <row r="2147" spans="1:9" x14ac:dyDescent="0.25">
      <c r="A2147" s="180">
        <f t="shared" ca="1" si="245"/>
        <v>48219</v>
      </c>
      <c r="B2147" s="181">
        <v>2115</v>
      </c>
      <c r="C2147" s="182" t="e">
        <f t="shared" si="239"/>
        <v>#VALUE!</v>
      </c>
      <c r="D2147" s="182" t="e">
        <f t="shared" si="240"/>
        <v>#VALUE!</v>
      </c>
      <c r="E2147" s="182" t="e">
        <f t="shared" si="241"/>
        <v>#VALUE!</v>
      </c>
      <c r="F2147" s="182" t="e">
        <f>SUM($D$33:D2147)</f>
        <v>#VALUE!</v>
      </c>
      <c r="G2147" s="182">
        <f t="shared" ca="1" si="242"/>
        <v>0</v>
      </c>
      <c r="H2147" s="182" t="e">
        <f t="shared" si="243"/>
        <v>#VALUE!</v>
      </c>
      <c r="I2147" s="183" t="e">
        <f t="shared" si="244"/>
        <v>#VALUE!</v>
      </c>
    </row>
    <row r="2148" spans="1:9" x14ac:dyDescent="0.25">
      <c r="A2148" s="180">
        <f t="shared" ca="1" si="245"/>
        <v>48220</v>
      </c>
      <c r="B2148" s="181">
        <v>2116</v>
      </c>
      <c r="C2148" s="182" t="e">
        <f t="shared" si="239"/>
        <v>#VALUE!</v>
      </c>
      <c r="D2148" s="182" t="e">
        <f t="shared" si="240"/>
        <v>#VALUE!</v>
      </c>
      <c r="E2148" s="182" t="e">
        <f t="shared" si="241"/>
        <v>#VALUE!</v>
      </c>
      <c r="F2148" s="182" t="e">
        <f>SUM($D$33:D2148)</f>
        <v>#VALUE!</v>
      </c>
      <c r="G2148" s="182">
        <f t="shared" ca="1" si="242"/>
        <v>0</v>
      </c>
      <c r="H2148" s="182" t="e">
        <f t="shared" si="243"/>
        <v>#VALUE!</v>
      </c>
      <c r="I2148" s="183" t="e">
        <f t="shared" si="244"/>
        <v>#VALUE!</v>
      </c>
    </row>
    <row r="2149" spans="1:9" x14ac:dyDescent="0.25">
      <c r="A2149" s="180">
        <f t="shared" ca="1" si="245"/>
        <v>48221</v>
      </c>
      <c r="B2149" s="181">
        <v>2117</v>
      </c>
      <c r="C2149" s="182" t="e">
        <f t="shared" si="239"/>
        <v>#VALUE!</v>
      </c>
      <c r="D2149" s="182" t="e">
        <f t="shared" si="240"/>
        <v>#VALUE!</v>
      </c>
      <c r="E2149" s="182" t="e">
        <f t="shared" si="241"/>
        <v>#VALUE!</v>
      </c>
      <c r="F2149" s="182" t="e">
        <f>SUM($D$33:D2149)</f>
        <v>#VALUE!</v>
      </c>
      <c r="G2149" s="182">
        <f t="shared" ca="1" si="242"/>
        <v>0</v>
      </c>
      <c r="H2149" s="182" t="e">
        <f t="shared" si="243"/>
        <v>#VALUE!</v>
      </c>
      <c r="I2149" s="183" t="e">
        <f t="shared" si="244"/>
        <v>#VALUE!</v>
      </c>
    </row>
    <row r="2150" spans="1:9" x14ac:dyDescent="0.25">
      <c r="A2150" s="180">
        <f t="shared" ca="1" si="245"/>
        <v>48222</v>
      </c>
      <c r="B2150" s="181">
        <v>2118</v>
      </c>
      <c r="C2150" s="182" t="e">
        <f t="shared" si="239"/>
        <v>#VALUE!</v>
      </c>
      <c r="D2150" s="182" t="e">
        <f t="shared" si="240"/>
        <v>#VALUE!</v>
      </c>
      <c r="E2150" s="182" t="e">
        <f t="shared" si="241"/>
        <v>#VALUE!</v>
      </c>
      <c r="F2150" s="182" t="e">
        <f>SUM($D$33:D2150)</f>
        <v>#VALUE!</v>
      </c>
      <c r="G2150" s="182">
        <f t="shared" ca="1" si="242"/>
        <v>0</v>
      </c>
      <c r="H2150" s="182" t="e">
        <f t="shared" si="243"/>
        <v>#VALUE!</v>
      </c>
      <c r="I2150" s="183" t="e">
        <f t="shared" si="244"/>
        <v>#VALUE!</v>
      </c>
    </row>
    <row r="2151" spans="1:9" x14ac:dyDescent="0.25">
      <c r="A2151" s="180">
        <f t="shared" ca="1" si="245"/>
        <v>48223</v>
      </c>
      <c r="B2151" s="181">
        <v>2119</v>
      </c>
      <c r="C2151" s="182" t="e">
        <f t="shared" si="239"/>
        <v>#VALUE!</v>
      </c>
      <c r="D2151" s="182" t="e">
        <f t="shared" si="240"/>
        <v>#VALUE!</v>
      </c>
      <c r="E2151" s="182" t="e">
        <f t="shared" si="241"/>
        <v>#VALUE!</v>
      </c>
      <c r="F2151" s="182" t="e">
        <f>SUM($D$33:D2151)</f>
        <v>#VALUE!</v>
      </c>
      <c r="G2151" s="182">
        <f t="shared" ca="1" si="242"/>
        <v>0</v>
      </c>
      <c r="H2151" s="182" t="e">
        <f t="shared" si="243"/>
        <v>#VALUE!</v>
      </c>
      <c r="I2151" s="183" t="e">
        <f t="shared" si="244"/>
        <v>#VALUE!</v>
      </c>
    </row>
    <row r="2152" spans="1:9" x14ac:dyDescent="0.25">
      <c r="A2152" s="180">
        <f t="shared" ca="1" si="245"/>
        <v>48224</v>
      </c>
      <c r="B2152" s="181">
        <v>2120</v>
      </c>
      <c r="C2152" s="182" t="e">
        <f t="shared" si="239"/>
        <v>#VALUE!</v>
      </c>
      <c r="D2152" s="182" t="e">
        <f t="shared" si="240"/>
        <v>#VALUE!</v>
      </c>
      <c r="E2152" s="182" t="e">
        <f t="shared" si="241"/>
        <v>#VALUE!</v>
      </c>
      <c r="F2152" s="182" t="e">
        <f>SUM($D$33:D2152)</f>
        <v>#VALUE!</v>
      </c>
      <c r="G2152" s="182">
        <f t="shared" ca="1" si="242"/>
        <v>0</v>
      </c>
      <c r="H2152" s="182" t="e">
        <f t="shared" si="243"/>
        <v>#VALUE!</v>
      </c>
      <c r="I2152" s="183" t="e">
        <f t="shared" si="244"/>
        <v>#VALUE!</v>
      </c>
    </row>
    <row r="2153" spans="1:9" x14ac:dyDescent="0.25">
      <c r="A2153" s="180">
        <f t="shared" ca="1" si="245"/>
        <v>48225</v>
      </c>
      <c r="B2153" s="181">
        <v>2121</v>
      </c>
      <c r="C2153" s="182" t="e">
        <f t="shared" si="239"/>
        <v>#VALUE!</v>
      </c>
      <c r="D2153" s="182" t="e">
        <f t="shared" si="240"/>
        <v>#VALUE!</v>
      </c>
      <c r="E2153" s="182" t="e">
        <f t="shared" si="241"/>
        <v>#VALUE!</v>
      </c>
      <c r="F2153" s="182" t="e">
        <f>SUM($D$33:D2153)</f>
        <v>#VALUE!</v>
      </c>
      <c r="G2153" s="182">
        <f t="shared" ca="1" si="242"/>
        <v>0</v>
      </c>
      <c r="H2153" s="182" t="e">
        <f t="shared" si="243"/>
        <v>#VALUE!</v>
      </c>
      <c r="I2153" s="183" t="e">
        <f t="shared" si="244"/>
        <v>#VALUE!</v>
      </c>
    </row>
    <row r="2154" spans="1:9" x14ac:dyDescent="0.25">
      <c r="A2154" s="180">
        <f t="shared" ca="1" si="245"/>
        <v>48226</v>
      </c>
      <c r="B2154" s="181">
        <v>2122</v>
      </c>
      <c r="C2154" s="182" t="e">
        <f t="shared" si="239"/>
        <v>#VALUE!</v>
      </c>
      <c r="D2154" s="182" t="e">
        <f t="shared" si="240"/>
        <v>#VALUE!</v>
      </c>
      <c r="E2154" s="182" t="e">
        <f t="shared" si="241"/>
        <v>#VALUE!</v>
      </c>
      <c r="F2154" s="182" t="e">
        <f>SUM($D$33:D2154)</f>
        <v>#VALUE!</v>
      </c>
      <c r="G2154" s="182">
        <f t="shared" ca="1" si="242"/>
        <v>0</v>
      </c>
      <c r="H2154" s="182" t="e">
        <f t="shared" si="243"/>
        <v>#VALUE!</v>
      </c>
      <c r="I2154" s="183" t="e">
        <f t="shared" si="244"/>
        <v>#VALUE!</v>
      </c>
    </row>
    <row r="2155" spans="1:9" x14ac:dyDescent="0.25">
      <c r="A2155" s="180">
        <f t="shared" ca="1" si="245"/>
        <v>48227</v>
      </c>
      <c r="B2155" s="181">
        <v>2123</v>
      </c>
      <c r="C2155" s="182" t="e">
        <f t="shared" si="239"/>
        <v>#VALUE!</v>
      </c>
      <c r="D2155" s="182" t="e">
        <f t="shared" si="240"/>
        <v>#VALUE!</v>
      </c>
      <c r="E2155" s="182" t="e">
        <f t="shared" si="241"/>
        <v>#VALUE!</v>
      </c>
      <c r="F2155" s="182" t="e">
        <f>SUM($D$33:D2155)</f>
        <v>#VALUE!</v>
      </c>
      <c r="G2155" s="182">
        <f t="shared" ca="1" si="242"/>
        <v>0</v>
      </c>
      <c r="H2155" s="182" t="e">
        <f t="shared" si="243"/>
        <v>#VALUE!</v>
      </c>
      <c r="I2155" s="183" t="e">
        <f t="shared" si="244"/>
        <v>#VALUE!</v>
      </c>
    </row>
    <row r="2156" spans="1:9" x14ac:dyDescent="0.25">
      <c r="A2156" s="180">
        <f t="shared" ca="1" si="245"/>
        <v>48228</v>
      </c>
      <c r="B2156" s="181">
        <v>2124</v>
      </c>
      <c r="C2156" s="182" t="e">
        <f t="shared" si="239"/>
        <v>#VALUE!</v>
      </c>
      <c r="D2156" s="182" t="e">
        <f t="shared" si="240"/>
        <v>#VALUE!</v>
      </c>
      <c r="E2156" s="182" t="e">
        <f t="shared" si="241"/>
        <v>#VALUE!</v>
      </c>
      <c r="F2156" s="182" t="e">
        <f>SUM($D$33:D2156)</f>
        <v>#VALUE!</v>
      </c>
      <c r="G2156" s="182">
        <f t="shared" ca="1" si="242"/>
        <v>0</v>
      </c>
      <c r="H2156" s="182" t="e">
        <f t="shared" si="243"/>
        <v>#VALUE!</v>
      </c>
      <c r="I2156" s="183" t="e">
        <f t="shared" si="244"/>
        <v>#VALUE!</v>
      </c>
    </row>
    <row r="2157" spans="1:9" x14ac:dyDescent="0.25">
      <c r="A2157" s="180">
        <f t="shared" ca="1" si="245"/>
        <v>48229</v>
      </c>
      <c r="B2157" s="181">
        <v>2125</v>
      </c>
      <c r="C2157" s="182" t="e">
        <f t="shared" si="239"/>
        <v>#VALUE!</v>
      </c>
      <c r="D2157" s="182" t="e">
        <f t="shared" si="240"/>
        <v>#VALUE!</v>
      </c>
      <c r="E2157" s="182" t="e">
        <f t="shared" si="241"/>
        <v>#VALUE!</v>
      </c>
      <c r="F2157" s="182" t="e">
        <f>SUM($D$33:D2157)</f>
        <v>#VALUE!</v>
      </c>
      <c r="G2157" s="182">
        <f t="shared" ca="1" si="242"/>
        <v>0</v>
      </c>
      <c r="H2157" s="182" t="e">
        <f t="shared" si="243"/>
        <v>#VALUE!</v>
      </c>
      <c r="I2157" s="183" t="e">
        <f t="shared" si="244"/>
        <v>#VALUE!</v>
      </c>
    </row>
    <row r="2158" spans="1:9" x14ac:dyDescent="0.25">
      <c r="A2158" s="180">
        <f t="shared" ca="1" si="245"/>
        <v>48230</v>
      </c>
      <c r="B2158" s="181">
        <v>2126</v>
      </c>
      <c r="C2158" s="182" t="e">
        <f t="shared" si="239"/>
        <v>#VALUE!</v>
      </c>
      <c r="D2158" s="182" t="e">
        <f t="shared" si="240"/>
        <v>#VALUE!</v>
      </c>
      <c r="E2158" s="182" t="e">
        <f t="shared" si="241"/>
        <v>#VALUE!</v>
      </c>
      <c r="F2158" s="182" t="e">
        <f>SUM($D$33:D2158)</f>
        <v>#VALUE!</v>
      </c>
      <c r="G2158" s="182">
        <f t="shared" ca="1" si="242"/>
        <v>0</v>
      </c>
      <c r="H2158" s="182" t="e">
        <f t="shared" si="243"/>
        <v>#VALUE!</v>
      </c>
      <c r="I2158" s="183" t="e">
        <f t="shared" si="244"/>
        <v>#VALUE!</v>
      </c>
    </row>
    <row r="2159" spans="1:9" x14ac:dyDescent="0.25">
      <c r="A2159" s="180">
        <f t="shared" ca="1" si="245"/>
        <v>48231</v>
      </c>
      <c r="B2159" s="181">
        <v>2127</v>
      </c>
      <c r="C2159" s="182" t="e">
        <f t="shared" si="239"/>
        <v>#VALUE!</v>
      </c>
      <c r="D2159" s="182" t="e">
        <f t="shared" si="240"/>
        <v>#VALUE!</v>
      </c>
      <c r="E2159" s="182" t="e">
        <f t="shared" si="241"/>
        <v>#VALUE!</v>
      </c>
      <c r="F2159" s="182" t="e">
        <f>SUM($D$33:D2159)</f>
        <v>#VALUE!</v>
      </c>
      <c r="G2159" s="182">
        <f t="shared" ca="1" si="242"/>
        <v>0</v>
      </c>
      <c r="H2159" s="182" t="e">
        <f t="shared" si="243"/>
        <v>#VALUE!</v>
      </c>
      <c r="I2159" s="183" t="e">
        <f t="shared" si="244"/>
        <v>#VALUE!</v>
      </c>
    </row>
    <row r="2160" spans="1:9" x14ac:dyDescent="0.25">
      <c r="A2160" s="180">
        <f t="shared" ca="1" si="245"/>
        <v>48232</v>
      </c>
      <c r="B2160" s="181">
        <v>2128</v>
      </c>
      <c r="C2160" s="182" t="e">
        <f t="shared" si="239"/>
        <v>#VALUE!</v>
      </c>
      <c r="D2160" s="182" t="e">
        <f t="shared" si="240"/>
        <v>#VALUE!</v>
      </c>
      <c r="E2160" s="182" t="e">
        <f t="shared" si="241"/>
        <v>#VALUE!</v>
      </c>
      <c r="F2160" s="182" t="e">
        <f>SUM($D$33:D2160)</f>
        <v>#VALUE!</v>
      </c>
      <c r="G2160" s="182">
        <f t="shared" ca="1" si="242"/>
        <v>0</v>
      </c>
      <c r="H2160" s="182" t="e">
        <f t="shared" si="243"/>
        <v>#VALUE!</v>
      </c>
      <c r="I2160" s="183" t="e">
        <f t="shared" si="244"/>
        <v>#VALUE!</v>
      </c>
    </row>
    <row r="2161" spans="1:9" x14ac:dyDescent="0.25">
      <c r="A2161" s="180">
        <f t="shared" ca="1" si="245"/>
        <v>48233</v>
      </c>
      <c r="B2161" s="181">
        <v>2129</v>
      </c>
      <c r="C2161" s="182" t="e">
        <f t="shared" si="239"/>
        <v>#VALUE!</v>
      </c>
      <c r="D2161" s="182" t="e">
        <f t="shared" si="240"/>
        <v>#VALUE!</v>
      </c>
      <c r="E2161" s="182" t="e">
        <f t="shared" si="241"/>
        <v>#VALUE!</v>
      </c>
      <c r="F2161" s="182" t="e">
        <f>SUM($D$33:D2161)</f>
        <v>#VALUE!</v>
      </c>
      <c r="G2161" s="182">
        <f t="shared" ca="1" si="242"/>
        <v>0</v>
      </c>
      <c r="H2161" s="182" t="e">
        <f t="shared" si="243"/>
        <v>#VALUE!</v>
      </c>
      <c r="I2161" s="183" t="e">
        <f t="shared" si="244"/>
        <v>#VALUE!</v>
      </c>
    </row>
    <row r="2162" spans="1:9" x14ac:dyDescent="0.25">
      <c r="A2162" s="180">
        <f t="shared" ca="1" si="245"/>
        <v>48234</v>
      </c>
      <c r="B2162" s="181">
        <v>2130</v>
      </c>
      <c r="C2162" s="182" t="e">
        <f t="shared" si="239"/>
        <v>#VALUE!</v>
      </c>
      <c r="D2162" s="182" t="e">
        <f t="shared" si="240"/>
        <v>#VALUE!</v>
      </c>
      <c r="E2162" s="182" t="e">
        <f t="shared" si="241"/>
        <v>#VALUE!</v>
      </c>
      <c r="F2162" s="182" t="e">
        <f>SUM($D$33:D2162)</f>
        <v>#VALUE!</v>
      </c>
      <c r="G2162" s="182">
        <f t="shared" ca="1" si="242"/>
        <v>0</v>
      </c>
      <c r="H2162" s="182" t="e">
        <f t="shared" si="243"/>
        <v>#VALUE!</v>
      </c>
      <c r="I2162" s="183" t="e">
        <f t="shared" si="244"/>
        <v>#VALUE!</v>
      </c>
    </row>
    <row r="2163" spans="1:9" x14ac:dyDescent="0.25">
      <c r="A2163" s="180">
        <f t="shared" ca="1" si="245"/>
        <v>48235</v>
      </c>
      <c r="B2163" s="181">
        <v>2131</v>
      </c>
      <c r="C2163" s="182" t="e">
        <f t="shared" si="239"/>
        <v>#VALUE!</v>
      </c>
      <c r="D2163" s="182" t="e">
        <f t="shared" si="240"/>
        <v>#VALUE!</v>
      </c>
      <c r="E2163" s="182" t="e">
        <f t="shared" si="241"/>
        <v>#VALUE!</v>
      </c>
      <c r="F2163" s="182" t="e">
        <f>SUM($D$33:D2163)</f>
        <v>#VALUE!</v>
      </c>
      <c r="G2163" s="182">
        <f t="shared" ca="1" si="242"/>
        <v>0</v>
      </c>
      <c r="H2163" s="182" t="e">
        <f t="shared" si="243"/>
        <v>#VALUE!</v>
      </c>
      <c r="I2163" s="183" t="e">
        <f t="shared" si="244"/>
        <v>#VALUE!</v>
      </c>
    </row>
    <row r="2164" spans="1:9" x14ac:dyDescent="0.25">
      <c r="A2164" s="180">
        <f t="shared" ca="1" si="245"/>
        <v>48236</v>
      </c>
      <c r="B2164" s="181">
        <v>2132</v>
      </c>
      <c r="C2164" s="182" t="e">
        <f t="shared" si="239"/>
        <v>#VALUE!</v>
      </c>
      <c r="D2164" s="182" t="e">
        <f t="shared" si="240"/>
        <v>#VALUE!</v>
      </c>
      <c r="E2164" s="182" t="e">
        <f t="shared" si="241"/>
        <v>#VALUE!</v>
      </c>
      <c r="F2164" s="182" t="e">
        <f>SUM($D$33:D2164)</f>
        <v>#VALUE!</v>
      </c>
      <c r="G2164" s="182">
        <f t="shared" ca="1" si="242"/>
        <v>0</v>
      </c>
      <c r="H2164" s="182" t="e">
        <f t="shared" si="243"/>
        <v>#VALUE!</v>
      </c>
      <c r="I2164" s="183" t="e">
        <f t="shared" si="244"/>
        <v>#VALUE!</v>
      </c>
    </row>
    <row r="2165" spans="1:9" x14ac:dyDescent="0.25">
      <c r="A2165" s="180">
        <f t="shared" ca="1" si="245"/>
        <v>48237</v>
      </c>
      <c r="B2165" s="181">
        <v>2133</v>
      </c>
      <c r="C2165" s="182" t="e">
        <f t="shared" si="239"/>
        <v>#VALUE!</v>
      </c>
      <c r="D2165" s="182" t="e">
        <f t="shared" si="240"/>
        <v>#VALUE!</v>
      </c>
      <c r="E2165" s="182" t="e">
        <f t="shared" si="241"/>
        <v>#VALUE!</v>
      </c>
      <c r="F2165" s="182" t="e">
        <f>SUM($D$33:D2165)</f>
        <v>#VALUE!</v>
      </c>
      <c r="G2165" s="182">
        <f t="shared" ca="1" si="242"/>
        <v>0</v>
      </c>
      <c r="H2165" s="182" t="e">
        <f t="shared" si="243"/>
        <v>#VALUE!</v>
      </c>
      <c r="I2165" s="183" t="e">
        <f t="shared" si="244"/>
        <v>#VALUE!</v>
      </c>
    </row>
    <row r="2166" spans="1:9" x14ac:dyDescent="0.25">
      <c r="A2166" s="180">
        <f t="shared" ca="1" si="245"/>
        <v>48238</v>
      </c>
      <c r="B2166" s="181">
        <v>2134</v>
      </c>
      <c r="C2166" s="182" t="e">
        <f t="shared" si="239"/>
        <v>#VALUE!</v>
      </c>
      <c r="D2166" s="182" t="e">
        <f t="shared" si="240"/>
        <v>#VALUE!</v>
      </c>
      <c r="E2166" s="182" t="e">
        <f t="shared" si="241"/>
        <v>#VALUE!</v>
      </c>
      <c r="F2166" s="182" t="e">
        <f>SUM($D$33:D2166)</f>
        <v>#VALUE!</v>
      </c>
      <c r="G2166" s="182">
        <f t="shared" ca="1" si="242"/>
        <v>0</v>
      </c>
      <c r="H2166" s="182" t="e">
        <f t="shared" si="243"/>
        <v>#VALUE!</v>
      </c>
      <c r="I2166" s="183" t="e">
        <f t="shared" si="244"/>
        <v>#VALUE!</v>
      </c>
    </row>
    <row r="2167" spans="1:9" x14ac:dyDescent="0.25">
      <c r="A2167" s="180">
        <f t="shared" ca="1" si="245"/>
        <v>48239</v>
      </c>
      <c r="B2167" s="181">
        <v>2135</v>
      </c>
      <c r="C2167" s="182" t="e">
        <f t="shared" si="239"/>
        <v>#VALUE!</v>
      </c>
      <c r="D2167" s="182" t="e">
        <f t="shared" si="240"/>
        <v>#VALUE!</v>
      </c>
      <c r="E2167" s="182" t="e">
        <f t="shared" si="241"/>
        <v>#VALUE!</v>
      </c>
      <c r="F2167" s="182" t="e">
        <f>SUM($D$33:D2167)</f>
        <v>#VALUE!</v>
      </c>
      <c r="G2167" s="182">
        <f t="shared" ca="1" si="242"/>
        <v>0</v>
      </c>
      <c r="H2167" s="182" t="e">
        <f t="shared" si="243"/>
        <v>#VALUE!</v>
      </c>
      <c r="I2167" s="183" t="e">
        <f t="shared" si="244"/>
        <v>#VALUE!</v>
      </c>
    </row>
    <row r="2168" spans="1:9" x14ac:dyDescent="0.25">
      <c r="A2168" s="180">
        <f t="shared" ca="1" si="245"/>
        <v>48240</v>
      </c>
      <c r="B2168" s="181">
        <v>2136</v>
      </c>
      <c r="C2168" s="182" t="e">
        <f t="shared" si="239"/>
        <v>#VALUE!</v>
      </c>
      <c r="D2168" s="182" t="e">
        <f t="shared" si="240"/>
        <v>#VALUE!</v>
      </c>
      <c r="E2168" s="182" t="e">
        <f t="shared" si="241"/>
        <v>#VALUE!</v>
      </c>
      <c r="F2168" s="182" t="e">
        <f>SUM($D$33:D2168)</f>
        <v>#VALUE!</v>
      </c>
      <c r="G2168" s="182">
        <f t="shared" ca="1" si="242"/>
        <v>0</v>
      </c>
      <c r="H2168" s="182" t="e">
        <f t="shared" si="243"/>
        <v>#VALUE!</v>
      </c>
      <c r="I2168" s="183" t="e">
        <f t="shared" si="244"/>
        <v>#VALUE!</v>
      </c>
    </row>
    <row r="2169" spans="1:9" x14ac:dyDescent="0.25">
      <c r="A2169" s="180">
        <f t="shared" ca="1" si="245"/>
        <v>48241</v>
      </c>
      <c r="B2169" s="181">
        <v>2137</v>
      </c>
      <c r="C2169" s="182" t="e">
        <f t="shared" si="239"/>
        <v>#VALUE!</v>
      </c>
      <c r="D2169" s="182" t="e">
        <f t="shared" si="240"/>
        <v>#VALUE!</v>
      </c>
      <c r="E2169" s="182" t="e">
        <f t="shared" si="241"/>
        <v>#VALUE!</v>
      </c>
      <c r="F2169" s="182" t="e">
        <f>SUM($D$33:D2169)</f>
        <v>#VALUE!</v>
      </c>
      <c r="G2169" s="182">
        <f t="shared" ca="1" si="242"/>
        <v>0</v>
      </c>
      <c r="H2169" s="182" t="e">
        <f t="shared" si="243"/>
        <v>#VALUE!</v>
      </c>
      <c r="I2169" s="183" t="e">
        <f t="shared" si="244"/>
        <v>#VALUE!</v>
      </c>
    </row>
    <row r="2170" spans="1:9" x14ac:dyDescent="0.25">
      <c r="A2170" s="180">
        <f t="shared" ca="1" si="245"/>
        <v>48242</v>
      </c>
      <c r="B2170" s="181">
        <v>2138</v>
      </c>
      <c r="C2170" s="182" t="e">
        <f t="shared" si="239"/>
        <v>#VALUE!</v>
      </c>
      <c r="D2170" s="182" t="e">
        <f t="shared" si="240"/>
        <v>#VALUE!</v>
      </c>
      <c r="E2170" s="182" t="e">
        <f t="shared" si="241"/>
        <v>#VALUE!</v>
      </c>
      <c r="F2170" s="182" t="e">
        <f>SUM($D$33:D2170)</f>
        <v>#VALUE!</v>
      </c>
      <c r="G2170" s="182">
        <f t="shared" ca="1" si="242"/>
        <v>0</v>
      </c>
      <c r="H2170" s="182" t="e">
        <f t="shared" si="243"/>
        <v>#VALUE!</v>
      </c>
      <c r="I2170" s="183" t="e">
        <f t="shared" si="244"/>
        <v>#VALUE!</v>
      </c>
    </row>
    <row r="2171" spans="1:9" x14ac:dyDescent="0.25">
      <c r="A2171" s="180">
        <f t="shared" ca="1" si="245"/>
        <v>48243</v>
      </c>
      <c r="B2171" s="181">
        <v>2139</v>
      </c>
      <c r="C2171" s="182" t="e">
        <f t="shared" si="239"/>
        <v>#VALUE!</v>
      </c>
      <c r="D2171" s="182" t="e">
        <f t="shared" si="240"/>
        <v>#VALUE!</v>
      </c>
      <c r="E2171" s="182" t="e">
        <f t="shared" si="241"/>
        <v>#VALUE!</v>
      </c>
      <c r="F2171" s="182" t="e">
        <f>SUM($D$33:D2171)</f>
        <v>#VALUE!</v>
      </c>
      <c r="G2171" s="182">
        <f t="shared" ca="1" si="242"/>
        <v>0</v>
      </c>
      <c r="H2171" s="182" t="e">
        <f t="shared" si="243"/>
        <v>#VALUE!</v>
      </c>
      <c r="I2171" s="183" t="e">
        <f t="shared" si="244"/>
        <v>#VALUE!</v>
      </c>
    </row>
    <row r="2172" spans="1:9" x14ac:dyDescent="0.25">
      <c r="A2172" s="180">
        <f t="shared" ca="1" si="245"/>
        <v>48244</v>
      </c>
      <c r="B2172" s="181">
        <v>2140</v>
      </c>
      <c r="C2172" s="182" t="e">
        <f t="shared" si="239"/>
        <v>#VALUE!</v>
      </c>
      <c r="D2172" s="182" t="e">
        <f t="shared" si="240"/>
        <v>#VALUE!</v>
      </c>
      <c r="E2172" s="182" t="e">
        <f t="shared" si="241"/>
        <v>#VALUE!</v>
      </c>
      <c r="F2172" s="182" t="e">
        <f>SUM($D$33:D2172)</f>
        <v>#VALUE!</v>
      </c>
      <c r="G2172" s="182">
        <f t="shared" ca="1" si="242"/>
        <v>0</v>
      </c>
      <c r="H2172" s="182" t="e">
        <f t="shared" si="243"/>
        <v>#VALUE!</v>
      </c>
      <c r="I2172" s="183" t="e">
        <f t="shared" si="244"/>
        <v>#VALUE!</v>
      </c>
    </row>
    <row r="2173" spans="1:9" x14ac:dyDescent="0.25">
      <c r="A2173" s="180">
        <f t="shared" ca="1" si="245"/>
        <v>48245</v>
      </c>
      <c r="B2173" s="181">
        <v>2141</v>
      </c>
      <c r="C2173" s="182" t="e">
        <f t="shared" si="239"/>
        <v>#VALUE!</v>
      </c>
      <c r="D2173" s="182" t="e">
        <f t="shared" si="240"/>
        <v>#VALUE!</v>
      </c>
      <c r="E2173" s="182" t="e">
        <f t="shared" si="241"/>
        <v>#VALUE!</v>
      </c>
      <c r="F2173" s="182" t="e">
        <f>SUM($D$33:D2173)</f>
        <v>#VALUE!</v>
      </c>
      <c r="G2173" s="182">
        <f t="shared" ca="1" si="242"/>
        <v>0</v>
      </c>
      <c r="H2173" s="182" t="e">
        <f t="shared" si="243"/>
        <v>#VALUE!</v>
      </c>
      <c r="I2173" s="183" t="e">
        <f t="shared" si="244"/>
        <v>#VALUE!</v>
      </c>
    </row>
    <row r="2174" spans="1:9" x14ac:dyDescent="0.25">
      <c r="A2174" s="180">
        <f t="shared" ca="1" si="245"/>
        <v>48246</v>
      </c>
      <c r="B2174" s="181">
        <v>2142</v>
      </c>
      <c r="C2174" s="182" t="e">
        <f t="shared" si="239"/>
        <v>#VALUE!</v>
      </c>
      <c r="D2174" s="182" t="e">
        <f t="shared" si="240"/>
        <v>#VALUE!</v>
      </c>
      <c r="E2174" s="182" t="e">
        <f t="shared" si="241"/>
        <v>#VALUE!</v>
      </c>
      <c r="F2174" s="182" t="e">
        <f>SUM($D$33:D2174)</f>
        <v>#VALUE!</v>
      </c>
      <c r="G2174" s="182">
        <f t="shared" ca="1" si="242"/>
        <v>0</v>
      </c>
      <c r="H2174" s="182" t="e">
        <f t="shared" si="243"/>
        <v>#VALUE!</v>
      </c>
      <c r="I2174" s="183" t="e">
        <f t="shared" si="244"/>
        <v>#VALUE!</v>
      </c>
    </row>
    <row r="2175" spans="1:9" x14ac:dyDescent="0.25">
      <c r="A2175" s="180">
        <f t="shared" ca="1" si="245"/>
        <v>48247</v>
      </c>
      <c r="B2175" s="181">
        <v>2143</v>
      </c>
      <c r="C2175" s="182" t="e">
        <f t="shared" si="239"/>
        <v>#VALUE!</v>
      </c>
      <c r="D2175" s="182" t="e">
        <f t="shared" si="240"/>
        <v>#VALUE!</v>
      </c>
      <c r="E2175" s="182" t="e">
        <f t="shared" si="241"/>
        <v>#VALUE!</v>
      </c>
      <c r="F2175" s="182" t="e">
        <f>SUM($D$33:D2175)</f>
        <v>#VALUE!</v>
      </c>
      <c r="G2175" s="182">
        <f t="shared" ca="1" si="242"/>
        <v>0</v>
      </c>
      <c r="H2175" s="182" t="e">
        <f t="shared" si="243"/>
        <v>#VALUE!</v>
      </c>
      <c r="I2175" s="183" t="e">
        <f t="shared" si="244"/>
        <v>#VALUE!</v>
      </c>
    </row>
    <row r="2176" spans="1:9" x14ac:dyDescent="0.25">
      <c r="A2176" s="180">
        <f t="shared" ca="1" si="245"/>
        <v>48248</v>
      </c>
      <c r="B2176" s="181">
        <v>2144</v>
      </c>
      <c r="C2176" s="182" t="e">
        <f t="shared" si="239"/>
        <v>#VALUE!</v>
      </c>
      <c r="D2176" s="182" t="e">
        <f t="shared" si="240"/>
        <v>#VALUE!</v>
      </c>
      <c r="E2176" s="182" t="e">
        <f t="shared" si="241"/>
        <v>#VALUE!</v>
      </c>
      <c r="F2176" s="182" t="e">
        <f>SUM($D$33:D2176)</f>
        <v>#VALUE!</v>
      </c>
      <c r="G2176" s="182">
        <f t="shared" ca="1" si="242"/>
        <v>0</v>
      </c>
      <c r="H2176" s="182" t="e">
        <f t="shared" si="243"/>
        <v>#VALUE!</v>
      </c>
      <c r="I2176" s="183" t="e">
        <f t="shared" si="244"/>
        <v>#VALUE!</v>
      </c>
    </row>
    <row r="2177" spans="1:9" x14ac:dyDescent="0.25">
      <c r="A2177" s="180">
        <f t="shared" ca="1" si="245"/>
        <v>48249</v>
      </c>
      <c r="B2177" s="181">
        <v>2145</v>
      </c>
      <c r="C2177" s="182" t="e">
        <f t="shared" si="239"/>
        <v>#VALUE!</v>
      </c>
      <c r="D2177" s="182" t="e">
        <f t="shared" si="240"/>
        <v>#VALUE!</v>
      </c>
      <c r="E2177" s="182" t="e">
        <f t="shared" si="241"/>
        <v>#VALUE!</v>
      </c>
      <c r="F2177" s="182" t="e">
        <f>SUM($D$33:D2177)</f>
        <v>#VALUE!</v>
      </c>
      <c r="G2177" s="182">
        <f t="shared" ca="1" si="242"/>
        <v>0</v>
      </c>
      <c r="H2177" s="182" t="e">
        <f t="shared" si="243"/>
        <v>#VALUE!</v>
      </c>
      <c r="I2177" s="183" t="e">
        <f t="shared" si="244"/>
        <v>#VALUE!</v>
      </c>
    </row>
    <row r="2178" spans="1:9" x14ac:dyDescent="0.25">
      <c r="A2178" s="180">
        <f t="shared" ca="1" si="245"/>
        <v>48250</v>
      </c>
      <c r="B2178" s="181">
        <v>2146</v>
      </c>
      <c r="C2178" s="182" t="e">
        <f t="shared" si="239"/>
        <v>#VALUE!</v>
      </c>
      <c r="D2178" s="182" t="e">
        <f t="shared" si="240"/>
        <v>#VALUE!</v>
      </c>
      <c r="E2178" s="182" t="e">
        <f t="shared" si="241"/>
        <v>#VALUE!</v>
      </c>
      <c r="F2178" s="182" t="e">
        <f>SUM($D$33:D2178)</f>
        <v>#VALUE!</v>
      </c>
      <c r="G2178" s="182">
        <f t="shared" ca="1" si="242"/>
        <v>0</v>
      </c>
      <c r="H2178" s="182" t="e">
        <f t="shared" si="243"/>
        <v>#VALUE!</v>
      </c>
      <c r="I2178" s="183" t="e">
        <f t="shared" si="244"/>
        <v>#VALUE!</v>
      </c>
    </row>
    <row r="2179" spans="1:9" x14ac:dyDescent="0.25">
      <c r="A2179" s="180">
        <f t="shared" ca="1" si="245"/>
        <v>48251</v>
      </c>
      <c r="B2179" s="181">
        <v>2147</v>
      </c>
      <c r="C2179" s="182" t="e">
        <f t="shared" si="239"/>
        <v>#VALUE!</v>
      </c>
      <c r="D2179" s="182" t="e">
        <f t="shared" si="240"/>
        <v>#VALUE!</v>
      </c>
      <c r="E2179" s="182" t="e">
        <f t="shared" si="241"/>
        <v>#VALUE!</v>
      </c>
      <c r="F2179" s="182" t="e">
        <f>SUM($D$33:D2179)</f>
        <v>#VALUE!</v>
      </c>
      <c r="G2179" s="182">
        <f t="shared" ca="1" si="242"/>
        <v>0</v>
      </c>
      <c r="H2179" s="182" t="e">
        <f t="shared" si="243"/>
        <v>#VALUE!</v>
      </c>
      <c r="I2179" s="183" t="e">
        <f t="shared" si="244"/>
        <v>#VALUE!</v>
      </c>
    </row>
    <row r="2180" spans="1:9" x14ac:dyDescent="0.25">
      <c r="A2180" s="180">
        <f t="shared" ca="1" si="245"/>
        <v>48252</v>
      </c>
      <c r="B2180" s="181">
        <v>2148</v>
      </c>
      <c r="C2180" s="182" t="e">
        <f t="shared" si="239"/>
        <v>#VALUE!</v>
      </c>
      <c r="D2180" s="182" t="e">
        <f t="shared" si="240"/>
        <v>#VALUE!</v>
      </c>
      <c r="E2180" s="182" t="e">
        <f t="shared" si="241"/>
        <v>#VALUE!</v>
      </c>
      <c r="F2180" s="182" t="e">
        <f>SUM($D$33:D2180)</f>
        <v>#VALUE!</v>
      </c>
      <c r="G2180" s="182">
        <f t="shared" ca="1" si="242"/>
        <v>0</v>
      </c>
      <c r="H2180" s="182" t="e">
        <f t="shared" si="243"/>
        <v>#VALUE!</v>
      </c>
      <c r="I2180" s="183" t="e">
        <f t="shared" si="244"/>
        <v>#VALUE!</v>
      </c>
    </row>
  </sheetData>
  <mergeCells count="5">
    <mergeCell ref="B5:F5"/>
    <mergeCell ref="K7:L7"/>
    <mergeCell ref="M8:M16"/>
    <mergeCell ref="K28:M28"/>
    <mergeCell ref="O28:Q28"/>
  </mergeCells>
  <conditionalFormatting sqref="M18 M20">
    <cfRule type="cellIs" dxfId="11" priority="1" operator="between">
      <formula>0.01</formula>
      <formula>0.6</formula>
    </cfRule>
    <cfRule type="cellIs" dxfId="10" priority="2" operator="greaterThan">
      <formula>0.990592988</formula>
    </cfRule>
    <cfRule type="cellIs" dxfId="9" priority="3" operator="between">
      <formula>0.8</formula>
      <formula>1</formula>
    </cfRule>
    <cfRule type="expression" dxfId="8" priority="4">
      <formula>"&gt;=.8""+&lt;1"</formula>
    </cfRule>
  </conditionalFormatting>
  <hyperlinks>
    <hyperlink ref="M25" r:id="rId1" xr:uid="{00000000-0004-0000-0600-000000000000}"/>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pageSetUpPr autoPageBreaks="0"/>
  </sheetPr>
  <dimension ref="A1:CD2187"/>
  <sheetViews>
    <sheetView showGridLines="0" workbookViewId="0">
      <pane ySplit="11" topLeftCell="A12" activePane="bottomLeft" state="frozen"/>
      <selection activeCell="E23" sqref="E23"/>
      <selection pane="bottomLeft" activeCell="I1" sqref="I1"/>
    </sheetView>
  </sheetViews>
  <sheetFormatPr defaultColWidth="8.85546875" defaultRowHeight="15" x14ac:dyDescent="0.25"/>
  <cols>
    <col min="1" max="1" width="19" customWidth="1"/>
    <col min="2" max="3" width="12.42578125" customWidth="1"/>
    <col min="4" max="4" width="15.85546875" customWidth="1"/>
    <col min="5" max="6" width="12.42578125" customWidth="1"/>
    <col min="7" max="8" width="15.42578125" customWidth="1"/>
    <col min="9" max="10" width="14.42578125" customWidth="1"/>
    <col min="11" max="11" width="17" customWidth="1"/>
    <col min="12" max="12" width="19.85546875" customWidth="1"/>
    <col min="13" max="13" width="20.5703125" customWidth="1"/>
    <col min="14" max="14" width="18.140625" customWidth="1"/>
    <col min="15" max="15" width="8.28515625" customWidth="1"/>
    <col min="16" max="16" width="12.85546875" customWidth="1"/>
    <col min="17" max="17" width="18.42578125" customWidth="1"/>
    <col min="18" max="19" width="14.42578125" customWidth="1"/>
    <col min="20" max="20" width="20.42578125" customWidth="1"/>
    <col min="21" max="21" width="21.140625" customWidth="1"/>
    <col min="22" max="22" width="15.42578125" customWidth="1"/>
    <col min="23" max="23" width="16.5703125" customWidth="1"/>
    <col min="24" max="24" width="23.42578125" customWidth="1"/>
    <col min="25" max="25" width="15" customWidth="1"/>
    <col min="26" max="26" width="13.140625" customWidth="1"/>
    <col min="27" max="27" width="12.140625" customWidth="1"/>
    <col min="28" max="28" width="14.42578125" customWidth="1"/>
    <col min="29" max="29" width="13.28515625" bestFit="1" customWidth="1"/>
    <col min="30" max="30" width="17.85546875" customWidth="1"/>
    <col min="31" max="31" width="12.42578125" customWidth="1"/>
    <col min="32" max="32" width="13.42578125" customWidth="1"/>
    <col min="33" max="33" width="12.5703125" customWidth="1"/>
  </cols>
  <sheetData>
    <row r="1" spans="1:82" ht="19.5" thickBot="1" x14ac:dyDescent="0.35">
      <c r="A1" s="149" t="s">
        <v>317</v>
      </c>
      <c r="H1" t="s">
        <v>579</v>
      </c>
      <c r="I1" s="115">
        <f>SUM(I3+I4+I7)</f>
        <v>17000</v>
      </c>
      <c r="N1" s="115"/>
      <c r="O1" s="115"/>
    </row>
    <row r="2" spans="1:82" ht="16.5" thickBot="1" x14ac:dyDescent="0.3">
      <c r="A2">
        <f>'Deal Details'!C3</f>
        <v>0</v>
      </c>
      <c r="C2" s="117"/>
      <c r="H2" t="s">
        <v>515</v>
      </c>
      <c r="I2" s="115">
        <f>I10-SUM(I3:I9)</f>
        <v>700</v>
      </c>
      <c r="L2" s="671"/>
      <c r="M2" s="666" t="s">
        <v>575</v>
      </c>
      <c r="P2" s="716">
        <f>A2</f>
        <v>0</v>
      </c>
      <c r="Q2" s="717"/>
      <c r="R2" s="718"/>
      <c r="T2" s="716" t="s">
        <v>318</v>
      </c>
      <c r="U2" s="717"/>
      <c r="V2" s="718"/>
      <c r="X2" s="716" t="s">
        <v>319</v>
      </c>
      <c r="Y2" s="717"/>
      <c r="Z2" s="718"/>
      <c r="AB2" s="637" t="s">
        <v>163</v>
      </c>
      <c r="AC2" s="638" t="e">
        <f>AC4+AC6+AC7+AC9+AC10+AC11</f>
        <v>#REF!</v>
      </c>
      <c r="AD2" s="639"/>
    </row>
    <row r="3" spans="1:82" ht="16.5" thickBot="1" x14ac:dyDescent="0.3">
      <c r="H3" t="s">
        <v>34</v>
      </c>
      <c r="I3" s="115">
        <f>'Deal Details'!C22</f>
        <v>3500</v>
      </c>
      <c r="K3" s="600" t="s">
        <v>574</v>
      </c>
      <c r="L3" s="672">
        <f>SUM(I3:I4,I9,I5,I7)-M3</f>
        <v>25550</v>
      </c>
      <c r="M3" s="667"/>
      <c r="P3" s="655" t="s">
        <v>297</v>
      </c>
      <c r="Q3" s="656" t="s">
        <v>122</v>
      </c>
      <c r="R3" s="172" t="s">
        <v>578</v>
      </c>
      <c r="T3" s="170" t="s">
        <v>297</v>
      </c>
      <c r="U3" s="171" t="s">
        <v>122</v>
      </c>
      <c r="V3" s="172" t="s">
        <v>298</v>
      </c>
      <c r="X3" s="170" t="s">
        <v>297</v>
      </c>
      <c r="Y3" s="171" t="s">
        <v>122</v>
      </c>
      <c r="Z3" s="172" t="s">
        <v>298</v>
      </c>
      <c r="AB3" s="46" t="s">
        <v>414</v>
      </c>
      <c r="AC3" s="640">
        <f>'Deal Details'!$H$34</f>
        <v>0.24</v>
      </c>
      <c r="AD3" s="48"/>
    </row>
    <row r="4" spans="1:82" ht="15.75" x14ac:dyDescent="0.25">
      <c r="A4" s="154" t="s">
        <v>274</v>
      </c>
      <c r="B4" s="154"/>
      <c r="C4" s="204">
        <f>I10</f>
        <v>35000</v>
      </c>
      <c r="E4" s="155"/>
      <c r="H4" t="s">
        <v>35</v>
      </c>
      <c r="I4" s="115">
        <f>'Deal Details'!C23</f>
        <v>10000</v>
      </c>
      <c r="P4" s="657">
        <f ca="1">C8</f>
        <v>46105</v>
      </c>
      <c r="Q4" s="658">
        <f>-C15</f>
        <v>-35000</v>
      </c>
      <c r="R4" s="659" t="s">
        <v>344</v>
      </c>
      <c r="T4" s="173">
        <f ca="1">A15</f>
        <v>46105</v>
      </c>
      <c r="U4" s="174">
        <f>Q4</f>
        <v>-35000</v>
      </c>
      <c r="V4" s="175" t="s">
        <v>321</v>
      </c>
      <c r="X4" s="173">
        <f ca="1">T4</f>
        <v>46105</v>
      </c>
      <c r="Y4" s="174">
        <f>U4</f>
        <v>-35000</v>
      </c>
      <c r="Z4" s="175" t="s">
        <v>321</v>
      </c>
      <c r="AB4" s="46" t="s">
        <v>288</v>
      </c>
      <c r="AC4" s="630" t="e">
        <f>IF('Deal Details'!#REF!="Yes",'Mezz Amort'!$I$8,0)</f>
        <v>#REF!</v>
      </c>
      <c r="AD4" s="641"/>
    </row>
    <row r="5" spans="1:82" ht="15.75" x14ac:dyDescent="0.25">
      <c r="A5" s="154" t="s">
        <v>48</v>
      </c>
      <c r="B5" s="154"/>
      <c r="C5" s="123">
        <v>0.03</v>
      </c>
      <c r="D5" s="14">
        <f>C5*C4</f>
        <v>1050</v>
      </c>
      <c r="E5" s="155">
        <v>1500</v>
      </c>
      <c r="H5" t="s">
        <v>533</v>
      </c>
      <c r="I5" s="115">
        <f>'Deal Details'!C24</f>
        <v>7500</v>
      </c>
      <c r="K5" s="264"/>
      <c r="L5" s="264"/>
      <c r="M5" s="264"/>
      <c r="N5" s="264"/>
      <c r="O5" s="264"/>
      <c r="P5" s="665">
        <f ca="1">P4</f>
        <v>46105</v>
      </c>
      <c r="Q5" s="660">
        <f>I9</f>
        <v>1050</v>
      </c>
      <c r="R5" s="661" t="s">
        <v>48</v>
      </c>
      <c r="T5" s="176">
        <f ca="1">T4</f>
        <v>46105</v>
      </c>
      <c r="U5" s="177">
        <f>D5</f>
        <v>1050</v>
      </c>
      <c r="V5" s="175" t="s">
        <v>48</v>
      </c>
      <c r="X5" s="176">
        <f ca="1">X4</f>
        <v>46105</v>
      </c>
      <c r="Y5" s="177">
        <f>U5</f>
        <v>1050</v>
      </c>
      <c r="Z5" s="175" t="s">
        <v>48</v>
      </c>
      <c r="AB5" s="46" t="s">
        <v>508</v>
      </c>
      <c r="AC5" s="642">
        <f ca="1">+SUMIF(AB:AB,AC13,AG:AG)</f>
        <v>0</v>
      </c>
      <c r="AD5" s="643" t="e">
        <f ca="1">AC5/AC4</f>
        <v>#REF!</v>
      </c>
    </row>
    <row r="6" spans="1:82" ht="15.75" thickBot="1" x14ac:dyDescent="0.3">
      <c r="A6" s="154" t="s">
        <v>155</v>
      </c>
      <c r="B6" s="154"/>
      <c r="C6" s="165">
        <v>0.24</v>
      </c>
      <c r="D6" t="s">
        <v>260</v>
      </c>
      <c r="E6" s="155"/>
      <c r="G6" s="207">
        <f>'Deal Details'!C20</f>
        <v>0.01</v>
      </c>
      <c r="H6" t="s">
        <v>322</v>
      </c>
      <c r="I6" s="115">
        <f>'Deal Details'!C20*I10</f>
        <v>350</v>
      </c>
      <c r="L6" s="115"/>
      <c r="O6" s="670" t="s">
        <v>573</v>
      </c>
      <c r="P6" s="662">
        <f ca="1">P4</f>
        <v>46105</v>
      </c>
      <c r="Q6" s="663" t="e">
        <f>IF('Deal Details'!#REF!="Yes",I8,0)</f>
        <v>#REF!</v>
      </c>
      <c r="R6" s="664" t="s">
        <v>323</v>
      </c>
      <c r="T6" s="176">
        <f ca="1">P6</f>
        <v>46105</v>
      </c>
      <c r="U6" s="205" t="e">
        <f>Q6</f>
        <v>#REF!</v>
      </c>
      <c r="V6" s="118" t="str">
        <f>R6</f>
        <v>Reserve</v>
      </c>
      <c r="X6" s="176">
        <f ca="1">T6</f>
        <v>46105</v>
      </c>
      <c r="Y6" s="205" t="e">
        <f>U6</f>
        <v>#REF!</v>
      </c>
      <c r="Z6" s="118" t="str">
        <f>V6</f>
        <v>Reserve</v>
      </c>
      <c r="AB6" s="46" t="s">
        <v>259</v>
      </c>
      <c r="AC6" s="642">
        <f>'Mezz Amort'!$I$9</f>
        <v>1050</v>
      </c>
      <c r="AD6" s="644">
        <f>'Deal Details'!AB26</f>
        <v>0</v>
      </c>
    </row>
    <row r="7" spans="1:82" x14ac:dyDescent="0.25">
      <c r="A7" s="154" t="s">
        <v>324</v>
      </c>
      <c r="B7" s="154"/>
      <c r="C7" s="165">
        <v>0</v>
      </c>
      <c r="D7">
        <v>0.18</v>
      </c>
      <c r="H7" t="s">
        <v>325</v>
      </c>
      <c r="I7" s="115">
        <f>'Deal Details'!C21</f>
        <v>3500</v>
      </c>
      <c r="L7" s="115"/>
      <c r="O7" s="668">
        <v>1</v>
      </c>
      <c r="P7" s="130">
        <f ca="1">EDATE(P6,1)</f>
        <v>46136</v>
      </c>
      <c r="Q7" s="642" t="e" cm="1">
        <f t="array" ref="Q7">_xlfn.IFS(O7&gt;AC$8,0,'Deal Details'!#REF!="Yes",0/C10,'Deal Details'!#REF!="No",'Mezz Amort'!I$8/C10)</f>
        <v>#REF!</v>
      </c>
      <c r="R7" s="118"/>
      <c r="T7" s="176"/>
      <c r="U7" s="205"/>
      <c r="V7" s="118"/>
      <c r="X7" s="176"/>
      <c r="Y7" s="205"/>
      <c r="Z7" s="118"/>
      <c r="AB7" s="46" t="s">
        <v>512</v>
      </c>
      <c r="AC7" s="645"/>
      <c r="AD7" s="48"/>
    </row>
    <row r="8" spans="1:82" x14ac:dyDescent="0.25">
      <c r="A8" s="154" t="s">
        <v>291</v>
      </c>
      <c r="B8" s="154"/>
      <c r="C8" s="221">
        <f ca="1">'Deal Details'!C31</f>
        <v>46105</v>
      </c>
      <c r="H8" t="s">
        <v>288</v>
      </c>
      <c r="I8" s="115">
        <f>I10*C6*(C10/12)</f>
        <v>8400</v>
      </c>
      <c r="O8" s="668">
        <v>2</v>
      </c>
      <c r="P8" s="130">
        <f t="shared" ref="P8:P30" ca="1" si="0">EDATE(P7,1)</f>
        <v>46166</v>
      </c>
      <c r="Q8" s="642" t="e" cm="1">
        <f t="array" ref="Q8">_xlfn.IFS(O8&gt;AC$8,0,'Deal Details'!#REF!="Yes",0/12,'Deal Details'!#REF!="No",'Mezz Amort'!I$8/12)</f>
        <v>#REF!</v>
      </c>
      <c r="R8" s="118"/>
      <c r="T8" s="176"/>
      <c r="U8" s="205"/>
      <c r="V8" s="118"/>
      <c r="X8" s="176"/>
      <c r="Y8" s="115"/>
      <c r="Z8" s="118"/>
      <c r="AB8" s="46" t="s">
        <v>513</v>
      </c>
      <c r="AC8" s="646">
        <f>'Deal Details'!$C$27</f>
        <v>12</v>
      </c>
      <c r="AD8" s="48"/>
    </row>
    <row r="9" spans="1:82" x14ac:dyDescent="0.25">
      <c r="A9" s="154" t="s">
        <v>326</v>
      </c>
      <c r="C9" s="207">
        <f>C6+C7</f>
        <v>0.24</v>
      </c>
      <c r="D9" s="130"/>
      <c r="H9" t="s">
        <v>259</v>
      </c>
      <c r="I9" s="115">
        <f>C5*I10</f>
        <v>1050</v>
      </c>
      <c r="O9" s="668">
        <v>3</v>
      </c>
      <c r="P9" s="130">
        <f t="shared" ca="1" si="0"/>
        <v>46197</v>
      </c>
      <c r="Q9" s="642" t="e" cm="1">
        <f t="array" ref="Q9">_xlfn.IFS(O9&gt;AC$8,0,'Deal Details'!#REF!="Yes",0/12,'Deal Details'!#REF!="No",'Mezz Amort'!I$8/12)</f>
        <v>#REF!</v>
      </c>
      <c r="R9" s="118"/>
      <c r="T9" s="176"/>
      <c r="U9" s="205"/>
      <c r="V9" s="118"/>
      <c r="X9" s="176"/>
      <c r="Y9" s="115"/>
      <c r="Z9" s="118"/>
      <c r="AB9" s="46" t="s">
        <v>158</v>
      </c>
      <c r="AC9" s="647">
        <f>SUM('Mezz Amort'!$I$3:$I$5,'Mezz Amort'!$I$7)</f>
        <v>24500</v>
      </c>
      <c r="AD9" s="48"/>
    </row>
    <row r="10" spans="1:82" x14ac:dyDescent="0.25">
      <c r="A10" s="154" t="s">
        <v>292</v>
      </c>
      <c r="C10" s="208">
        <f>'Deal Details'!C27</f>
        <v>12</v>
      </c>
      <c r="H10" t="s">
        <v>78</v>
      </c>
      <c r="I10" s="206">
        <f>ROUNDUP((ProForma!H54+'Deal Details'!C21+SUM('Deal Details'!C22:C24))/(1-C5-C6*(C10/12)-'Deal Details'!C20),-3)</f>
        <v>35000</v>
      </c>
      <c r="O10" s="668">
        <v>4</v>
      </c>
      <c r="P10" s="130">
        <f t="shared" ca="1" si="0"/>
        <v>46227</v>
      </c>
      <c r="Q10" s="642" t="e" cm="1">
        <f t="array" ref="Q10">_xlfn.IFS(O10&gt;AC$8,0,'Deal Details'!#REF!="Yes",0/12,'Deal Details'!#REF!="No",'Mezz Amort'!I$8/12)</f>
        <v>#REF!</v>
      </c>
      <c r="R10" s="118"/>
      <c r="T10" s="176"/>
      <c r="U10" s="205"/>
      <c r="V10" s="118"/>
      <c r="X10" s="176"/>
      <c r="Y10" s="115"/>
      <c r="Z10" s="118"/>
      <c r="AB10" s="46" t="s">
        <v>515</v>
      </c>
      <c r="AC10" s="647">
        <f>'Mezz Amort'!$I$2</f>
        <v>700</v>
      </c>
      <c r="AD10" s="48"/>
    </row>
    <row r="11" spans="1:82" x14ac:dyDescent="0.25">
      <c r="A11" s="154" t="s">
        <v>293</v>
      </c>
      <c r="C11" s="222">
        <f ca="1">EDATE(C8,C10)</f>
        <v>46470</v>
      </c>
      <c r="O11" s="668">
        <v>5</v>
      </c>
      <c r="P11" s="130">
        <f t="shared" ca="1" si="0"/>
        <v>46258</v>
      </c>
      <c r="Q11" s="642" t="e" cm="1">
        <f t="array" ref="Q11">_xlfn.IFS(O11&gt;AC$8,0,'Deal Details'!#REF!="Yes",0/12,'Deal Details'!#REF!="No",'Mezz Amort'!I$8/12)</f>
        <v>#REF!</v>
      </c>
      <c r="R11" s="118"/>
      <c r="T11" s="176"/>
      <c r="U11" s="176"/>
      <c r="V11" s="118"/>
      <c r="X11" s="176"/>
      <c r="Y11" s="115"/>
      <c r="Z11" s="118"/>
      <c r="AB11" s="46" t="s">
        <v>322</v>
      </c>
      <c r="AC11" s="526">
        <f>'Mezz Amort'!$I$6</f>
        <v>350</v>
      </c>
      <c r="AD11" s="644">
        <f>'Deal Details'!$C$20</f>
        <v>0.01</v>
      </c>
      <c r="AF11" s="176"/>
      <c r="AG11" s="176"/>
      <c r="AH11" s="118"/>
      <c r="AJ11" s="176"/>
      <c r="AK11" s="115"/>
      <c r="AL11" s="118"/>
      <c r="AN11" s="176"/>
      <c r="AO11" s="115"/>
      <c r="AP11" s="118"/>
      <c r="AR11" s="176"/>
      <c r="AS11" s="176"/>
      <c r="AT11" s="118"/>
      <c r="AV11" s="176"/>
      <c r="AW11" s="115"/>
      <c r="AX11" s="118"/>
      <c r="AZ11" s="176"/>
      <c r="BA11" s="115"/>
      <c r="BB11" s="118"/>
      <c r="BD11" s="176"/>
      <c r="BE11" s="176"/>
      <c r="BF11" s="118"/>
      <c r="BH11" s="176"/>
      <c r="BI11" s="115"/>
      <c r="BJ11" s="118"/>
      <c r="BL11" s="176"/>
      <c r="BM11" s="115"/>
      <c r="BN11" s="118"/>
      <c r="BP11" s="176"/>
      <c r="BQ11" s="176"/>
      <c r="BR11" s="118"/>
      <c r="BT11" s="176"/>
      <c r="BU11" s="115"/>
      <c r="BV11" s="118"/>
      <c r="BX11" s="176"/>
      <c r="BY11" s="115"/>
      <c r="BZ11" s="118"/>
      <c r="CB11" s="176"/>
      <c r="CC11" s="176"/>
      <c r="CD11" s="118"/>
    </row>
    <row r="12" spans="1:82" x14ac:dyDescent="0.25">
      <c r="A12" t="s">
        <v>296</v>
      </c>
      <c r="O12" s="668">
        <v>6</v>
      </c>
      <c r="P12" s="130">
        <f t="shared" ca="1" si="0"/>
        <v>46289</v>
      </c>
      <c r="Q12" s="642" t="e" cm="1">
        <f t="array" ref="Q12">_xlfn.IFS(O12&gt;AC$8,0,'Deal Details'!#REF!="Yes",0/12,'Deal Details'!#REF!="No",'Mezz Amort'!I$8/12)</f>
        <v>#REF!</v>
      </c>
      <c r="R12" s="118"/>
      <c r="T12" s="176"/>
      <c r="U12" s="115"/>
      <c r="V12" s="118"/>
      <c r="X12" s="176"/>
      <c r="Y12" s="115"/>
      <c r="Z12" s="118"/>
      <c r="AB12" s="46" t="s">
        <v>27</v>
      </c>
      <c r="AC12" s="648">
        <f ca="1">'Deal Details'!$C$31</f>
        <v>46105</v>
      </c>
      <c r="AD12" s="48"/>
      <c r="AF12" s="176"/>
      <c r="AG12" s="115"/>
      <c r="AH12" s="118"/>
      <c r="AJ12" s="176"/>
      <c r="AK12" s="115"/>
      <c r="AL12" s="118"/>
      <c r="AN12" s="176"/>
      <c r="AO12" s="115"/>
      <c r="AP12" s="118"/>
      <c r="AR12" s="176"/>
      <c r="AS12" s="115"/>
      <c r="AT12" s="118"/>
      <c r="AV12" s="176"/>
      <c r="AW12" s="115"/>
      <c r="AX12" s="118"/>
      <c r="AZ12" s="176"/>
      <c r="BA12" s="115"/>
      <c r="BB12" s="118"/>
      <c r="BD12" s="176"/>
      <c r="BE12" s="115"/>
      <c r="BF12" s="118"/>
      <c r="BH12" s="176"/>
      <c r="BI12" s="115"/>
      <c r="BJ12" s="118"/>
      <c r="BL12" s="176"/>
      <c r="BM12" s="115"/>
      <c r="BN12" s="118"/>
      <c r="BP12" s="176"/>
      <c r="BQ12" s="115"/>
      <c r="BR12" s="118"/>
      <c r="BT12" s="176"/>
      <c r="BU12" s="115"/>
      <c r="BV12" s="118"/>
      <c r="BX12" s="176"/>
      <c r="BY12" s="115"/>
      <c r="BZ12" s="118"/>
      <c r="CB12" s="176"/>
      <c r="CC12" s="115"/>
      <c r="CD12" s="118"/>
    </row>
    <row r="13" spans="1:82" ht="15.75" thickBot="1" x14ac:dyDescent="0.3">
      <c r="O13" s="668">
        <v>7</v>
      </c>
      <c r="P13" s="130">
        <f t="shared" ca="1" si="0"/>
        <v>46319</v>
      </c>
      <c r="Q13" s="642" t="e" cm="1">
        <f t="array" ref="Q13">_xlfn.IFS(O13&gt;AC$8,0,'Deal Details'!#REF!="Yes",0/12,'Deal Details'!#REF!="No",'Mezz Amort'!I$8/12)</f>
        <v>#REF!</v>
      </c>
      <c r="R13" s="118"/>
      <c r="T13" s="176"/>
      <c r="U13" s="115"/>
      <c r="V13" s="118"/>
      <c r="X13" s="176"/>
      <c r="Y13" s="115"/>
      <c r="Z13" s="118"/>
      <c r="AB13" s="649" t="s">
        <v>199</v>
      </c>
      <c r="AC13" s="673">
        <f ca="1">AC12+(365*AC8/12)</f>
        <v>46470</v>
      </c>
      <c r="AD13" s="68"/>
      <c r="AF13" s="130"/>
      <c r="AG13" s="115"/>
      <c r="AH13" s="100"/>
      <c r="AJ13" s="130"/>
      <c r="AK13" s="115"/>
      <c r="AL13" s="100"/>
      <c r="AN13" s="130"/>
      <c r="AO13" s="115"/>
      <c r="AP13" s="100"/>
      <c r="AR13" s="130"/>
      <c r="AS13" s="115"/>
      <c r="AT13" s="100"/>
      <c r="AV13" s="130"/>
      <c r="AW13" s="115"/>
      <c r="AX13" s="100"/>
      <c r="AZ13" s="130"/>
      <c r="BA13" s="115"/>
      <c r="BB13" s="100"/>
      <c r="BD13" s="130"/>
      <c r="BE13" s="115"/>
      <c r="BF13" s="100"/>
      <c r="BH13" s="130"/>
      <c r="BI13" s="115"/>
      <c r="BJ13" s="100"/>
      <c r="BL13" s="130"/>
      <c r="BM13" s="115"/>
      <c r="BN13" s="100"/>
      <c r="BP13" s="130"/>
      <c r="BQ13" s="115"/>
      <c r="BR13" s="100"/>
      <c r="BT13" s="130"/>
      <c r="BU13" s="115"/>
      <c r="BV13" s="100"/>
      <c r="BX13" s="130"/>
      <c r="BY13" s="115"/>
      <c r="BZ13" s="100"/>
      <c r="CB13" s="130"/>
      <c r="CC13" s="115"/>
      <c r="CD13" s="100"/>
    </row>
    <row r="14" spans="1:82" x14ac:dyDescent="0.25">
      <c r="A14" s="4" t="s">
        <v>300</v>
      </c>
      <c r="B14" s="4"/>
      <c r="C14" s="4" t="s">
        <v>327</v>
      </c>
      <c r="D14" s="4" t="s">
        <v>155</v>
      </c>
      <c r="E14" s="4" t="s">
        <v>324</v>
      </c>
      <c r="F14" s="4" t="s">
        <v>328</v>
      </c>
      <c r="G14" s="4" t="s">
        <v>288</v>
      </c>
      <c r="H14" s="4" t="s">
        <v>270</v>
      </c>
      <c r="I14" s="4" t="s">
        <v>329</v>
      </c>
      <c r="J14" s="103" t="s">
        <v>304</v>
      </c>
      <c r="K14" s="103" t="s">
        <v>330</v>
      </c>
      <c r="L14" s="103" t="s">
        <v>331</v>
      </c>
      <c r="M14" s="103" t="s">
        <v>332</v>
      </c>
      <c r="N14" s="103" t="s">
        <v>333</v>
      </c>
      <c r="O14" s="668">
        <v>8</v>
      </c>
      <c r="P14" s="130">
        <f t="shared" ca="1" si="0"/>
        <v>46350</v>
      </c>
      <c r="Q14" s="642" t="e" cm="1">
        <f t="array" ref="Q14">_xlfn.IFS(O14&gt;AC$8,0,'Deal Details'!#REF!="Yes",0/12,'Deal Details'!#REF!="No",'Mezz Amort'!I$8/12)</f>
        <v>#REF!</v>
      </c>
      <c r="R14" s="118"/>
      <c r="T14" s="176"/>
      <c r="U14" s="115"/>
      <c r="V14" s="118"/>
      <c r="X14" s="176"/>
      <c r="Y14" s="115"/>
      <c r="Z14" s="118"/>
      <c r="AB14" s="130"/>
      <c r="AC14" s="115"/>
      <c r="AD14" s="100"/>
      <c r="AF14" s="130"/>
      <c r="AG14" s="115"/>
      <c r="AH14" s="100"/>
      <c r="AJ14" s="130"/>
      <c r="AK14" s="115"/>
      <c r="AL14" s="100"/>
      <c r="AN14" s="130"/>
      <c r="AO14" s="115"/>
      <c r="AP14" s="100"/>
      <c r="AR14" s="130"/>
      <c r="AS14" s="115"/>
      <c r="AT14" s="100"/>
      <c r="AV14" s="130"/>
      <c r="AW14" s="115"/>
      <c r="AX14" s="100"/>
      <c r="AZ14" s="130"/>
      <c r="BA14" s="115"/>
      <c r="BB14" s="100"/>
      <c r="BD14" s="130"/>
      <c r="BE14" s="115"/>
      <c r="BF14" s="100"/>
      <c r="BH14" s="130"/>
      <c r="BI14" s="115"/>
      <c r="BJ14" s="100"/>
      <c r="BL14" s="130"/>
      <c r="BM14" s="115"/>
      <c r="BN14" s="100"/>
      <c r="BP14" s="130"/>
      <c r="BQ14" s="115"/>
      <c r="BR14" s="100"/>
      <c r="BT14" s="130"/>
      <c r="BU14" s="115"/>
      <c r="BV14" s="100"/>
      <c r="BX14" s="130"/>
      <c r="BY14" s="115"/>
      <c r="BZ14" s="100"/>
      <c r="CB14" s="130"/>
      <c r="CC14" s="115"/>
      <c r="CD14" s="100"/>
    </row>
    <row r="15" spans="1:82" x14ac:dyDescent="0.25">
      <c r="A15" s="180">
        <f ca="1">C8</f>
        <v>46105</v>
      </c>
      <c r="B15" s="181">
        <v>1</v>
      </c>
      <c r="C15" s="182">
        <f>$C$4</f>
        <v>35000</v>
      </c>
      <c r="D15" s="182">
        <f>(B15*($C$6/360))*C15</f>
        <v>23.333333333333332</v>
      </c>
      <c r="E15" s="182">
        <v>0</v>
      </c>
      <c r="F15" s="182">
        <v>0</v>
      </c>
      <c r="G15" s="182">
        <f>MAX(0,I8-D15-E15)</f>
        <v>8376.6666666666661</v>
      </c>
      <c r="H15" s="182">
        <f>IF(G15&gt;0,C15+F15+I15,SUM(C15:F15))</f>
        <v>35000</v>
      </c>
      <c r="I15" s="183">
        <v>0</v>
      </c>
      <c r="J15" s="263">
        <f t="shared" ref="J15:J78" si="1">H15-IF(I$8-G15&lt;Q$42,I$8-Q$42,G15)</f>
        <v>29400</v>
      </c>
      <c r="K15" s="182">
        <f ca="1">$L$3/($C$11-$C$8)</f>
        <v>70</v>
      </c>
      <c r="L15" s="182">
        <f>D15</f>
        <v>23.333333333333332</v>
      </c>
      <c r="M15" s="182">
        <f>IF($I$8&gt;L15,L15,$I$8)</f>
        <v>23.333333333333332</v>
      </c>
      <c r="N15" s="182">
        <f ca="1">K15+D15+I15</f>
        <v>93.333333333333329</v>
      </c>
      <c r="O15" s="668">
        <v>9</v>
      </c>
      <c r="P15" s="130">
        <f t="shared" ca="1" si="0"/>
        <v>46380</v>
      </c>
      <c r="Q15" s="642" t="e" cm="1">
        <f t="array" ref="Q15">_xlfn.IFS(O15&gt;AC$8,0,'Deal Details'!#REF!="Yes",0/12,'Deal Details'!#REF!="No",'Mezz Amort'!I$8/12)</f>
        <v>#REF!</v>
      </c>
      <c r="R15" s="118"/>
      <c r="T15" s="176"/>
      <c r="U15" s="115"/>
      <c r="V15" s="118"/>
      <c r="X15" s="176"/>
      <c r="Y15" s="115"/>
      <c r="Z15" s="118"/>
      <c r="AB15" s="130"/>
      <c r="AC15" s="115"/>
      <c r="AD15" s="100"/>
      <c r="AF15" s="130"/>
      <c r="AG15" s="115"/>
      <c r="AH15" s="100"/>
      <c r="AJ15" s="130"/>
      <c r="AK15" s="115"/>
      <c r="AL15" s="100"/>
      <c r="AN15" s="130"/>
      <c r="AO15" s="115"/>
      <c r="AP15" s="100"/>
      <c r="AR15" s="130"/>
      <c r="AS15" s="115"/>
      <c r="AT15" s="100"/>
      <c r="AV15" s="130"/>
      <c r="AW15" s="115"/>
      <c r="AX15" s="100"/>
      <c r="AZ15" s="130"/>
      <c r="BA15" s="115"/>
      <c r="BB15" s="100"/>
      <c r="BD15" s="130"/>
      <c r="BE15" s="115"/>
      <c r="BF15" s="100"/>
      <c r="BH15" s="130"/>
      <c r="BI15" s="115"/>
      <c r="BJ15" s="100"/>
      <c r="BL15" s="130"/>
      <c r="BM15" s="115"/>
      <c r="BN15" s="100"/>
      <c r="BP15" s="130"/>
      <c r="BQ15" s="115"/>
      <c r="BR15" s="100"/>
      <c r="BT15" s="130"/>
      <c r="BU15" s="115"/>
      <c r="BV15" s="100"/>
      <c r="BX15" s="130"/>
      <c r="BY15" s="115"/>
      <c r="BZ15" s="100"/>
      <c r="CB15" s="130"/>
      <c r="CC15" s="115"/>
      <c r="CD15" s="100"/>
    </row>
    <row r="16" spans="1:82" x14ac:dyDescent="0.25">
      <c r="A16" s="180">
        <f ca="1">A15+1</f>
        <v>46106</v>
      </c>
      <c r="B16" s="181">
        <v>2</v>
      </c>
      <c r="C16" s="182">
        <f>H15</f>
        <v>35000</v>
      </c>
      <c r="D16" s="182">
        <f>(($C$6/360))*C16</f>
        <v>23.333333333333332</v>
      </c>
      <c r="E16" s="182">
        <v>0</v>
      </c>
      <c r="F16" s="182">
        <f t="shared" ref="F16:F79" ca="1" si="2">IFERROR(-VLOOKUP(A16,$P$4:$R$12,2,FALSE),0)</f>
        <v>0</v>
      </c>
      <c r="G16" s="182">
        <f>IF(G15-D16-E16&gt;0,G15-D16-E16,0)</f>
        <v>8353.3333333333321</v>
      </c>
      <c r="H16" s="182">
        <f t="shared" ref="H16:H32" ca="1" si="3">IF(G16&gt;0,C16+F16+I16,SUM(C16:F16)-G15)</f>
        <v>35000</v>
      </c>
      <c r="I16" s="183">
        <v>0</v>
      </c>
      <c r="J16" s="263">
        <f t="shared" ca="1" si="1"/>
        <v>29400</v>
      </c>
      <c r="K16" s="182">
        <f t="shared" ref="K16:K79" ca="1" si="4">$L$3/($C$11-$C$8)</f>
        <v>70</v>
      </c>
      <c r="L16" s="182">
        <f t="shared" ref="L16:L79" si="5">L15+D16</f>
        <v>46.666666666666664</v>
      </c>
      <c r="M16" s="182">
        <f t="shared" ref="M16:M79" si="6">IF($I$8&gt;L16,L16,$I$8)</f>
        <v>46.666666666666664</v>
      </c>
      <c r="N16" s="182">
        <f t="shared" ref="N16:N79" ca="1" si="7">N15+D16+K16+I16</f>
        <v>186.66666666666666</v>
      </c>
      <c r="O16" s="668">
        <v>10</v>
      </c>
      <c r="P16" s="130">
        <f t="shared" ca="1" si="0"/>
        <v>46411</v>
      </c>
      <c r="Q16" s="642" t="e" cm="1">
        <f t="array" ref="Q16">_xlfn.IFS(O16&gt;AC$8,0,'Deal Details'!#REF!="Yes",0/12,'Deal Details'!#REF!="No",'Mezz Amort'!I$8/12)</f>
        <v>#REF!</v>
      </c>
      <c r="R16" s="104"/>
      <c r="T16" s="176"/>
      <c r="U16" s="115"/>
      <c r="V16" s="118"/>
      <c r="X16" s="176"/>
      <c r="Y16" s="115"/>
      <c r="Z16" s="118"/>
      <c r="AB16" s="130"/>
      <c r="AC16" s="115"/>
      <c r="AD16" s="100"/>
      <c r="AF16" s="130"/>
      <c r="AG16" s="115"/>
      <c r="AH16" s="100"/>
      <c r="AJ16" s="130"/>
      <c r="AK16" s="115"/>
      <c r="AL16" s="100"/>
      <c r="AN16" s="130"/>
      <c r="AO16" s="115"/>
      <c r="AP16" s="100"/>
      <c r="AR16" s="130"/>
      <c r="AS16" s="115"/>
      <c r="AT16" s="100"/>
      <c r="AV16" s="130"/>
      <c r="AW16" s="115"/>
      <c r="AX16" s="100"/>
      <c r="AZ16" s="130"/>
      <c r="BA16" s="115"/>
      <c r="BB16" s="100"/>
      <c r="BD16" s="130"/>
      <c r="BE16" s="115"/>
      <c r="BF16" s="100"/>
      <c r="BH16" s="130"/>
      <c r="BI16" s="115"/>
      <c r="BJ16" s="100"/>
      <c r="BL16" s="130"/>
      <c r="BM16" s="115"/>
      <c r="BN16" s="100"/>
      <c r="BP16" s="130"/>
      <c r="BQ16" s="115"/>
      <c r="BR16" s="100"/>
      <c r="BT16" s="130"/>
      <c r="BU16" s="115"/>
      <c r="BV16" s="100"/>
      <c r="BX16" s="130"/>
      <c r="BY16" s="115"/>
      <c r="BZ16" s="100"/>
      <c r="CB16" s="130"/>
      <c r="CC16" s="115"/>
      <c r="CD16" s="100"/>
    </row>
    <row r="17" spans="1:38" ht="16.5" thickBot="1" x14ac:dyDescent="0.3">
      <c r="A17" s="180">
        <f t="shared" ref="A17:A80" ca="1" si="8">A16+1</f>
        <v>46107</v>
      </c>
      <c r="B17" s="181">
        <v>3</v>
      </c>
      <c r="C17" s="182">
        <f t="shared" ref="C17:C80" ca="1" si="9">H16</f>
        <v>35000</v>
      </c>
      <c r="D17" s="182">
        <f t="shared" ref="D17:D80" ca="1" si="10">(($C$6/360))*C17</f>
        <v>23.333333333333332</v>
      </c>
      <c r="E17" s="182">
        <v>0</v>
      </c>
      <c r="F17" s="182">
        <f t="shared" ca="1" si="2"/>
        <v>0</v>
      </c>
      <c r="G17" s="182">
        <f t="shared" ref="G17:G80" ca="1" si="11">IF(G16-D17-E17&gt;0,G16-D17-E17,0)</f>
        <v>8329.9999999999982</v>
      </c>
      <c r="H17" s="182">
        <f t="shared" ca="1" si="3"/>
        <v>35000</v>
      </c>
      <c r="I17" s="183">
        <v>0</v>
      </c>
      <c r="J17" s="263">
        <f t="shared" ca="1" si="1"/>
        <v>29400</v>
      </c>
      <c r="K17" s="182">
        <f t="shared" ca="1" si="4"/>
        <v>70</v>
      </c>
      <c r="L17" s="182">
        <f t="shared" ca="1" si="5"/>
        <v>70</v>
      </c>
      <c r="M17" s="182">
        <f t="shared" ca="1" si="6"/>
        <v>70</v>
      </c>
      <c r="N17" s="182">
        <f t="shared" ca="1" si="7"/>
        <v>280</v>
      </c>
      <c r="O17" s="668">
        <v>11</v>
      </c>
      <c r="P17" s="130">
        <f t="shared" ca="1" si="0"/>
        <v>46442</v>
      </c>
      <c r="Q17" s="642" t="e" cm="1">
        <f t="array" ref="Q17">_xlfn.IFS(O17&gt;AC$8,0,'Deal Details'!#REF!="Yes",0/12,'Deal Details'!#REF!="No",'Mezz Amort'!I$8/12)</f>
        <v>#REF!</v>
      </c>
      <c r="R17" s="104"/>
      <c r="T17" s="188">
        <f ca="1">IF(Q38=0,C12,Q36)</f>
        <v>46105</v>
      </c>
      <c r="U17" s="189">
        <f ca="1">Q38</f>
        <v>29400</v>
      </c>
      <c r="V17" s="190"/>
      <c r="X17" s="188">
        <f ca="1">C11</f>
        <v>46470</v>
      </c>
      <c r="Y17" s="189">
        <f ca="1">VLOOKUP(X17,A14:H1785,8,TRUE)</f>
        <v>35140.233540844434</v>
      </c>
      <c r="Z17" s="190"/>
    </row>
    <row r="18" spans="1:38" ht="15.75" thickTop="1" x14ac:dyDescent="0.25">
      <c r="A18" s="180">
        <f t="shared" ca="1" si="8"/>
        <v>46108</v>
      </c>
      <c r="B18" s="181">
        <v>4</v>
      </c>
      <c r="C18" s="182">
        <f t="shared" ca="1" si="9"/>
        <v>35000</v>
      </c>
      <c r="D18" s="182">
        <f t="shared" ca="1" si="10"/>
        <v>23.333333333333332</v>
      </c>
      <c r="E18" s="182">
        <v>0</v>
      </c>
      <c r="F18" s="182">
        <f t="shared" ca="1" si="2"/>
        <v>0</v>
      </c>
      <c r="G18" s="182">
        <f t="shared" ca="1" si="11"/>
        <v>8306.6666666666642</v>
      </c>
      <c r="H18" s="182">
        <f t="shared" ca="1" si="3"/>
        <v>35000</v>
      </c>
      <c r="I18" s="183">
        <v>0</v>
      </c>
      <c r="J18" s="263">
        <f t="shared" ca="1" si="1"/>
        <v>29400</v>
      </c>
      <c r="K18" s="182">
        <f t="shared" ca="1" si="4"/>
        <v>70</v>
      </c>
      <c r="L18" s="182">
        <f t="shared" ca="1" si="5"/>
        <v>93.333333333333329</v>
      </c>
      <c r="M18" s="182">
        <f t="shared" ca="1" si="6"/>
        <v>93.333333333333329</v>
      </c>
      <c r="N18" s="182">
        <f t="shared" ca="1" si="7"/>
        <v>373.33333333333331</v>
      </c>
      <c r="O18" s="668">
        <v>12</v>
      </c>
      <c r="P18" s="130">
        <f t="shared" ca="1" si="0"/>
        <v>46470</v>
      </c>
      <c r="Q18" s="642" t="e" cm="1">
        <f t="array" ref="Q18">_xlfn.IFS(O18&gt;AC$8,0,'Deal Details'!#REF!="Yes",0/12,'Deal Details'!#REF!="No",'Mezz Amort'!I$8/12)</f>
        <v>#REF!</v>
      </c>
      <c r="R18" s="104"/>
      <c r="T18" s="1" t="s">
        <v>308</v>
      </c>
      <c r="U18" s="1">
        <f ca="1">IF(ISERROR(XIRR(U4:U17,T4:T17,0.35)),1,XIRR(U4:U17,T4:T17,0.35))</f>
        <v>1</v>
      </c>
      <c r="V18" s="1"/>
      <c r="W18" s="1"/>
      <c r="X18" s="1" t="s">
        <v>334</v>
      </c>
      <c r="Y18" s="1" t="e">
        <f ca="1">XIRR(Y4:Y17,X4:X17)</f>
        <v>#REF!</v>
      </c>
      <c r="Z18">
        <f ca="1">VLOOKUP(X17,A14:H478,7,0)</f>
        <v>0</v>
      </c>
    </row>
    <row r="19" spans="1:38" x14ac:dyDescent="0.25">
      <c r="A19" s="180">
        <f t="shared" ca="1" si="8"/>
        <v>46109</v>
      </c>
      <c r="B19" s="181">
        <v>5</v>
      </c>
      <c r="C19" s="182">
        <f t="shared" ca="1" si="9"/>
        <v>35000</v>
      </c>
      <c r="D19" s="182">
        <f t="shared" ca="1" si="10"/>
        <v>23.333333333333332</v>
      </c>
      <c r="E19" s="182">
        <v>0</v>
      </c>
      <c r="F19" s="182">
        <f t="shared" ca="1" si="2"/>
        <v>0</v>
      </c>
      <c r="G19" s="182">
        <f t="shared" ca="1" si="11"/>
        <v>8283.3333333333303</v>
      </c>
      <c r="H19" s="182">
        <f t="shared" ca="1" si="3"/>
        <v>35000</v>
      </c>
      <c r="I19" s="183">
        <v>0</v>
      </c>
      <c r="J19" s="263">
        <f t="shared" ca="1" si="1"/>
        <v>29400</v>
      </c>
      <c r="K19" s="182">
        <f t="shared" ca="1" si="4"/>
        <v>70</v>
      </c>
      <c r="L19" s="182">
        <f t="shared" ca="1" si="5"/>
        <v>116.66666666666666</v>
      </c>
      <c r="M19" s="182">
        <f t="shared" ca="1" si="6"/>
        <v>116.66666666666666</v>
      </c>
      <c r="N19" s="182">
        <f t="shared" ca="1" si="7"/>
        <v>466.66666666666663</v>
      </c>
      <c r="O19" s="668">
        <v>13</v>
      </c>
      <c r="P19" s="130">
        <f t="shared" ca="1" si="0"/>
        <v>46501</v>
      </c>
      <c r="Q19" s="642" cm="1">
        <f t="array" ref="Q19">_xlfn.IFS(O19&gt;AC$8,0,'Deal Details'!#REF!="Yes",0/12,'Deal Details'!#REF!="No",'Mezz Amort'!I$8/12)</f>
        <v>0</v>
      </c>
      <c r="R19" s="104"/>
    </row>
    <row r="20" spans="1:38" x14ac:dyDescent="0.25">
      <c r="A20" s="180">
        <f t="shared" ca="1" si="8"/>
        <v>46110</v>
      </c>
      <c r="B20" s="181">
        <v>6</v>
      </c>
      <c r="C20" s="182">
        <f t="shared" ca="1" si="9"/>
        <v>35000</v>
      </c>
      <c r="D20" s="182">
        <f t="shared" ca="1" si="10"/>
        <v>23.333333333333332</v>
      </c>
      <c r="E20" s="182">
        <v>0</v>
      </c>
      <c r="F20" s="182">
        <f t="shared" ca="1" si="2"/>
        <v>0</v>
      </c>
      <c r="G20" s="182">
        <f t="shared" ca="1" si="11"/>
        <v>8259.9999999999964</v>
      </c>
      <c r="H20" s="182">
        <f t="shared" ca="1" si="3"/>
        <v>35000</v>
      </c>
      <c r="I20" s="183">
        <v>0</v>
      </c>
      <c r="J20" s="263">
        <f t="shared" ca="1" si="1"/>
        <v>29400</v>
      </c>
      <c r="K20" s="182">
        <f t="shared" ca="1" si="4"/>
        <v>70</v>
      </c>
      <c r="L20" s="182">
        <f t="shared" ca="1" si="5"/>
        <v>140</v>
      </c>
      <c r="M20" s="182">
        <f t="shared" ca="1" si="6"/>
        <v>140</v>
      </c>
      <c r="N20" s="182">
        <f t="shared" ca="1" si="7"/>
        <v>560</v>
      </c>
      <c r="O20" s="668">
        <v>14</v>
      </c>
      <c r="P20" s="130">
        <f t="shared" ca="1" si="0"/>
        <v>46531</v>
      </c>
      <c r="Q20" s="642" cm="1">
        <f t="array" ref="Q20">_xlfn.IFS(O20&gt;AC$8,0,'Deal Details'!#REF!="Yes",0/12,'Deal Details'!#REF!="No",'Mezz Amort'!I$8/12)</f>
        <v>0</v>
      </c>
      <c r="R20" s="104"/>
    </row>
    <row r="21" spans="1:38" ht="15.75" x14ac:dyDescent="0.25">
      <c r="A21" s="180">
        <f t="shared" ca="1" si="8"/>
        <v>46111</v>
      </c>
      <c r="B21" s="181">
        <v>7</v>
      </c>
      <c r="C21" s="182">
        <f t="shared" ca="1" si="9"/>
        <v>35000</v>
      </c>
      <c r="D21" s="182">
        <f t="shared" ca="1" si="10"/>
        <v>23.333333333333332</v>
      </c>
      <c r="E21" s="182">
        <v>0</v>
      </c>
      <c r="F21" s="182">
        <f t="shared" ca="1" si="2"/>
        <v>0</v>
      </c>
      <c r="G21" s="182">
        <f t="shared" ca="1" si="11"/>
        <v>8236.6666666666624</v>
      </c>
      <c r="H21" s="182">
        <f t="shared" ca="1" si="3"/>
        <v>35000</v>
      </c>
      <c r="I21" s="183">
        <v>0</v>
      </c>
      <c r="J21" s="263">
        <f t="shared" ca="1" si="1"/>
        <v>29400</v>
      </c>
      <c r="K21" s="182">
        <f t="shared" ca="1" si="4"/>
        <v>70</v>
      </c>
      <c r="L21" s="182">
        <f t="shared" ca="1" si="5"/>
        <v>163.33333333333334</v>
      </c>
      <c r="M21" s="182">
        <f t="shared" ca="1" si="6"/>
        <v>163.33333333333334</v>
      </c>
      <c r="N21" s="182">
        <f t="shared" ca="1" si="7"/>
        <v>653.33333333333337</v>
      </c>
      <c r="O21" s="668">
        <v>15</v>
      </c>
      <c r="P21" s="130">
        <f t="shared" ca="1" si="0"/>
        <v>46562</v>
      </c>
      <c r="Q21" s="642" cm="1">
        <f t="array" ref="Q21">_xlfn.IFS(O21&gt;AC$8,0,'Deal Details'!#REF!="Yes",0/12,'Deal Details'!#REF!="No",'Mezz Amort'!I$8/12)</f>
        <v>0</v>
      </c>
      <c r="R21" s="653"/>
      <c r="S21" s="185"/>
    </row>
    <row r="22" spans="1:38" ht="15.75" x14ac:dyDescent="0.25">
      <c r="A22" s="180">
        <f t="shared" ca="1" si="8"/>
        <v>46112</v>
      </c>
      <c r="B22" s="181">
        <v>8</v>
      </c>
      <c r="C22" s="182">
        <f t="shared" ca="1" si="9"/>
        <v>35000</v>
      </c>
      <c r="D22" s="182">
        <f t="shared" ca="1" si="10"/>
        <v>23.333333333333332</v>
      </c>
      <c r="E22" s="182">
        <v>0</v>
      </c>
      <c r="F22" s="182">
        <f t="shared" ca="1" si="2"/>
        <v>0</v>
      </c>
      <c r="G22" s="182">
        <f t="shared" ca="1" si="11"/>
        <v>8213.3333333333285</v>
      </c>
      <c r="H22" s="182">
        <f t="shared" ca="1" si="3"/>
        <v>35000</v>
      </c>
      <c r="I22" s="183">
        <v>0</v>
      </c>
      <c r="J22" s="263">
        <f t="shared" ca="1" si="1"/>
        <v>29400</v>
      </c>
      <c r="K22" s="182">
        <f t="shared" ca="1" si="4"/>
        <v>70</v>
      </c>
      <c r="L22" s="182">
        <f t="shared" ca="1" si="5"/>
        <v>186.66666666666669</v>
      </c>
      <c r="M22" s="182">
        <f t="shared" ca="1" si="6"/>
        <v>186.66666666666669</v>
      </c>
      <c r="N22" s="182">
        <f t="shared" ca="1" si="7"/>
        <v>746.66666666666674</v>
      </c>
      <c r="O22" s="668">
        <v>16</v>
      </c>
      <c r="P22" s="130">
        <f t="shared" ca="1" si="0"/>
        <v>46592</v>
      </c>
      <c r="Q22" s="642" cm="1">
        <f t="array" ref="Q22">_xlfn.IFS(O22&gt;AC$8,0,'Deal Details'!#REF!="Yes",0/12,'Deal Details'!#REF!="No",'Mezz Amort'!I$8/12)</f>
        <v>0</v>
      </c>
      <c r="R22" s="653"/>
      <c r="S22" s="185"/>
    </row>
    <row r="23" spans="1:38" ht="18" customHeight="1" x14ac:dyDescent="0.25">
      <c r="A23" s="180">
        <f ca="1">A22+1</f>
        <v>46113</v>
      </c>
      <c r="B23" s="181">
        <v>9</v>
      </c>
      <c r="C23" s="182">
        <f ca="1">H22</f>
        <v>35000</v>
      </c>
      <c r="D23" s="182">
        <f t="shared" ca="1" si="10"/>
        <v>23.333333333333332</v>
      </c>
      <c r="E23" s="182">
        <v>0</v>
      </c>
      <c r="F23" s="182">
        <f t="shared" ca="1" si="2"/>
        <v>0</v>
      </c>
      <c r="G23" s="182">
        <f ca="1">IF(G22-D23-E23&gt;0,G22-D23-E23,0)</f>
        <v>8189.9999999999955</v>
      </c>
      <c r="H23" s="182">
        <f ca="1">IF(G23&gt;0,C23+F23+I23,SUM(C23:F23)-G22)</f>
        <v>35000</v>
      </c>
      <c r="I23" s="183">
        <v>0</v>
      </c>
      <c r="J23" s="263">
        <f t="shared" ca="1" si="1"/>
        <v>29400</v>
      </c>
      <c r="K23" s="182">
        <f t="shared" ca="1" si="4"/>
        <v>70</v>
      </c>
      <c r="L23" s="182">
        <f ca="1">L22+D23</f>
        <v>210.00000000000003</v>
      </c>
      <c r="M23" s="182">
        <f t="shared" ca="1" si="6"/>
        <v>210.00000000000003</v>
      </c>
      <c r="N23" s="182">
        <f t="shared" ca="1" si="7"/>
        <v>840.00000000000011</v>
      </c>
      <c r="O23" s="668">
        <v>17</v>
      </c>
      <c r="P23" s="130">
        <f t="shared" ca="1" si="0"/>
        <v>46623</v>
      </c>
      <c r="Q23" s="642" cm="1">
        <f t="array" ref="Q23">_xlfn.IFS(O23&gt;AC$8,0,'Deal Details'!#REF!="Yes",0/12,'Deal Details'!#REF!="No",'Mezz Amort'!I$8/12)</f>
        <v>0</v>
      </c>
      <c r="R23" s="104"/>
      <c r="S23" s="117" t="s">
        <v>121</v>
      </c>
      <c r="T23" s="117" t="s">
        <v>335</v>
      </c>
      <c r="U23" s="117" t="s">
        <v>249</v>
      </c>
      <c r="V23" s="117" t="s">
        <v>270</v>
      </c>
      <c r="W23" s="117" t="s">
        <v>336</v>
      </c>
      <c r="X23" s="117" t="s">
        <v>337</v>
      </c>
      <c r="Y23" s="117" t="s">
        <v>338</v>
      </c>
      <c r="Z23" s="117" t="s">
        <v>320</v>
      </c>
      <c r="AA23" s="117" t="s">
        <v>329</v>
      </c>
      <c r="AB23" s="117" t="s">
        <v>339</v>
      </c>
      <c r="AC23" s="117" t="s">
        <v>48</v>
      </c>
      <c r="AD23" s="117" t="s">
        <v>340</v>
      </c>
      <c r="AE23" s="117" t="s">
        <v>341</v>
      </c>
      <c r="AF23" s="117" t="s">
        <v>342</v>
      </c>
      <c r="AG23" s="117" t="s">
        <v>343</v>
      </c>
      <c r="AH23" s="117" t="str">
        <f>P45</f>
        <v>Return on Invesment</v>
      </c>
      <c r="AI23" s="117" t="str">
        <f>P46</f>
        <v xml:space="preserve">Annualized ROI </v>
      </c>
      <c r="AJ23" s="117" t="s">
        <v>309</v>
      </c>
      <c r="AK23" s="117" t="s">
        <v>318</v>
      </c>
      <c r="AL23" s="117" t="s">
        <v>334</v>
      </c>
    </row>
    <row r="24" spans="1:38" x14ac:dyDescent="0.25">
      <c r="A24" s="180">
        <f t="shared" ca="1" si="8"/>
        <v>46114</v>
      </c>
      <c r="B24" s="181">
        <v>10</v>
      </c>
      <c r="C24" s="182">
        <f t="shared" ca="1" si="9"/>
        <v>35000</v>
      </c>
      <c r="D24" s="182">
        <f t="shared" ca="1" si="10"/>
        <v>23.333333333333332</v>
      </c>
      <c r="E24" s="182">
        <v>0</v>
      </c>
      <c r="F24" s="182">
        <f t="shared" ca="1" si="2"/>
        <v>0</v>
      </c>
      <c r="G24" s="182">
        <f t="shared" ca="1" si="11"/>
        <v>8166.6666666666624</v>
      </c>
      <c r="H24" s="182">
        <f t="shared" ca="1" si="3"/>
        <v>35000</v>
      </c>
      <c r="I24" s="183">
        <v>0</v>
      </c>
      <c r="J24" s="263">
        <f t="shared" ca="1" si="1"/>
        <v>29400</v>
      </c>
      <c r="K24" s="182">
        <f t="shared" ca="1" si="4"/>
        <v>70</v>
      </c>
      <c r="L24" s="182">
        <f t="shared" ca="1" si="5"/>
        <v>233.33333333333337</v>
      </c>
      <c r="M24" s="182">
        <f t="shared" ca="1" si="6"/>
        <v>233.33333333333337</v>
      </c>
      <c r="N24" s="182">
        <f t="shared" ca="1" si="7"/>
        <v>933.33333333333348</v>
      </c>
      <c r="O24" s="668">
        <v>18</v>
      </c>
      <c r="P24" s="130">
        <f t="shared" ca="1" si="0"/>
        <v>46654</v>
      </c>
      <c r="Q24" s="642" cm="1">
        <f t="array" ref="Q24">_xlfn.IFS(O24&gt;AC$8,0,'Deal Details'!#REF!="Yes",0/12,'Deal Details'!#REF!="No",'Mezz Amort'!I$8/12)</f>
        <v>0</v>
      </c>
      <c r="R24" s="104"/>
      <c r="S24" s="195" t="e">
        <f ca="1">IF(SUM(D14:OFFSET(D14,Q40,1))&gt;Q6,Q6+Q5,SUM(D14:OFFSET(D14,Q40,1))+Q5)</f>
        <v>#REF!</v>
      </c>
      <c r="T24" s="130">
        <f ca="1">P4</f>
        <v>46105</v>
      </c>
      <c r="U24" s="130">
        <f ca="1">C11</f>
        <v>46470</v>
      </c>
      <c r="V24" s="5">
        <f ca="1">Q38</f>
        <v>29400</v>
      </c>
      <c r="W24" s="115">
        <f ca="1">Y17</f>
        <v>35140.233540844434</v>
      </c>
      <c r="X24" t="str">
        <f>IF(C12="","NA",C12)</f>
        <v>NA</v>
      </c>
      <c r="Y24" s="115" t="e">
        <f>Q32-I8</f>
        <v>#REF!</v>
      </c>
      <c r="Z24" s="115">
        <f>-Q37</f>
        <v>35000</v>
      </c>
      <c r="AA24" s="115">
        <f ca="1">SUM(I14:OFFSET($I$14,Q40,,))</f>
        <v>0</v>
      </c>
      <c r="AB24" s="209" t="e">
        <f ca="1">IF(Y24-AC24-AE24&gt;=AA24,AA24,Y24-AC24-AE24)</f>
        <v>#REF!</v>
      </c>
      <c r="AC24" s="115">
        <f>D5</f>
        <v>1050</v>
      </c>
      <c r="AD24" s="115" t="e">
        <f>Q44</f>
        <v>#REF!</v>
      </c>
      <c r="AE24" s="210" t="e">
        <f>IF(Q43-AC24&gt;=Z24,Z24,Y24-AC24)</f>
        <v>#REF!</v>
      </c>
      <c r="AF24" s="210" t="e">
        <f ca="1">IF(Q47&gt;0,I10,V24)-(AA24-AB24)-(Z24-AE24)-I7+I8-Q47</f>
        <v>#REF!</v>
      </c>
      <c r="AG24" s="210" t="e">
        <f ca="1">Y24-AC24-AE24-AB24</f>
        <v>#REF!</v>
      </c>
      <c r="AH24" s="115" t="e">
        <f>Q45</f>
        <v>#REF!</v>
      </c>
      <c r="AI24" s="115" t="e">
        <f>Q46</f>
        <v>#REF!</v>
      </c>
      <c r="AJ24" t="e">
        <f ca="1">IF(0&lt;Q33&lt;1,Q33,"NA")</f>
        <v>#REF!</v>
      </c>
      <c r="AK24" s="85">
        <f ca="1">U18</f>
        <v>1</v>
      </c>
      <c r="AL24" s="85" t="e">
        <f ca="1">Y18</f>
        <v>#REF!</v>
      </c>
    </row>
    <row r="25" spans="1:38" x14ac:dyDescent="0.25">
      <c r="A25" s="180">
        <f t="shared" ca="1" si="8"/>
        <v>46115</v>
      </c>
      <c r="B25" s="181">
        <v>11</v>
      </c>
      <c r="C25" s="182">
        <f t="shared" ca="1" si="9"/>
        <v>35000</v>
      </c>
      <c r="D25" s="182">
        <f t="shared" ca="1" si="10"/>
        <v>23.333333333333332</v>
      </c>
      <c r="E25" s="182">
        <v>0</v>
      </c>
      <c r="F25" s="182">
        <f t="shared" ca="1" si="2"/>
        <v>0</v>
      </c>
      <c r="G25" s="182">
        <f t="shared" ca="1" si="11"/>
        <v>8143.3333333333294</v>
      </c>
      <c r="H25" s="182">
        <f t="shared" ca="1" si="3"/>
        <v>35000</v>
      </c>
      <c r="I25" s="183">
        <v>0</v>
      </c>
      <c r="J25" s="263">
        <f t="shared" ca="1" si="1"/>
        <v>29400</v>
      </c>
      <c r="K25" s="182">
        <f t="shared" ca="1" si="4"/>
        <v>70</v>
      </c>
      <c r="L25" s="182">
        <f t="shared" ca="1" si="5"/>
        <v>256.66666666666669</v>
      </c>
      <c r="M25" s="182">
        <f t="shared" ca="1" si="6"/>
        <v>256.66666666666669</v>
      </c>
      <c r="N25" s="182">
        <f t="shared" ca="1" si="7"/>
        <v>1026.666666666667</v>
      </c>
      <c r="O25" s="668">
        <v>19</v>
      </c>
      <c r="P25" s="130">
        <f t="shared" ca="1" si="0"/>
        <v>46684</v>
      </c>
      <c r="Q25" s="642" cm="1">
        <f t="array" ref="Q25">_xlfn.IFS(O25&gt;AC$8,0,'Deal Details'!#REF!="Yes",0/12,'Deal Details'!#REF!="No",'Mezz Amort'!I$8/12)</f>
        <v>0</v>
      </c>
      <c r="R25" s="104"/>
      <c r="S25" s="185"/>
    </row>
    <row r="26" spans="1:38" ht="15.75" thickBot="1" x14ac:dyDescent="0.3">
      <c r="A26" s="180">
        <f t="shared" ca="1" si="8"/>
        <v>46116</v>
      </c>
      <c r="B26" s="181">
        <v>12</v>
      </c>
      <c r="C26" s="182">
        <f t="shared" ca="1" si="9"/>
        <v>35000</v>
      </c>
      <c r="D26" s="182">
        <f t="shared" ca="1" si="10"/>
        <v>23.333333333333332</v>
      </c>
      <c r="E26" s="182">
        <v>0</v>
      </c>
      <c r="F26" s="182">
        <f t="shared" ca="1" si="2"/>
        <v>0</v>
      </c>
      <c r="G26" s="182">
        <f t="shared" ca="1" si="11"/>
        <v>8119.9999999999964</v>
      </c>
      <c r="H26" s="182">
        <f t="shared" ca="1" si="3"/>
        <v>35000</v>
      </c>
      <c r="I26" s="183">
        <v>0</v>
      </c>
      <c r="J26" s="263">
        <f t="shared" ca="1" si="1"/>
        <v>29400</v>
      </c>
      <c r="K26" s="182">
        <f t="shared" ca="1" si="4"/>
        <v>70</v>
      </c>
      <c r="L26" s="182">
        <f t="shared" ca="1" si="5"/>
        <v>280</v>
      </c>
      <c r="M26" s="182">
        <f t="shared" ca="1" si="6"/>
        <v>280</v>
      </c>
      <c r="N26" s="182">
        <f t="shared" ca="1" si="7"/>
        <v>1120.0000000000002</v>
      </c>
      <c r="O26" s="668">
        <v>20</v>
      </c>
      <c r="P26" s="130">
        <f t="shared" ca="1" si="0"/>
        <v>46715</v>
      </c>
      <c r="Q26" s="642" cm="1">
        <f t="array" ref="Q26">_xlfn.IFS(O26&gt;AC$8,0,'Deal Details'!#REF!="Yes",0/12,'Deal Details'!#REF!="No",'Mezz Amort'!I$8/12)</f>
        <v>0</v>
      </c>
      <c r="R26" s="104"/>
      <c r="S26" s="185"/>
    </row>
    <row r="27" spans="1:38" x14ac:dyDescent="0.25">
      <c r="A27" s="180">
        <f t="shared" ca="1" si="8"/>
        <v>46117</v>
      </c>
      <c r="B27" s="181">
        <v>13</v>
      </c>
      <c r="C27" s="182">
        <f t="shared" ca="1" si="9"/>
        <v>35000</v>
      </c>
      <c r="D27" s="182">
        <f t="shared" ca="1" si="10"/>
        <v>23.333333333333332</v>
      </c>
      <c r="E27" s="182">
        <v>0</v>
      </c>
      <c r="F27" s="182">
        <f t="shared" ca="1" si="2"/>
        <v>0</v>
      </c>
      <c r="G27" s="182">
        <f t="shared" ca="1" si="11"/>
        <v>8096.6666666666633</v>
      </c>
      <c r="H27" s="182">
        <f t="shared" ca="1" si="3"/>
        <v>35000</v>
      </c>
      <c r="I27" s="183">
        <v>0</v>
      </c>
      <c r="J27" s="263">
        <f t="shared" ca="1" si="1"/>
        <v>29400</v>
      </c>
      <c r="K27" s="182">
        <f t="shared" ca="1" si="4"/>
        <v>70</v>
      </c>
      <c r="L27" s="182">
        <f t="shared" ca="1" si="5"/>
        <v>303.33333333333331</v>
      </c>
      <c r="M27" s="182">
        <f t="shared" ca="1" si="6"/>
        <v>303.33333333333331</v>
      </c>
      <c r="N27" s="182">
        <f t="shared" ca="1" si="7"/>
        <v>1213.3333333333335</v>
      </c>
      <c r="O27" s="668">
        <v>21</v>
      </c>
      <c r="P27" s="130">
        <f t="shared" ca="1" si="0"/>
        <v>46745</v>
      </c>
      <c r="Q27" s="642" cm="1">
        <f t="array" ref="Q27">_xlfn.IFS(O27&gt;AC$8,0,'Deal Details'!#REF!="Yes",0/12,'Deal Details'!#REF!="No",'Mezz Amort'!I$8/12)</f>
        <v>0</v>
      </c>
      <c r="R27" s="104"/>
      <c r="S27" s="185"/>
      <c r="U27" s="720" t="s">
        <v>346</v>
      </c>
      <c r="V27" s="721"/>
      <c r="W27" s="253" t="s">
        <v>347</v>
      </c>
      <c r="X27" s="254" t="str">
        <f ca="1">IF(TODAY()&gt;V28,"YES","NO")</f>
        <v>NO</v>
      </c>
      <c r="Z27" t="s">
        <v>348</v>
      </c>
      <c r="AA27" t="s">
        <v>48</v>
      </c>
      <c r="AB27" t="s">
        <v>349</v>
      </c>
      <c r="AC27" t="s">
        <v>329</v>
      </c>
      <c r="AD27" t="s">
        <v>350</v>
      </c>
    </row>
    <row r="28" spans="1:38" x14ac:dyDescent="0.25">
      <c r="A28" s="180">
        <f t="shared" ca="1" si="8"/>
        <v>46118</v>
      </c>
      <c r="B28" s="181">
        <v>14</v>
      </c>
      <c r="C28" s="182">
        <f t="shared" ca="1" si="9"/>
        <v>35000</v>
      </c>
      <c r="D28" s="182">
        <f t="shared" ca="1" si="10"/>
        <v>23.333333333333332</v>
      </c>
      <c r="E28" s="182">
        <v>0</v>
      </c>
      <c r="F28" s="182">
        <f t="shared" ca="1" si="2"/>
        <v>0</v>
      </c>
      <c r="G28" s="182">
        <f t="shared" ca="1" si="11"/>
        <v>8073.3333333333303</v>
      </c>
      <c r="H28" s="182">
        <f t="shared" ca="1" si="3"/>
        <v>35000</v>
      </c>
      <c r="I28" s="183">
        <v>0</v>
      </c>
      <c r="J28" s="263">
        <f t="shared" ca="1" si="1"/>
        <v>29400</v>
      </c>
      <c r="K28" s="182">
        <f t="shared" ca="1" si="4"/>
        <v>70</v>
      </c>
      <c r="L28" s="182">
        <f t="shared" ca="1" si="5"/>
        <v>326.66666666666663</v>
      </c>
      <c r="M28" s="182">
        <f t="shared" ca="1" si="6"/>
        <v>326.66666666666663</v>
      </c>
      <c r="N28" s="182">
        <f t="shared" ca="1" si="7"/>
        <v>1306.6666666666667</v>
      </c>
      <c r="O28" s="668">
        <v>22</v>
      </c>
      <c r="P28" s="130">
        <f t="shared" ca="1" si="0"/>
        <v>46776</v>
      </c>
      <c r="Q28" s="642" cm="1">
        <f t="array" ref="Q28">_xlfn.IFS(O28&gt;AC$8,0,'Deal Details'!#REF!="Yes",0/12,'Deal Details'!#REF!="No",'Mezz Amort'!I$8/12)</f>
        <v>0</v>
      </c>
      <c r="R28" s="104"/>
      <c r="S28" s="185"/>
      <c r="U28" s="255" t="s">
        <v>199</v>
      </c>
      <c r="V28" s="252">
        <f ca="1">U24</f>
        <v>46470</v>
      </c>
      <c r="W28" s="212" t="s">
        <v>351</v>
      </c>
      <c r="X28" s="256" t="e">
        <f>Q43</f>
        <v>#REF!</v>
      </c>
      <c r="AB28" s="214" t="s">
        <v>352</v>
      </c>
    </row>
    <row r="29" spans="1:38" x14ac:dyDescent="0.25">
      <c r="A29" s="180">
        <f t="shared" ca="1" si="8"/>
        <v>46119</v>
      </c>
      <c r="B29" s="181">
        <v>15</v>
      </c>
      <c r="C29" s="182">
        <f t="shared" ca="1" si="9"/>
        <v>35000</v>
      </c>
      <c r="D29" s="182">
        <f t="shared" ca="1" si="10"/>
        <v>23.333333333333332</v>
      </c>
      <c r="E29" s="182">
        <v>0</v>
      </c>
      <c r="F29" s="182">
        <f t="shared" ca="1" si="2"/>
        <v>0</v>
      </c>
      <c r="G29" s="182">
        <f t="shared" ca="1" si="11"/>
        <v>8049.9999999999973</v>
      </c>
      <c r="H29" s="182">
        <f t="shared" ca="1" si="3"/>
        <v>35000</v>
      </c>
      <c r="I29" s="183">
        <v>0</v>
      </c>
      <c r="J29" s="263">
        <f t="shared" ca="1" si="1"/>
        <v>29400</v>
      </c>
      <c r="K29" s="182">
        <f t="shared" ca="1" si="4"/>
        <v>70</v>
      </c>
      <c r="L29" s="182">
        <f t="shared" ca="1" si="5"/>
        <v>349.99999999999994</v>
      </c>
      <c r="M29" s="182">
        <f t="shared" ca="1" si="6"/>
        <v>349.99999999999994</v>
      </c>
      <c r="N29" s="182">
        <f t="shared" ca="1" si="7"/>
        <v>1400</v>
      </c>
      <c r="O29" s="668">
        <v>23</v>
      </c>
      <c r="P29" s="130">
        <f t="shared" ca="1" si="0"/>
        <v>46807</v>
      </c>
      <c r="Q29" s="642" cm="1">
        <f t="array" ref="Q29">_xlfn.IFS(O29&gt;AC$8,0,'Deal Details'!#REF!="Yes",0/12,'Deal Details'!#REF!="No",'Mezz Amort'!I$8/12)</f>
        <v>0</v>
      </c>
      <c r="R29" s="104"/>
      <c r="S29" s="185"/>
      <c r="U29" s="255" t="s">
        <v>335</v>
      </c>
      <c r="V29" s="252">
        <f ca="1">T24</f>
        <v>46105</v>
      </c>
      <c r="W29" s="212" t="s">
        <v>354</v>
      </c>
      <c r="X29" s="256" t="e">
        <f ca="1">AF24</f>
        <v>#REF!</v>
      </c>
      <c r="AC29" s="214" t="s">
        <v>355</v>
      </c>
    </row>
    <row r="30" spans="1:38" x14ac:dyDescent="0.25">
      <c r="A30" s="180">
        <f t="shared" ca="1" si="8"/>
        <v>46120</v>
      </c>
      <c r="B30" s="181">
        <v>16</v>
      </c>
      <c r="C30" s="182">
        <f t="shared" ca="1" si="9"/>
        <v>35000</v>
      </c>
      <c r="D30" s="182">
        <f t="shared" ca="1" si="10"/>
        <v>23.333333333333332</v>
      </c>
      <c r="E30" s="182">
        <v>0</v>
      </c>
      <c r="F30" s="182">
        <f t="shared" ca="1" si="2"/>
        <v>0</v>
      </c>
      <c r="G30" s="182">
        <f t="shared" ca="1" si="11"/>
        <v>8026.6666666666642</v>
      </c>
      <c r="H30" s="182">
        <f t="shared" ca="1" si="3"/>
        <v>35000</v>
      </c>
      <c r="I30" s="183">
        <v>0</v>
      </c>
      <c r="J30" s="263">
        <f t="shared" ca="1" si="1"/>
        <v>29400</v>
      </c>
      <c r="K30" s="182">
        <f t="shared" ca="1" si="4"/>
        <v>70</v>
      </c>
      <c r="L30" s="182">
        <f t="shared" ca="1" si="5"/>
        <v>373.33333333333326</v>
      </c>
      <c r="M30" s="182">
        <f t="shared" ca="1" si="6"/>
        <v>373.33333333333326</v>
      </c>
      <c r="N30" s="182">
        <f t="shared" ca="1" si="7"/>
        <v>1493.3333333333333</v>
      </c>
      <c r="O30" s="669">
        <v>24</v>
      </c>
      <c r="P30" s="130">
        <f t="shared" ca="1" si="0"/>
        <v>46836</v>
      </c>
      <c r="Q30" s="642" cm="1">
        <f t="array" ref="Q30">_xlfn.IFS(O30&gt;AC$8,0,'Deal Details'!#REF!="Yes",0/12,'Deal Details'!#REF!="No",'Mezz Amort'!I$8/12)</f>
        <v>0</v>
      </c>
      <c r="R30" s="104"/>
      <c r="S30" s="185"/>
      <c r="U30" s="255" t="s">
        <v>344</v>
      </c>
      <c r="V30" s="164">
        <f>Z24</f>
        <v>35000</v>
      </c>
      <c r="W30" s="212" t="s">
        <v>356</v>
      </c>
      <c r="X30" s="257">
        <f ca="1">Q38</f>
        <v>29400</v>
      </c>
    </row>
    <row r="31" spans="1:38" x14ac:dyDescent="0.25">
      <c r="A31" s="180">
        <f t="shared" ca="1" si="8"/>
        <v>46121</v>
      </c>
      <c r="B31" s="181">
        <v>17</v>
      </c>
      <c r="C31" s="182">
        <f t="shared" ca="1" si="9"/>
        <v>35000</v>
      </c>
      <c r="D31" s="182">
        <f t="shared" ca="1" si="10"/>
        <v>23.333333333333332</v>
      </c>
      <c r="E31" s="182">
        <v>0</v>
      </c>
      <c r="F31" s="182">
        <f t="shared" ca="1" si="2"/>
        <v>0</v>
      </c>
      <c r="G31" s="182">
        <f t="shared" ca="1" si="11"/>
        <v>8003.3333333333312</v>
      </c>
      <c r="H31" s="182">
        <f t="shared" ca="1" si="3"/>
        <v>35000</v>
      </c>
      <c r="I31" s="183">
        <v>0</v>
      </c>
      <c r="J31" s="263">
        <f t="shared" ca="1" si="1"/>
        <v>29400</v>
      </c>
      <c r="K31" s="182">
        <f t="shared" ca="1" si="4"/>
        <v>70</v>
      </c>
      <c r="L31" s="182">
        <f t="shared" ca="1" si="5"/>
        <v>396.66666666666657</v>
      </c>
      <c r="M31" s="182">
        <f t="shared" ca="1" si="6"/>
        <v>396.66666666666657</v>
      </c>
      <c r="N31" s="182">
        <f t="shared" ca="1" si="7"/>
        <v>1586.6666666666665</v>
      </c>
      <c r="O31" s="182"/>
      <c r="P31" s="650">
        <f ca="1">AC13</f>
        <v>46470</v>
      </c>
      <c r="Q31" s="674">
        <f ca="1">I2+(_xlfn.XLOOKUP(C11,A:A,N:N))</f>
        <v>34860.233540844318</v>
      </c>
      <c r="R31" s="654" t="s">
        <v>304</v>
      </c>
      <c r="S31" s="185"/>
      <c r="U31" s="255" t="s">
        <v>259</v>
      </c>
      <c r="V31" s="164">
        <f>AC24</f>
        <v>1050</v>
      </c>
      <c r="W31" s="212" t="s">
        <v>358</v>
      </c>
      <c r="X31" s="258">
        <f ca="1">Q40</f>
        <v>1</v>
      </c>
    </row>
    <row r="32" spans="1:38" ht="16.5" thickBot="1" x14ac:dyDescent="0.3">
      <c r="A32" s="180">
        <f t="shared" ca="1" si="8"/>
        <v>46122</v>
      </c>
      <c r="B32" s="181">
        <v>18</v>
      </c>
      <c r="C32" s="182">
        <f t="shared" ca="1" si="9"/>
        <v>35000</v>
      </c>
      <c r="D32" s="182">
        <f t="shared" ca="1" si="10"/>
        <v>23.333333333333332</v>
      </c>
      <c r="E32" s="182">
        <v>0</v>
      </c>
      <c r="F32" s="182">
        <f t="shared" ca="1" si="2"/>
        <v>0</v>
      </c>
      <c r="G32" s="182">
        <f t="shared" ca="1" si="11"/>
        <v>7979.9999999999982</v>
      </c>
      <c r="H32" s="182">
        <f t="shared" ca="1" si="3"/>
        <v>35000</v>
      </c>
      <c r="I32" s="183">
        <v>0</v>
      </c>
      <c r="J32" s="263">
        <f t="shared" ca="1" si="1"/>
        <v>29400</v>
      </c>
      <c r="K32" s="182">
        <f t="shared" ca="1" si="4"/>
        <v>70</v>
      </c>
      <c r="L32" s="182">
        <f t="shared" ca="1" si="5"/>
        <v>419.99999999999989</v>
      </c>
      <c r="M32" s="182">
        <f t="shared" ca="1" si="6"/>
        <v>419.99999999999989</v>
      </c>
      <c r="N32" s="182">
        <f t="shared" ca="1" si="7"/>
        <v>1679.9999999999998</v>
      </c>
      <c r="O32" s="182"/>
      <c r="P32" s="651" t="s">
        <v>78</v>
      </c>
      <c r="Q32" s="652" t="e">
        <f>SUM(Q5:Q31)</f>
        <v>#REF!</v>
      </c>
      <c r="R32" s="190">
        <f>SUM(R6:R31)</f>
        <v>0</v>
      </c>
      <c r="S32" s="185"/>
      <c r="U32" s="259" t="s">
        <v>360</v>
      </c>
      <c r="V32" s="260">
        <f ca="1">Q39</f>
        <v>23.333333333333332</v>
      </c>
      <c r="W32" s="261"/>
      <c r="X32" s="262"/>
    </row>
    <row r="33" spans="1:19" ht="16.5" thickTop="1" x14ac:dyDescent="0.25">
      <c r="A33" s="180">
        <f t="shared" ca="1" si="8"/>
        <v>46123</v>
      </c>
      <c r="B33" s="181">
        <v>19</v>
      </c>
      <c r="C33" s="182">
        <f t="shared" ca="1" si="9"/>
        <v>35000</v>
      </c>
      <c r="D33" s="182">
        <f t="shared" ca="1" si="10"/>
        <v>23.333333333333332</v>
      </c>
      <c r="E33" s="182">
        <v>0</v>
      </c>
      <c r="F33" s="182">
        <f t="shared" ca="1" si="2"/>
        <v>0</v>
      </c>
      <c r="G33" s="182">
        <f t="shared" ca="1" si="11"/>
        <v>7956.6666666666652</v>
      </c>
      <c r="H33" s="182">
        <f ca="1">IF(G33&gt;0,C33+F33+I33,SUM(C33:F33)-G32)</f>
        <v>35000</v>
      </c>
      <c r="I33" s="183">
        <v>0</v>
      </c>
      <c r="J33" s="263">
        <f t="shared" ca="1" si="1"/>
        <v>29400</v>
      </c>
      <c r="K33" s="182">
        <f t="shared" ca="1" si="4"/>
        <v>70</v>
      </c>
      <c r="L33" s="182">
        <f t="shared" ca="1" si="5"/>
        <v>443.3333333333332</v>
      </c>
      <c r="M33" s="182">
        <f t="shared" ca="1" si="6"/>
        <v>443.3333333333332</v>
      </c>
      <c r="N33" s="182">
        <f t="shared" ca="1" si="7"/>
        <v>1773.333333333333</v>
      </c>
      <c r="O33" s="182"/>
      <c r="P33" s="192" t="s">
        <v>309</v>
      </c>
      <c r="Q33" s="193" t="e">
        <f ca="1">XIRR(Q4:Q31,P4:P31)</f>
        <v>#REF!</v>
      </c>
    </row>
    <row r="34" spans="1:19" ht="15.75" x14ac:dyDescent="0.25">
      <c r="A34" s="180">
        <f t="shared" ca="1" si="8"/>
        <v>46124</v>
      </c>
      <c r="B34" s="181">
        <v>20</v>
      </c>
      <c r="C34" s="182">
        <f t="shared" ca="1" si="9"/>
        <v>35000</v>
      </c>
      <c r="D34" s="182">
        <f t="shared" ca="1" si="10"/>
        <v>23.333333333333332</v>
      </c>
      <c r="E34" s="182">
        <v>0</v>
      </c>
      <c r="F34" s="182">
        <f t="shared" ca="1" si="2"/>
        <v>0</v>
      </c>
      <c r="G34" s="182">
        <f t="shared" ca="1" si="11"/>
        <v>7933.3333333333321</v>
      </c>
      <c r="H34" s="182">
        <f ca="1">IF(G34&gt;0,C34+F34+I34,SUM(C34:F34)-G33)</f>
        <v>35000</v>
      </c>
      <c r="I34" s="183">
        <v>0</v>
      </c>
      <c r="J34" s="263">
        <f t="shared" ca="1" si="1"/>
        <v>29400</v>
      </c>
      <c r="K34" s="182">
        <f t="shared" ca="1" si="4"/>
        <v>70</v>
      </c>
      <c r="L34" s="182">
        <f t="shared" ca="1" si="5"/>
        <v>466.66666666666652</v>
      </c>
      <c r="M34" s="182">
        <f t="shared" ca="1" si="6"/>
        <v>466.66666666666652</v>
      </c>
      <c r="N34" s="182">
        <f t="shared" ca="1" si="7"/>
        <v>1866.6666666666663</v>
      </c>
      <c r="O34" s="182"/>
      <c r="P34" s="192" t="s">
        <v>50</v>
      </c>
      <c r="Q34">
        <f>AC8</f>
        <v>12</v>
      </c>
    </row>
    <row r="35" spans="1:19" x14ac:dyDescent="0.25">
      <c r="A35" s="180">
        <f t="shared" ca="1" si="8"/>
        <v>46125</v>
      </c>
      <c r="B35" s="181">
        <v>21</v>
      </c>
      <c r="C35" s="182">
        <f t="shared" ca="1" si="9"/>
        <v>35000</v>
      </c>
      <c r="D35" s="182">
        <f t="shared" ca="1" si="10"/>
        <v>23.333333333333332</v>
      </c>
      <c r="E35" s="182">
        <v>0</v>
      </c>
      <c r="F35" s="182">
        <f t="shared" ca="1" si="2"/>
        <v>0</v>
      </c>
      <c r="G35" s="182">
        <f t="shared" ca="1" si="11"/>
        <v>7909.9999999999991</v>
      </c>
      <c r="H35" s="182">
        <f t="shared" ref="H35:H98" ca="1" si="12">IF(G35&gt;0,C35+F35+I35,SUM(C35:F35)-G34)</f>
        <v>35000</v>
      </c>
      <c r="I35" s="183">
        <v>0</v>
      </c>
      <c r="J35" s="263">
        <f t="shared" ca="1" si="1"/>
        <v>29400</v>
      </c>
      <c r="K35" s="182">
        <f t="shared" ca="1" si="4"/>
        <v>70</v>
      </c>
      <c r="L35" s="182">
        <f t="shared" ca="1" si="5"/>
        <v>489.99999999999983</v>
      </c>
      <c r="M35" s="182">
        <f t="shared" ca="1" si="6"/>
        <v>489.99999999999983</v>
      </c>
      <c r="N35" s="182">
        <f t="shared" ca="1" si="7"/>
        <v>1959.9999999999995</v>
      </c>
      <c r="O35" s="182"/>
    </row>
    <row r="36" spans="1:19" x14ac:dyDescent="0.25">
      <c r="A36" s="180">
        <f t="shared" ca="1" si="8"/>
        <v>46126</v>
      </c>
      <c r="B36" s="181">
        <v>22</v>
      </c>
      <c r="C36" s="182">
        <f t="shared" ca="1" si="9"/>
        <v>35000</v>
      </c>
      <c r="D36" s="182">
        <f t="shared" ca="1" si="10"/>
        <v>23.333333333333332</v>
      </c>
      <c r="E36" s="182">
        <v>0</v>
      </c>
      <c r="F36" s="182">
        <f t="shared" ca="1" si="2"/>
        <v>0</v>
      </c>
      <c r="G36" s="182">
        <f t="shared" ca="1" si="11"/>
        <v>7886.6666666666661</v>
      </c>
      <c r="H36" s="182">
        <f t="shared" ca="1" si="12"/>
        <v>35000</v>
      </c>
      <c r="I36" s="183">
        <v>0</v>
      </c>
      <c r="J36" s="263">
        <f t="shared" ca="1" si="1"/>
        <v>29400</v>
      </c>
      <c r="K36" s="182">
        <f t="shared" ca="1" si="4"/>
        <v>70</v>
      </c>
      <c r="L36" s="182">
        <f t="shared" ca="1" si="5"/>
        <v>513.33333333333314</v>
      </c>
      <c r="M36" s="182">
        <f t="shared" ca="1" si="6"/>
        <v>513.33333333333314</v>
      </c>
      <c r="N36" s="182">
        <f t="shared" ca="1" si="7"/>
        <v>2053.333333333333</v>
      </c>
      <c r="O36" s="182"/>
      <c r="P36" s="184" t="s">
        <v>248</v>
      </c>
      <c r="Q36" s="180">
        <f ca="1">C8</f>
        <v>46105</v>
      </c>
      <c r="R36" s="185"/>
      <c r="S36" s="185"/>
    </row>
    <row r="37" spans="1:19" x14ac:dyDescent="0.25">
      <c r="A37" s="180">
        <f t="shared" ca="1" si="8"/>
        <v>46127</v>
      </c>
      <c r="B37" s="181">
        <v>23</v>
      </c>
      <c r="C37" s="182">
        <f t="shared" ca="1" si="9"/>
        <v>35000</v>
      </c>
      <c r="D37" s="182">
        <f t="shared" ca="1" si="10"/>
        <v>23.333333333333332</v>
      </c>
      <c r="E37" s="182">
        <v>0</v>
      </c>
      <c r="F37" s="182">
        <f t="shared" ca="1" si="2"/>
        <v>0</v>
      </c>
      <c r="G37" s="182">
        <f t="shared" ca="1" si="11"/>
        <v>7863.333333333333</v>
      </c>
      <c r="H37" s="182">
        <f t="shared" ca="1" si="12"/>
        <v>35000</v>
      </c>
      <c r="I37" s="183">
        <v>0</v>
      </c>
      <c r="J37" s="263">
        <f t="shared" ca="1" si="1"/>
        <v>29400</v>
      </c>
      <c r="K37" s="182">
        <f t="shared" ca="1" si="4"/>
        <v>70</v>
      </c>
      <c r="L37" s="182">
        <f t="shared" ca="1" si="5"/>
        <v>536.66666666666652</v>
      </c>
      <c r="M37" s="182">
        <f t="shared" ca="1" si="6"/>
        <v>536.66666666666652</v>
      </c>
      <c r="N37" s="182">
        <f t="shared" ca="1" si="7"/>
        <v>2146.6666666666665</v>
      </c>
      <c r="O37" s="182"/>
      <c r="P37" s="184" t="s">
        <v>344</v>
      </c>
      <c r="Q37" s="197">
        <f>Q4</f>
        <v>-35000</v>
      </c>
      <c r="R37" s="185"/>
      <c r="S37" s="185"/>
    </row>
    <row r="38" spans="1:19" x14ac:dyDescent="0.25">
      <c r="A38" s="180">
        <f t="shared" ca="1" si="8"/>
        <v>46128</v>
      </c>
      <c r="B38" s="181">
        <v>24</v>
      </c>
      <c r="C38" s="182">
        <f t="shared" ca="1" si="9"/>
        <v>35000</v>
      </c>
      <c r="D38" s="182">
        <f t="shared" ca="1" si="10"/>
        <v>23.333333333333332</v>
      </c>
      <c r="E38" s="182">
        <v>0</v>
      </c>
      <c r="F38" s="182">
        <f t="shared" ca="1" si="2"/>
        <v>0</v>
      </c>
      <c r="G38" s="182">
        <f t="shared" ca="1" si="11"/>
        <v>7840</v>
      </c>
      <c r="H38" s="182">
        <f t="shared" ca="1" si="12"/>
        <v>35000</v>
      </c>
      <c r="I38" s="183">
        <v>0</v>
      </c>
      <c r="J38" s="263">
        <f t="shared" ca="1" si="1"/>
        <v>29400</v>
      </c>
      <c r="K38" s="182">
        <f t="shared" ca="1" si="4"/>
        <v>70</v>
      </c>
      <c r="L38" s="182">
        <f t="shared" ca="1" si="5"/>
        <v>559.99999999999989</v>
      </c>
      <c r="M38" s="182">
        <f t="shared" ca="1" si="6"/>
        <v>559.99999999999989</v>
      </c>
      <c r="N38" s="182">
        <f t="shared" ca="1" si="7"/>
        <v>2240</v>
      </c>
      <c r="O38" s="182"/>
      <c r="P38" s="184" t="s">
        <v>270</v>
      </c>
      <c r="Q38" s="211">
        <f ca="1">VLOOKUP(Q36,$A$15:$J$853,10,FALSE)</f>
        <v>29400</v>
      </c>
      <c r="R38" s="185"/>
      <c r="S38" s="185"/>
    </row>
    <row r="39" spans="1:19" x14ac:dyDescent="0.25">
      <c r="A39" s="180">
        <f t="shared" ca="1" si="8"/>
        <v>46129</v>
      </c>
      <c r="B39" s="181">
        <v>25</v>
      </c>
      <c r="C39" s="182">
        <f t="shared" ca="1" si="9"/>
        <v>35000</v>
      </c>
      <c r="D39" s="182">
        <f t="shared" ca="1" si="10"/>
        <v>23.333333333333332</v>
      </c>
      <c r="E39" s="182">
        <v>0</v>
      </c>
      <c r="F39" s="182">
        <f t="shared" ca="1" si="2"/>
        <v>0</v>
      </c>
      <c r="G39" s="182">
        <f t="shared" ca="1" si="11"/>
        <v>7816.666666666667</v>
      </c>
      <c r="H39" s="182">
        <f t="shared" ca="1" si="12"/>
        <v>35000</v>
      </c>
      <c r="I39" s="183">
        <v>0</v>
      </c>
      <c r="J39" s="263">
        <f t="shared" ca="1" si="1"/>
        <v>29400</v>
      </c>
      <c r="K39" s="182">
        <f t="shared" ca="1" si="4"/>
        <v>70</v>
      </c>
      <c r="L39" s="182">
        <f t="shared" ca="1" si="5"/>
        <v>583.33333333333326</v>
      </c>
      <c r="M39" s="182">
        <f t="shared" ca="1" si="6"/>
        <v>583.33333333333326</v>
      </c>
      <c r="N39" s="182">
        <f t="shared" ca="1" si="7"/>
        <v>2333.3333333333335</v>
      </c>
      <c r="O39" s="182"/>
      <c r="P39" s="184" t="s">
        <v>345</v>
      </c>
      <c r="Q39" s="115">
        <f ca="1">VLOOKUP(Q36,$A$15:$I$493,4,FALSE)+VLOOKUP(Q36,$A$15:$I$493,5,FALSE)</f>
        <v>23.333333333333332</v>
      </c>
      <c r="R39" s="185"/>
    </row>
    <row r="40" spans="1:19" x14ac:dyDescent="0.25">
      <c r="A40" s="180">
        <f t="shared" ca="1" si="8"/>
        <v>46130</v>
      </c>
      <c r="B40" s="181">
        <v>26</v>
      </c>
      <c r="C40" s="182">
        <f t="shared" ca="1" si="9"/>
        <v>35000</v>
      </c>
      <c r="D40" s="182">
        <f t="shared" ca="1" si="10"/>
        <v>23.333333333333332</v>
      </c>
      <c r="E40" s="182">
        <v>0</v>
      </c>
      <c r="F40" s="182">
        <f t="shared" ca="1" si="2"/>
        <v>0</v>
      </c>
      <c r="G40" s="182">
        <f t="shared" ca="1" si="11"/>
        <v>7793.3333333333339</v>
      </c>
      <c r="H40" s="182">
        <f t="shared" ca="1" si="12"/>
        <v>35000</v>
      </c>
      <c r="I40" s="183">
        <v>0</v>
      </c>
      <c r="J40" s="263">
        <f t="shared" ca="1" si="1"/>
        <v>29400</v>
      </c>
      <c r="K40" s="182">
        <f t="shared" ca="1" si="4"/>
        <v>70</v>
      </c>
      <c r="L40" s="182">
        <f t="shared" ca="1" si="5"/>
        <v>606.66666666666663</v>
      </c>
      <c r="M40" s="182">
        <f t="shared" ca="1" si="6"/>
        <v>606.66666666666663</v>
      </c>
      <c r="N40" s="182">
        <f t="shared" ca="1" si="7"/>
        <v>2426.666666666667</v>
      </c>
      <c r="O40" s="182"/>
      <c r="P40" s="184" t="s">
        <v>310</v>
      </c>
      <c r="Q40" s="185">
        <f ca="1">Q36-A15+1</f>
        <v>1</v>
      </c>
      <c r="R40" s="185"/>
    </row>
    <row r="41" spans="1:19" x14ac:dyDescent="0.25">
      <c r="A41" s="180">
        <f t="shared" ca="1" si="8"/>
        <v>46131</v>
      </c>
      <c r="B41" s="181">
        <v>27</v>
      </c>
      <c r="C41" s="182">
        <f t="shared" ca="1" si="9"/>
        <v>35000</v>
      </c>
      <c r="D41" s="182">
        <f t="shared" ca="1" si="10"/>
        <v>23.333333333333332</v>
      </c>
      <c r="E41" s="182">
        <v>0</v>
      </c>
      <c r="F41" s="182">
        <f t="shared" ca="1" si="2"/>
        <v>0</v>
      </c>
      <c r="G41" s="182">
        <f t="shared" ca="1" si="11"/>
        <v>7770.0000000000009</v>
      </c>
      <c r="H41" s="182">
        <f t="shared" ca="1" si="12"/>
        <v>35000</v>
      </c>
      <c r="I41" s="183">
        <v>0</v>
      </c>
      <c r="J41" s="263">
        <f t="shared" ca="1" si="1"/>
        <v>29400</v>
      </c>
      <c r="K41" s="182">
        <f t="shared" ca="1" si="4"/>
        <v>70</v>
      </c>
      <c r="L41" s="182">
        <f t="shared" ca="1" si="5"/>
        <v>630</v>
      </c>
      <c r="M41" s="182">
        <f t="shared" ca="1" si="6"/>
        <v>630</v>
      </c>
      <c r="N41" s="182">
        <f t="shared" ca="1" si="7"/>
        <v>2520.0000000000005</v>
      </c>
      <c r="O41" s="182"/>
      <c r="P41" s="184" t="s">
        <v>155</v>
      </c>
      <c r="Q41" s="195">
        <f ca="1">SUM(D14:OFFSET(D14,Q40,1))</f>
        <v>23.333333333333332</v>
      </c>
      <c r="R41" s="185"/>
    </row>
    <row r="42" spans="1:19" x14ac:dyDescent="0.25">
      <c r="A42" s="180">
        <f t="shared" ca="1" si="8"/>
        <v>46132</v>
      </c>
      <c r="B42" s="181">
        <v>28</v>
      </c>
      <c r="C42" s="182">
        <f t="shared" ca="1" si="9"/>
        <v>35000</v>
      </c>
      <c r="D42" s="182">
        <f t="shared" ca="1" si="10"/>
        <v>23.333333333333332</v>
      </c>
      <c r="E42" s="182">
        <v>0</v>
      </c>
      <c r="F42" s="182">
        <f t="shared" ca="1" si="2"/>
        <v>0</v>
      </c>
      <c r="G42" s="182">
        <f t="shared" ca="1" si="11"/>
        <v>7746.6666666666679</v>
      </c>
      <c r="H42" s="182">
        <f t="shared" ca="1" si="12"/>
        <v>35000</v>
      </c>
      <c r="I42" s="183">
        <v>0</v>
      </c>
      <c r="J42" s="263">
        <f t="shared" ca="1" si="1"/>
        <v>29400</v>
      </c>
      <c r="K42" s="182">
        <f t="shared" ca="1" si="4"/>
        <v>70</v>
      </c>
      <c r="L42" s="182">
        <f t="shared" ca="1" si="5"/>
        <v>653.33333333333337</v>
      </c>
      <c r="M42" s="182">
        <f t="shared" ca="1" si="6"/>
        <v>653.33333333333337</v>
      </c>
      <c r="N42" s="182">
        <f t="shared" ca="1" si="7"/>
        <v>2613.3333333333339</v>
      </c>
      <c r="O42" s="182"/>
      <c r="P42" s="184" t="s">
        <v>353</v>
      </c>
      <c r="Q42" s="197">
        <f>(I10*C6/3)</f>
        <v>2800</v>
      </c>
      <c r="R42" s="100"/>
      <c r="S42" s="185"/>
    </row>
    <row r="43" spans="1:19" x14ac:dyDescent="0.25">
      <c r="A43" s="180">
        <f t="shared" ca="1" si="8"/>
        <v>46133</v>
      </c>
      <c r="B43" s="181">
        <v>29</v>
      </c>
      <c r="C43" s="182">
        <f t="shared" ca="1" si="9"/>
        <v>35000</v>
      </c>
      <c r="D43" s="182">
        <f t="shared" ca="1" si="10"/>
        <v>23.333333333333332</v>
      </c>
      <c r="E43" s="182">
        <v>0</v>
      </c>
      <c r="F43" s="182">
        <f t="shared" ca="1" si="2"/>
        <v>0</v>
      </c>
      <c r="G43" s="182">
        <f t="shared" ca="1" si="11"/>
        <v>7723.3333333333348</v>
      </c>
      <c r="H43" s="182">
        <f t="shared" ca="1" si="12"/>
        <v>35000</v>
      </c>
      <c r="I43" s="183">
        <v>0</v>
      </c>
      <c r="J43" s="263">
        <f t="shared" ca="1" si="1"/>
        <v>29400</v>
      </c>
      <c r="K43" s="182">
        <f t="shared" ca="1" si="4"/>
        <v>70</v>
      </c>
      <c r="L43" s="182">
        <f t="shared" ca="1" si="5"/>
        <v>676.66666666666674</v>
      </c>
      <c r="M43" s="182">
        <f t="shared" ca="1" si="6"/>
        <v>676.66666666666674</v>
      </c>
      <c r="N43" s="182">
        <f t="shared" ca="1" si="7"/>
        <v>2706.6666666666674</v>
      </c>
      <c r="O43" s="182"/>
      <c r="P43" s="184" t="s">
        <v>328</v>
      </c>
      <c r="Q43" s="197" t="e">
        <f>SUM(Q5:Q32)-Q32</f>
        <v>#REF!</v>
      </c>
      <c r="R43" s="100"/>
      <c r="S43" s="185"/>
    </row>
    <row r="44" spans="1:19" x14ac:dyDescent="0.25">
      <c r="A44" s="180">
        <f t="shared" ca="1" si="8"/>
        <v>46134</v>
      </c>
      <c r="B44" s="181">
        <v>30</v>
      </c>
      <c r="C44" s="182">
        <f t="shared" ca="1" si="9"/>
        <v>35000</v>
      </c>
      <c r="D44" s="182">
        <f t="shared" ca="1" si="10"/>
        <v>23.333333333333332</v>
      </c>
      <c r="E44" s="182">
        <v>0</v>
      </c>
      <c r="F44" s="182">
        <f t="shared" ca="1" si="2"/>
        <v>0</v>
      </c>
      <c r="G44" s="182">
        <f t="shared" ca="1" si="11"/>
        <v>7700.0000000000018</v>
      </c>
      <c r="H44" s="182">
        <f t="shared" ca="1" si="12"/>
        <v>35000</v>
      </c>
      <c r="I44" s="183">
        <v>0</v>
      </c>
      <c r="J44" s="263">
        <f t="shared" ca="1" si="1"/>
        <v>29400</v>
      </c>
      <c r="K44" s="182">
        <f t="shared" ca="1" si="4"/>
        <v>70</v>
      </c>
      <c r="L44" s="182">
        <f t="shared" ca="1" si="5"/>
        <v>700.00000000000011</v>
      </c>
      <c r="M44" s="182">
        <f t="shared" ca="1" si="6"/>
        <v>700.00000000000011</v>
      </c>
      <c r="N44" s="182">
        <f t="shared" ca="1" si="7"/>
        <v>2800.0000000000009</v>
      </c>
      <c r="O44" s="182"/>
      <c r="P44" s="184" t="s">
        <v>357</v>
      </c>
      <c r="Q44" s="197" t="e">
        <f>IF(-Q37-Q43&gt;0,-Q37-Q43,0)</f>
        <v>#REF!</v>
      </c>
      <c r="R44" s="185"/>
      <c r="S44" s="185"/>
    </row>
    <row r="45" spans="1:19" x14ac:dyDescent="0.25">
      <c r="A45" s="180">
        <f t="shared" ca="1" si="8"/>
        <v>46135</v>
      </c>
      <c r="B45" s="181">
        <v>31</v>
      </c>
      <c r="C45" s="182">
        <f t="shared" ca="1" si="9"/>
        <v>35000</v>
      </c>
      <c r="D45" s="182">
        <f t="shared" ca="1" si="10"/>
        <v>23.333333333333332</v>
      </c>
      <c r="E45" s="182">
        <v>0</v>
      </c>
      <c r="F45" s="182">
        <f t="shared" ca="1" si="2"/>
        <v>0</v>
      </c>
      <c r="G45" s="182">
        <f t="shared" ca="1" si="11"/>
        <v>7676.6666666666688</v>
      </c>
      <c r="H45" s="182">
        <f t="shared" ca="1" si="12"/>
        <v>35000</v>
      </c>
      <c r="I45" s="183">
        <v>0</v>
      </c>
      <c r="J45" s="263">
        <f t="shared" ca="1" si="1"/>
        <v>29400</v>
      </c>
      <c r="K45" s="182">
        <f t="shared" ca="1" si="4"/>
        <v>70</v>
      </c>
      <c r="L45" s="182">
        <f t="shared" ca="1" si="5"/>
        <v>723.33333333333348</v>
      </c>
      <c r="M45" s="182">
        <f t="shared" ca="1" si="6"/>
        <v>723.33333333333348</v>
      </c>
      <c r="N45" s="182">
        <f t="shared" ca="1" si="7"/>
        <v>2893.3333333333344</v>
      </c>
      <c r="O45" s="182"/>
      <c r="P45" s="1" t="s">
        <v>359</v>
      </c>
      <c r="Q45" s="215" t="e">
        <f>IF(Q32&gt;C4,(Q32-C4)/C4,"NA")</f>
        <v>#REF!</v>
      </c>
      <c r="R45" s="185"/>
      <c r="S45" s="185"/>
    </row>
    <row r="46" spans="1:19" x14ac:dyDescent="0.25">
      <c r="A46" s="180">
        <f t="shared" ca="1" si="8"/>
        <v>46136</v>
      </c>
      <c r="B46" s="181">
        <v>32</v>
      </c>
      <c r="C46" s="182">
        <f t="shared" ca="1" si="9"/>
        <v>35000</v>
      </c>
      <c r="D46" s="182">
        <f t="shared" ca="1" si="10"/>
        <v>23.333333333333332</v>
      </c>
      <c r="E46" s="182">
        <v>0</v>
      </c>
      <c r="F46" s="182">
        <f t="shared" ca="1" si="2"/>
        <v>0</v>
      </c>
      <c r="G46" s="182">
        <f t="shared" ca="1" si="11"/>
        <v>7653.3333333333358</v>
      </c>
      <c r="H46" s="182">
        <f t="shared" ca="1" si="12"/>
        <v>35000</v>
      </c>
      <c r="I46" s="183">
        <v>0</v>
      </c>
      <c r="J46" s="263">
        <f t="shared" ca="1" si="1"/>
        <v>29400</v>
      </c>
      <c r="K46" s="182">
        <f t="shared" ca="1" si="4"/>
        <v>70</v>
      </c>
      <c r="L46" s="182">
        <f t="shared" ca="1" si="5"/>
        <v>746.66666666666686</v>
      </c>
      <c r="M46" s="182">
        <f t="shared" ca="1" si="6"/>
        <v>746.66666666666686</v>
      </c>
      <c r="N46" s="182">
        <f t="shared" ca="1" si="7"/>
        <v>2986.6666666666679</v>
      </c>
      <c r="O46" s="182"/>
      <c r="P46" s="1" t="s">
        <v>361</v>
      </c>
      <c r="Q46" s="85" t="e">
        <f>IF(Q32&gt;C4,Q45/(Q40/360),"NA")</f>
        <v>#REF!</v>
      </c>
      <c r="R46" s="185"/>
      <c r="S46" s="185"/>
    </row>
    <row r="47" spans="1:19" x14ac:dyDescent="0.25">
      <c r="A47" s="180">
        <f t="shared" ca="1" si="8"/>
        <v>46137</v>
      </c>
      <c r="B47" s="181">
        <v>33</v>
      </c>
      <c r="C47" s="182">
        <f t="shared" ca="1" si="9"/>
        <v>35000</v>
      </c>
      <c r="D47" s="182">
        <f t="shared" ca="1" si="10"/>
        <v>23.333333333333332</v>
      </c>
      <c r="E47" s="182">
        <v>0</v>
      </c>
      <c r="F47" s="182">
        <f t="shared" ca="1" si="2"/>
        <v>0</v>
      </c>
      <c r="G47" s="182">
        <f t="shared" ca="1" si="11"/>
        <v>7630.0000000000027</v>
      </c>
      <c r="H47" s="182">
        <f t="shared" ca="1" si="12"/>
        <v>35000</v>
      </c>
      <c r="I47" s="183">
        <v>0</v>
      </c>
      <c r="J47" s="263">
        <f t="shared" ca="1" si="1"/>
        <v>29400</v>
      </c>
      <c r="K47" s="182">
        <f t="shared" ca="1" si="4"/>
        <v>70</v>
      </c>
      <c r="L47" s="182">
        <f t="shared" ca="1" si="5"/>
        <v>770.00000000000023</v>
      </c>
      <c r="M47" s="182">
        <f t="shared" ca="1" si="6"/>
        <v>770.00000000000023</v>
      </c>
      <c r="N47" s="182">
        <f t="shared" ca="1" si="7"/>
        <v>3080.0000000000014</v>
      </c>
      <c r="O47" s="182"/>
      <c r="P47" s="184" t="s">
        <v>362</v>
      </c>
      <c r="Q47" s="211">
        <f ca="1">VLOOKUP(Q36,$A$15:$H$853,7,FALSE)</f>
        <v>8376.6666666666661</v>
      </c>
      <c r="R47" s="185"/>
      <c r="S47" s="185"/>
    </row>
    <row r="48" spans="1:19" x14ac:dyDescent="0.25">
      <c r="A48" s="180">
        <f t="shared" ca="1" si="8"/>
        <v>46138</v>
      </c>
      <c r="B48" s="181">
        <v>34</v>
      </c>
      <c r="C48" s="182">
        <f t="shared" ca="1" si="9"/>
        <v>35000</v>
      </c>
      <c r="D48" s="182">
        <f t="shared" ca="1" si="10"/>
        <v>23.333333333333332</v>
      </c>
      <c r="E48" s="182">
        <v>0</v>
      </c>
      <c r="F48" s="182">
        <f t="shared" ca="1" si="2"/>
        <v>0</v>
      </c>
      <c r="G48" s="182">
        <f t="shared" ca="1" si="11"/>
        <v>7606.6666666666697</v>
      </c>
      <c r="H48" s="182">
        <f t="shared" ca="1" si="12"/>
        <v>35000</v>
      </c>
      <c r="I48" s="183">
        <v>0</v>
      </c>
      <c r="J48" s="263">
        <f t="shared" ca="1" si="1"/>
        <v>29400</v>
      </c>
      <c r="K48" s="182">
        <f t="shared" ca="1" si="4"/>
        <v>70</v>
      </c>
      <c r="L48" s="182">
        <f t="shared" ca="1" si="5"/>
        <v>793.3333333333336</v>
      </c>
      <c r="M48" s="182">
        <f t="shared" ca="1" si="6"/>
        <v>793.3333333333336</v>
      </c>
      <c r="N48" s="182">
        <f t="shared" ca="1" si="7"/>
        <v>3173.3333333333348</v>
      </c>
      <c r="O48" s="182"/>
      <c r="P48" s="184" t="s">
        <v>363</v>
      </c>
      <c r="Q48" s="195">
        <f ca="1">IF(Q36&lt;(C8+120),1,0)</f>
        <v>1</v>
      </c>
      <c r="R48" s="185"/>
      <c r="S48" s="185"/>
    </row>
    <row r="49" spans="1:21" x14ac:dyDescent="0.25">
      <c r="A49" s="180">
        <f t="shared" ca="1" si="8"/>
        <v>46139</v>
      </c>
      <c r="B49" s="181">
        <v>35</v>
      </c>
      <c r="C49" s="182">
        <f t="shared" ca="1" si="9"/>
        <v>35000</v>
      </c>
      <c r="D49" s="182">
        <f t="shared" ca="1" si="10"/>
        <v>23.333333333333332</v>
      </c>
      <c r="E49" s="182">
        <v>0</v>
      </c>
      <c r="F49" s="182">
        <f t="shared" ca="1" si="2"/>
        <v>0</v>
      </c>
      <c r="G49" s="182">
        <f t="shared" ca="1" si="11"/>
        <v>7583.3333333333367</v>
      </c>
      <c r="H49" s="182">
        <f t="shared" ca="1" si="12"/>
        <v>35000</v>
      </c>
      <c r="I49" s="183">
        <v>0</v>
      </c>
      <c r="J49" s="263">
        <f t="shared" ca="1" si="1"/>
        <v>29400</v>
      </c>
      <c r="K49" s="182">
        <f t="shared" ca="1" si="4"/>
        <v>70</v>
      </c>
      <c r="L49" s="182">
        <f t="shared" ca="1" si="5"/>
        <v>816.66666666666697</v>
      </c>
      <c r="M49" s="182">
        <f t="shared" ca="1" si="6"/>
        <v>816.66666666666697</v>
      </c>
      <c r="N49" s="182">
        <f t="shared" ca="1" si="7"/>
        <v>3266.6666666666683</v>
      </c>
      <c r="O49" s="182"/>
      <c r="P49" t="s">
        <v>248</v>
      </c>
      <c r="Q49" t="s">
        <v>249</v>
      </c>
      <c r="R49" t="s">
        <v>250</v>
      </c>
      <c r="S49" t="s">
        <v>251</v>
      </c>
      <c r="T49" t="s">
        <v>252</v>
      </c>
    </row>
    <row r="50" spans="1:21" x14ac:dyDescent="0.25">
      <c r="A50" s="180">
        <f t="shared" ca="1" si="8"/>
        <v>46140</v>
      </c>
      <c r="B50" s="181">
        <v>36</v>
      </c>
      <c r="C50" s="182">
        <f t="shared" ca="1" si="9"/>
        <v>35000</v>
      </c>
      <c r="D50" s="182">
        <f t="shared" ca="1" si="10"/>
        <v>23.333333333333332</v>
      </c>
      <c r="E50" s="182">
        <v>0</v>
      </c>
      <c r="F50" s="182">
        <f t="shared" ca="1" si="2"/>
        <v>0</v>
      </c>
      <c r="G50" s="182">
        <f t="shared" ca="1" si="11"/>
        <v>7560.0000000000036</v>
      </c>
      <c r="H50" s="182">
        <f t="shared" ca="1" si="12"/>
        <v>35000</v>
      </c>
      <c r="I50" s="183">
        <v>0</v>
      </c>
      <c r="J50" s="263">
        <f t="shared" ca="1" si="1"/>
        <v>29400</v>
      </c>
      <c r="K50" s="182">
        <f t="shared" ca="1" si="4"/>
        <v>70</v>
      </c>
      <c r="L50" s="182">
        <f t="shared" ca="1" si="5"/>
        <v>840.00000000000034</v>
      </c>
      <c r="M50" s="182">
        <f t="shared" ca="1" si="6"/>
        <v>840.00000000000034</v>
      </c>
      <c r="N50" s="182">
        <f t="shared" ca="1" si="7"/>
        <v>3360.0000000000018</v>
      </c>
      <c r="O50" s="182"/>
      <c r="P50" s="180">
        <f ca="1">Q36</f>
        <v>46105</v>
      </c>
      <c r="Q50" s="130">
        <f ca="1">U24</f>
        <v>46470</v>
      </c>
      <c r="R50" s="180">
        <f ca="1">Q50+90</f>
        <v>46560</v>
      </c>
      <c r="S50" s="180">
        <f ca="1">R50+90</f>
        <v>46650</v>
      </c>
      <c r="T50" s="180">
        <f ca="1">S50+90</f>
        <v>46740</v>
      </c>
      <c r="U50" s="115">
        <f ca="1">Q39</f>
        <v>23.333333333333332</v>
      </c>
    </row>
    <row r="51" spans="1:21" x14ac:dyDescent="0.25">
      <c r="A51" s="180">
        <f t="shared" ca="1" si="8"/>
        <v>46141</v>
      </c>
      <c r="B51" s="181">
        <v>37</v>
      </c>
      <c r="C51" s="182">
        <f t="shared" ca="1" si="9"/>
        <v>35000</v>
      </c>
      <c r="D51" s="182">
        <f t="shared" ca="1" si="10"/>
        <v>23.333333333333332</v>
      </c>
      <c r="E51" s="182">
        <v>0</v>
      </c>
      <c r="F51" s="182">
        <f t="shared" ca="1" si="2"/>
        <v>0</v>
      </c>
      <c r="G51" s="182">
        <f t="shared" ca="1" si="11"/>
        <v>7536.6666666666706</v>
      </c>
      <c r="H51" s="182">
        <f t="shared" ca="1" si="12"/>
        <v>35000</v>
      </c>
      <c r="I51" s="183">
        <v>0</v>
      </c>
      <c r="J51" s="263">
        <f t="shared" ca="1" si="1"/>
        <v>29400</v>
      </c>
      <c r="K51" s="182">
        <f t="shared" ca="1" si="4"/>
        <v>70</v>
      </c>
      <c r="L51" s="182">
        <f t="shared" ca="1" si="5"/>
        <v>863.33333333333371</v>
      </c>
      <c r="M51" s="182">
        <f t="shared" ca="1" si="6"/>
        <v>863.33333333333371</v>
      </c>
      <c r="N51" s="182">
        <f t="shared" ca="1" si="7"/>
        <v>3453.3333333333353</v>
      </c>
      <c r="O51" s="182"/>
      <c r="P51" s="183">
        <f ca="1">Q38</f>
        <v>29400</v>
      </c>
      <c r="Q51" s="115">
        <f ca="1">Y17</f>
        <v>35140.233540844434</v>
      </c>
      <c r="R51" s="115">
        <f ca="1">VLOOKUP(R50,$A$15:$H$553,8,TRUE)</f>
        <v>37312.438303086084</v>
      </c>
      <c r="S51" s="115">
        <f ca="1">VLOOKUP(S50,$A$15:$H$850,8,TRUE)</f>
        <v>39618.918596639181</v>
      </c>
      <c r="T51" s="115">
        <f ca="1">VLOOKUP(T50,$A$15:$H$950,8,TRUE)</f>
        <v>42067.974706367437</v>
      </c>
      <c r="U51">
        <v>0</v>
      </c>
    </row>
    <row r="52" spans="1:21" x14ac:dyDescent="0.25">
      <c r="A52" s="180">
        <f t="shared" ca="1" si="8"/>
        <v>46142</v>
      </c>
      <c r="B52" s="181">
        <v>38</v>
      </c>
      <c r="C52" s="182">
        <f t="shared" ca="1" si="9"/>
        <v>35000</v>
      </c>
      <c r="D52" s="182">
        <f t="shared" ca="1" si="10"/>
        <v>23.333333333333332</v>
      </c>
      <c r="E52" s="182">
        <v>0</v>
      </c>
      <c r="F52" s="182">
        <f t="shared" ca="1" si="2"/>
        <v>0</v>
      </c>
      <c r="G52" s="182">
        <f t="shared" ca="1" si="11"/>
        <v>7513.3333333333376</v>
      </c>
      <c r="H52" s="182">
        <f t="shared" ca="1" si="12"/>
        <v>35000</v>
      </c>
      <c r="I52" s="183">
        <v>0</v>
      </c>
      <c r="J52" s="263">
        <f t="shared" ca="1" si="1"/>
        <v>29400</v>
      </c>
      <c r="K52" s="182">
        <f t="shared" ca="1" si="4"/>
        <v>70</v>
      </c>
      <c r="L52" s="182">
        <f t="shared" ca="1" si="5"/>
        <v>886.66666666666708</v>
      </c>
      <c r="M52" s="182">
        <f t="shared" ca="1" si="6"/>
        <v>886.66666666666708</v>
      </c>
      <c r="N52" s="182">
        <f t="shared" ca="1" si="7"/>
        <v>3546.6666666666688</v>
      </c>
      <c r="O52" s="182"/>
      <c r="P52" s="185"/>
      <c r="Q52" s="185"/>
      <c r="R52" s="185"/>
      <c r="S52" s="185"/>
    </row>
    <row r="53" spans="1:21" x14ac:dyDescent="0.25">
      <c r="A53" s="180">
        <f t="shared" ca="1" si="8"/>
        <v>46143</v>
      </c>
      <c r="B53" s="181">
        <v>39</v>
      </c>
      <c r="C53" s="182">
        <f t="shared" ca="1" si="9"/>
        <v>35000</v>
      </c>
      <c r="D53" s="182">
        <f t="shared" ca="1" si="10"/>
        <v>23.333333333333332</v>
      </c>
      <c r="E53" s="182">
        <v>0</v>
      </c>
      <c r="F53" s="182">
        <f t="shared" ca="1" si="2"/>
        <v>0</v>
      </c>
      <c r="G53" s="182">
        <f t="shared" ca="1" si="11"/>
        <v>7490.0000000000045</v>
      </c>
      <c r="H53" s="182">
        <f t="shared" ca="1" si="12"/>
        <v>35000</v>
      </c>
      <c r="I53" s="183">
        <v>0</v>
      </c>
      <c r="J53" s="263">
        <f t="shared" ca="1" si="1"/>
        <v>29400</v>
      </c>
      <c r="K53" s="182">
        <f t="shared" ca="1" si="4"/>
        <v>70</v>
      </c>
      <c r="L53" s="182">
        <f t="shared" ca="1" si="5"/>
        <v>910.00000000000045</v>
      </c>
      <c r="M53" s="182">
        <f t="shared" ca="1" si="6"/>
        <v>910.00000000000045</v>
      </c>
      <c r="N53" s="182">
        <f t="shared" ca="1" si="7"/>
        <v>3640.0000000000023</v>
      </c>
      <c r="O53" s="182"/>
      <c r="P53" s="185"/>
      <c r="Q53" s="185"/>
      <c r="R53" s="185"/>
      <c r="S53" s="185"/>
    </row>
    <row r="54" spans="1:21" x14ac:dyDescent="0.25">
      <c r="A54" s="180">
        <f t="shared" ca="1" si="8"/>
        <v>46144</v>
      </c>
      <c r="B54" s="181">
        <v>40</v>
      </c>
      <c r="C54" s="182">
        <f t="shared" ca="1" si="9"/>
        <v>35000</v>
      </c>
      <c r="D54" s="182">
        <f t="shared" ca="1" si="10"/>
        <v>23.333333333333332</v>
      </c>
      <c r="E54" s="182">
        <v>0</v>
      </c>
      <c r="F54" s="182">
        <f t="shared" ca="1" si="2"/>
        <v>0</v>
      </c>
      <c r="G54" s="182">
        <f t="shared" ca="1" si="11"/>
        <v>7466.6666666666715</v>
      </c>
      <c r="H54" s="182">
        <f t="shared" ca="1" si="12"/>
        <v>35000</v>
      </c>
      <c r="I54" s="183">
        <v>0</v>
      </c>
      <c r="J54" s="263">
        <f t="shared" ca="1" si="1"/>
        <v>29400</v>
      </c>
      <c r="K54" s="182">
        <f t="shared" ca="1" si="4"/>
        <v>70</v>
      </c>
      <c r="L54" s="182">
        <f t="shared" ca="1" si="5"/>
        <v>933.33333333333383</v>
      </c>
      <c r="M54" s="182">
        <f t="shared" ca="1" si="6"/>
        <v>933.33333333333383</v>
      </c>
      <c r="N54" s="182">
        <f t="shared" ca="1" si="7"/>
        <v>3733.3333333333358</v>
      </c>
      <c r="O54" s="182"/>
      <c r="P54" s="185"/>
      <c r="Q54" s="185"/>
      <c r="R54" s="185"/>
      <c r="S54" s="185"/>
    </row>
    <row r="55" spans="1:21" x14ac:dyDescent="0.25">
      <c r="A55" s="180">
        <f t="shared" ca="1" si="8"/>
        <v>46145</v>
      </c>
      <c r="B55" s="181">
        <v>41</v>
      </c>
      <c r="C55" s="182">
        <f t="shared" ca="1" si="9"/>
        <v>35000</v>
      </c>
      <c r="D55" s="182">
        <f t="shared" ca="1" si="10"/>
        <v>23.333333333333332</v>
      </c>
      <c r="E55" s="182">
        <v>0</v>
      </c>
      <c r="F55" s="182">
        <f t="shared" ca="1" si="2"/>
        <v>0</v>
      </c>
      <c r="G55" s="182">
        <f t="shared" ca="1" si="11"/>
        <v>7443.3333333333385</v>
      </c>
      <c r="H55" s="182">
        <f t="shared" ca="1" si="12"/>
        <v>35000</v>
      </c>
      <c r="I55" s="183">
        <v>0</v>
      </c>
      <c r="J55" s="263">
        <f t="shared" ca="1" si="1"/>
        <v>29400</v>
      </c>
      <c r="K55" s="182">
        <f t="shared" ca="1" si="4"/>
        <v>70</v>
      </c>
      <c r="L55" s="182">
        <f t="shared" ca="1" si="5"/>
        <v>956.6666666666672</v>
      </c>
      <c r="M55" s="182">
        <f t="shared" ca="1" si="6"/>
        <v>956.6666666666672</v>
      </c>
      <c r="N55" s="182">
        <f t="shared" ca="1" si="7"/>
        <v>3826.6666666666692</v>
      </c>
      <c r="O55" s="182"/>
      <c r="P55" s="185"/>
      <c r="Q55" s="185"/>
      <c r="R55" s="185"/>
      <c r="S55" s="185"/>
    </row>
    <row r="56" spans="1:21" x14ac:dyDescent="0.25">
      <c r="A56" s="180">
        <f t="shared" ca="1" si="8"/>
        <v>46146</v>
      </c>
      <c r="B56" s="181">
        <v>42</v>
      </c>
      <c r="C56" s="182">
        <f t="shared" ca="1" si="9"/>
        <v>35000</v>
      </c>
      <c r="D56" s="182">
        <f t="shared" ca="1" si="10"/>
        <v>23.333333333333332</v>
      </c>
      <c r="E56" s="182">
        <v>0</v>
      </c>
      <c r="F56" s="182">
        <f t="shared" ca="1" si="2"/>
        <v>0</v>
      </c>
      <c r="G56" s="182">
        <f t="shared" ca="1" si="11"/>
        <v>7420.0000000000055</v>
      </c>
      <c r="H56" s="182">
        <f t="shared" ca="1" si="12"/>
        <v>35000</v>
      </c>
      <c r="I56" s="183">
        <v>0</v>
      </c>
      <c r="J56" s="263">
        <f t="shared" ca="1" si="1"/>
        <v>29400</v>
      </c>
      <c r="K56" s="182">
        <f t="shared" ca="1" si="4"/>
        <v>70</v>
      </c>
      <c r="L56" s="182">
        <f t="shared" ca="1" si="5"/>
        <v>980.00000000000057</v>
      </c>
      <c r="M56" s="182">
        <f t="shared" ca="1" si="6"/>
        <v>980.00000000000057</v>
      </c>
      <c r="N56" s="182">
        <f t="shared" ca="1" si="7"/>
        <v>3920.0000000000027</v>
      </c>
      <c r="O56" s="182"/>
      <c r="P56" s="185"/>
      <c r="Q56" s="185"/>
      <c r="R56" s="185"/>
      <c r="S56" s="185"/>
    </row>
    <row r="57" spans="1:21" x14ac:dyDescent="0.25">
      <c r="A57" s="180">
        <f t="shared" ca="1" si="8"/>
        <v>46147</v>
      </c>
      <c r="B57" s="181">
        <v>43</v>
      </c>
      <c r="C57" s="182">
        <f t="shared" ca="1" si="9"/>
        <v>35000</v>
      </c>
      <c r="D57" s="182">
        <f t="shared" ca="1" si="10"/>
        <v>23.333333333333332</v>
      </c>
      <c r="E57" s="182">
        <v>0</v>
      </c>
      <c r="F57" s="182">
        <f t="shared" ca="1" si="2"/>
        <v>0</v>
      </c>
      <c r="G57" s="182">
        <f t="shared" ca="1" si="11"/>
        <v>7396.6666666666724</v>
      </c>
      <c r="H57" s="182">
        <f t="shared" ca="1" si="12"/>
        <v>35000</v>
      </c>
      <c r="I57" s="183">
        <v>0</v>
      </c>
      <c r="J57" s="263">
        <f t="shared" ca="1" si="1"/>
        <v>29400</v>
      </c>
      <c r="K57" s="182">
        <f t="shared" ca="1" si="4"/>
        <v>70</v>
      </c>
      <c r="L57" s="182">
        <f t="shared" ca="1" si="5"/>
        <v>1003.3333333333339</v>
      </c>
      <c r="M57" s="182">
        <f t="shared" ca="1" si="6"/>
        <v>1003.3333333333339</v>
      </c>
      <c r="N57" s="182">
        <f t="shared" ca="1" si="7"/>
        <v>4013.3333333333362</v>
      </c>
      <c r="O57" s="182"/>
      <c r="P57" s="185"/>
      <c r="Q57" s="185"/>
      <c r="R57" s="185"/>
      <c r="S57" s="185"/>
    </row>
    <row r="58" spans="1:21" x14ac:dyDescent="0.25">
      <c r="A58" s="180">
        <f t="shared" ca="1" si="8"/>
        <v>46148</v>
      </c>
      <c r="B58" s="181">
        <v>44</v>
      </c>
      <c r="C58" s="182">
        <f t="shared" ca="1" si="9"/>
        <v>35000</v>
      </c>
      <c r="D58" s="182">
        <f t="shared" ca="1" si="10"/>
        <v>23.333333333333332</v>
      </c>
      <c r="E58" s="182">
        <v>0</v>
      </c>
      <c r="F58" s="182">
        <f t="shared" ca="1" si="2"/>
        <v>0</v>
      </c>
      <c r="G58" s="182">
        <f t="shared" ca="1" si="11"/>
        <v>7373.3333333333394</v>
      </c>
      <c r="H58" s="182">
        <f t="shared" ca="1" si="12"/>
        <v>35000</v>
      </c>
      <c r="I58" s="183">
        <v>0</v>
      </c>
      <c r="J58" s="263">
        <f t="shared" ca="1" si="1"/>
        <v>29400</v>
      </c>
      <c r="K58" s="182">
        <f t="shared" ca="1" si="4"/>
        <v>70</v>
      </c>
      <c r="L58" s="182">
        <f t="shared" ca="1" si="5"/>
        <v>1026.6666666666672</v>
      </c>
      <c r="M58" s="182">
        <f t="shared" ca="1" si="6"/>
        <v>1026.6666666666672</v>
      </c>
      <c r="N58" s="182">
        <f t="shared" ca="1" si="7"/>
        <v>4106.6666666666697</v>
      </c>
      <c r="O58" s="182"/>
      <c r="P58" s="185"/>
      <c r="Q58" s="185"/>
      <c r="R58" s="185"/>
      <c r="S58" s="185"/>
    </row>
    <row r="59" spans="1:21" x14ac:dyDescent="0.25">
      <c r="A59" s="180">
        <f t="shared" ca="1" si="8"/>
        <v>46149</v>
      </c>
      <c r="B59" s="181">
        <v>45</v>
      </c>
      <c r="C59" s="182">
        <f t="shared" ca="1" si="9"/>
        <v>35000</v>
      </c>
      <c r="D59" s="182">
        <f t="shared" ca="1" si="10"/>
        <v>23.333333333333332</v>
      </c>
      <c r="E59" s="182">
        <v>0</v>
      </c>
      <c r="F59" s="182">
        <f t="shared" ca="1" si="2"/>
        <v>0</v>
      </c>
      <c r="G59" s="182">
        <f t="shared" ca="1" si="11"/>
        <v>7350.0000000000064</v>
      </c>
      <c r="H59" s="182">
        <f t="shared" ca="1" si="12"/>
        <v>35000</v>
      </c>
      <c r="I59" s="183">
        <v>0</v>
      </c>
      <c r="J59" s="263">
        <f t="shared" ca="1" si="1"/>
        <v>29400</v>
      </c>
      <c r="K59" s="182">
        <f t="shared" ca="1" si="4"/>
        <v>70</v>
      </c>
      <c r="L59" s="182">
        <f t="shared" ca="1" si="5"/>
        <v>1050.0000000000005</v>
      </c>
      <c r="M59" s="182">
        <f t="shared" ca="1" si="6"/>
        <v>1050.0000000000005</v>
      </c>
      <c r="N59" s="182">
        <f t="shared" ca="1" si="7"/>
        <v>4200.0000000000027</v>
      </c>
      <c r="O59" s="182"/>
      <c r="P59" s="185"/>
      <c r="Q59" s="185"/>
      <c r="R59" s="185"/>
      <c r="S59" s="185"/>
    </row>
    <row r="60" spans="1:21" x14ac:dyDescent="0.25">
      <c r="A60" s="180">
        <f t="shared" ca="1" si="8"/>
        <v>46150</v>
      </c>
      <c r="B60" s="181">
        <v>46</v>
      </c>
      <c r="C60" s="182">
        <f t="shared" ca="1" si="9"/>
        <v>35000</v>
      </c>
      <c r="D60" s="182">
        <f t="shared" ca="1" si="10"/>
        <v>23.333333333333332</v>
      </c>
      <c r="E60" s="182">
        <v>0</v>
      </c>
      <c r="F60" s="182">
        <f t="shared" ca="1" si="2"/>
        <v>0</v>
      </c>
      <c r="G60" s="182">
        <f t="shared" ca="1" si="11"/>
        <v>7326.6666666666733</v>
      </c>
      <c r="H60" s="182">
        <f t="shared" ca="1" si="12"/>
        <v>35000</v>
      </c>
      <c r="I60" s="183">
        <v>0</v>
      </c>
      <c r="J60" s="263">
        <f t="shared" ca="1" si="1"/>
        <v>29400</v>
      </c>
      <c r="K60" s="182">
        <f t="shared" ca="1" si="4"/>
        <v>70</v>
      </c>
      <c r="L60" s="182">
        <f t="shared" ca="1" si="5"/>
        <v>1073.3333333333337</v>
      </c>
      <c r="M60" s="182">
        <f t="shared" ca="1" si="6"/>
        <v>1073.3333333333337</v>
      </c>
      <c r="N60" s="182">
        <f t="shared" ca="1" si="7"/>
        <v>4293.3333333333358</v>
      </c>
      <c r="O60" s="182"/>
      <c r="P60" s="185"/>
      <c r="Q60" s="185"/>
      <c r="R60" s="185"/>
      <c r="S60" s="185"/>
    </row>
    <row r="61" spans="1:21" x14ac:dyDescent="0.25">
      <c r="A61" s="180">
        <f t="shared" ca="1" si="8"/>
        <v>46151</v>
      </c>
      <c r="B61" s="181">
        <v>47</v>
      </c>
      <c r="C61" s="182">
        <f t="shared" ca="1" si="9"/>
        <v>35000</v>
      </c>
      <c r="D61" s="182">
        <f t="shared" ca="1" si="10"/>
        <v>23.333333333333332</v>
      </c>
      <c r="E61" s="182">
        <v>0</v>
      </c>
      <c r="F61" s="182">
        <f t="shared" ca="1" si="2"/>
        <v>0</v>
      </c>
      <c r="G61" s="182">
        <f t="shared" ca="1" si="11"/>
        <v>7303.3333333333403</v>
      </c>
      <c r="H61" s="182">
        <f t="shared" ca="1" si="12"/>
        <v>35000</v>
      </c>
      <c r="I61" s="183">
        <v>0</v>
      </c>
      <c r="J61" s="263">
        <f t="shared" ca="1" si="1"/>
        <v>29400</v>
      </c>
      <c r="K61" s="182">
        <f t="shared" ca="1" si="4"/>
        <v>70</v>
      </c>
      <c r="L61" s="182">
        <f t="shared" ca="1" si="5"/>
        <v>1096.666666666667</v>
      </c>
      <c r="M61" s="182">
        <f t="shared" ca="1" si="6"/>
        <v>1096.666666666667</v>
      </c>
      <c r="N61" s="182">
        <f t="shared" ca="1" si="7"/>
        <v>4386.6666666666688</v>
      </c>
      <c r="O61" s="182"/>
      <c r="P61" s="185"/>
      <c r="Q61" s="185"/>
      <c r="R61" s="185"/>
      <c r="S61" s="185"/>
    </row>
    <row r="62" spans="1:21" x14ac:dyDescent="0.25">
      <c r="A62" s="180">
        <f t="shared" ca="1" si="8"/>
        <v>46152</v>
      </c>
      <c r="B62" s="181">
        <v>48</v>
      </c>
      <c r="C62" s="182">
        <f t="shared" ca="1" si="9"/>
        <v>35000</v>
      </c>
      <c r="D62" s="182">
        <f t="shared" ca="1" si="10"/>
        <v>23.333333333333332</v>
      </c>
      <c r="E62" s="182">
        <v>0</v>
      </c>
      <c r="F62" s="182">
        <f t="shared" ca="1" si="2"/>
        <v>0</v>
      </c>
      <c r="G62" s="182">
        <f t="shared" ca="1" si="11"/>
        <v>7280.0000000000073</v>
      </c>
      <c r="H62" s="182">
        <f t="shared" ca="1" si="12"/>
        <v>35000</v>
      </c>
      <c r="I62" s="183">
        <v>0</v>
      </c>
      <c r="J62" s="263">
        <f t="shared" ca="1" si="1"/>
        <v>29400</v>
      </c>
      <c r="K62" s="182">
        <f t="shared" ca="1" si="4"/>
        <v>70</v>
      </c>
      <c r="L62" s="182">
        <f t="shared" ca="1" si="5"/>
        <v>1120.0000000000002</v>
      </c>
      <c r="M62" s="182">
        <f t="shared" ca="1" si="6"/>
        <v>1120.0000000000002</v>
      </c>
      <c r="N62" s="182">
        <f t="shared" ca="1" si="7"/>
        <v>4480.0000000000018</v>
      </c>
      <c r="O62" s="182"/>
      <c r="P62" s="185"/>
      <c r="Q62" s="185"/>
      <c r="R62" s="185"/>
      <c r="S62" s="185"/>
    </row>
    <row r="63" spans="1:21" x14ac:dyDescent="0.25">
      <c r="A63" s="180">
        <f t="shared" ca="1" si="8"/>
        <v>46153</v>
      </c>
      <c r="B63" s="181">
        <v>49</v>
      </c>
      <c r="C63" s="182">
        <f t="shared" ca="1" si="9"/>
        <v>35000</v>
      </c>
      <c r="D63" s="182">
        <f t="shared" ca="1" si="10"/>
        <v>23.333333333333332</v>
      </c>
      <c r="E63" s="182">
        <v>0</v>
      </c>
      <c r="F63" s="182">
        <f t="shared" ca="1" si="2"/>
        <v>0</v>
      </c>
      <c r="G63" s="182">
        <f t="shared" ca="1" si="11"/>
        <v>7256.6666666666742</v>
      </c>
      <c r="H63" s="182">
        <f t="shared" ca="1" si="12"/>
        <v>35000</v>
      </c>
      <c r="I63" s="183">
        <v>0</v>
      </c>
      <c r="J63" s="263">
        <f t="shared" ca="1" si="1"/>
        <v>29400</v>
      </c>
      <c r="K63" s="182">
        <f t="shared" ca="1" si="4"/>
        <v>70</v>
      </c>
      <c r="L63" s="182">
        <f t="shared" ca="1" si="5"/>
        <v>1143.3333333333335</v>
      </c>
      <c r="M63" s="182">
        <f t="shared" ca="1" si="6"/>
        <v>1143.3333333333335</v>
      </c>
      <c r="N63" s="182">
        <f t="shared" ca="1" si="7"/>
        <v>4573.3333333333348</v>
      </c>
      <c r="O63" s="182"/>
      <c r="P63" s="185"/>
      <c r="Q63" s="185"/>
      <c r="R63" s="185"/>
      <c r="S63" s="185"/>
    </row>
    <row r="64" spans="1:21" x14ac:dyDescent="0.25">
      <c r="A64" s="180">
        <f t="shared" ca="1" si="8"/>
        <v>46154</v>
      </c>
      <c r="B64" s="181">
        <v>50</v>
      </c>
      <c r="C64" s="182">
        <f t="shared" ca="1" si="9"/>
        <v>35000</v>
      </c>
      <c r="D64" s="182">
        <f t="shared" ca="1" si="10"/>
        <v>23.333333333333332</v>
      </c>
      <c r="E64" s="182">
        <v>0</v>
      </c>
      <c r="F64" s="182">
        <f t="shared" ca="1" si="2"/>
        <v>0</v>
      </c>
      <c r="G64" s="182">
        <f t="shared" ca="1" si="11"/>
        <v>7233.3333333333412</v>
      </c>
      <c r="H64" s="182">
        <f t="shared" ca="1" si="12"/>
        <v>35000</v>
      </c>
      <c r="I64" s="183">
        <v>0</v>
      </c>
      <c r="J64" s="263">
        <f t="shared" ca="1" si="1"/>
        <v>29400</v>
      </c>
      <c r="K64" s="182">
        <f t="shared" ca="1" si="4"/>
        <v>70</v>
      </c>
      <c r="L64" s="182">
        <f t="shared" ca="1" si="5"/>
        <v>1166.6666666666667</v>
      </c>
      <c r="M64" s="182">
        <f t="shared" ca="1" si="6"/>
        <v>1166.6666666666667</v>
      </c>
      <c r="N64" s="182">
        <f t="shared" ca="1" si="7"/>
        <v>4666.6666666666679</v>
      </c>
      <c r="O64" s="182"/>
      <c r="P64" s="185"/>
      <c r="Q64" s="185"/>
      <c r="R64" s="185"/>
      <c r="S64" s="185"/>
    </row>
    <row r="65" spans="1:19" x14ac:dyDescent="0.25">
      <c r="A65" s="180">
        <f t="shared" ca="1" si="8"/>
        <v>46155</v>
      </c>
      <c r="B65" s="181">
        <v>51</v>
      </c>
      <c r="C65" s="182">
        <f t="shared" ca="1" si="9"/>
        <v>35000</v>
      </c>
      <c r="D65" s="182">
        <f t="shared" ca="1" si="10"/>
        <v>23.333333333333332</v>
      </c>
      <c r="E65" s="182">
        <v>0</v>
      </c>
      <c r="F65" s="182">
        <f t="shared" ca="1" si="2"/>
        <v>0</v>
      </c>
      <c r="G65" s="182">
        <f t="shared" ca="1" si="11"/>
        <v>7210.0000000000082</v>
      </c>
      <c r="H65" s="182">
        <f t="shared" ca="1" si="12"/>
        <v>35000</v>
      </c>
      <c r="I65" s="183">
        <v>0</v>
      </c>
      <c r="J65" s="263">
        <f t="shared" ca="1" si="1"/>
        <v>29400</v>
      </c>
      <c r="K65" s="182">
        <f t="shared" ca="1" si="4"/>
        <v>70</v>
      </c>
      <c r="L65" s="182">
        <f t="shared" ca="1" si="5"/>
        <v>1190</v>
      </c>
      <c r="M65" s="182">
        <f t="shared" ca="1" si="6"/>
        <v>1190</v>
      </c>
      <c r="N65" s="182">
        <f t="shared" ca="1" si="7"/>
        <v>4760.0000000000009</v>
      </c>
      <c r="O65" s="182"/>
      <c r="P65" s="185"/>
      <c r="Q65" s="185"/>
      <c r="R65" s="185"/>
      <c r="S65" s="185"/>
    </row>
    <row r="66" spans="1:19" x14ac:dyDescent="0.25">
      <c r="A66" s="180">
        <f t="shared" ca="1" si="8"/>
        <v>46156</v>
      </c>
      <c r="B66" s="181">
        <v>52</v>
      </c>
      <c r="C66" s="182">
        <f t="shared" ca="1" si="9"/>
        <v>35000</v>
      </c>
      <c r="D66" s="182">
        <f t="shared" ca="1" si="10"/>
        <v>23.333333333333332</v>
      </c>
      <c r="E66" s="182">
        <v>0</v>
      </c>
      <c r="F66" s="182">
        <f t="shared" ca="1" si="2"/>
        <v>0</v>
      </c>
      <c r="G66" s="182">
        <f t="shared" ca="1" si="11"/>
        <v>7186.6666666666752</v>
      </c>
      <c r="H66" s="182">
        <f t="shared" ca="1" si="12"/>
        <v>35000</v>
      </c>
      <c r="I66" s="183">
        <v>0</v>
      </c>
      <c r="J66" s="263">
        <f t="shared" ca="1" si="1"/>
        <v>29400</v>
      </c>
      <c r="K66" s="182">
        <f t="shared" ca="1" si="4"/>
        <v>70</v>
      </c>
      <c r="L66" s="182">
        <f t="shared" ca="1" si="5"/>
        <v>1213.3333333333333</v>
      </c>
      <c r="M66" s="182">
        <f t="shared" ca="1" si="6"/>
        <v>1213.3333333333333</v>
      </c>
      <c r="N66" s="182">
        <f t="shared" ca="1" si="7"/>
        <v>4853.3333333333339</v>
      </c>
      <c r="O66" s="182"/>
      <c r="P66" s="185"/>
      <c r="Q66" s="185"/>
      <c r="R66" s="185"/>
      <c r="S66" s="185"/>
    </row>
    <row r="67" spans="1:19" x14ac:dyDescent="0.25">
      <c r="A67" s="180">
        <f t="shared" ca="1" si="8"/>
        <v>46157</v>
      </c>
      <c r="B67" s="181">
        <v>53</v>
      </c>
      <c r="C67" s="182">
        <f t="shared" ca="1" si="9"/>
        <v>35000</v>
      </c>
      <c r="D67" s="182">
        <f t="shared" ca="1" si="10"/>
        <v>23.333333333333332</v>
      </c>
      <c r="E67" s="182">
        <v>0</v>
      </c>
      <c r="F67" s="182">
        <f t="shared" ca="1" si="2"/>
        <v>0</v>
      </c>
      <c r="G67" s="182">
        <f t="shared" ca="1" si="11"/>
        <v>7163.3333333333421</v>
      </c>
      <c r="H67" s="182">
        <f t="shared" ca="1" si="12"/>
        <v>35000</v>
      </c>
      <c r="I67" s="183">
        <v>0</v>
      </c>
      <c r="J67" s="263">
        <f t="shared" ca="1" si="1"/>
        <v>29400</v>
      </c>
      <c r="K67" s="182">
        <f t="shared" ca="1" si="4"/>
        <v>70</v>
      </c>
      <c r="L67" s="182">
        <f t="shared" ca="1" si="5"/>
        <v>1236.6666666666665</v>
      </c>
      <c r="M67" s="182">
        <f t="shared" ca="1" si="6"/>
        <v>1236.6666666666665</v>
      </c>
      <c r="N67" s="182">
        <f t="shared" ca="1" si="7"/>
        <v>4946.666666666667</v>
      </c>
      <c r="O67" s="182"/>
      <c r="P67" s="185"/>
      <c r="Q67" s="185"/>
      <c r="R67" s="185"/>
      <c r="S67" s="185"/>
    </row>
    <row r="68" spans="1:19" x14ac:dyDescent="0.25">
      <c r="A68" s="180">
        <f t="shared" ca="1" si="8"/>
        <v>46158</v>
      </c>
      <c r="B68" s="181">
        <v>54</v>
      </c>
      <c r="C68" s="182">
        <f t="shared" ca="1" si="9"/>
        <v>35000</v>
      </c>
      <c r="D68" s="182">
        <f t="shared" ca="1" si="10"/>
        <v>23.333333333333332</v>
      </c>
      <c r="E68" s="182">
        <v>0</v>
      </c>
      <c r="F68" s="182">
        <f t="shared" ca="1" si="2"/>
        <v>0</v>
      </c>
      <c r="G68" s="182">
        <f t="shared" ca="1" si="11"/>
        <v>7140.0000000000091</v>
      </c>
      <c r="H68" s="182">
        <f t="shared" ca="1" si="12"/>
        <v>35000</v>
      </c>
      <c r="I68" s="183">
        <v>0</v>
      </c>
      <c r="J68" s="263">
        <f t="shared" ca="1" si="1"/>
        <v>29400</v>
      </c>
      <c r="K68" s="182">
        <f t="shared" ca="1" si="4"/>
        <v>70</v>
      </c>
      <c r="L68" s="182">
        <f t="shared" ca="1" si="5"/>
        <v>1259.9999999999998</v>
      </c>
      <c r="M68" s="182">
        <f t="shared" ca="1" si="6"/>
        <v>1259.9999999999998</v>
      </c>
      <c r="N68" s="182">
        <f t="shared" ca="1" si="7"/>
        <v>5040</v>
      </c>
      <c r="O68" s="182"/>
      <c r="P68" s="185"/>
      <c r="Q68" s="185"/>
      <c r="R68" s="185"/>
      <c r="S68" s="185"/>
    </row>
    <row r="69" spans="1:19" x14ac:dyDescent="0.25">
      <c r="A69" s="180">
        <f t="shared" ca="1" si="8"/>
        <v>46159</v>
      </c>
      <c r="B69" s="181">
        <v>55</v>
      </c>
      <c r="C69" s="182">
        <f t="shared" ca="1" si="9"/>
        <v>35000</v>
      </c>
      <c r="D69" s="182">
        <f t="shared" ca="1" si="10"/>
        <v>23.333333333333332</v>
      </c>
      <c r="E69" s="182">
        <v>0</v>
      </c>
      <c r="F69" s="182">
        <f t="shared" ca="1" si="2"/>
        <v>0</v>
      </c>
      <c r="G69" s="182">
        <f t="shared" ca="1" si="11"/>
        <v>7116.6666666666761</v>
      </c>
      <c r="H69" s="182">
        <f t="shared" ca="1" si="12"/>
        <v>35000</v>
      </c>
      <c r="I69" s="183">
        <v>0</v>
      </c>
      <c r="J69" s="263">
        <f t="shared" ca="1" si="1"/>
        <v>29400</v>
      </c>
      <c r="K69" s="182">
        <f t="shared" ca="1" si="4"/>
        <v>70</v>
      </c>
      <c r="L69" s="182">
        <f t="shared" ca="1" si="5"/>
        <v>1283.333333333333</v>
      </c>
      <c r="M69" s="182">
        <f t="shared" ca="1" si="6"/>
        <v>1283.333333333333</v>
      </c>
      <c r="N69" s="182">
        <f t="shared" ca="1" si="7"/>
        <v>5133.333333333333</v>
      </c>
      <c r="O69" s="182"/>
      <c r="P69" s="185"/>
      <c r="Q69" s="185"/>
      <c r="R69" s="185"/>
      <c r="S69" s="185"/>
    </row>
    <row r="70" spans="1:19" x14ac:dyDescent="0.25">
      <c r="A70" s="180">
        <f t="shared" ca="1" si="8"/>
        <v>46160</v>
      </c>
      <c r="B70" s="181">
        <v>56</v>
      </c>
      <c r="C70" s="182">
        <f t="shared" ca="1" si="9"/>
        <v>35000</v>
      </c>
      <c r="D70" s="182">
        <f t="shared" ca="1" si="10"/>
        <v>23.333333333333332</v>
      </c>
      <c r="E70" s="182">
        <v>0</v>
      </c>
      <c r="F70" s="182">
        <f t="shared" ca="1" si="2"/>
        <v>0</v>
      </c>
      <c r="G70" s="182">
        <f t="shared" ca="1" si="11"/>
        <v>7093.333333333343</v>
      </c>
      <c r="H70" s="182">
        <f t="shared" ca="1" si="12"/>
        <v>35000</v>
      </c>
      <c r="I70" s="183">
        <v>0</v>
      </c>
      <c r="J70" s="263">
        <f t="shared" ca="1" si="1"/>
        <v>29400</v>
      </c>
      <c r="K70" s="182">
        <f t="shared" ca="1" si="4"/>
        <v>70</v>
      </c>
      <c r="L70" s="182">
        <f t="shared" ca="1" si="5"/>
        <v>1306.6666666666663</v>
      </c>
      <c r="M70" s="182">
        <f t="shared" ca="1" si="6"/>
        <v>1306.6666666666663</v>
      </c>
      <c r="N70" s="182">
        <f t="shared" ca="1" si="7"/>
        <v>5226.6666666666661</v>
      </c>
      <c r="O70" s="182"/>
      <c r="P70" s="185"/>
      <c r="Q70" s="185"/>
      <c r="R70" s="185"/>
      <c r="S70" s="185"/>
    </row>
    <row r="71" spans="1:19" x14ac:dyDescent="0.25">
      <c r="A71" s="180">
        <f t="shared" ca="1" si="8"/>
        <v>46161</v>
      </c>
      <c r="B71" s="181">
        <v>57</v>
      </c>
      <c r="C71" s="182">
        <f t="shared" ca="1" si="9"/>
        <v>35000</v>
      </c>
      <c r="D71" s="182">
        <f t="shared" ca="1" si="10"/>
        <v>23.333333333333332</v>
      </c>
      <c r="E71" s="182">
        <v>0</v>
      </c>
      <c r="F71" s="182">
        <f t="shared" ca="1" si="2"/>
        <v>0</v>
      </c>
      <c r="G71" s="182">
        <f t="shared" ca="1" si="11"/>
        <v>7070.00000000001</v>
      </c>
      <c r="H71" s="182">
        <f t="shared" ca="1" si="12"/>
        <v>35000</v>
      </c>
      <c r="I71" s="183">
        <v>0</v>
      </c>
      <c r="J71" s="263">
        <f t="shared" ca="1" si="1"/>
        <v>29400</v>
      </c>
      <c r="K71" s="182">
        <f t="shared" ca="1" si="4"/>
        <v>70</v>
      </c>
      <c r="L71" s="182">
        <f t="shared" ca="1" si="5"/>
        <v>1329.9999999999995</v>
      </c>
      <c r="M71" s="182">
        <f t="shared" ca="1" si="6"/>
        <v>1329.9999999999995</v>
      </c>
      <c r="N71" s="182">
        <f t="shared" ca="1" si="7"/>
        <v>5319.9999999999991</v>
      </c>
      <c r="O71" s="182"/>
      <c r="P71" s="185"/>
      <c r="Q71" s="185"/>
      <c r="R71" s="185"/>
      <c r="S71" s="185"/>
    </row>
    <row r="72" spans="1:19" x14ac:dyDescent="0.25">
      <c r="A72" s="180">
        <f t="shared" ca="1" si="8"/>
        <v>46162</v>
      </c>
      <c r="B72" s="181">
        <v>58</v>
      </c>
      <c r="C72" s="182">
        <f t="shared" ca="1" si="9"/>
        <v>35000</v>
      </c>
      <c r="D72" s="182">
        <f t="shared" ca="1" si="10"/>
        <v>23.333333333333332</v>
      </c>
      <c r="E72" s="182">
        <v>0</v>
      </c>
      <c r="F72" s="182">
        <f t="shared" ca="1" si="2"/>
        <v>0</v>
      </c>
      <c r="G72" s="182">
        <f t="shared" ca="1" si="11"/>
        <v>7046.666666666677</v>
      </c>
      <c r="H72" s="182">
        <f t="shared" ca="1" si="12"/>
        <v>35000</v>
      </c>
      <c r="I72" s="183">
        <v>0</v>
      </c>
      <c r="J72" s="263">
        <f t="shared" ca="1" si="1"/>
        <v>29400</v>
      </c>
      <c r="K72" s="182">
        <f t="shared" ca="1" si="4"/>
        <v>70</v>
      </c>
      <c r="L72" s="182">
        <f t="shared" ca="1" si="5"/>
        <v>1353.3333333333328</v>
      </c>
      <c r="M72" s="182">
        <f t="shared" ca="1" si="6"/>
        <v>1353.3333333333328</v>
      </c>
      <c r="N72" s="182">
        <f t="shared" ca="1" si="7"/>
        <v>5413.3333333333321</v>
      </c>
      <c r="O72" s="182"/>
      <c r="P72" s="185"/>
      <c r="Q72" s="185"/>
      <c r="R72" s="185"/>
      <c r="S72" s="185"/>
    </row>
    <row r="73" spans="1:19" x14ac:dyDescent="0.25">
      <c r="A73" s="180">
        <f t="shared" ca="1" si="8"/>
        <v>46163</v>
      </c>
      <c r="B73" s="181">
        <v>59</v>
      </c>
      <c r="C73" s="182">
        <f t="shared" ca="1" si="9"/>
        <v>35000</v>
      </c>
      <c r="D73" s="182">
        <f t="shared" ca="1" si="10"/>
        <v>23.333333333333332</v>
      </c>
      <c r="E73" s="182">
        <v>0</v>
      </c>
      <c r="F73" s="182">
        <f t="shared" ca="1" si="2"/>
        <v>0</v>
      </c>
      <c r="G73" s="182">
        <f t="shared" ca="1" si="11"/>
        <v>7023.3333333333439</v>
      </c>
      <c r="H73" s="182">
        <f t="shared" ca="1" si="12"/>
        <v>35000</v>
      </c>
      <c r="I73" s="183">
        <v>0</v>
      </c>
      <c r="J73" s="263">
        <f t="shared" ca="1" si="1"/>
        <v>29400</v>
      </c>
      <c r="K73" s="182">
        <f t="shared" ca="1" si="4"/>
        <v>70</v>
      </c>
      <c r="L73" s="182">
        <f t="shared" ca="1" si="5"/>
        <v>1376.6666666666661</v>
      </c>
      <c r="M73" s="182">
        <f t="shared" ca="1" si="6"/>
        <v>1376.6666666666661</v>
      </c>
      <c r="N73" s="182">
        <f t="shared" ca="1" si="7"/>
        <v>5506.6666666666652</v>
      </c>
      <c r="O73" s="182"/>
      <c r="P73" s="185"/>
      <c r="Q73" s="185"/>
      <c r="R73" s="185"/>
      <c r="S73" s="185"/>
    </row>
    <row r="74" spans="1:19" x14ac:dyDescent="0.25">
      <c r="A74" s="180">
        <f t="shared" ca="1" si="8"/>
        <v>46164</v>
      </c>
      <c r="B74" s="181">
        <v>60</v>
      </c>
      <c r="C74" s="182">
        <f t="shared" ca="1" si="9"/>
        <v>35000</v>
      </c>
      <c r="D74" s="182">
        <f t="shared" ca="1" si="10"/>
        <v>23.333333333333332</v>
      </c>
      <c r="E74" s="182">
        <v>0</v>
      </c>
      <c r="F74" s="182">
        <f t="shared" ca="1" si="2"/>
        <v>0</v>
      </c>
      <c r="G74" s="182">
        <f t="shared" ca="1" si="11"/>
        <v>7000.0000000000109</v>
      </c>
      <c r="H74" s="182">
        <f t="shared" ca="1" si="12"/>
        <v>35000</v>
      </c>
      <c r="I74" s="183">
        <v>0</v>
      </c>
      <c r="J74" s="263">
        <f t="shared" ca="1" si="1"/>
        <v>29400</v>
      </c>
      <c r="K74" s="182">
        <f t="shared" ca="1" si="4"/>
        <v>70</v>
      </c>
      <c r="L74" s="182">
        <f t="shared" ca="1" si="5"/>
        <v>1399.9999999999993</v>
      </c>
      <c r="M74" s="182">
        <f t="shared" ca="1" si="6"/>
        <v>1399.9999999999993</v>
      </c>
      <c r="N74" s="182">
        <f t="shared" ca="1" si="7"/>
        <v>5599.9999999999982</v>
      </c>
      <c r="O74" s="182"/>
      <c r="P74" s="185"/>
      <c r="Q74" s="185"/>
      <c r="R74" s="185"/>
      <c r="S74" s="185"/>
    </row>
    <row r="75" spans="1:19" x14ac:dyDescent="0.25">
      <c r="A75" s="180">
        <f t="shared" ca="1" si="8"/>
        <v>46165</v>
      </c>
      <c r="B75" s="181">
        <v>61</v>
      </c>
      <c r="C75" s="182">
        <f t="shared" ca="1" si="9"/>
        <v>35000</v>
      </c>
      <c r="D75" s="182">
        <f t="shared" ca="1" si="10"/>
        <v>23.333333333333332</v>
      </c>
      <c r="E75" s="182">
        <v>0</v>
      </c>
      <c r="F75" s="182">
        <f t="shared" ca="1" si="2"/>
        <v>0</v>
      </c>
      <c r="G75" s="182">
        <f t="shared" ca="1" si="11"/>
        <v>6976.6666666666779</v>
      </c>
      <c r="H75" s="182">
        <f t="shared" ca="1" si="12"/>
        <v>35000</v>
      </c>
      <c r="I75" s="183">
        <v>0</v>
      </c>
      <c r="J75" s="263">
        <f t="shared" ca="1" si="1"/>
        <v>29400</v>
      </c>
      <c r="K75" s="182">
        <f t="shared" ca="1" si="4"/>
        <v>70</v>
      </c>
      <c r="L75" s="182">
        <f t="shared" ca="1" si="5"/>
        <v>1423.3333333333326</v>
      </c>
      <c r="M75" s="182">
        <f t="shared" ca="1" si="6"/>
        <v>1423.3333333333326</v>
      </c>
      <c r="N75" s="182">
        <f t="shared" ca="1" si="7"/>
        <v>5693.3333333333312</v>
      </c>
      <c r="O75" s="182"/>
      <c r="P75" s="185"/>
      <c r="Q75" s="185"/>
      <c r="R75" s="185"/>
      <c r="S75" s="185"/>
    </row>
    <row r="76" spans="1:19" x14ac:dyDescent="0.25">
      <c r="A76" s="180">
        <f t="shared" ca="1" si="8"/>
        <v>46166</v>
      </c>
      <c r="B76" s="181">
        <v>62</v>
      </c>
      <c r="C76" s="182">
        <f t="shared" ca="1" si="9"/>
        <v>35000</v>
      </c>
      <c r="D76" s="182">
        <f t="shared" ca="1" si="10"/>
        <v>23.333333333333332</v>
      </c>
      <c r="E76" s="182">
        <v>0</v>
      </c>
      <c r="F76" s="182">
        <f t="shared" ca="1" si="2"/>
        <v>0</v>
      </c>
      <c r="G76" s="182">
        <f t="shared" ca="1" si="11"/>
        <v>6953.3333333333449</v>
      </c>
      <c r="H76" s="182">
        <f t="shared" ca="1" si="12"/>
        <v>35000</v>
      </c>
      <c r="I76" s="183">
        <v>0</v>
      </c>
      <c r="J76" s="263">
        <f t="shared" ca="1" si="1"/>
        <v>29400</v>
      </c>
      <c r="K76" s="182">
        <f t="shared" ca="1" si="4"/>
        <v>70</v>
      </c>
      <c r="L76" s="182">
        <f t="shared" ca="1" si="5"/>
        <v>1446.6666666666658</v>
      </c>
      <c r="M76" s="182">
        <f t="shared" ca="1" si="6"/>
        <v>1446.6666666666658</v>
      </c>
      <c r="N76" s="182">
        <f t="shared" ca="1" si="7"/>
        <v>5786.6666666666642</v>
      </c>
      <c r="O76" s="182"/>
      <c r="P76" s="185"/>
      <c r="Q76" s="185"/>
      <c r="R76" s="185"/>
      <c r="S76" s="185"/>
    </row>
    <row r="77" spans="1:19" x14ac:dyDescent="0.25">
      <c r="A77" s="180">
        <f t="shared" ca="1" si="8"/>
        <v>46167</v>
      </c>
      <c r="B77" s="181">
        <v>63</v>
      </c>
      <c r="C77" s="182">
        <f t="shared" ca="1" si="9"/>
        <v>35000</v>
      </c>
      <c r="D77" s="182">
        <f t="shared" ca="1" si="10"/>
        <v>23.333333333333332</v>
      </c>
      <c r="E77" s="182">
        <v>0</v>
      </c>
      <c r="F77" s="182">
        <f t="shared" ca="1" si="2"/>
        <v>0</v>
      </c>
      <c r="G77" s="182">
        <f t="shared" ca="1" si="11"/>
        <v>6930.0000000000118</v>
      </c>
      <c r="H77" s="182">
        <f t="shared" ca="1" si="12"/>
        <v>35000</v>
      </c>
      <c r="I77" s="183">
        <v>0</v>
      </c>
      <c r="J77" s="263">
        <f t="shared" ca="1" si="1"/>
        <v>29400</v>
      </c>
      <c r="K77" s="182">
        <f t="shared" ca="1" si="4"/>
        <v>70</v>
      </c>
      <c r="L77" s="182">
        <f t="shared" ca="1" si="5"/>
        <v>1469.9999999999991</v>
      </c>
      <c r="M77" s="182">
        <f t="shared" ca="1" si="6"/>
        <v>1469.9999999999991</v>
      </c>
      <c r="N77" s="182">
        <f t="shared" ca="1" si="7"/>
        <v>5879.9999999999973</v>
      </c>
      <c r="O77" s="182"/>
      <c r="P77" s="185"/>
      <c r="Q77" s="185"/>
      <c r="R77" s="185"/>
      <c r="S77" s="185"/>
    </row>
    <row r="78" spans="1:19" x14ac:dyDescent="0.25">
      <c r="A78" s="180">
        <f t="shared" ca="1" si="8"/>
        <v>46168</v>
      </c>
      <c r="B78" s="181">
        <v>64</v>
      </c>
      <c r="C78" s="182">
        <f t="shared" ca="1" si="9"/>
        <v>35000</v>
      </c>
      <c r="D78" s="182">
        <f t="shared" ca="1" si="10"/>
        <v>23.333333333333332</v>
      </c>
      <c r="E78" s="182">
        <v>0</v>
      </c>
      <c r="F78" s="182">
        <f t="shared" ca="1" si="2"/>
        <v>0</v>
      </c>
      <c r="G78" s="182">
        <f t="shared" ca="1" si="11"/>
        <v>6906.6666666666788</v>
      </c>
      <c r="H78" s="182">
        <f t="shared" ca="1" si="12"/>
        <v>35000</v>
      </c>
      <c r="I78" s="183">
        <v>0</v>
      </c>
      <c r="J78" s="263">
        <f t="shared" ca="1" si="1"/>
        <v>29400</v>
      </c>
      <c r="K78" s="182">
        <f t="shared" ca="1" si="4"/>
        <v>70</v>
      </c>
      <c r="L78" s="182">
        <f t="shared" ca="1" si="5"/>
        <v>1493.3333333333323</v>
      </c>
      <c r="M78" s="182">
        <f t="shared" ca="1" si="6"/>
        <v>1493.3333333333323</v>
      </c>
      <c r="N78" s="182">
        <f t="shared" ca="1" si="7"/>
        <v>5973.3333333333303</v>
      </c>
      <c r="O78" s="182"/>
      <c r="P78" s="185"/>
      <c r="Q78" s="185"/>
      <c r="R78" s="185"/>
      <c r="S78" s="185"/>
    </row>
    <row r="79" spans="1:19" x14ac:dyDescent="0.25">
      <c r="A79" s="180">
        <f t="shared" ca="1" si="8"/>
        <v>46169</v>
      </c>
      <c r="B79" s="181">
        <v>65</v>
      </c>
      <c r="C79" s="182">
        <f t="shared" ca="1" si="9"/>
        <v>35000</v>
      </c>
      <c r="D79" s="182">
        <f t="shared" ca="1" si="10"/>
        <v>23.333333333333332</v>
      </c>
      <c r="E79" s="182">
        <v>0</v>
      </c>
      <c r="F79" s="182">
        <f t="shared" ca="1" si="2"/>
        <v>0</v>
      </c>
      <c r="G79" s="182">
        <f t="shared" ca="1" si="11"/>
        <v>6883.3333333333458</v>
      </c>
      <c r="H79" s="182">
        <f t="shared" ca="1" si="12"/>
        <v>35000</v>
      </c>
      <c r="I79" s="183">
        <v>0</v>
      </c>
      <c r="J79" s="263">
        <f t="shared" ref="J79:J142" ca="1" si="13">H79-IF(I$8-G79&lt;Q$42,I$8-Q$42,G79)</f>
        <v>29400</v>
      </c>
      <c r="K79" s="182">
        <f t="shared" ca="1" si="4"/>
        <v>70</v>
      </c>
      <c r="L79" s="182">
        <f t="shared" ca="1" si="5"/>
        <v>1516.6666666666656</v>
      </c>
      <c r="M79" s="182">
        <f t="shared" ca="1" si="6"/>
        <v>1516.6666666666656</v>
      </c>
      <c r="N79" s="182">
        <f t="shared" ca="1" si="7"/>
        <v>6066.6666666666633</v>
      </c>
      <c r="O79" s="182"/>
      <c r="P79" s="185"/>
      <c r="Q79" s="185"/>
      <c r="R79" s="185"/>
      <c r="S79" s="185"/>
    </row>
    <row r="80" spans="1:19" x14ac:dyDescent="0.25">
      <c r="A80" s="180">
        <f t="shared" ca="1" si="8"/>
        <v>46170</v>
      </c>
      <c r="B80" s="181">
        <v>66</v>
      </c>
      <c r="C80" s="182">
        <f t="shared" ca="1" si="9"/>
        <v>35000</v>
      </c>
      <c r="D80" s="182">
        <f t="shared" ca="1" si="10"/>
        <v>23.333333333333332</v>
      </c>
      <c r="E80" s="182">
        <v>0</v>
      </c>
      <c r="F80" s="182">
        <f t="shared" ref="F80:F143" ca="1" si="14">IFERROR(-VLOOKUP(A80,$P$4:$R$12,2,FALSE),0)</f>
        <v>0</v>
      </c>
      <c r="G80" s="182">
        <f t="shared" ca="1" si="11"/>
        <v>6860.0000000000127</v>
      </c>
      <c r="H80" s="182">
        <f t="shared" ca="1" si="12"/>
        <v>35000</v>
      </c>
      <c r="I80" s="183">
        <v>0</v>
      </c>
      <c r="J80" s="263">
        <f t="shared" ca="1" si="13"/>
        <v>29400</v>
      </c>
      <c r="K80" s="182">
        <f t="shared" ref="K80:K143" ca="1" si="15">$L$3/($C$11-$C$8)</f>
        <v>70</v>
      </c>
      <c r="L80" s="182">
        <f t="shared" ref="L80:L143" ca="1" si="16">L79+D80</f>
        <v>1539.9999999999989</v>
      </c>
      <c r="M80" s="182">
        <f t="shared" ref="M80:M143" ca="1" si="17">IF($I$8&gt;L80,L80,$I$8)</f>
        <v>1539.9999999999989</v>
      </c>
      <c r="N80" s="182">
        <f t="shared" ref="N80:N143" ca="1" si="18">N79+D80+K80+I80</f>
        <v>6159.9999999999964</v>
      </c>
      <c r="O80" s="182"/>
      <c r="P80" s="185"/>
      <c r="Q80" s="185"/>
      <c r="R80" s="185"/>
      <c r="S80" s="185"/>
    </row>
    <row r="81" spans="1:19" x14ac:dyDescent="0.25">
      <c r="A81" s="180">
        <f t="shared" ref="A81:A144" ca="1" si="19">A80+1</f>
        <v>46171</v>
      </c>
      <c r="B81" s="181">
        <v>67</v>
      </c>
      <c r="C81" s="182">
        <f t="shared" ref="C81:C144" ca="1" si="20">H80</f>
        <v>35000</v>
      </c>
      <c r="D81" s="182">
        <f t="shared" ref="D81:D144" ca="1" si="21">(($C$6/360))*C81</f>
        <v>23.333333333333332</v>
      </c>
      <c r="E81" s="182">
        <v>0</v>
      </c>
      <c r="F81" s="182">
        <f t="shared" ca="1" si="14"/>
        <v>0</v>
      </c>
      <c r="G81" s="182">
        <f t="shared" ref="G81:G144" ca="1" si="22">IF(G80-D81-E81&gt;0,G80-D81-E81,0)</f>
        <v>6836.6666666666797</v>
      </c>
      <c r="H81" s="182">
        <f t="shared" ca="1" si="12"/>
        <v>35000</v>
      </c>
      <c r="I81" s="183">
        <v>0</v>
      </c>
      <c r="J81" s="263">
        <f t="shared" ca="1" si="13"/>
        <v>29400</v>
      </c>
      <c r="K81" s="182">
        <f t="shared" ca="1" si="15"/>
        <v>70</v>
      </c>
      <c r="L81" s="182">
        <f t="shared" ca="1" si="16"/>
        <v>1563.3333333333321</v>
      </c>
      <c r="M81" s="182">
        <f t="shared" ca="1" si="17"/>
        <v>1563.3333333333321</v>
      </c>
      <c r="N81" s="182">
        <f t="shared" ca="1" si="18"/>
        <v>6253.3333333333294</v>
      </c>
      <c r="O81" s="182"/>
      <c r="P81" s="185"/>
      <c r="Q81" s="185"/>
      <c r="R81" s="185"/>
      <c r="S81" s="185"/>
    </row>
    <row r="82" spans="1:19" x14ac:dyDescent="0.25">
      <c r="A82" s="180">
        <f t="shared" ca="1" si="19"/>
        <v>46172</v>
      </c>
      <c r="B82" s="181">
        <v>68</v>
      </c>
      <c r="C82" s="182">
        <f t="shared" ca="1" si="20"/>
        <v>35000</v>
      </c>
      <c r="D82" s="182">
        <f t="shared" ca="1" si="21"/>
        <v>23.333333333333332</v>
      </c>
      <c r="E82" s="182">
        <v>0</v>
      </c>
      <c r="F82" s="182">
        <f t="shared" ca="1" si="14"/>
        <v>0</v>
      </c>
      <c r="G82" s="182">
        <f t="shared" ca="1" si="22"/>
        <v>6813.3333333333467</v>
      </c>
      <c r="H82" s="182">
        <f t="shared" ca="1" si="12"/>
        <v>35000</v>
      </c>
      <c r="I82" s="183">
        <v>0</v>
      </c>
      <c r="J82" s="263">
        <f t="shared" ca="1" si="13"/>
        <v>29400</v>
      </c>
      <c r="K82" s="182">
        <f t="shared" ca="1" si="15"/>
        <v>70</v>
      </c>
      <c r="L82" s="182">
        <f t="shared" ca="1" si="16"/>
        <v>1586.6666666666654</v>
      </c>
      <c r="M82" s="182">
        <f t="shared" ca="1" si="17"/>
        <v>1586.6666666666654</v>
      </c>
      <c r="N82" s="182">
        <f t="shared" ca="1" si="18"/>
        <v>6346.6666666666624</v>
      </c>
      <c r="O82" s="182"/>
      <c r="P82" s="185"/>
      <c r="Q82" s="185"/>
      <c r="R82" s="185"/>
      <c r="S82" s="185"/>
    </row>
    <row r="83" spans="1:19" x14ac:dyDescent="0.25">
      <c r="A83" s="180">
        <f t="shared" ca="1" si="19"/>
        <v>46173</v>
      </c>
      <c r="B83" s="181">
        <v>69</v>
      </c>
      <c r="C83" s="182">
        <f t="shared" ca="1" si="20"/>
        <v>35000</v>
      </c>
      <c r="D83" s="182">
        <f t="shared" ca="1" si="21"/>
        <v>23.333333333333332</v>
      </c>
      <c r="E83" s="182">
        <v>0</v>
      </c>
      <c r="F83" s="182">
        <f t="shared" ca="1" si="14"/>
        <v>0</v>
      </c>
      <c r="G83" s="182">
        <f t="shared" ca="1" si="22"/>
        <v>6790.0000000000136</v>
      </c>
      <c r="H83" s="182">
        <f t="shared" ca="1" si="12"/>
        <v>35000</v>
      </c>
      <c r="I83" s="183">
        <v>0</v>
      </c>
      <c r="J83" s="263">
        <f t="shared" ca="1" si="13"/>
        <v>29400</v>
      </c>
      <c r="K83" s="182">
        <f t="shared" ca="1" si="15"/>
        <v>70</v>
      </c>
      <c r="L83" s="182">
        <f t="shared" ca="1" si="16"/>
        <v>1609.9999999999986</v>
      </c>
      <c r="M83" s="182">
        <f t="shared" ca="1" si="17"/>
        <v>1609.9999999999986</v>
      </c>
      <c r="N83" s="182">
        <f t="shared" ca="1" si="18"/>
        <v>6439.9999999999955</v>
      </c>
      <c r="O83" s="182"/>
      <c r="P83" s="185"/>
      <c r="Q83" s="185"/>
      <c r="R83" s="185"/>
      <c r="S83" s="185"/>
    </row>
    <row r="84" spans="1:19" x14ac:dyDescent="0.25">
      <c r="A84" s="180">
        <f t="shared" ca="1" si="19"/>
        <v>46174</v>
      </c>
      <c r="B84" s="181">
        <v>70</v>
      </c>
      <c r="C84" s="182">
        <f t="shared" ca="1" si="20"/>
        <v>35000</v>
      </c>
      <c r="D84" s="182">
        <f t="shared" ca="1" si="21"/>
        <v>23.333333333333332</v>
      </c>
      <c r="E84" s="182">
        <v>0</v>
      </c>
      <c r="F84" s="182">
        <f t="shared" ca="1" si="14"/>
        <v>0</v>
      </c>
      <c r="G84" s="182">
        <f t="shared" ca="1" si="22"/>
        <v>6766.6666666666806</v>
      </c>
      <c r="H84" s="182">
        <f t="shared" ca="1" si="12"/>
        <v>35000</v>
      </c>
      <c r="I84" s="183">
        <v>0</v>
      </c>
      <c r="J84" s="263">
        <f t="shared" ca="1" si="13"/>
        <v>29400</v>
      </c>
      <c r="K84" s="182">
        <f t="shared" ca="1" si="15"/>
        <v>70</v>
      </c>
      <c r="L84" s="182">
        <f t="shared" ca="1" si="16"/>
        <v>1633.3333333333319</v>
      </c>
      <c r="M84" s="182">
        <f t="shared" ca="1" si="17"/>
        <v>1633.3333333333319</v>
      </c>
      <c r="N84" s="182">
        <f t="shared" ca="1" si="18"/>
        <v>6533.3333333333285</v>
      </c>
      <c r="O84" s="182"/>
      <c r="P84" s="185"/>
      <c r="Q84" s="185"/>
      <c r="R84" s="185"/>
      <c r="S84" s="185"/>
    </row>
    <row r="85" spans="1:19" x14ac:dyDescent="0.25">
      <c r="A85" s="180">
        <f t="shared" ca="1" si="19"/>
        <v>46175</v>
      </c>
      <c r="B85" s="181">
        <v>71</v>
      </c>
      <c r="C85" s="182">
        <f t="shared" ca="1" si="20"/>
        <v>35000</v>
      </c>
      <c r="D85" s="182">
        <f t="shared" ca="1" si="21"/>
        <v>23.333333333333332</v>
      </c>
      <c r="E85" s="182">
        <v>0</v>
      </c>
      <c r="F85" s="182">
        <f t="shared" ca="1" si="14"/>
        <v>0</v>
      </c>
      <c r="G85" s="182">
        <f t="shared" ca="1" si="22"/>
        <v>6743.3333333333476</v>
      </c>
      <c r="H85" s="182">
        <f t="shared" ca="1" si="12"/>
        <v>35000</v>
      </c>
      <c r="I85" s="183">
        <v>0</v>
      </c>
      <c r="J85" s="263">
        <f t="shared" ca="1" si="13"/>
        <v>29400</v>
      </c>
      <c r="K85" s="182">
        <f t="shared" ca="1" si="15"/>
        <v>70</v>
      </c>
      <c r="L85" s="182">
        <f t="shared" ca="1" si="16"/>
        <v>1656.6666666666652</v>
      </c>
      <c r="M85" s="182">
        <f t="shared" ca="1" si="17"/>
        <v>1656.6666666666652</v>
      </c>
      <c r="N85" s="182">
        <f t="shared" ca="1" si="18"/>
        <v>6626.6666666666615</v>
      </c>
      <c r="O85" s="182"/>
      <c r="P85" s="185"/>
      <c r="Q85" s="185"/>
      <c r="R85" s="185"/>
      <c r="S85" s="185"/>
    </row>
    <row r="86" spans="1:19" x14ac:dyDescent="0.25">
      <c r="A86" s="180">
        <f t="shared" ca="1" si="19"/>
        <v>46176</v>
      </c>
      <c r="B86" s="181">
        <v>72</v>
      </c>
      <c r="C86" s="182">
        <f t="shared" ca="1" si="20"/>
        <v>35000</v>
      </c>
      <c r="D86" s="182">
        <f t="shared" ca="1" si="21"/>
        <v>23.333333333333332</v>
      </c>
      <c r="E86" s="182">
        <v>0</v>
      </c>
      <c r="F86" s="182">
        <f t="shared" ca="1" si="14"/>
        <v>0</v>
      </c>
      <c r="G86" s="182">
        <f t="shared" ca="1" si="22"/>
        <v>6720.0000000000146</v>
      </c>
      <c r="H86" s="182">
        <f t="shared" ca="1" si="12"/>
        <v>35000</v>
      </c>
      <c r="I86" s="183">
        <v>0</v>
      </c>
      <c r="J86" s="263">
        <f t="shared" ca="1" si="13"/>
        <v>29400</v>
      </c>
      <c r="K86" s="182">
        <f t="shared" ca="1" si="15"/>
        <v>70</v>
      </c>
      <c r="L86" s="182">
        <f t="shared" ca="1" si="16"/>
        <v>1679.9999999999984</v>
      </c>
      <c r="M86" s="182">
        <f t="shared" ca="1" si="17"/>
        <v>1679.9999999999984</v>
      </c>
      <c r="N86" s="182">
        <f t="shared" ca="1" si="18"/>
        <v>6719.9999999999945</v>
      </c>
      <c r="O86" s="182"/>
      <c r="P86" s="185"/>
      <c r="Q86" s="185"/>
      <c r="R86" s="185"/>
      <c r="S86" s="185"/>
    </row>
    <row r="87" spans="1:19" x14ac:dyDescent="0.25">
      <c r="A87" s="180">
        <f t="shared" ca="1" si="19"/>
        <v>46177</v>
      </c>
      <c r="B87" s="181">
        <v>73</v>
      </c>
      <c r="C87" s="182">
        <f t="shared" ca="1" si="20"/>
        <v>35000</v>
      </c>
      <c r="D87" s="182">
        <f t="shared" ca="1" si="21"/>
        <v>23.333333333333332</v>
      </c>
      <c r="E87" s="182">
        <v>0</v>
      </c>
      <c r="F87" s="182">
        <f t="shared" ca="1" si="14"/>
        <v>0</v>
      </c>
      <c r="G87" s="182">
        <f t="shared" ca="1" si="22"/>
        <v>6696.6666666666815</v>
      </c>
      <c r="H87" s="182">
        <f t="shared" ca="1" si="12"/>
        <v>35000</v>
      </c>
      <c r="I87" s="183">
        <v>0</v>
      </c>
      <c r="J87" s="263">
        <f t="shared" ca="1" si="13"/>
        <v>29400</v>
      </c>
      <c r="K87" s="182">
        <f t="shared" ca="1" si="15"/>
        <v>70</v>
      </c>
      <c r="L87" s="182">
        <f t="shared" ca="1" si="16"/>
        <v>1703.3333333333317</v>
      </c>
      <c r="M87" s="182">
        <f t="shared" ca="1" si="17"/>
        <v>1703.3333333333317</v>
      </c>
      <c r="N87" s="182">
        <f t="shared" ca="1" si="18"/>
        <v>6813.3333333333276</v>
      </c>
      <c r="O87" s="182"/>
      <c r="P87" s="185"/>
      <c r="Q87" s="185"/>
      <c r="R87" s="185"/>
      <c r="S87" s="185"/>
    </row>
    <row r="88" spans="1:19" x14ac:dyDescent="0.25">
      <c r="A88" s="180">
        <f t="shared" ca="1" si="19"/>
        <v>46178</v>
      </c>
      <c r="B88" s="181">
        <v>74</v>
      </c>
      <c r="C88" s="182">
        <f t="shared" ca="1" si="20"/>
        <v>35000</v>
      </c>
      <c r="D88" s="182">
        <f t="shared" ca="1" si="21"/>
        <v>23.333333333333332</v>
      </c>
      <c r="E88" s="182">
        <v>0</v>
      </c>
      <c r="F88" s="182">
        <f t="shared" ca="1" si="14"/>
        <v>0</v>
      </c>
      <c r="G88" s="182">
        <f t="shared" ca="1" si="22"/>
        <v>6673.3333333333485</v>
      </c>
      <c r="H88" s="182">
        <f t="shared" ca="1" si="12"/>
        <v>35000</v>
      </c>
      <c r="I88" s="183">
        <v>0</v>
      </c>
      <c r="J88" s="263">
        <f t="shared" ca="1" si="13"/>
        <v>29400</v>
      </c>
      <c r="K88" s="182">
        <f t="shared" ca="1" si="15"/>
        <v>70</v>
      </c>
      <c r="L88" s="182">
        <f t="shared" ca="1" si="16"/>
        <v>1726.6666666666649</v>
      </c>
      <c r="M88" s="182">
        <f t="shared" ca="1" si="17"/>
        <v>1726.6666666666649</v>
      </c>
      <c r="N88" s="182">
        <f t="shared" ca="1" si="18"/>
        <v>6906.6666666666606</v>
      </c>
      <c r="O88" s="182"/>
      <c r="P88" s="185"/>
      <c r="Q88" s="185"/>
      <c r="R88" s="185"/>
      <c r="S88" s="185"/>
    </row>
    <row r="89" spans="1:19" x14ac:dyDescent="0.25">
      <c r="A89" s="180">
        <f t="shared" ca="1" si="19"/>
        <v>46179</v>
      </c>
      <c r="B89" s="181">
        <v>75</v>
      </c>
      <c r="C89" s="182">
        <f t="shared" ca="1" si="20"/>
        <v>35000</v>
      </c>
      <c r="D89" s="182">
        <f t="shared" ca="1" si="21"/>
        <v>23.333333333333332</v>
      </c>
      <c r="E89" s="182">
        <v>0</v>
      </c>
      <c r="F89" s="182">
        <f t="shared" ca="1" si="14"/>
        <v>0</v>
      </c>
      <c r="G89" s="182">
        <f t="shared" ca="1" si="22"/>
        <v>6650.0000000000155</v>
      </c>
      <c r="H89" s="182">
        <f t="shared" ca="1" si="12"/>
        <v>35000</v>
      </c>
      <c r="I89" s="183">
        <v>0</v>
      </c>
      <c r="J89" s="263">
        <f t="shared" ca="1" si="13"/>
        <v>29400</v>
      </c>
      <c r="K89" s="182">
        <f t="shared" ca="1" si="15"/>
        <v>70</v>
      </c>
      <c r="L89" s="182">
        <f t="shared" ca="1" si="16"/>
        <v>1749.9999999999982</v>
      </c>
      <c r="M89" s="182">
        <f t="shared" ca="1" si="17"/>
        <v>1749.9999999999982</v>
      </c>
      <c r="N89" s="182">
        <f t="shared" ca="1" si="18"/>
        <v>6999.9999999999936</v>
      </c>
      <c r="O89" s="182"/>
      <c r="P89" s="185"/>
      <c r="Q89" s="185"/>
      <c r="R89" s="185"/>
      <c r="S89" s="185"/>
    </row>
    <row r="90" spans="1:19" x14ac:dyDescent="0.25">
      <c r="A90" s="180">
        <f t="shared" ca="1" si="19"/>
        <v>46180</v>
      </c>
      <c r="B90" s="181">
        <v>76</v>
      </c>
      <c r="C90" s="182">
        <f t="shared" ca="1" si="20"/>
        <v>35000</v>
      </c>
      <c r="D90" s="182">
        <f t="shared" ca="1" si="21"/>
        <v>23.333333333333332</v>
      </c>
      <c r="E90" s="182">
        <v>0</v>
      </c>
      <c r="F90" s="182">
        <f t="shared" ca="1" si="14"/>
        <v>0</v>
      </c>
      <c r="G90" s="182">
        <f t="shared" ca="1" si="22"/>
        <v>6626.6666666666824</v>
      </c>
      <c r="H90" s="182">
        <f t="shared" ca="1" si="12"/>
        <v>35000</v>
      </c>
      <c r="I90" s="183">
        <v>0</v>
      </c>
      <c r="J90" s="263">
        <f t="shared" ca="1" si="13"/>
        <v>29400</v>
      </c>
      <c r="K90" s="182">
        <f t="shared" ca="1" si="15"/>
        <v>70</v>
      </c>
      <c r="L90" s="182">
        <f t="shared" ca="1" si="16"/>
        <v>1773.3333333333314</v>
      </c>
      <c r="M90" s="182">
        <f t="shared" ca="1" si="17"/>
        <v>1773.3333333333314</v>
      </c>
      <c r="N90" s="182">
        <f t="shared" ca="1" si="18"/>
        <v>7093.3333333333267</v>
      </c>
      <c r="O90" s="182"/>
      <c r="P90" s="185"/>
      <c r="Q90" s="185"/>
      <c r="R90" s="185"/>
      <c r="S90" s="185"/>
    </row>
    <row r="91" spans="1:19" x14ac:dyDescent="0.25">
      <c r="A91" s="180">
        <f t="shared" ca="1" si="19"/>
        <v>46181</v>
      </c>
      <c r="B91" s="181">
        <v>77</v>
      </c>
      <c r="C91" s="182">
        <f t="shared" ca="1" si="20"/>
        <v>35000</v>
      </c>
      <c r="D91" s="182">
        <f t="shared" ca="1" si="21"/>
        <v>23.333333333333332</v>
      </c>
      <c r="E91" s="182">
        <v>0</v>
      </c>
      <c r="F91" s="182">
        <f t="shared" ca="1" si="14"/>
        <v>0</v>
      </c>
      <c r="G91" s="182">
        <f t="shared" ca="1" si="22"/>
        <v>6603.3333333333494</v>
      </c>
      <c r="H91" s="182">
        <f t="shared" ca="1" si="12"/>
        <v>35000</v>
      </c>
      <c r="I91" s="183">
        <v>0</v>
      </c>
      <c r="J91" s="263">
        <f t="shared" ca="1" si="13"/>
        <v>29400</v>
      </c>
      <c r="K91" s="182">
        <f t="shared" ca="1" si="15"/>
        <v>70</v>
      </c>
      <c r="L91" s="182">
        <f t="shared" ca="1" si="16"/>
        <v>1796.6666666666647</v>
      </c>
      <c r="M91" s="182">
        <f t="shared" ca="1" si="17"/>
        <v>1796.6666666666647</v>
      </c>
      <c r="N91" s="182">
        <f t="shared" ca="1" si="18"/>
        <v>7186.6666666666597</v>
      </c>
      <c r="O91" s="182"/>
      <c r="P91" s="185"/>
      <c r="Q91" s="185"/>
      <c r="R91" s="185"/>
      <c r="S91" s="185"/>
    </row>
    <row r="92" spans="1:19" x14ac:dyDescent="0.25">
      <c r="A92" s="180">
        <f t="shared" ca="1" si="19"/>
        <v>46182</v>
      </c>
      <c r="B92" s="181">
        <v>78</v>
      </c>
      <c r="C92" s="182">
        <f t="shared" ca="1" si="20"/>
        <v>35000</v>
      </c>
      <c r="D92" s="182">
        <f t="shared" ca="1" si="21"/>
        <v>23.333333333333332</v>
      </c>
      <c r="E92" s="182">
        <v>0</v>
      </c>
      <c r="F92" s="182">
        <f t="shared" ca="1" si="14"/>
        <v>0</v>
      </c>
      <c r="G92" s="182">
        <f t="shared" ca="1" si="22"/>
        <v>6580.0000000000164</v>
      </c>
      <c r="H92" s="182">
        <f t="shared" ca="1" si="12"/>
        <v>35000</v>
      </c>
      <c r="I92" s="183">
        <v>0</v>
      </c>
      <c r="J92" s="263">
        <f t="shared" ca="1" si="13"/>
        <v>29400</v>
      </c>
      <c r="K92" s="182">
        <f t="shared" ca="1" si="15"/>
        <v>70</v>
      </c>
      <c r="L92" s="182">
        <f t="shared" ca="1" si="16"/>
        <v>1819.999999999998</v>
      </c>
      <c r="M92" s="182">
        <f t="shared" ca="1" si="17"/>
        <v>1819.999999999998</v>
      </c>
      <c r="N92" s="182">
        <f t="shared" ca="1" si="18"/>
        <v>7279.9999999999927</v>
      </c>
      <c r="O92" s="182"/>
      <c r="P92" s="185"/>
      <c r="Q92" s="185"/>
      <c r="R92" s="185"/>
      <c r="S92" s="185"/>
    </row>
    <row r="93" spans="1:19" x14ac:dyDescent="0.25">
      <c r="A93" s="180">
        <f t="shared" ca="1" si="19"/>
        <v>46183</v>
      </c>
      <c r="B93" s="181">
        <v>79</v>
      </c>
      <c r="C93" s="182">
        <f t="shared" ca="1" si="20"/>
        <v>35000</v>
      </c>
      <c r="D93" s="182">
        <f t="shared" ca="1" si="21"/>
        <v>23.333333333333332</v>
      </c>
      <c r="E93" s="182">
        <v>0</v>
      </c>
      <c r="F93" s="182">
        <f t="shared" ca="1" si="14"/>
        <v>0</v>
      </c>
      <c r="G93" s="182">
        <f t="shared" ca="1" si="22"/>
        <v>6556.6666666666833</v>
      </c>
      <c r="H93" s="182">
        <f t="shared" ca="1" si="12"/>
        <v>35000</v>
      </c>
      <c r="I93" s="183">
        <v>0</v>
      </c>
      <c r="J93" s="263">
        <f t="shared" ca="1" si="13"/>
        <v>29400</v>
      </c>
      <c r="K93" s="182">
        <f t="shared" ca="1" si="15"/>
        <v>70</v>
      </c>
      <c r="L93" s="182">
        <f t="shared" ca="1" si="16"/>
        <v>1843.3333333333312</v>
      </c>
      <c r="M93" s="182">
        <f t="shared" ca="1" si="17"/>
        <v>1843.3333333333312</v>
      </c>
      <c r="N93" s="182">
        <f t="shared" ca="1" si="18"/>
        <v>7373.3333333333258</v>
      </c>
      <c r="O93" s="182"/>
      <c r="P93" s="185"/>
      <c r="Q93" s="185"/>
      <c r="R93" s="185"/>
      <c r="S93" s="185"/>
    </row>
    <row r="94" spans="1:19" x14ac:dyDescent="0.25">
      <c r="A94" s="180">
        <f t="shared" ca="1" si="19"/>
        <v>46184</v>
      </c>
      <c r="B94" s="181">
        <v>80</v>
      </c>
      <c r="C94" s="182">
        <f t="shared" ca="1" si="20"/>
        <v>35000</v>
      </c>
      <c r="D94" s="182">
        <f t="shared" ca="1" si="21"/>
        <v>23.333333333333332</v>
      </c>
      <c r="E94" s="182">
        <v>0</v>
      </c>
      <c r="F94" s="182">
        <f t="shared" ca="1" si="14"/>
        <v>0</v>
      </c>
      <c r="G94" s="182">
        <f t="shared" ca="1" si="22"/>
        <v>6533.3333333333503</v>
      </c>
      <c r="H94" s="182">
        <f t="shared" ca="1" si="12"/>
        <v>35000</v>
      </c>
      <c r="I94" s="183">
        <v>0</v>
      </c>
      <c r="J94" s="263">
        <f t="shared" ca="1" si="13"/>
        <v>29400</v>
      </c>
      <c r="K94" s="182">
        <f t="shared" ca="1" si="15"/>
        <v>70</v>
      </c>
      <c r="L94" s="182">
        <f t="shared" ca="1" si="16"/>
        <v>1866.6666666666645</v>
      </c>
      <c r="M94" s="182">
        <f t="shared" ca="1" si="17"/>
        <v>1866.6666666666645</v>
      </c>
      <c r="N94" s="182">
        <f t="shared" ca="1" si="18"/>
        <v>7466.6666666666588</v>
      </c>
      <c r="O94" s="182"/>
      <c r="P94" s="185"/>
      <c r="Q94" s="185"/>
      <c r="R94" s="185"/>
      <c r="S94" s="185"/>
    </row>
    <row r="95" spans="1:19" x14ac:dyDescent="0.25">
      <c r="A95" s="180">
        <f t="shared" ca="1" si="19"/>
        <v>46185</v>
      </c>
      <c r="B95" s="181">
        <v>81</v>
      </c>
      <c r="C95" s="182">
        <f t="shared" ca="1" si="20"/>
        <v>35000</v>
      </c>
      <c r="D95" s="182">
        <f t="shared" ca="1" si="21"/>
        <v>23.333333333333332</v>
      </c>
      <c r="E95" s="182">
        <v>0</v>
      </c>
      <c r="F95" s="182">
        <f t="shared" ca="1" si="14"/>
        <v>0</v>
      </c>
      <c r="G95" s="182">
        <f t="shared" ca="1" si="22"/>
        <v>6510.0000000000173</v>
      </c>
      <c r="H95" s="182">
        <f t="shared" ca="1" si="12"/>
        <v>35000</v>
      </c>
      <c r="I95" s="183">
        <v>0</v>
      </c>
      <c r="J95" s="263">
        <f t="shared" ca="1" si="13"/>
        <v>29400</v>
      </c>
      <c r="K95" s="182">
        <f t="shared" ca="1" si="15"/>
        <v>70</v>
      </c>
      <c r="L95" s="182">
        <f t="shared" ca="1" si="16"/>
        <v>1889.9999999999977</v>
      </c>
      <c r="M95" s="182">
        <f t="shared" ca="1" si="17"/>
        <v>1889.9999999999977</v>
      </c>
      <c r="N95" s="182">
        <f t="shared" ca="1" si="18"/>
        <v>7559.9999999999918</v>
      </c>
      <c r="O95" s="182"/>
      <c r="P95" s="185"/>
      <c r="Q95" s="185"/>
      <c r="R95" s="185"/>
      <c r="S95" s="185"/>
    </row>
    <row r="96" spans="1:19" x14ac:dyDescent="0.25">
      <c r="A96" s="180">
        <f t="shared" ca="1" si="19"/>
        <v>46186</v>
      </c>
      <c r="B96" s="181">
        <v>82</v>
      </c>
      <c r="C96" s="182">
        <f t="shared" ca="1" si="20"/>
        <v>35000</v>
      </c>
      <c r="D96" s="182">
        <f t="shared" ca="1" si="21"/>
        <v>23.333333333333332</v>
      </c>
      <c r="E96" s="182">
        <v>0</v>
      </c>
      <c r="F96" s="182">
        <f t="shared" ca="1" si="14"/>
        <v>0</v>
      </c>
      <c r="G96" s="182">
        <f t="shared" ca="1" si="22"/>
        <v>6486.6666666666843</v>
      </c>
      <c r="H96" s="182">
        <f t="shared" ca="1" si="12"/>
        <v>35000</v>
      </c>
      <c r="I96" s="183">
        <v>0</v>
      </c>
      <c r="J96" s="263">
        <f t="shared" ca="1" si="13"/>
        <v>29400</v>
      </c>
      <c r="K96" s="182">
        <f t="shared" ca="1" si="15"/>
        <v>70</v>
      </c>
      <c r="L96" s="182">
        <f t="shared" ca="1" si="16"/>
        <v>1913.333333333331</v>
      </c>
      <c r="M96" s="182">
        <f t="shared" ca="1" si="17"/>
        <v>1913.333333333331</v>
      </c>
      <c r="N96" s="182">
        <f t="shared" ca="1" si="18"/>
        <v>7653.3333333333248</v>
      </c>
      <c r="O96" s="182"/>
      <c r="P96" s="185"/>
      <c r="Q96" s="185"/>
      <c r="R96" s="185"/>
      <c r="S96" s="185"/>
    </row>
    <row r="97" spans="1:19" x14ac:dyDescent="0.25">
      <c r="A97" s="180">
        <f t="shared" ca="1" si="19"/>
        <v>46187</v>
      </c>
      <c r="B97" s="181">
        <v>83</v>
      </c>
      <c r="C97" s="182">
        <f t="shared" ca="1" si="20"/>
        <v>35000</v>
      </c>
      <c r="D97" s="182">
        <f t="shared" ca="1" si="21"/>
        <v>23.333333333333332</v>
      </c>
      <c r="E97" s="182">
        <v>0</v>
      </c>
      <c r="F97" s="182">
        <f t="shared" ca="1" si="14"/>
        <v>0</v>
      </c>
      <c r="G97" s="182">
        <f t="shared" ca="1" si="22"/>
        <v>6463.3333333333512</v>
      </c>
      <c r="H97" s="182">
        <f t="shared" ca="1" si="12"/>
        <v>35000</v>
      </c>
      <c r="I97" s="183">
        <v>0</v>
      </c>
      <c r="J97" s="263">
        <f t="shared" ca="1" si="13"/>
        <v>29400</v>
      </c>
      <c r="K97" s="182">
        <f t="shared" ca="1" si="15"/>
        <v>70</v>
      </c>
      <c r="L97" s="182">
        <f t="shared" ca="1" si="16"/>
        <v>1936.6666666666642</v>
      </c>
      <c r="M97" s="182">
        <f t="shared" ca="1" si="17"/>
        <v>1936.6666666666642</v>
      </c>
      <c r="N97" s="182">
        <f t="shared" ca="1" si="18"/>
        <v>7746.6666666666579</v>
      </c>
      <c r="O97" s="182"/>
      <c r="P97" s="185"/>
      <c r="Q97" s="185"/>
      <c r="R97" s="185"/>
      <c r="S97" s="185"/>
    </row>
    <row r="98" spans="1:19" x14ac:dyDescent="0.25">
      <c r="A98" s="180">
        <f t="shared" ca="1" si="19"/>
        <v>46188</v>
      </c>
      <c r="B98" s="181">
        <v>84</v>
      </c>
      <c r="C98" s="182">
        <f t="shared" ca="1" si="20"/>
        <v>35000</v>
      </c>
      <c r="D98" s="182">
        <f t="shared" ca="1" si="21"/>
        <v>23.333333333333332</v>
      </c>
      <c r="E98" s="182">
        <v>0</v>
      </c>
      <c r="F98" s="182">
        <f t="shared" ca="1" si="14"/>
        <v>0</v>
      </c>
      <c r="G98" s="182">
        <f t="shared" ca="1" si="22"/>
        <v>6440.0000000000182</v>
      </c>
      <c r="H98" s="182">
        <f t="shared" ca="1" si="12"/>
        <v>35000</v>
      </c>
      <c r="I98" s="183">
        <v>0</v>
      </c>
      <c r="J98" s="263">
        <f t="shared" ca="1" si="13"/>
        <v>29400</v>
      </c>
      <c r="K98" s="182">
        <f t="shared" ca="1" si="15"/>
        <v>70</v>
      </c>
      <c r="L98" s="182">
        <f t="shared" ca="1" si="16"/>
        <v>1959.9999999999975</v>
      </c>
      <c r="M98" s="182">
        <f t="shared" ca="1" si="17"/>
        <v>1959.9999999999975</v>
      </c>
      <c r="N98" s="182">
        <f t="shared" ca="1" si="18"/>
        <v>7839.9999999999909</v>
      </c>
      <c r="O98" s="182"/>
      <c r="P98" s="185"/>
      <c r="Q98" s="185"/>
      <c r="R98" s="185"/>
      <c r="S98" s="185"/>
    </row>
    <row r="99" spans="1:19" x14ac:dyDescent="0.25">
      <c r="A99" s="180">
        <f t="shared" ca="1" si="19"/>
        <v>46189</v>
      </c>
      <c r="B99" s="181">
        <v>85</v>
      </c>
      <c r="C99" s="182">
        <f t="shared" ca="1" si="20"/>
        <v>35000</v>
      </c>
      <c r="D99" s="182">
        <f t="shared" ca="1" si="21"/>
        <v>23.333333333333332</v>
      </c>
      <c r="E99" s="182">
        <v>0</v>
      </c>
      <c r="F99" s="182">
        <f t="shared" ca="1" si="14"/>
        <v>0</v>
      </c>
      <c r="G99" s="182">
        <f t="shared" ca="1" si="22"/>
        <v>6416.6666666666852</v>
      </c>
      <c r="H99" s="182">
        <f t="shared" ref="H99:H162" ca="1" si="23">IF(G99&gt;0,C99+F99+I99,SUM(C99:F99)-G98)</f>
        <v>35000</v>
      </c>
      <c r="I99" s="183">
        <v>0</v>
      </c>
      <c r="J99" s="263">
        <f t="shared" ca="1" si="13"/>
        <v>29400</v>
      </c>
      <c r="K99" s="182">
        <f t="shared" ca="1" si="15"/>
        <v>70</v>
      </c>
      <c r="L99" s="182">
        <f t="shared" ca="1" si="16"/>
        <v>1983.3333333333308</v>
      </c>
      <c r="M99" s="182">
        <f t="shared" ca="1" si="17"/>
        <v>1983.3333333333308</v>
      </c>
      <c r="N99" s="182">
        <f t="shared" ca="1" si="18"/>
        <v>7933.3333333333239</v>
      </c>
      <c r="O99" s="182"/>
      <c r="P99" s="185"/>
      <c r="Q99" s="185"/>
      <c r="R99" s="185"/>
      <c r="S99" s="185"/>
    </row>
    <row r="100" spans="1:19" x14ac:dyDescent="0.25">
      <c r="A100" s="180">
        <f t="shared" ca="1" si="19"/>
        <v>46190</v>
      </c>
      <c r="B100" s="181">
        <v>86</v>
      </c>
      <c r="C100" s="182">
        <f t="shared" ca="1" si="20"/>
        <v>35000</v>
      </c>
      <c r="D100" s="182">
        <f t="shared" ca="1" si="21"/>
        <v>23.333333333333332</v>
      </c>
      <c r="E100" s="182">
        <v>0</v>
      </c>
      <c r="F100" s="182">
        <f t="shared" ca="1" si="14"/>
        <v>0</v>
      </c>
      <c r="G100" s="182">
        <f t="shared" ca="1" si="22"/>
        <v>6393.3333333333521</v>
      </c>
      <c r="H100" s="182">
        <f t="shared" ca="1" si="23"/>
        <v>35000</v>
      </c>
      <c r="I100" s="183">
        <v>0</v>
      </c>
      <c r="J100" s="263">
        <f t="shared" ca="1" si="13"/>
        <v>29400</v>
      </c>
      <c r="K100" s="182">
        <f t="shared" ca="1" si="15"/>
        <v>70</v>
      </c>
      <c r="L100" s="182">
        <f t="shared" ca="1" si="16"/>
        <v>2006.666666666664</v>
      </c>
      <c r="M100" s="182">
        <f t="shared" ca="1" si="17"/>
        <v>2006.666666666664</v>
      </c>
      <c r="N100" s="182">
        <f t="shared" ca="1" si="18"/>
        <v>8026.666666666657</v>
      </c>
      <c r="O100" s="182"/>
      <c r="P100" s="185"/>
      <c r="Q100" s="185"/>
      <c r="R100" s="185"/>
      <c r="S100" s="185"/>
    </row>
    <row r="101" spans="1:19" x14ac:dyDescent="0.25">
      <c r="A101" s="180">
        <f t="shared" ca="1" si="19"/>
        <v>46191</v>
      </c>
      <c r="B101" s="181">
        <v>87</v>
      </c>
      <c r="C101" s="182">
        <f t="shared" ca="1" si="20"/>
        <v>35000</v>
      </c>
      <c r="D101" s="182">
        <f t="shared" ca="1" si="21"/>
        <v>23.333333333333332</v>
      </c>
      <c r="E101" s="182">
        <v>0</v>
      </c>
      <c r="F101" s="182">
        <f t="shared" ca="1" si="14"/>
        <v>0</v>
      </c>
      <c r="G101" s="182">
        <f t="shared" ca="1" si="22"/>
        <v>6370.0000000000191</v>
      </c>
      <c r="H101" s="182">
        <f t="shared" ca="1" si="23"/>
        <v>35000</v>
      </c>
      <c r="I101" s="183">
        <v>0</v>
      </c>
      <c r="J101" s="263">
        <f t="shared" ca="1" si="13"/>
        <v>29400</v>
      </c>
      <c r="K101" s="182">
        <f t="shared" ca="1" si="15"/>
        <v>70</v>
      </c>
      <c r="L101" s="182">
        <f t="shared" ca="1" si="16"/>
        <v>2029.9999999999973</v>
      </c>
      <c r="M101" s="182">
        <f t="shared" ca="1" si="17"/>
        <v>2029.9999999999973</v>
      </c>
      <c r="N101" s="182">
        <f t="shared" ca="1" si="18"/>
        <v>8119.99999999999</v>
      </c>
      <c r="O101" s="182"/>
      <c r="P101" s="185"/>
      <c r="Q101" s="185"/>
      <c r="R101" s="185"/>
      <c r="S101" s="185"/>
    </row>
    <row r="102" spans="1:19" x14ac:dyDescent="0.25">
      <c r="A102" s="180">
        <f t="shared" ca="1" si="19"/>
        <v>46192</v>
      </c>
      <c r="B102" s="181">
        <v>88</v>
      </c>
      <c r="C102" s="182">
        <f t="shared" ca="1" si="20"/>
        <v>35000</v>
      </c>
      <c r="D102" s="182">
        <f t="shared" ca="1" si="21"/>
        <v>23.333333333333332</v>
      </c>
      <c r="E102" s="182">
        <v>0</v>
      </c>
      <c r="F102" s="182">
        <f t="shared" ca="1" si="14"/>
        <v>0</v>
      </c>
      <c r="G102" s="182">
        <f t="shared" ca="1" si="22"/>
        <v>6346.6666666666861</v>
      </c>
      <c r="H102" s="182">
        <f t="shared" ca="1" si="23"/>
        <v>35000</v>
      </c>
      <c r="I102" s="183">
        <v>0</v>
      </c>
      <c r="J102" s="263">
        <f t="shared" ca="1" si="13"/>
        <v>29400</v>
      </c>
      <c r="K102" s="182">
        <f t="shared" ca="1" si="15"/>
        <v>70</v>
      </c>
      <c r="L102" s="182">
        <f t="shared" ca="1" si="16"/>
        <v>2053.3333333333308</v>
      </c>
      <c r="M102" s="182">
        <f t="shared" ca="1" si="17"/>
        <v>2053.3333333333308</v>
      </c>
      <c r="N102" s="182">
        <f t="shared" ca="1" si="18"/>
        <v>8213.333333333323</v>
      </c>
      <c r="O102" s="182"/>
      <c r="P102" s="185"/>
      <c r="Q102" s="185"/>
      <c r="R102" s="185"/>
      <c r="S102" s="185"/>
    </row>
    <row r="103" spans="1:19" x14ac:dyDescent="0.25">
      <c r="A103" s="180">
        <f t="shared" ca="1" si="19"/>
        <v>46193</v>
      </c>
      <c r="B103" s="181">
        <v>89</v>
      </c>
      <c r="C103" s="182">
        <f t="shared" ca="1" si="20"/>
        <v>35000</v>
      </c>
      <c r="D103" s="182">
        <f t="shared" ca="1" si="21"/>
        <v>23.333333333333332</v>
      </c>
      <c r="E103" s="182">
        <v>0</v>
      </c>
      <c r="F103" s="182">
        <f t="shared" ca="1" si="14"/>
        <v>0</v>
      </c>
      <c r="G103" s="182">
        <f t="shared" ca="1" si="22"/>
        <v>6323.333333333353</v>
      </c>
      <c r="H103" s="182">
        <f t="shared" ca="1" si="23"/>
        <v>35000</v>
      </c>
      <c r="I103" s="183">
        <v>0</v>
      </c>
      <c r="J103" s="263">
        <f t="shared" ca="1" si="13"/>
        <v>29400</v>
      </c>
      <c r="K103" s="182">
        <f t="shared" ca="1" si="15"/>
        <v>70</v>
      </c>
      <c r="L103" s="182">
        <f t="shared" ca="1" si="16"/>
        <v>2076.6666666666642</v>
      </c>
      <c r="M103" s="182">
        <f t="shared" ca="1" si="17"/>
        <v>2076.6666666666642</v>
      </c>
      <c r="N103" s="182">
        <f t="shared" ca="1" si="18"/>
        <v>8306.666666666657</v>
      </c>
      <c r="O103" s="182"/>
      <c r="P103" s="185"/>
      <c r="Q103" s="185"/>
      <c r="R103" s="185"/>
      <c r="S103" s="185"/>
    </row>
    <row r="104" spans="1:19" x14ac:dyDescent="0.25">
      <c r="A104" s="180">
        <f t="shared" ca="1" si="19"/>
        <v>46194</v>
      </c>
      <c r="B104" s="181">
        <v>90</v>
      </c>
      <c r="C104" s="182">
        <f t="shared" ca="1" si="20"/>
        <v>35000</v>
      </c>
      <c r="D104" s="182">
        <f t="shared" ca="1" si="21"/>
        <v>23.333333333333332</v>
      </c>
      <c r="E104" s="182">
        <v>0</v>
      </c>
      <c r="F104" s="182">
        <f t="shared" ca="1" si="14"/>
        <v>0</v>
      </c>
      <c r="G104" s="182">
        <f t="shared" ca="1" si="22"/>
        <v>6300.00000000002</v>
      </c>
      <c r="H104" s="182">
        <f t="shared" ca="1" si="23"/>
        <v>35000</v>
      </c>
      <c r="I104" s="183">
        <v>0</v>
      </c>
      <c r="J104" s="263">
        <f t="shared" ca="1" si="13"/>
        <v>29400</v>
      </c>
      <c r="K104" s="182">
        <f t="shared" ca="1" si="15"/>
        <v>70</v>
      </c>
      <c r="L104" s="182">
        <f t="shared" ca="1" si="16"/>
        <v>2099.9999999999977</v>
      </c>
      <c r="M104" s="182">
        <f t="shared" ca="1" si="17"/>
        <v>2099.9999999999977</v>
      </c>
      <c r="N104" s="182">
        <f t="shared" ca="1" si="18"/>
        <v>8399.9999999999909</v>
      </c>
      <c r="O104" s="182"/>
      <c r="P104" s="185"/>
      <c r="Q104" s="185"/>
      <c r="R104" s="185"/>
      <c r="S104" s="185"/>
    </row>
    <row r="105" spans="1:19" x14ac:dyDescent="0.25">
      <c r="A105" s="180">
        <f t="shared" ca="1" si="19"/>
        <v>46195</v>
      </c>
      <c r="B105" s="181">
        <v>91</v>
      </c>
      <c r="C105" s="182">
        <f t="shared" ca="1" si="20"/>
        <v>35000</v>
      </c>
      <c r="D105" s="182">
        <f t="shared" ca="1" si="21"/>
        <v>23.333333333333332</v>
      </c>
      <c r="E105" s="182">
        <v>0</v>
      </c>
      <c r="F105" s="182">
        <f t="shared" ca="1" si="14"/>
        <v>0</v>
      </c>
      <c r="G105" s="182">
        <f t="shared" ca="1" si="22"/>
        <v>6276.666666666687</v>
      </c>
      <c r="H105" s="182">
        <f t="shared" ca="1" si="23"/>
        <v>35000</v>
      </c>
      <c r="I105" s="183">
        <v>0</v>
      </c>
      <c r="J105" s="263">
        <f t="shared" ca="1" si="13"/>
        <v>29400</v>
      </c>
      <c r="K105" s="182">
        <f t="shared" ca="1" si="15"/>
        <v>70</v>
      </c>
      <c r="L105" s="182">
        <f t="shared" ca="1" si="16"/>
        <v>2123.3333333333312</v>
      </c>
      <c r="M105" s="182">
        <f t="shared" ca="1" si="17"/>
        <v>2123.3333333333312</v>
      </c>
      <c r="N105" s="182">
        <f t="shared" ca="1" si="18"/>
        <v>8493.3333333333248</v>
      </c>
      <c r="O105" s="182"/>
      <c r="P105" s="185"/>
      <c r="Q105" s="185"/>
      <c r="R105" s="185"/>
      <c r="S105" s="185"/>
    </row>
    <row r="106" spans="1:19" x14ac:dyDescent="0.25">
      <c r="A106" s="180">
        <f t="shared" ca="1" si="19"/>
        <v>46196</v>
      </c>
      <c r="B106" s="181">
        <v>92</v>
      </c>
      <c r="C106" s="182">
        <f t="shared" ca="1" si="20"/>
        <v>35000</v>
      </c>
      <c r="D106" s="182">
        <f t="shared" ca="1" si="21"/>
        <v>23.333333333333332</v>
      </c>
      <c r="E106" s="182">
        <v>0</v>
      </c>
      <c r="F106" s="182">
        <f t="shared" ca="1" si="14"/>
        <v>0</v>
      </c>
      <c r="G106" s="182">
        <f t="shared" ca="1" si="22"/>
        <v>6253.3333333333539</v>
      </c>
      <c r="H106" s="182">
        <f t="shared" ca="1" si="23"/>
        <v>35000</v>
      </c>
      <c r="I106" s="183">
        <v>0</v>
      </c>
      <c r="J106" s="263">
        <f t="shared" ca="1" si="13"/>
        <v>29400</v>
      </c>
      <c r="K106" s="182">
        <f t="shared" ca="1" si="15"/>
        <v>70</v>
      </c>
      <c r="L106" s="182">
        <f t="shared" ca="1" si="16"/>
        <v>2146.6666666666647</v>
      </c>
      <c r="M106" s="182">
        <f t="shared" ca="1" si="17"/>
        <v>2146.6666666666647</v>
      </c>
      <c r="N106" s="182">
        <f t="shared" ca="1" si="18"/>
        <v>8586.6666666666588</v>
      </c>
      <c r="O106" s="182"/>
      <c r="P106" s="185"/>
      <c r="Q106" s="185"/>
      <c r="R106" s="185"/>
      <c r="S106" s="185"/>
    </row>
    <row r="107" spans="1:19" x14ac:dyDescent="0.25">
      <c r="A107" s="180">
        <f t="shared" ca="1" si="19"/>
        <v>46197</v>
      </c>
      <c r="B107" s="181">
        <v>93</v>
      </c>
      <c r="C107" s="182">
        <f t="shared" ca="1" si="20"/>
        <v>35000</v>
      </c>
      <c r="D107" s="182">
        <f t="shared" ca="1" si="21"/>
        <v>23.333333333333332</v>
      </c>
      <c r="E107" s="182">
        <v>0</v>
      </c>
      <c r="F107" s="182">
        <f t="shared" ca="1" si="14"/>
        <v>0</v>
      </c>
      <c r="G107" s="182">
        <f t="shared" ca="1" si="22"/>
        <v>6230.0000000000209</v>
      </c>
      <c r="H107" s="182">
        <f t="shared" ca="1" si="23"/>
        <v>35000</v>
      </c>
      <c r="I107" s="183">
        <v>0</v>
      </c>
      <c r="J107" s="263">
        <f t="shared" ca="1" si="13"/>
        <v>29400</v>
      </c>
      <c r="K107" s="182">
        <f t="shared" ca="1" si="15"/>
        <v>70</v>
      </c>
      <c r="L107" s="182">
        <f t="shared" ca="1" si="16"/>
        <v>2169.9999999999982</v>
      </c>
      <c r="M107" s="182">
        <f t="shared" ca="1" si="17"/>
        <v>2169.9999999999982</v>
      </c>
      <c r="N107" s="182">
        <f t="shared" ca="1" si="18"/>
        <v>8679.9999999999927</v>
      </c>
      <c r="O107" s="182"/>
      <c r="P107" s="185"/>
      <c r="Q107" s="185"/>
      <c r="R107" s="185"/>
      <c r="S107" s="185"/>
    </row>
    <row r="108" spans="1:19" x14ac:dyDescent="0.25">
      <c r="A108" s="180">
        <f t="shared" ca="1" si="19"/>
        <v>46198</v>
      </c>
      <c r="B108" s="181">
        <v>94</v>
      </c>
      <c r="C108" s="182">
        <f t="shared" ca="1" si="20"/>
        <v>35000</v>
      </c>
      <c r="D108" s="182">
        <f t="shared" ca="1" si="21"/>
        <v>23.333333333333332</v>
      </c>
      <c r="E108" s="182">
        <v>0</v>
      </c>
      <c r="F108" s="182">
        <f t="shared" ca="1" si="14"/>
        <v>0</v>
      </c>
      <c r="G108" s="182">
        <f t="shared" ca="1" si="22"/>
        <v>6206.6666666666879</v>
      </c>
      <c r="H108" s="182">
        <f t="shared" ca="1" si="23"/>
        <v>35000</v>
      </c>
      <c r="I108" s="183">
        <v>0</v>
      </c>
      <c r="J108" s="263">
        <f t="shared" ca="1" si="13"/>
        <v>29400</v>
      </c>
      <c r="K108" s="182">
        <f t="shared" ca="1" si="15"/>
        <v>70</v>
      </c>
      <c r="L108" s="182">
        <f t="shared" ca="1" si="16"/>
        <v>2193.3333333333317</v>
      </c>
      <c r="M108" s="182">
        <f t="shared" ca="1" si="17"/>
        <v>2193.3333333333317</v>
      </c>
      <c r="N108" s="182">
        <f t="shared" ca="1" si="18"/>
        <v>8773.3333333333267</v>
      </c>
      <c r="O108" s="182"/>
      <c r="P108" s="185"/>
      <c r="Q108" s="185"/>
      <c r="R108" s="185"/>
      <c r="S108" s="185"/>
    </row>
    <row r="109" spans="1:19" x14ac:dyDescent="0.25">
      <c r="A109" s="180">
        <f t="shared" ca="1" si="19"/>
        <v>46199</v>
      </c>
      <c r="B109" s="181">
        <v>95</v>
      </c>
      <c r="C109" s="182">
        <f t="shared" ca="1" si="20"/>
        <v>35000</v>
      </c>
      <c r="D109" s="182">
        <f t="shared" ca="1" si="21"/>
        <v>23.333333333333332</v>
      </c>
      <c r="E109" s="182">
        <v>0</v>
      </c>
      <c r="F109" s="182">
        <f t="shared" ca="1" si="14"/>
        <v>0</v>
      </c>
      <c r="G109" s="182">
        <f t="shared" ca="1" si="22"/>
        <v>6183.3333333333549</v>
      </c>
      <c r="H109" s="182">
        <f t="shared" ca="1" si="23"/>
        <v>35000</v>
      </c>
      <c r="I109" s="183">
        <v>0</v>
      </c>
      <c r="J109" s="263">
        <f t="shared" ca="1" si="13"/>
        <v>29400</v>
      </c>
      <c r="K109" s="182">
        <f t="shared" ca="1" si="15"/>
        <v>70</v>
      </c>
      <c r="L109" s="182">
        <f t="shared" ca="1" si="16"/>
        <v>2216.6666666666652</v>
      </c>
      <c r="M109" s="182">
        <f t="shared" ca="1" si="17"/>
        <v>2216.6666666666652</v>
      </c>
      <c r="N109" s="182">
        <f t="shared" ca="1" si="18"/>
        <v>8866.6666666666606</v>
      </c>
      <c r="O109" s="182"/>
      <c r="P109" s="185"/>
      <c r="Q109" s="185"/>
      <c r="R109" s="185"/>
      <c r="S109" s="185"/>
    </row>
    <row r="110" spans="1:19" x14ac:dyDescent="0.25">
      <c r="A110" s="180">
        <f t="shared" ca="1" si="19"/>
        <v>46200</v>
      </c>
      <c r="B110" s="181">
        <v>96</v>
      </c>
      <c r="C110" s="182">
        <f t="shared" ca="1" si="20"/>
        <v>35000</v>
      </c>
      <c r="D110" s="182">
        <f t="shared" ca="1" si="21"/>
        <v>23.333333333333332</v>
      </c>
      <c r="E110" s="182">
        <v>0</v>
      </c>
      <c r="F110" s="182">
        <f t="shared" ca="1" si="14"/>
        <v>0</v>
      </c>
      <c r="G110" s="182">
        <f t="shared" ca="1" si="22"/>
        <v>6160.0000000000218</v>
      </c>
      <c r="H110" s="182">
        <f t="shared" ca="1" si="23"/>
        <v>35000</v>
      </c>
      <c r="I110" s="183">
        <v>0</v>
      </c>
      <c r="J110" s="263">
        <f t="shared" ca="1" si="13"/>
        <v>29400</v>
      </c>
      <c r="K110" s="182">
        <f t="shared" ca="1" si="15"/>
        <v>70</v>
      </c>
      <c r="L110" s="182">
        <f t="shared" ca="1" si="16"/>
        <v>2239.9999999999986</v>
      </c>
      <c r="M110" s="182">
        <f t="shared" ca="1" si="17"/>
        <v>2239.9999999999986</v>
      </c>
      <c r="N110" s="182">
        <f t="shared" ca="1" si="18"/>
        <v>8959.9999999999945</v>
      </c>
      <c r="O110" s="182"/>
      <c r="P110" s="185"/>
      <c r="Q110" s="185"/>
      <c r="R110" s="185"/>
      <c r="S110" s="185"/>
    </row>
    <row r="111" spans="1:19" x14ac:dyDescent="0.25">
      <c r="A111" s="180">
        <f t="shared" ca="1" si="19"/>
        <v>46201</v>
      </c>
      <c r="B111" s="181">
        <v>97</v>
      </c>
      <c r="C111" s="182">
        <f t="shared" ca="1" si="20"/>
        <v>35000</v>
      </c>
      <c r="D111" s="182">
        <f t="shared" ca="1" si="21"/>
        <v>23.333333333333332</v>
      </c>
      <c r="E111" s="182">
        <v>0</v>
      </c>
      <c r="F111" s="182">
        <f t="shared" ca="1" si="14"/>
        <v>0</v>
      </c>
      <c r="G111" s="182">
        <f t="shared" ca="1" si="22"/>
        <v>6136.6666666666888</v>
      </c>
      <c r="H111" s="182">
        <f t="shared" ca="1" si="23"/>
        <v>35000</v>
      </c>
      <c r="I111" s="183">
        <v>0</v>
      </c>
      <c r="J111" s="263">
        <f t="shared" ca="1" si="13"/>
        <v>29400</v>
      </c>
      <c r="K111" s="182">
        <f t="shared" ca="1" si="15"/>
        <v>70</v>
      </c>
      <c r="L111" s="182">
        <f t="shared" ca="1" si="16"/>
        <v>2263.3333333333321</v>
      </c>
      <c r="M111" s="182">
        <f t="shared" ca="1" si="17"/>
        <v>2263.3333333333321</v>
      </c>
      <c r="N111" s="182">
        <f t="shared" ca="1" si="18"/>
        <v>9053.3333333333285</v>
      </c>
      <c r="O111" s="182"/>
      <c r="P111" s="185"/>
      <c r="Q111" s="185"/>
      <c r="R111" s="185"/>
      <c r="S111" s="185"/>
    </row>
    <row r="112" spans="1:19" x14ac:dyDescent="0.25">
      <c r="A112" s="180">
        <f t="shared" ca="1" si="19"/>
        <v>46202</v>
      </c>
      <c r="B112" s="181">
        <v>98</v>
      </c>
      <c r="C112" s="182">
        <f t="shared" ca="1" si="20"/>
        <v>35000</v>
      </c>
      <c r="D112" s="182">
        <f t="shared" ca="1" si="21"/>
        <v>23.333333333333332</v>
      </c>
      <c r="E112" s="182">
        <v>0</v>
      </c>
      <c r="F112" s="182">
        <f t="shared" ca="1" si="14"/>
        <v>0</v>
      </c>
      <c r="G112" s="182">
        <f t="shared" ca="1" si="22"/>
        <v>6113.3333333333558</v>
      </c>
      <c r="H112" s="182">
        <f t="shared" ca="1" si="23"/>
        <v>35000</v>
      </c>
      <c r="I112" s="183">
        <v>0</v>
      </c>
      <c r="J112" s="263">
        <f t="shared" ca="1" si="13"/>
        <v>29400</v>
      </c>
      <c r="K112" s="182">
        <f t="shared" ca="1" si="15"/>
        <v>70</v>
      </c>
      <c r="L112" s="182">
        <f t="shared" ca="1" si="16"/>
        <v>2286.6666666666656</v>
      </c>
      <c r="M112" s="182">
        <f t="shared" ca="1" si="17"/>
        <v>2286.6666666666656</v>
      </c>
      <c r="N112" s="182">
        <f t="shared" ca="1" si="18"/>
        <v>9146.6666666666624</v>
      </c>
      <c r="O112" s="182"/>
      <c r="P112" s="185"/>
      <c r="Q112" s="185"/>
      <c r="R112" s="185"/>
      <c r="S112" s="185"/>
    </row>
    <row r="113" spans="1:19" x14ac:dyDescent="0.25">
      <c r="A113" s="180">
        <f t="shared" ca="1" si="19"/>
        <v>46203</v>
      </c>
      <c r="B113" s="181">
        <v>99</v>
      </c>
      <c r="C113" s="182">
        <f t="shared" ca="1" si="20"/>
        <v>35000</v>
      </c>
      <c r="D113" s="182">
        <f t="shared" ca="1" si="21"/>
        <v>23.333333333333332</v>
      </c>
      <c r="E113" s="182">
        <v>0</v>
      </c>
      <c r="F113" s="182">
        <f t="shared" ca="1" si="14"/>
        <v>0</v>
      </c>
      <c r="G113" s="182">
        <f t="shared" ca="1" si="22"/>
        <v>6090.0000000000227</v>
      </c>
      <c r="H113" s="182">
        <f t="shared" ca="1" si="23"/>
        <v>35000</v>
      </c>
      <c r="I113" s="183">
        <v>0</v>
      </c>
      <c r="J113" s="263">
        <f t="shared" ca="1" si="13"/>
        <v>29400</v>
      </c>
      <c r="K113" s="182">
        <f t="shared" ca="1" si="15"/>
        <v>70</v>
      </c>
      <c r="L113" s="182">
        <f t="shared" ca="1" si="16"/>
        <v>2309.9999999999991</v>
      </c>
      <c r="M113" s="182">
        <f t="shared" ca="1" si="17"/>
        <v>2309.9999999999991</v>
      </c>
      <c r="N113" s="182">
        <f t="shared" ca="1" si="18"/>
        <v>9239.9999999999964</v>
      </c>
      <c r="O113" s="182"/>
      <c r="P113" s="185"/>
      <c r="Q113" s="185"/>
      <c r="R113" s="185"/>
      <c r="S113" s="185"/>
    </row>
    <row r="114" spans="1:19" x14ac:dyDescent="0.25">
      <c r="A114" s="180">
        <f t="shared" ca="1" si="19"/>
        <v>46204</v>
      </c>
      <c r="B114" s="181">
        <v>100</v>
      </c>
      <c r="C114" s="182">
        <f t="shared" ca="1" si="20"/>
        <v>35000</v>
      </c>
      <c r="D114" s="182">
        <f t="shared" ca="1" si="21"/>
        <v>23.333333333333332</v>
      </c>
      <c r="E114" s="182">
        <v>0</v>
      </c>
      <c r="F114" s="182">
        <f t="shared" ca="1" si="14"/>
        <v>0</v>
      </c>
      <c r="G114" s="182">
        <f t="shared" ca="1" si="22"/>
        <v>6066.6666666666897</v>
      </c>
      <c r="H114" s="182">
        <f t="shared" ca="1" si="23"/>
        <v>35000</v>
      </c>
      <c r="I114" s="183">
        <v>0</v>
      </c>
      <c r="J114" s="263">
        <f t="shared" ca="1" si="13"/>
        <v>29400</v>
      </c>
      <c r="K114" s="182">
        <f t="shared" ca="1" si="15"/>
        <v>70</v>
      </c>
      <c r="L114" s="182">
        <f t="shared" ca="1" si="16"/>
        <v>2333.3333333333326</v>
      </c>
      <c r="M114" s="182">
        <f t="shared" ca="1" si="17"/>
        <v>2333.3333333333326</v>
      </c>
      <c r="N114" s="182">
        <f t="shared" ca="1" si="18"/>
        <v>9333.3333333333303</v>
      </c>
      <c r="O114" s="182"/>
      <c r="P114" s="185"/>
      <c r="Q114" s="185"/>
      <c r="R114" s="185"/>
      <c r="S114" s="185"/>
    </row>
    <row r="115" spans="1:19" x14ac:dyDescent="0.25">
      <c r="A115" s="180">
        <f t="shared" ca="1" si="19"/>
        <v>46205</v>
      </c>
      <c r="B115" s="181">
        <v>101</v>
      </c>
      <c r="C115" s="182">
        <f t="shared" ca="1" si="20"/>
        <v>35000</v>
      </c>
      <c r="D115" s="182">
        <f t="shared" ca="1" si="21"/>
        <v>23.333333333333332</v>
      </c>
      <c r="E115" s="182">
        <v>0</v>
      </c>
      <c r="F115" s="182">
        <f t="shared" ca="1" si="14"/>
        <v>0</v>
      </c>
      <c r="G115" s="182">
        <f t="shared" ca="1" si="22"/>
        <v>6043.3333333333567</v>
      </c>
      <c r="H115" s="182">
        <f t="shared" ca="1" si="23"/>
        <v>35000</v>
      </c>
      <c r="I115" s="183">
        <v>0</v>
      </c>
      <c r="J115" s="263">
        <f t="shared" ca="1" si="13"/>
        <v>29400</v>
      </c>
      <c r="K115" s="182">
        <f t="shared" ca="1" si="15"/>
        <v>70</v>
      </c>
      <c r="L115" s="182">
        <f t="shared" ca="1" si="16"/>
        <v>2356.6666666666661</v>
      </c>
      <c r="M115" s="182">
        <f t="shared" ca="1" si="17"/>
        <v>2356.6666666666661</v>
      </c>
      <c r="N115" s="182">
        <f t="shared" ca="1" si="18"/>
        <v>9426.6666666666642</v>
      </c>
      <c r="O115" s="182"/>
      <c r="P115" s="185"/>
      <c r="Q115" s="185"/>
      <c r="R115" s="185"/>
      <c r="S115" s="185"/>
    </row>
    <row r="116" spans="1:19" x14ac:dyDescent="0.25">
      <c r="A116" s="180">
        <f t="shared" ca="1" si="19"/>
        <v>46206</v>
      </c>
      <c r="B116" s="181">
        <v>102</v>
      </c>
      <c r="C116" s="182">
        <f t="shared" ca="1" si="20"/>
        <v>35000</v>
      </c>
      <c r="D116" s="182">
        <f t="shared" ca="1" si="21"/>
        <v>23.333333333333332</v>
      </c>
      <c r="E116" s="182">
        <v>0</v>
      </c>
      <c r="F116" s="182">
        <f t="shared" ca="1" si="14"/>
        <v>0</v>
      </c>
      <c r="G116" s="182">
        <f t="shared" ca="1" si="22"/>
        <v>6020.0000000000236</v>
      </c>
      <c r="H116" s="182">
        <f t="shared" ca="1" si="23"/>
        <v>35000</v>
      </c>
      <c r="I116" s="183">
        <v>0</v>
      </c>
      <c r="J116" s="263">
        <f t="shared" ca="1" si="13"/>
        <v>29400</v>
      </c>
      <c r="K116" s="182">
        <f t="shared" ca="1" si="15"/>
        <v>70</v>
      </c>
      <c r="L116" s="182">
        <f t="shared" ca="1" si="16"/>
        <v>2379.9999999999995</v>
      </c>
      <c r="M116" s="182">
        <f t="shared" ca="1" si="17"/>
        <v>2379.9999999999995</v>
      </c>
      <c r="N116" s="182">
        <f t="shared" ca="1" si="18"/>
        <v>9519.9999999999982</v>
      </c>
      <c r="O116" s="182"/>
      <c r="P116" s="185"/>
      <c r="Q116" s="185"/>
      <c r="R116" s="185"/>
      <c r="S116" s="185"/>
    </row>
    <row r="117" spans="1:19" x14ac:dyDescent="0.25">
      <c r="A117" s="180">
        <f t="shared" ca="1" si="19"/>
        <v>46207</v>
      </c>
      <c r="B117" s="181">
        <v>103</v>
      </c>
      <c r="C117" s="182">
        <f t="shared" ca="1" si="20"/>
        <v>35000</v>
      </c>
      <c r="D117" s="182">
        <f t="shared" ca="1" si="21"/>
        <v>23.333333333333332</v>
      </c>
      <c r="E117" s="182">
        <v>0</v>
      </c>
      <c r="F117" s="182">
        <f t="shared" ca="1" si="14"/>
        <v>0</v>
      </c>
      <c r="G117" s="182">
        <f t="shared" ca="1" si="22"/>
        <v>5996.6666666666906</v>
      </c>
      <c r="H117" s="182">
        <f t="shared" ca="1" si="23"/>
        <v>35000</v>
      </c>
      <c r="I117" s="183">
        <v>0</v>
      </c>
      <c r="J117" s="263">
        <f t="shared" ca="1" si="13"/>
        <v>29400</v>
      </c>
      <c r="K117" s="182">
        <f t="shared" ca="1" si="15"/>
        <v>70</v>
      </c>
      <c r="L117" s="182">
        <f t="shared" ca="1" si="16"/>
        <v>2403.333333333333</v>
      </c>
      <c r="M117" s="182">
        <f t="shared" ca="1" si="17"/>
        <v>2403.333333333333</v>
      </c>
      <c r="N117" s="182">
        <f t="shared" ca="1" si="18"/>
        <v>9613.3333333333321</v>
      </c>
      <c r="O117" s="182"/>
      <c r="P117" s="185"/>
      <c r="Q117" s="185"/>
      <c r="R117" s="185"/>
      <c r="S117" s="185"/>
    </row>
    <row r="118" spans="1:19" x14ac:dyDescent="0.25">
      <c r="A118" s="180">
        <f t="shared" ca="1" si="19"/>
        <v>46208</v>
      </c>
      <c r="B118" s="181">
        <v>104</v>
      </c>
      <c r="C118" s="182">
        <f t="shared" ca="1" si="20"/>
        <v>35000</v>
      </c>
      <c r="D118" s="182">
        <f t="shared" ca="1" si="21"/>
        <v>23.333333333333332</v>
      </c>
      <c r="E118" s="182">
        <v>0</v>
      </c>
      <c r="F118" s="182">
        <f t="shared" ca="1" si="14"/>
        <v>0</v>
      </c>
      <c r="G118" s="182">
        <f t="shared" ca="1" si="22"/>
        <v>5973.3333333333576</v>
      </c>
      <c r="H118" s="182">
        <f t="shared" ca="1" si="23"/>
        <v>35000</v>
      </c>
      <c r="I118" s="183">
        <v>0</v>
      </c>
      <c r="J118" s="263">
        <f t="shared" ca="1" si="13"/>
        <v>29400</v>
      </c>
      <c r="K118" s="182">
        <f t="shared" ca="1" si="15"/>
        <v>70</v>
      </c>
      <c r="L118" s="182">
        <f t="shared" ca="1" si="16"/>
        <v>2426.6666666666665</v>
      </c>
      <c r="M118" s="182">
        <f t="shared" ca="1" si="17"/>
        <v>2426.6666666666665</v>
      </c>
      <c r="N118" s="182">
        <f t="shared" ca="1" si="18"/>
        <v>9706.6666666666661</v>
      </c>
      <c r="O118" s="182"/>
      <c r="P118" s="185"/>
      <c r="Q118" s="185"/>
      <c r="R118" s="185"/>
      <c r="S118" s="185"/>
    </row>
    <row r="119" spans="1:19" x14ac:dyDescent="0.25">
      <c r="A119" s="180">
        <f t="shared" ca="1" si="19"/>
        <v>46209</v>
      </c>
      <c r="B119" s="181">
        <v>105</v>
      </c>
      <c r="C119" s="182">
        <f t="shared" ca="1" si="20"/>
        <v>35000</v>
      </c>
      <c r="D119" s="182">
        <f t="shared" ca="1" si="21"/>
        <v>23.333333333333332</v>
      </c>
      <c r="E119" s="182">
        <v>0</v>
      </c>
      <c r="F119" s="182">
        <f t="shared" ca="1" si="14"/>
        <v>0</v>
      </c>
      <c r="G119" s="182">
        <f t="shared" ca="1" si="22"/>
        <v>5950.0000000000246</v>
      </c>
      <c r="H119" s="182">
        <f t="shared" ca="1" si="23"/>
        <v>35000</v>
      </c>
      <c r="I119" s="183">
        <v>0</v>
      </c>
      <c r="J119" s="263">
        <f t="shared" ca="1" si="13"/>
        <v>29400</v>
      </c>
      <c r="K119" s="182">
        <f t="shared" ca="1" si="15"/>
        <v>70</v>
      </c>
      <c r="L119" s="182">
        <f t="shared" ca="1" si="16"/>
        <v>2450</v>
      </c>
      <c r="M119" s="182">
        <f t="shared" ca="1" si="17"/>
        <v>2450</v>
      </c>
      <c r="N119" s="182">
        <f t="shared" ca="1" si="18"/>
        <v>9800</v>
      </c>
      <c r="O119" s="182"/>
      <c r="P119" s="185"/>
      <c r="Q119" s="185"/>
      <c r="R119" s="185"/>
      <c r="S119" s="185"/>
    </row>
    <row r="120" spans="1:19" x14ac:dyDescent="0.25">
      <c r="A120" s="180">
        <f t="shared" ca="1" si="19"/>
        <v>46210</v>
      </c>
      <c r="B120" s="181">
        <v>106</v>
      </c>
      <c r="C120" s="182">
        <f t="shared" ca="1" si="20"/>
        <v>35000</v>
      </c>
      <c r="D120" s="182">
        <f t="shared" ca="1" si="21"/>
        <v>23.333333333333332</v>
      </c>
      <c r="E120" s="182">
        <v>0</v>
      </c>
      <c r="F120" s="182">
        <f t="shared" ca="1" si="14"/>
        <v>0</v>
      </c>
      <c r="G120" s="182">
        <f t="shared" ca="1" si="22"/>
        <v>5926.6666666666915</v>
      </c>
      <c r="H120" s="182">
        <f t="shared" ca="1" si="23"/>
        <v>35000</v>
      </c>
      <c r="I120" s="183">
        <v>0</v>
      </c>
      <c r="J120" s="263">
        <f t="shared" ca="1" si="13"/>
        <v>29400</v>
      </c>
      <c r="K120" s="182">
        <f t="shared" ca="1" si="15"/>
        <v>70</v>
      </c>
      <c r="L120" s="182">
        <f t="shared" ca="1" si="16"/>
        <v>2473.3333333333335</v>
      </c>
      <c r="M120" s="182">
        <f t="shared" ca="1" si="17"/>
        <v>2473.3333333333335</v>
      </c>
      <c r="N120" s="182">
        <f t="shared" ca="1" si="18"/>
        <v>9893.3333333333339</v>
      </c>
      <c r="O120" s="182"/>
      <c r="P120" s="185"/>
      <c r="Q120" s="185"/>
      <c r="R120" s="185"/>
      <c r="S120" s="185"/>
    </row>
    <row r="121" spans="1:19" x14ac:dyDescent="0.25">
      <c r="A121" s="180">
        <f t="shared" ca="1" si="19"/>
        <v>46211</v>
      </c>
      <c r="B121" s="181">
        <v>107</v>
      </c>
      <c r="C121" s="182">
        <f t="shared" ca="1" si="20"/>
        <v>35000</v>
      </c>
      <c r="D121" s="182">
        <f t="shared" ca="1" si="21"/>
        <v>23.333333333333332</v>
      </c>
      <c r="E121" s="182">
        <v>0</v>
      </c>
      <c r="F121" s="182">
        <f t="shared" ca="1" si="14"/>
        <v>0</v>
      </c>
      <c r="G121" s="182">
        <f t="shared" ca="1" si="22"/>
        <v>5903.3333333333585</v>
      </c>
      <c r="H121" s="182">
        <f t="shared" ca="1" si="23"/>
        <v>35000</v>
      </c>
      <c r="I121" s="183">
        <v>0</v>
      </c>
      <c r="J121" s="263">
        <f t="shared" ca="1" si="13"/>
        <v>29400</v>
      </c>
      <c r="K121" s="182">
        <f t="shared" ca="1" si="15"/>
        <v>70</v>
      </c>
      <c r="L121" s="182">
        <f t="shared" ca="1" si="16"/>
        <v>2496.666666666667</v>
      </c>
      <c r="M121" s="182">
        <f t="shared" ca="1" si="17"/>
        <v>2496.666666666667</v>
      </c>
      <c r="N121" s="182">
        <f t="shared" ca="1" si="18"/>
        <v>9986.6666666666679</v>
      </c>
      <c r="O121" s="182"/>
      <c r="P121" s="185"/>
      <c r="Q121" s="185"/>
      <c r="R121" s="185"/>
      <c r="S121" s="185"/>
    </row>
    <row r="122" spans="1:19" x14ac:dyDescent="0.25">
      <c r="A122" s="180">
        <f t="shared" ca="1" si="19"/>
        <v>46212</v>
      </c>
      <c r="B122" s="181">
        <v>108</v>
      </c>
      <c r="C122" s="182">
        <f t="shared" ca="1" si="20"/>
        <v>35000</v>
      </c>
      <c r="D122" s="182">
        <f t="shared" ca="1" si="21"/>
        <v>23.333333333333332</v>
      </c>
      <c r="E122" s="182">
        <v>0</v>
      </c>
      <c r="F122" s="182">
        <f t="shared" ca="1" si="14"/>
        <v>0</v>
      </c>
      <c r="G122" s="182">
        <f t="shared" ca="1" si="22"/>
        <v>5880.0000000000255</v>
      </c>
      <c r="H122" s="182">
        <f t="shared" ca="1" si="23"/>
        <v>35000</v>
      </c>
      <c r="I122" s="183">
        <v>0</v>
      </c>
      <c r="J122" s="263">
        <f t="shared" ca="1" si="13"/>
        <v>29400</v>
      </c>
      <c r="K122" s="182">
        <f t="shared" ca="1" si="15"/>
        <v>70</v>
      </c>
      <c r="L122" s="182">
        <f t="shared" ca="1" si="16"/>
        <v>2520.0000000000005</v>
      </c>
      <c r="M122" s="182">
        <f t="shared" ca="1" si="17"/>
        <v>2520.0000000000005</v>
      </c>
      <c r="N122" s="182">
        <f t="shared" ca="1" si="18"/>
        <v>10080.000000000002</v>
      </c>
      <c r="O122" s="182"/>
      <c r="P122" s="185"/>
      <c r="Q122" s="185"/>
      <c r="R122" s="185"/>
      <c r="S122" s="185"/>
    </row>
    <row r="123" spans="1:19" x14ac:dyDescent="0.25">
      <c r="A123" s="180">
        <f t="shared" ca="1" si="19"/>
        <v>46213</v>
      </c>
      <c r="B123" s="181">
        <v>109</v>
      </c>
      <c r="C123" s="182">
        <f t="shared" ca="1" si="20"/>
        <v>35000</v>
      </c>
      <c r="D123" s="182">
        <f t="shared" ca="1" si="21"/>
        <v>23.333333333333332</v>
      </c>
      <c r="E123" s="182">
        <v>0</v>
      </c>
      <c r="F123" s="182">
        <f t="shared" ca="1" si="14"/>
        <v>0</v>
      </c>
      <c r="G123" s="182">
        <f t="shared" ca="1" si="22"/>
        <v>5856.6666666666924</v>
      </c>
      <c r="H123" s="182">
        <f t="shared" ca="1" si="23"/>
        <v>35000</v>
      </c>
      <c r="I123" s="183">
        <v>0</v>
      </c>
      <c r="J123" s="263">
        <f t="shared" ca="1" si="13"/>
        <v>29400</v>
      </c>
      <c r="K123" s="182">
        <f t="shared" ca="1" si="15"/>
        <v>70</v>
      </c>
      <c r="L123" s="182">
        <f t="shared" ca="1" si="16"/>
        <v>2543.3333333333339</v>
      </c>
      <c r="M123" s="182">
        <f t="shared" ca="1" si="17"/>
        <v>2543.3333333333339</v>
      </c>
      <c r="N123" s="182">
        <f t="shared" ca="1" si="18"/>
        <v>10173.333333333336</v>
      </c>
      <c r="O123" s="182"/>
      <c r="P123" s="185"/>
      <c r="Q123" s="185"/>
      <c r="R123" s="185"/>
      <c r="S123" s="185"/>
    </row>
    <row r="124" spans="1:19" x14ac:dyDescent="0.25">
      <c r="A124" s="180">
        <f t="shared" ca="1" si="19"/>
        <v>46214</v>
      </c>
      <c r="B124" s="181">
        <v>110</v>
      </c>
      <c r="C124" s="182">
        <f t="shared" ca="1" si="20"/>
        <v>35000</v>
      </c>
      <c r="D124" s="182">
        <f t="shared" ca="1" si="21"/>
        <v>23.333333333333332</v>
      </c>
      <c r="E124" s="182">
        <v>0</v>
      </c>
      <c r="F124" s="182">
        <f t="shared" ca="1" si="14"/>
        <v>0</v>
      </c>
      <c r="G124" s="182">
        <f t="shared" ca="1" si="22"/>
        <v>5833.3333333333594</v>
      </c>
      <c r="H124" s="182">
        <f t="shared" ca="1" si="23"/>
        <v>35000</v>
      </c>
      <c r="I124" s="183">
        <v>0</v>
      </c>
      <c r="J124" s="263">
        <f t="shared" ca="1" si="13"/>
        <v>29400</v>
      </c>
      <c r="K124" s="182">
        <f t="shared" ca="1" si="15"/>
        <v>70</v>
      </c>
      <c r="L124" s="182">
        <f t="shared" ca="1" si="16"/>
        <v>2566.6666666666674</v>
      </c>
      <c r="M124" s="182">
        <f t="shared" ca="1" si="17"/>
        <v>2566.6666666666674</v>
      </c>
      <c r="N124" s="182">
        <f t="shared" ca="1" si="18"/>
        <v>10266.66666666667</v>
      </c>
      <c r="O124" s="182"/>
      <c r="P124" s="185"/>
      <c r="Q124" s="185"/>
      <c r="R124" s="185"/>
      <c r="S124" s="185"/>
    </row>
    <row r="125" spans="1:19" x14ac:dyDescent="0.25">
      <c r="A125" s="180">
        <f t="shared" ca="1" si="19"/>
        <v>46215</v>
      </c>
      <c r="B125" s="181">
        <v>111</v>
      </c>
      <c r="C125" s="182">
        <f t="shared" ca="1" si="20"/>
        <v>35000</v>
      </c>
      <c r="D125" s="182">
        <f t="shared" ca="1" si="21"/>
        <v>23.333333333333332</v>
      </c>
      <c r="E125" s="182">
        <v>0</v>
      </c>
      <c r="F125" s="182">
        <f t="shared" ca="1" si="14"/>
        <v>0</v>
      </c>
      <c r="G125" s="182">
        <f t="shared" ca="1" si="22"/>
        <v>5810.0000000000264</v>
      </c>
      <c r="H125" s="182">
        <f t="shared" ca="1" si="23"/>
        <v>35000</v>
      </c>
      <c r="I125" s="183">
        <v>0</v>
      </c>
      <c r="J125" s="263">
        <f t="shared" ca="1" si="13"/>
        <v>29400</v>
      </c>
      <c r="K125" s="182">
        <f t="shared" ca="1" si="15"/>
        <v>70</v>
      </c>
      <c r="L125" s="182">
        <f t="shared" ca="1" si="16"/>
        <v>2590.0000000000009</v>
      </c>
      <c r="M125" s="182">
        <f t="shared" ca="1" si="17"/>
        <v>2590.0000000000009</v>
      </c>
      <c r="N125" s="182">
        <f t="shared" ca="1" si="18"/>
        <v>10360.000000000004</v>
      </c>
      <c r="O125" s="182"/>
      <c r="P125" s="185"/>
      <c r="Q125" s="185"/>
      <c r="R125" s="185"/>
      <c r="S125" s="185"/>
    </row>
    <row r="126" spans="1:19" x14ac:dyDescent="0.25">
      <c r="A126" s="180">
        <f t="shared" ca="1" si="19"/>
        <v>46216</v>
      </c>
      <c r="B126" s="181">
        <v>112</v>
      </c>
      <c r="C126" s="182">
        <f t="shared" ca="1" si="20"/>
        <v>35000</v>
      </c>
      <c r="D126" s="182">
        <f t="shared" ca="1" si="21"/>
        <v>23.333333333333332</v>
      </c>
      <c r="E126" s="182">
        <v>0</v>
      </c>
      <c r="F126" s="182">
        <f t="shared" ca="1" si="14"/>
        <v>0</v>
      </c>
      <c r="G126" s="182">
        <f t="shared" ca="1" si="22"/>
        <v>5786.6666666666933</v>
      </c>
      <c r="H126" s="182">
        <f t="shared" ca="1" si="23"/>
        <v>35000</v>
      </c>
      <c r="I126" s="183">
        <v>0</v>
      </c>
      <c r="J126" s="263">
        <f t="shared" ca="1" si="13"/>
        <v>29400</v>
      </c>
      <c r="K126" s="182">
        <f t="shared" ca="1" si="15"/>
        <v>70</v>
      </c>
      <c r="L126" s="182">
        <f t="shared" ca="1" si="16"/>
        <v>2613.3333333333344</v>
      </c>
      <c r="M126" s="182">
        <f t="shared" ca="1" si="17"/>
        <v>2613.3333333333344</v>
      </c>
      <c r="N126" s="182">
        <f t="shared" ca="1" si="18"/>
        <v>10453.333333333338</v>
      </c>
      <c r="O126" s="182"/>
      <c r="P126" s="185"/>
      <c r="Q126" s="185"/>
      <c r="R126" s="185"/>
      <c r="S126" s="185"/>
    </row>
    <row r="127" spans="1:19" x14ac:dyDescent="0.25">
      <c r="A127" s="180">
        <f t="shared" ca="1" si="19"/>
        <v>46217</v>
      </c>
      <c r="B127" s="181">
        <v>113</v>
      </c>
      <c r="C127" s="182">
        <f t="shared" ca="1" si="20"/>
        <v>35000</v>
      </c>
      <c r="D127" s="182">
        <f t="shared" ca="1" si="21"/>
        <v>23.333333333333332</v>
      </c>
      <c r="E127" s="182">
        <v>0</v>
      </c>
      <c r="F127" s="182">
        <f t="shared" ca="1" si="14"/>
        <v>0</v>
      </c>
      <c r="G127" s="182">
        <f t="shared" ca="1" si="22"/>
        <v>5763.3333333333603</v>
      </c>
      <c r="H127" s="182">
        <f t="shared" ca="1" si="23"/>
        <v>35000</v>
      </c>
      <c r="I127" s="183">
        <v>0</v>
      </c>
      <c r="J127" s="263">
        <f t="shared" ca="1" si="13"/>
        <v>29400</v>
      </c>
      <c r="K127" s="182">
        <f t="shared" ca="1" si="15"/>
        <v>70</v>
      </c>
      <c r="L127" s="182">
        <f t="shared" ca="1" si="16"/>
        <v>2636.6666666666679</v>
      </c>
      <c r="M127" s="182">
        <f t="shared" ca="1" si="17"/>
        <v>2636.6666666666679</v>
      </c>
      <c r="N127" s="182">
        <f t="shared" ca="1" si="18"/>
        <v>10546.666666666672</v>
      </c>
      <c r="O127" s="182"/>
      <c r="P127" s="185"/>
      <c r="Q127" s="185"/>
      <c r="R127" s="185"/>
      <c r="S127" s="185"/>
    </row>
    <row r="128" spans="1:19" x14ac:dyDescent="0.25">
      <c r="A128" s="180">
        <f t="shared" ca="1" si="19"/>
        <v>46218</v>
      </c>
      <c r="B128" s="181">
        <v>114</v>
      </c>
      <c r="C128" s="182">
        <f t="shared" ca="1" si="20"/>
        <v>35000</v>
      </c>
      <c r="D128" s="182">
        <f t="shared" ca="1" si="21"/>
        <v>23.333333333333332</v>
      </c>
      <c r="E128" s="182">
        <v>0</v>
      </c>
      <c r="F128" s="182">
        <f t="shared" ca="1" si="14"/>
        <v>0</v>
      </c>
      <c r="G128" s="182">
        <f t="shared" ca="1" si="22"/>
        <v>5740.0000000000273</v>
      </c>
      <c r="H128" s="182">
        <f t="shared" ca="1" si="23"/>
        <v>35000</v>
      </c>
      <c r="I128" s="183">
        <v>0</v>
      </c>
      <c r="J128" s="263">
        <f t="shared" ca="1" si="13"/>
        <v>29400</v>
      </c>
      <c r="K128" s="182">
        <f t="shared" ca="1" si="15"/>
        <v>70</v>
      </c>
      <c r="L128" s="182">
        <f t="shared" ca="1" si="16"/>
        <v>2660.0000000000014</v>
      </c>
      <c r="M128" s="182">
        <f t="shared" ca="1" si="17"/>
        <v>2660.0000000000014</v>
      </c>
      <c r="N128" s="182">
        <f t="shared" ca="1" si="18"/>
        <v>10640.000000000005</v>
      </c>
      <c r="O128" s="182"/>
      <c r="P128" s="185"/>
      <c r="Q128" s="185"/>
      <c r="R128" s="185"/>
      <c r="S128" s="185"/>
    </row>
    <row r="129" spans="1:19" x14ac:dyDescent="0.25">
      <c r="A129" s="180">
        <f t="shared" ca="1" si="19"/>
        <v>46219</v>
      </c>
      <c r="B129" s="181">
        <v>115</v>
      </c>
      <c r="C129" s="182">
        <f t="shared" ca="1" si="20"/>
        <v>35000</v>
      </c>
      <c r="D129" s="182">
        <f t="shared" ca="1" si="21"/>
        <v>23.333333333333332</v>
      </c>
      <c r="E129" s="182">
        <v>0</v>
      </c>
      <c r="F129" s="182">
        <f t="shared" ca="1" si="14"/>
        <v>0</v>
      </c>
      <c r="G129" s="182">
        <f t="shared" ca="1" si="22"/>
        <v>5716.6666666666943</v>
      </c>
      <c r="H129" s="182">
        <f t="shared" ca="1" si="23"/>
        <v>35000</v>
      </c>
      <c r="I129" s="183">
        <v>0</v>
      </c>
      <c r="J129" s="263">
        <f t="shared" ca="1" si="13"/>
        <v>29400</v>
      </c>
      <c r="K129" s="182">
        <f t="shared" ca="1" si="15"/>
        <v>70</v>
      </c>
      <c r="L129" s="182">
        <f t="shared" ca="1" si="16"/>
        <v>2683.3333333333348</v>
      </c>
      <c r="M129" s="182">
        <f t="shared" ca="1" si="17"/>
        <v>2683.3333333333348</v>
      </c>
      <c r="N129" s="182">
        <f t="shared" ca="1" si="18"/>
        <v>10733.333333333339</v>
      </c>
      <c r="O129" s="182"/>
      <c r="P129" s="185"/>
      <c r="Q129" s="185"/>
      <c r="R129" s="185"/>
      <c r="S129" s="185"/>
    </row>
    <row r="130" spans="1:19" x14ac:dyDescent="0.25">
      <c r="A130" s="180">
        <f t="shared" ca="1" si="19"/>
        <v>46220</v>
      </c>
      <c r="B130" s="181">
        <v>116</v>
      </c>
      <c r="C130" s="182">
        <f t="shared" ca="1" si="20"/>
        <v>35000</v>
      </c>
      <c r="D130" s="182">
        <f t="shared" ca="1" si="21"/>
        <v>23.333333333333332</v>
      </c>
      <c r="E130" s="182">
        <v>0</v>
      </c>
      <c r="F130" s="182">
        <f t="shared" ca="1" si="14"/>
        <v>0</v>
      </c>
      <c r="G130" s="182">
        <f t="shared" ca="1" si="22"/>
        <v>5693.3333333333612</v>
      </c>
      <c r="H130" s="182">
        <f t="shared" ca="1" si="23"/>
        <v>35000</v>
      </c>
      <c r="I130" s="183">
        <v>0</v>
      </c>
      <c r="J130" s="263">
        <f t="shared" ca="1" si="13"/>
        <v>29400</v>
      </c>
      <c r="K130" s="182">
        <f t="shared" ca="1" si="15"/>
        <v>70</v>
      </c>
      <c r="L130" s="182">
        <f t="shared" ca="1" si="16"/>
        <v>2706.6666666666683</v>
      </c>
      <c r="M130" s="182">
        <f t="shared" ca="1" si="17"/>
        <v>2706.6666666666683</v>
      </c>
      <c r="N130" s="182">
        <f t="shared" ca="1" si="18"/>
        <v>10826.666666666673</v>
      </c>
      <c r="O130" s="182"/>
      <c r="P130" s="185"/>
      <c r="Q130" s="185"/>
      <c r="R130" s="185"/>
      <c r="S130" s="185"/>
    </row>
    <row r="131" spans="1:19" x14ac:dyDescent="0.25">
      <c r="A131" s="180">
        <f t="shared" ca="1" si="19"/>
        <v>46221</v>
      </c>
      <c r="B131" s="181">
        <v>117</v>
      </c>
      <c r="C131" s="182">
        <f t="shared" ca="1" si="20"/>
        <v>35000</v>
      </c>
      <c r="D131" s="182">
        <f t="shared" ca="1" si="21"/>
        <v>23.333333333333332</v>
      </c>
      <c r="E131" s="182">
        <v>0</v>
      </c>
      <c r="F131" s="182">
        <f t="shared" ca="1" si="14"/>
        <v>0</v>
      </c>
      <c r="G131" s="182">
        <f t="shared" ca="1" si="22"/>
        <v>5670.0000000000282</v>
      </c>
      <c r="H131" s="182">
        <f t="shared" ca="1" si="23"/>
        <v>35000</v>
      </c>
      <c r="I131" s="183">
        <v>0</v>
      </c>
      <c r="J131" s="263">
        <f t="shared" ca="1" si="13"/>
        <v>29400</v>
      </c>
      <c r="K131" s="182">
        <f t="shared" ca="1" si="15"/>
        <v>70</v>
      </c>
      <c r="L131" s="182">
        <f t="shared" ca="1" si="16"/>
        <v>2730.0000000000018</v>
      </c>
      <c r="M131" s="182">
        <f t="shared" ca="1" si="17"/>
        <v>2730.0000000000018</v>
      </c>
      <c r="N131" s="182">
        <f t="shared" ca="1" si="18"/>
        <v>10920.000000000007</v>
      </c>
      <c r="O131" s="182"/>
      <c r="P131" s="185"/>
      <c r="Q131" s="185"/>
      <c r="R131" s="185"/>
      <c r="S131" s="185"/>
    </row>
    <row r="132" spans="1:19" x14ac:dyDescent="0.25">
      <c r="A132" s="180">
        <f t="shared" ca="1" si="19"/>
        <v>46222</v>
      </c>
      <c r="B132" s="181">
        <v>118</v>
      </c>
      <c r="C132" s="182">
        <f t="shared" ca="1" si="20"/>
        <v>35000</v>
      </c>
      <c r="D132" s="182">
        <f t="shared" ca="1" si="21"/>
        <v>23.333333333333332</v>
      </c>
      <c r="E132" s="182">
        <v>0</v>
      </c>
      <c r="F132" s="182">
        <f t="shared" ca="1" si="14"/>
        <v>0</v>
      </c>
      <c r="G132" s="182">
        <f t="shared" ca="1" si="22"/>
        <v>5646.6666666666952</v>
      </c>
      <c r="H132" s="182">
        <f t="shared" ca="1" si="23"/>
        <v>35000</v>
      </c>
      <c r="I132" s="183">
        <v>0</v>
      </c>
      <c r="J132" s="263">
        <f t="shared" ca="1" si="13"/>
        <v>29400</v>
      </c>
      <c r="K132" s="182">
        <f t="shared" ca="1" si="15"/>
        <v>70</v>
      </c>
      <c r="L132" s="182">
        <f t="shared" ca="1" si="16"/>
        <v>2753.3333333333353</v>
      </c>
      <c r="M132" s="182">
        <f t="shared" ca="1" si="17"/>
        <v>2753.3333333333353</v>
      </c>
      <c r="N132" s="182">
        <f t="shared" ca="1" si="18"/>
        <v>11013.333333333341</v>
      </c>
      <c r="O132" s="182"/>
      <c r="P132" s="185"/>
      <c r="Q132" s="185"/>
      <c r="R132" s="185"/>
      <c r="S132" s="185"/>
    </row>
    <row r="133" spans="1:19" x14ac:dyDescent="0.25">
      <c r="A133" s="180">
        <f t="shared" ca="1" si="19"/>
        <v>46223</v>
      </c>
      <c r="B133" s="181">
        <v>119</v>
      </c>
      <c r="C133" s="182">
        <f t="shared" ca="1" si="20"/>
        <v>35000</v>
      </c>
      <c r="D133" s="182">
        <f t="shared" ca="1" si="21"/>
        <v>23.333333333333332</v>
      </c>
      <c r="E133" s="182">
        <v>0</v>
      </c>
      <c r="F133" s="182">
        <f t="shared" ca="1" si="14"/>
        <v>0</v>
      </c>
      <c r="G133" s="182">
        <f t="shared" ca="1" si="22"/>
        <v>5623.3333333333621</v>
      </c>
      <c r="H133" s="182">
        <f t="shared" ca="1" si="23"/>
        <v>35000</v>
      </c>
      <c r="I133" s="183">
        <v>0</v>
      </c>
      <c r="J133" s="263">
        <f t="shared" ca="1" si="13"/>
        <v>29400</v>
      </c>
      <c r="K133" s="182">
        <f t="shared" ca="1" si="15"/>
        <v>70</v>
      </c>
      <c r="L133" s="182">
        <f t="shared" ca="1" si="16"/>
        <v>2776.6666666666688</v>
      </c>
      <c r="M133" s="182">
        <f t="shared" ca="1" si="17"/>
        <v>2776.6666666666688</v>
      </c>
      <c r="N133" s="182">
        <f t="shared" ca="1" si="18"/>
        <v>11106.666666666675</v>
      </c>
      <c r="O133" s="182"/>
      <c r="P133" s="185"/>
      <c r="Q133" s="185"/>
      <c r="R133" s="185"/>
      <c r="S133" s="185"/>
    </row>
    <row r="134" spans="1:19" x14ac:dyDescent="0.25">
      <c r="A134" s="180">
        <f t="shared" ca="1" si="19"/>
        <v>46224</v>
      </c>
      <c r="B134" s="181">
        <v>120</v>
      </c>
      <c r="C134" s="182">
        <f t="shared" ca="1" si="20"/>
        <v>35000</v>
      </c>
      <c r="D134" s="182">
        <f t="shared" ca="1" si="21"/>
        <v>23.333333333333332</v>
      </c>
      <c r="E134" s="182">
        <v>0</v>
      </c>
      <c r="F134" s="182">
        <f t="shared" ca="1" si="14"/>
        <v>0</v>
      </c>
      <c r="G134" s="182">
        <f t="shared" ca="1" si="22"/>
        <v>5600.0000000000291</v>
      </c>
      <c r="H134" s="182">
        <f t="shared" ca="1" si="23"/>
        <v>35000</v>
      </c>
      <c r="I134" s="183">
        <v>0</v>
      </c>
      <c r="J134" s="263">
        <f t="shared" ca="1" si="13"/>
        <v>29400</v>
      </c>
      <c r="K134" s="182">
        <f t="shared" ca="1" si="15"/>
        <v>70</v>
      </c>
      <c r="L134" s="182">
        <f t="shared" ca="1" si="16"/>
        <v>2800.0000000000023</v>
      </c>
      <c r="M134" s="182">
        <f t="shared" ca="1" si="17"/>
        <v>2800.0000000000023</v>
      </c>
      <c r="N134" s="182">
        <f t="shared" ca="1" si="18"/>
        <v>11200.000000000009</v>
      </c>
      <c r="O134" s="182"/>
      <c r="P134" s="185"/>
      <c r="Q134" s="185"/>
      <c r="R134" s="185"/>
      <c r="S134" s="185"/>
    </row>
    <row r="135" spans="1:19" x14ac:dyDescent="0.25">
      <c r="A135" s="180">
        <f t="shared" ca="1" si="19"/>
        <v>46225</v>
      </c>
      <c r="B135" s="181">
        <v>121</v>
      </c>
      <c r="C135" s="182">
        <f t="shared" ca="1" si="20"/>
        <v>35000</v>
      </c>
      <c r="D135" s="182">
        <f t="shared" ca="1" si="21"/>
        <v>23.333333333333332</v>
      </c>
      <c r="E135" s="182">
        <v>0</v>
      </c>
      <c r="F135" s="182">
        <f t="shared" ca="1" si="14"/>
        <v>0</v>
      </c>
      <c r="G135" s="182">
        <f t="shared" ca="1" si="22"/>
        <v>5576.6666666666961</v>
      </c>
      <c r="H135" s="182">
        <f t="shared" ca="1" si="23"/>
        <v>35000</v>
      </c>
      <c r="I135" s="183">
        <v>0</v>
      </c>
      <c r="J135" s="263">
        <f t="shared" ca="1" si="13"/>
        <v>29423.333333333303</v>
      </c>
      <c r="K135" s="182">
        <f t="shared" ca="1" si="15"/>
        <v>70</v>
      </c>
      <c r="L135" s="182">
        <f t="shared" ca="1" si="16"/>
        <v>2823.3333333333358</v>
      </c>
      <c r="M135" s="182">
        <f t="shared" ca="1" si="17"/>
        <v>2823.3333333333358</v>
      </c>
      <c r="N135" s="182">
        <f t="shared" ca="1" si="18"/>
        <v>11293.333333333343</v>
      </c>
      <c r="O135" s="182"/>
      <c r="P135" s="185"/>
      <c r="Q135" s="185"/>
      <c r="R135" s="185"/>
      <c r="S135" s="185"/>
    </row>
    <row r="136" spans="1:19" x14ac:dyDescent="0.25">
      <c r="A136" s="180">
        <f t="shared" ca="1" si="19"/>
        <v>46226</v>
      </c>
      <c r="B136" s="181">
        <v>122</v>
      </c>
      <c r="C136" s="182">
        <f t="shared" ca="1" si="20"/>
        <v>35000</v>
      </c>
      <c r="D136" s="182">
        <f t="shared" ca="1" si="21"/>
        <v>23.333333333333332</v>
      </c>
      <c r="E136" s="182">
        <v>0</v>
      </c>
      <c r="F136" s="182">
        <f t="shared" ca="1" si="14"/>
        <v>0</v>
      </c>
      <c r="G136" s="182">
        <f t="shared" ca="1" si="22"/>
        <v>5553.333333333363</v>
      </c>
      <c r="H136" s="182">
        <f t="shared" ca="1" si="23"/>
        <v>35000</v>
      </c>
      <c r="I136" s="183">
        <v>0</v>
      </c>
      <c r="J136" s="263">
        <f t="shared" ca="1" si="13"/>
        <v>29446.666666666635</v>
      </c>
      <c r="K136" s="182">
        <f t="shared" ca="1" si="15"/>
        <v>70</v>
      </c>
      <c r="L136" s="182">
        <f t="shared" ca="1" si="16"/>
        <v>2846.6666666666692</v>
      </c>
      <c r="M136" s="182">
        <f t="shared" ca="1" si="17"/>
        <v>2846.6666666666692</v>
      </c>
      <c r="N136" s="182">
        <f t="shared" ca="1" si="18"/>
        <v>11386.666666666677</v>
      </c>
      <c r="O136" s="182"/>
      <c r="P136" s="185"/>
      <c r="Q136" s="185"/>
      <c r="R136" s="185"/>
      <c r="S136" s="185"/>
    </row>
    <row r="137" spans="1:19" x14ac:dyDescent="0.25">
      <c r="A137" s="180">
        <f t="shared" ca="1" si="19"/>
        <v>46227</v>
      </c>
      <c r="B137" s="181">
        <v>123</v>
      </c>
      <c r="C137" s="182">
        <f t="shared" ca="1" si="20"/>
        <v>35000</v>
      </c>
      <c r="D137" s="182">
        <f t="shared" ca="1" si="21"/>
        <v>23.333333333333332</v>
      </c>
      <c r="E137" s="182">
        <v>0</v>
      </c>
      <c r="F137" s="182">
        <f t="shared" ca="1" si="14"/>
        <v>0</v>
      </c>
      <c r="G137" s="182">
        <f t="shared" ca="1" si="22"/>
        <v>5530.00000000003</v>
      </c>
      <c r="H137" s="182">
        <f t="shared" ca="1" si="23"/>
        <v>35000</v>
      </c>
      <c r="I137" s="183">
        <v>0</v>
      </c>
      <c r="J137" s="263">
        <f t="shared" ca="1" si="13"/>
        <v>29469.999999999971</v>
      </c>
      <c r="K137" s="182">
        <f t="shared" ca="1" si="15"/>
        <v>70</v>
      </c>
      <c r="L137" s="182">
        <f t="shared" ca="1" si="16"/>
        <v>2870.0000000000027</v>
      </c>
      <c r="M137" s="182">
        <f t="shared" ca="1" si="17"/>
        <v>2870.0000000000027</v>
      </c>
      <c r="N137" s="182">
        <f t="shared" ca="1" si="18"/>
        <v>11480.000000000011</v>
      </c>
      <c r="O137" s="182"/>
      <c r="P137" s="185"/>
      <c r="Q137" s="185"/>
      <c r="R137" s="185"/>
      <c r="S137" s="185"/>
    </row>
    <row r="138" spans="1:19" x14ac:dyDescent="0.25">
      <c r="A138" s="180">
        <f t="shared" ca="1" si="19"/>
        <v>46228</v>
      </c>
      <c r="B138" s="181">
        <v>124</v>
      </c>
      <c r="C138" s="182">
        <f t="shared" ca="1" si="20"/>
        <v>35000</v>
      </c>
      <c r="D138" s="182">
        <f t="shared" ca="1" si="21"/>
        <v>23.333333333333332</v>
      </c>
      <c r="E138" s="182">
        <v>0</v>
      </c>
      <c r="F138" s="182">
        <f t="shared" ca="1" si="14"/>
        <v>0</v>
      </c>
      <c r="G138" s="182">
        <f t="shared" ca="1" si="22"/>
        <v>5506.666666666697</v>
      </c>
      <c r="H138" s="182">
        <f t="shared" ca="1" si="23"/>
        <v>35000</v>
      </c>
      <c r="I138" s="183">
        <v>0</v>
      </c>
      <c r="J138" s="263">
        <f t="shared" ca="1" si="13"/>
        <v>29493.333333333303</v>
      </c>
      <c r="K138" s="182">
        <f t="shared" ca="1" si="15"/>
        <v>70</v>
      </c>
      <c r="L138" s="182">
        <f t="shared" ca="1" si="16"/>
        <v>2893.3333333333362</v>
      </c>
      <c r="M138" s="182">
        <f t="shared" ca="1" si="17"/>
        <v>2893.3333333333362</v>
      </c>
      <c r="N138" s="182">
        <f t="shared" ca="1" si="18"/>
        <v>11573.333333333345</v>
      </c>
      <c r="O138" s="182"/>
      <c r="P138" s="185"/>
      <c r="Q138" s="185"/>
      <c r="R138" s="185"/>
      <c r="S138" s="185"/>
    </row>
    <row r="139" spans="1:19" x14ac:dyDescent="0.25">
      <c r="A139" s="180">
        <f t="shared" ca="1" si="19"/>
        <v>46229</v>
      </c>
      <c r="B139" s="181">
        <v>125</v>
      </c>
      <c r="C139" s="182">
        <f t="shared" ca="1" si="20"/>
        <v>35000</v>
      </c>
      <c r="D139" s="182">
        <f t="shared" ca="1" si="21"/>
        <v>23.333333333333332</v>
      </c>
      <c r="E139" s="182">
        <v>0</v>
      </c>
      <c r="F139" s="182">
        <f t="shared" ca="1" si="14"/>
        <v>0</v>
      </c>
      <c r="G139" s="182">
        <f t="shared" ca="1" si="22"/>
        <v>5483.333333333364</v>
      </c>
      <c r="H139" s="182">
        <f t="shared" ca="1" si="23"/>
        <v>35000</v>
      </c>
      <c r="I139" s="183">
        <v>0</v>
      </c>
      <c r="J139" s="263">
        <f t="shared" ca="1" si="13"/>
        <v>29516.666666666635</v>
      </c>
      <c r="K139" s="182">
        <f t="shared" ca="1" si="15"/>
        <v>70</v>
      </c>
      <c r="L139" s="182">
        <f t="shared" ca="1" si="16"/>
        <v>2916.6666666666697</v>
      </c>
      <c r="M139" s="182">
        <f t="shared" ca="1" si="17"/>
        <v>2916.6666666666697</v>
      </c>
      <c r="N139" s="182">
        <f t="shared" ca="1" si="18"/>
        <v>11666.666666666679</v>
      </c>
      <c r="O139" s="182"/>
      <c r="P139" s="185"/>
      <c r="Q139" s="185"/>
      <c r="R139" s="185"/>
      <c r="S139" s="185"/>
    </row>
    <row r="140" spans="1:19" x14ac:dyDescent="0.25">
      <c r="A140" s="180">
        <f t="shared" ca="1" si="19"/>
        <v>46230</v>
      </c>
      <c r="B140" s="181">
        <v>126</v>
      </c>
      <c r="C140" s="182">
        <f t="shared" ca="1" si="20"/>
        <v>35000</v>
      </c>
      <c r="D140" s="182">
        <f t="shared" ca="1" si="21"/>
        <v>23.333333333333332</v>
      </c>
      <c r="E140" s="182">
        <v>0</v>
      </c>
      <c r="F140" s="182">
        <f t="shared" ca="1" si="14"/>
        <v>0</v>
      </c>
      <c r="G140" s="182">
        <f t="shared" ca="1" si="22"/>
        <v>5460.0000000000309</v>
      </c>
      <c r="H140" s="182">
        <f t="shared" ca="1" si="23"/>
        <v>35000</v>
      </c>
      <c r="I140" s="183">
        <v>0</v>
      </c>
      <c r="J140" s="263">
        <f t="shared" ca="1" si="13"/>
        <v>29539.999999999971</v>
      </c>
      <c r="K140" s="182">
        <f t="shared" ca="1" si="15"/>
        <v>70</v>
      </c>
      <c r="L140" s="182">
        <f t="shared" ca="1" si="16"/>
        <v>2940.0000000000032</v>
      </c>
      <c r="M140" s="182">
        <f t="shared" ca="1" si="17"/>
        <v>2940.0000000000032</v>
      </c>
      <c r="N140" s="182">
        <f t="shared" ca="1" si="18"/>
        <v>11760.000000000013</v>
      </c>
      <c r="O140" s="182"/>
      <c r="P140" s="185"/>
      <c r="Q140" s="185"/>
      <c r="R140" s="185"/>
      <c r="S140" s="185"/>
    </row>
    <row r="141" spans="1:19" x14ac:dyDescent="0.25">
      <c r="A141" s="180">
        <f t="shared" ca="1" si="19"/>
        <v>46231</v>
      </c>
      <c r="B141" s="181">
        <v>127</v>
      </c>
      <c r="C141" s="182">
        <f t="shared" ca="1" si="20"/>
        <v>35000</v>
      </c>
      <c r="D141" s="182">
        <f t="shared" ca="1" si="21"/>
        <v>23.333333333333332</v>
      </c>
      <c r="E141" s="182">
        <v>0</v>
      </c>
      <c r="F141" s="182">
        <f t="shared" ca="1" si="14"/>
        <v>0</v>
      </c>
      <c r="G141" s="182">
        <f t="shared" ca="1" si="22"/>
        <v>5436.6666666666979</v>
      </c>
      <c r="H141" s="182">
        <f t="shared" ca="1" si="23"/>
        <v>35000</v>
      </c>
      <c r="I141" s="183">
        <v>0</v>
      </c>
      <c r="J141" s="263">
        <f t="shared" ca="1" si="13"/>
        <v>29563.333333333303</v>
      </c>
      <c r="K141" s="182">
        <f t="shared" ca="1" si="15"/>
        <v>70</v>
      </c>
      <c r="L141" s="182">
        <f t="shared" ca="1" si="16"/>
        <v>2963.3333333333367</v>
      </c>
      <c r="M141" s="182">
        <f t="shared" ca="1" si="17"/>
        <v>2963.3333333333367</v>
      </c>
      <c r="N141" s="182">
        <f t="shared" ca="1" si="18"/>
        <v>11853.333333333347</v>
      </c>
      <c r="O141" s="182"/>
      <c r="P141" s="185"/>
      <c r="Q141" s="185"/>
      <c r="R141" s="185"/>
      <c r="S141" s="185"/>
    </row>
    <row r="142" spans="1:19" x14ac:dyDescent="0.25">
      <c r="A142" s="180">
        <f t="shared" ca="1" si="19"/>
        <v>46232</v>
      </c>
      <c r="B142" s="181">
        <v>128</v>
      </c>
      <c r="C142" s="182">
        <f t="shared" ca="1" si="20"/>
        <v>35000</v>
      </c>
      <c r="D142" s="182">
        <f t="shared" ca="1" si="21"/>
        <v>23.333333333333332</v>
      </c>
      <c r="E142" s="182">
        <v>0</v>
      </c>
      <c r="F142" s="182">
        <f t="shared" ca="1" si="14"/>
        <v>0</v>
      </c>
      <c r="G142" s="182">
        <f t="shared" ca="1" si="22"/>
        <v>5413.3333333333649</v>
      </c>
      <c r="H142" s="182">
        <f t="shared" ca="1" si="23"/>
        <v>35000</v>
      </c>
      <c r="I142" s="183">
        <v>0</v>
      </c>
      <c r="J142" s="263">
        <f t="shared" ca="1" si="13"/>
        <v>29586.666666666635</v>
      </c>
      <c r="K142" s="182">
        <f t="shared" ca="1" si="15"/>
        <v>70</v>
      </c>
      <c r="L142" s="182">
        <f t="shared" ca="1" si="16"/>
        <v>2986.6666666666702</v>
      </c>
      <c r="M142" s="182">
        <f t="shared" ca="1" si="17"/>
        <v>2986.6666666666702</v>
      </c>
      <c r="N142" s="182">
        <f t="shared" ca="1" si="18"/>
        <v>11946.666666666681</v>
      </c>
      <c r="O142" s="182"/>
      <c r="P142" s="185"/>
      <c r="Q142" s="185"/>
      <c r="R142" s="185"/>
      <c r="S142" s="185"/>
    </row>
    <row r="143" spans="1:19" x14ac:dyDescent="0.25">
      <c r="A143" s="180">
        <f t="shared" ca="1" si="19"/>
        <v>46233</v>
      </c>
      <c r="B143" s="181">
        <v>129</v>
      </c>
      <c r="C143" s="182">
        <f t="shared" ca="1" si="20"/>
        <v>35000</v>
      </c>
      <c r="D143" s="182">
        <f t="shared" ca="1" si="21"/>
        <v>23.333333333333332</v>
      </c>
      <c r="E143" s="182">
        <v>0</v>
      </c>
      <c r="F143" s="182">
        <f t="shared" ca="1" si="14"/>
        <v>0</v>
      </c>
      <c r="G143" s="182">
        <f t="shared" ca="1" si="22"/>
        <v>5390.0000000000318</v>
      </c>
      <c r="H143" s="182">
        <f t="shared" ca="1" si="23"/>
        <v>35000</v>
      </c>
      <c r="I143" s="183">
        <v>0</v>
      </c>
      <c r="J143" s="263">
        <f t="shared" ref="J143:J206" ca="1" si="24">H143-IF(I$8-G143&lt;Q$42,I$8-Q$42,G143)</f>
        <v>29609.999999999967</v>
      </c>
      <c r="K143" s="182">
        <f t="shared" ca="1" si="15"/>
        <v>70</v>
      </c>
      <c r="L143" s="182">
        <f t="shared" ca="1" si="16"/>
        <v>3010.0000000000036</v>
      </c>
      <c r="M143" s="182">
        <f t="shared" ca="1" si="17"/>
        <v>3010.0000000000036</v>
      </c>
      <c r="N143" s="182">
        <f t="shared" ca="1" si="18"/>
        <v>12040.000000000015</v>
      </c>
      <c r="O143" s="182"/>
      <c r="P143" s="185"/>
      <c r="Q143" s="185"/>
      <c r="R143" s="185"/>
      <c r="S143" s="185"/>
    </row>
    <row r="144" spans="1:19" x14ac:dyDescent="0.25">
      <c r="A144" s="180">
        <f t="shared" ca="1" si="19"/>
        <v>46234</v>
      </c>
      <c r="B144" s="181">
        <v>130</v>
      </c>
      <c r="C144" s="182">
        <f t="shared" ca="1" si="20"/>
        <v>35000</v>
      </c>
      <c r="D144" s="182">
        <f t="shared" ca="1" si="21"/>
        <v>23.333333333333332</v>
      </c>
      <c r="E144" s="182">
        <v>0</v>
      </c>
      <c r="F144" s="182">
        <f t="shared" ref="F144:F207" ca="1" si="25">IFERROR(-VLOOKUP(A144,$P$4:$R$12,2,FALSE),0)</f>
        <v>0</v>
      </c>
      <c r="G144" s="182">
        <f t="shared" ca="1" si="22"/>
        <v>5366.6666666666988</v>
      </c>
      <c r="H144" s="182">
        <f t="shared" ca="1" si="23"/>
        <v>35000</v>
      </c>
      <c r="I144" s="183">
        <v>0</v>
      </c>
      <c r="J144" s="263">
        <f t="shared" ca="1" si="24"/>
        <v>29633.333333333299</v>
      </c>
      <c r="K144" s="182">
        <f t="shared" ref="K144:K207" ca="1" si="26">$L$3/($C$11-$C$8)</f>
        <v>70</v>
      </c>
      <c r="L144" s="182">
        <f t="shared" ref="L144:L207" ca="1" si="27">L143+D144</f>
        <v>3033.3333333333371</v>
      </c>
      <c r="M144" s="182">
        <f t="shared" ref="M144:M207" ca="1" si="28">IF($I$8&gt;L144,L144,$I$8)</f>
        <v>3033.3333333333371</v>
      </c>
      <c r="N144" s="182">
        <f t="shared" ref="N144:N207" ca="1" si="29">N143+D144+K144+I144</f>
        <v>12133.333333333348</v>
      </c>
      <c r="O144" s="182"/>
      <c r="P144" s="185"/>
      <c r="Q144" s="185"/>
      <c r="R144" s="185"/>
      <c r="S144" s="185"/>
    </row>
    <row r="145" spans="1:19" x14ac:dyDescent="0.25">
      <c r="A145" s="180">
        <f t="shared" ref="A145:A208" ca="1" si="30">A144+1</f>
        <v>46235</v>
      </c>
      <c r="B145" s="181">
        <v>131</v>
      </c>
      <c r="C145" s="182">
        <f t="shared" ref="C145:C208" ca="1" si="31">H144</f>
        <v>35000</v>
      </c>
      <c r="D145" s="182">
        <f t="shared" ref="D145:D208" ca="1" si="32">(($C$6/360))*C145</f>
        <v>23.333333333333332</v>
      </c>
      <c r="E145" s="182">
        <v>0</v>
      </c>
      <c r="F145" s="182">
        <f t="shared" ca="1" si="25"/>
        <v>0</v>
      </c>
      <c r="G145" s="182">
        <f t="shared" ref="G145:G208" ca="1" si="33">IF(G144-D145-E145&gt;0,G144-D145-E145,0)</f>
        <v>5343.3333333333658</v>
      </c>
      <c r="H145" s="182">
        <f t="shared" ca="1" si="23"/>
        <v>35000</v>
      </c>
      <c r="I145" s="183">
        <v>0</v>
      </c>
      <c r="J145" s="263">
        <f t="shared" ca="1" si="24"/>
        <v>29656.666666666635</v>
      </c>
      <c r="K145" s="182">
        <f t="shared" ca="1" si="26"/>
        <v>70</v>
      </c>
      <c r="L145" s="182">
        <f t="shared" ca="1" si="27"/>
        <v>3056.6666666666706</v>
      </c>
      <c r="M145" s="182">
        <f t="shared" ca="1" si="28"/>
        <v>3056.6666666666706</v>
      </c>
      <c r="N145" s="182">
        <f t="shared" ca="1" si="29"/>
        <v>12226.666666666682</v>
      </c>
      <c r="O145" s="182"/>
      <c r="P145" s="185"/>
      <c r="Q145" s="185"/>
      <c r="R145" s="185"/>
      <c r="S145" s="185"/>
    </row>
    <row r="146" spans="1:19" x14ac:dyDescent="0.25">
      <c r="A146" s="180">
        <f t="shared" ca="1" si="30"/>
        <v>46236</v>
      </c>
      <c r="B146" s="181">
        <v>132</v>
      </c>
      <c r="C146" s="182">
        <f t="shared" ca="1" si="31"/>
        <v>35000</v>
      </c>
      <c r="D146" s="182">
        <f t="shared" ca="1" si="32"/>
        <v>23.333333333333332</v>
      </c>
      <c r="E146" s="182">
        <v>0</v>
      </c>
      <c r="F146" s="182">
        <f t="shared" ca="1" si="25"/>
        <v>0</v>
      </c>
      <c r="G146" s="182">
        <f t="shared" ca="1" si="33"/>
        <v>5320.0000000000327</v>
      </c>
      <c r="H146" s="182">
        <f t="shared" ca="1" si="23"/>
        <v>35000</v>
      </c>
      <c r="I146" s="183">
        <v>0</v>
      </c>
      <c r="J146" s="263">
        <f t="shared" ca="1" si="24"/>
        <v>29679.999999999967</v>
      </c>
      <c r="K146" s="182">
        <f t="shared" ca="1" si="26"/>
        <v>70</v>
      </c>
      <c r="L146" s="182">
        <f t="shared" ca="1" si="27"/>
        <v>3080.0000000000041</v>
      </c>
      <c r="M146" s="182">
        <f t="shared" ca="1" si="28"/>
        <v>3080.0000000000041</v>
      </c>
      <c r="N146" s="182">
        <f t="shared" ca="1" si="29"/>
        <v>12320.000000000016</v>
      </c>
      <c r="O146" s="182"/>
      <c r="P146" s="185"/>
      <c r="Q146" s="185"/>
      <c r="R146" s="185"/>
      <c r="S146" s="185"/>
    </row>
    <row r="147" spans="1:19" x14ac:dyDescent="0.25">
      <c r="A147" s="180">
        <f t="shared" ca="1" si="30"/>
        <v>46237</v>
      </c>
      <c r="B147" s="181">
        <v>133</v>
      </c>
      <c r="C147" s="182">
        <f t="shared" ca="1" si="31"/>
        <v>35000</v>
      </c>
      <c r="D147" s="182">
        <f t="shared" ca="1" si="32"/>
        <v>23.333333333333332</v>
      </c>
      <c r="E147" s="182">
        <v>0</v>
      </c>
      <c r="F147" s="182">
        <f t="shared" ca="1" si="25"/>
        <v>0</v>
      </c>
      <c r="G147" s="182">
        <f t="shared" ca="1" si="33"/>
        <v>5296.6666666666997</v>
      </c>
      <c r="H147" s="182">
        <f t="shared" ca="1" si="23"/>
        <v>35000</v>
      </c>
      <c r="I147" s="183">
        <v>0</v>
      </c>
      <c r="J147" s="263">
        <f t="shared" ca="1" si="24"/>
        <v>29703.333333333299</v>
      </c>
      <c r="K147" s="182">
        <f t="shared" ca="1" si="26"/>
        <v>70</v>
      </c>
      <c r="L147" s="182">
        <f t="shared" ca="1" si="27"/>
        <v>3103.3333333333376</v>
      </c>
      <c r="M147" s="182">
        <f t="shared" ca="1" si="28"/>
        <v>3103.3333333333376</v>
      </c>
      <c r="N147" s="182">
        <f t="shared" ca="1" si="29"/>
        <v>12413.33333333335</v>
      </c>
      <c r="O147" s="182"/>
      <c r="P147" s="185"/>
      <c r="Q147" s="185"/>
      <c r="R147" s="185"/>
      <c r="S147" s="185"/>
    </row>
    <row r="148" spans="1:19" x14ac:dyDescent="0.25">
      <c r="A148" s="180">
        <f t="shared" ca="1" si="30"/>
        <v>46238</v>
      </c>
      <c r="B148" s="181">
        <v>134</v>
      </c>
      <c r="C148" s="182">
        <f t="shared" ca="1" si="31"/>
        <v>35000</v>
      </c>
      <c r="D148" s="182">
        <f t="shared" ca="1" si="32"/>
        <v>23.333333333333332</v>
      </c>
      <c r="E148" s="182">
        <v>0</v>
      </c>
      <c r="F148" s="182">
        <f t="shared" ca="1" si="25"/>
        <v>0</v>
      </c>
      <c r="G148" s="182">
        <f t="shared" ca="1" si="33"/>
        <v>5273.3333333333667</v>
      </c>
      <c r="H148" s="182">
        <f t="shared" ca="1" si="23"/>
        <v>35000</v>
      </c>
      <c r="I148" s="183">
        <v>0</v>
      </c>
      <c r="J148" s="263">
        <f t="shared" ca="1" si="24"/>
        <v>29726.666666666635</v>
      </c>
      <c r="K148" s="182">
        <f t="shared" ca="1" si="26"/>
        <v>70</v>
      </c>
      <c r="L148" s="182">
        <f t="shared" ca="1" si="27"/>
        <v>3126.6666666666711</v>
      </c>
      <c r="M148" s="182">
        <f t="shared" ca="1" si="28"/>
        <v>3126.6666666666711</v>
      </c>
      <c r="N148" s="182">
        <f t="shared" ca="1" si="29"/>
        <v>12506.666666666684</v>
      </c>
      <c r="O148" s="182"/>
      <c r="P148" s="185"/>
      <c r="Q148" s="182">
        <f>SUM(Q4:Q5)</f>
        <v>-33950</v>
      </c>
      <c r="R148" s="185"/>
      <c r="S148" s="185"/>
    </row>
    <row r="149" spans="1:19" x14ac:dyDescent="0.25">
      <c r="A149" s="180">
        <f t="shared" ca="1" si="30"/>
        <v>46239</v>
      </c>
      <c r="B149" s="181">
        <v>135</v>
      </c>
      <c r="C149" s="182">
        <f t="shared" ca="1" si="31"/>
        <v>35000</v>
      </c>
      <c r="D149" s="182">
        <f t="shared" ca="1" si="32"/>
        <v>23.333333333333332</v>
      </c>
      <c r="E149" s="182">
        <v>0</v>
      </c>
      <c r="F149" s="182">
        <f t="shared" ca="1" si="25"/>
        <v>0</v>
      </c>
      <c r="G149" s="182">
        <f t="shared" ca="1" si="33"/>
        <v>5250.0000000000337</v>
      </c>
      <c r="H149" s="182">
        <f t="shared" ca="1" si="23"/>
        <v>35000</v>
      </c>
      <c r="I149" s="183">
        <v>0</v>
      </c>
      <c r="J149" s="263">
        <f t="shared" ca="1" si="24"/>
        <v>29749.999999999967</v>
      </c>
      <c r="K149" s="182">
        <f t="shared" ca="1" si="26"/>
        <v>70</v>
      </c>
      <c r="L149" s="182">
        <f t="shared" ca="1" si="27"/>
        <v>3150.0000000000045</v>
      </c>
      <c r="M149" s="182">
        <f t="shared" ca="1" si="28"/>
        <v>3150.0000000000045</v>
      </c>
      <c r="N149" s="182">
        <f t="shared" ca="1" si="29"/>
        <v>12600.000000000018</v>
      </c>
      <c r="O149" s="182"/>
      <c r="P149" s="185"/>
      <c r="Q149" s="183">
        <f ca="1">Q148+H137</f>
        <v>1050</v>
      </c>
      <c r="R149" s="185"/>
      <c r="S149" s="185"/>
    </row>
    <row r="150" spans="1:19" x14ac:dyDescent="0.25">
      <c r="A150" s="180">
        <f t="shared" ca="1" si="30"/>
        <v>46240</v>
      </c>
      <c r="B150" s="181">
        <v>136</v>
      </c>
      <c r="C150" s="182">
        <f t="shared" ca="1" si="31"/>
        <v>35000</v>
      </c>
      <c r="D150" s="182">
        <f t="shared" ca="1" si="32"/>
        <v>23.333333333333332</v>
      </c>
      <c r="E150" s="182">
        <v>0</v>
      </c>
      <c r="F150" s="182">
        <f t="shared" ca="1" si="25"/>
        <v>0</v>
      </c>
      <c r="G150" s="182">
        <f t="shared" ca="1" si="33"/>
        <v>5226.6666666667006</v>
      </c>
      <c r="H150" s="182">
        <f t="shared" ca="1" si="23"/>
        <v>35000</v>
      </c>
      <c r="I150" s="183">
        <v>0</v>
      </c>
      <c r="J150" s="263">
        <f t="shared" ca="1" si="24"/>
        <v>29773.333333333299</v>
      </c>
      <c r="K150" s="182">
        <f t="shared" ca="1" si="26"/>
        <v>70</v>
      </c>
      <c r="L150" s="182">
        <f t="shared" ca="1" si="27"/>
        <v>3173.333333333338</v>
      </c>
      <c r="M150" s="182">
        <f t="shared" ca="1" si="28"/>
        <v>3173.333333333338</v>
      </c>
      <c r="N150" s="182">
        <f t="shared" ca="1" si="29"/>
        <v>12693.333333333352</v>
      </c>
      <c r="O150" s="182"/>
      <c r="P150" s="185"/>
      <c r="Q150" s="185"/>
      <c r="R150" s="185"/>
      <c r="S150" s="185"/>
    </row>
    <row r="151" spans="1:19" x14ac:dyDescent="0.25">
      <c r="A151" s="180">
        <f t="shared" ca="1" si="30"/>
        <v>46241</v>
      </c>
      <c r="B151" s="181">
        <v>137</v>
      </c>
      <c r="C151" s="182">
        <f t="shared" ca="1" si="31"/>
        <v>35000</v>
      </c>
      <c r="D151" s="182">
        <f t="shared" ca="1" si="32"/>
        <v>23.333333333333332</v>
      </c>
      <c r="E151" s="182">
        <v>0</v>
      </c>
      <c r="F151" s="182">
        <f t="shared" ca="1" si="25"/>
        <v>0</v>
      </c>
      <c r="G151" s="182">
        <f t="shared" ca="1" si="33"/>
        <v>5203.3333333333676</v>
      </c>
      <c r="H151" s="182">
        <f t="shared" ca="1" si="23"/>
        <v>35000</v>
      </c>
      <c r="I151" s="183">
        <v>0</v>
      </c>
      <c r="J151" s="263">
        <f t="shared" ca="1" si="24"/>
        <v>29796.666666666631</v>
      </c>
      <c r="K151" s="182">
        <f t="shared" ca="1" si="26"/>
        <v>70</v>
      </c>
      <c r="L151" s="182">
        <f t="shared" ca="1" si="27"/>
        <v>3196.6666666666715</v>
      </c>
      <c r="M151" s="182">
        <f t="shared" ca="1" si="28"/>
        <v>3196.6666666666715</v>
      </c>
      <c r="N151" s="182">
        <f t="shared" ca="1" si="29"/>
        <v>12786.666666666686</v>
      </c>
      <c r="O151" s="182"/>
      <c r="P151" s="185"/>
      <c r="Q151" s="185"/>
      <c r="R151" s="185"/>
      <c r="S151" s="185"/>
    </row>
    <row r="152" spans="1:19" x14ac:dyDescent="0.25">
      <c r="A152" s="180">
        <f t="shared" ca="1" si="30"/>
        <v>46242</v>
      </c>
      <c r="B152" s="181">
        <v>138</v>
      </c>
      <c r="C152" s="182">
        <f t="shared" ca="1" si="31"/>
        <v>35000</v>
      </c>
      <c r="D152" s="182">
        <f t="shared" ca="1" si="32"/>
        <v>23.333333333333332</v>
      </c>
      <c r="E152" s="182">
        <v>0</v>
      </c>
      <c r="F152" s="182">
        <f t="shared" ca="1" si="25"/>
        <v>0</v>
      </c>
      <c r="G152" s="182">
        <f t="shared" ca="1" si="33"/>
        <v>5180.0000000000346</v>
      </c>
      <c r="H152" s="182">
        <f t="shared" ca="1" si="23"/>
        <v>35000</v>
      </c>
      <c r="I152" s="183">
        <v>0</v>
      </c>
      <c r="J152" s="263">
        <f t="shared" ca="1" si="24"/>
        <v>29819.999999999964</v>
      </c>
      <c r="K152" s="182">
        <f t="shared" ca="1" si="26"/>
        <v>70</v>
      </c>
      <c r="L152" s="182">
        <f t="shared" ca="1" si="27"/>
        <v>3220.000000000005</v>
      </c>
      <c r="M152" s="182">
        <f t="shared" ca="1" si="28"/>
        <v>3220.000000000005</v>
      </c>
      <c r="N152" s="182">
        <f t="shared" ca="1" si="29"/>
        <v>12880.00000000002</v>
      </c>
      <c r="O152" s="182"/>
      <c r="P152" s="185"/>
      <c r="Q152" s="185"/>
      <c r="R152" s="185"/>
      <c r="S152" s="185"/>
    </row>
    <row r="153" spans="1:19" x14ac:dyDescent="0.25">
      <c r="A153" s="180">
        <f t="shared" ca="1" si="30"/>
        <v>46243</v>
      </c>
      <c r="B153" s="181">
        <v>139</v>
      </c>
      <c r="C153" s="182">
        <f t="shared" ca="1" si="31"/>
        <v>35000</v>
      </c>
      <c r="D153" s="182">
        <f t="shared" ca="1" si="32"/>
        <v>23.333333333333332</v>
      </c>
      <c r="E153" s="182">
        <v>0</v>
      </c>
      <c r="F153" s="182">
        <f t="shared" ca="1" si="25"/>
        <v>0</v>
      </c>
      <c r="G153" s="182">
        <f t="shared" ca="1" si="33"/>
        <v>5156.6666666667015</v>
      </c>
      <c r="H153" s="182">
        <f t="shared" ca="1" si="23"/>
        <v>35000</v>
      </c>
      <c r="I153" s="183">
        <v>0</v>
      </c>
      <c r="J153" s="263">
        <f t="shared" ca="1" si="24"/>
        <v>29843.333333333299</v>
      </c>
      <c r="K153" s="182">
        <f t="shared" ca="1" si="26"/>
        <v>70</v>
      </c>
      <c r="L153" s="182">
        <f t="shared" ca="1" si="27"/>
        <v>3243.3333333333385</v>
      </c>
      <c r="M153" s="182">
        <f t="shared" ca="1" si="28"/>
        <v>3243.3333333333385</v>
      </c>
      <c r="N153" s="182">
        <f t="shared" ca="1" si="29"/>
        <v>12973.333333333354</v>
      </c>
      <c r="O153" s="182"/>
      <c r="P153" s="185"/>
      <c r="Q153" s="185"/>
      <c r="R153" s="185"/>
      <c r="S153" s="185"/>
    </row>
    <row r="154" spans="1:19" x14ac:dyDescent="0.25">
      <c r="A154" s="180">
        <f t="shared" ca="1" si="30"/>
        <v>46244</v>
      </c>
      <c r="B154" s="181">
        <v>140</v>
      </c>
      <c r="C154" s="182">
        <f t="shared" ca="1" si="31"/>
        <v>35000</v>
      </c>
      <c r="D154" s="182">
        <f t="shared" ca="1" si="32"/>
        <v>23.333333333333332</v>
      </c>
      <c r="E154" s="182">
        <v>0</v>
      </c>
      <c r="F154" s="182">
        <f t="shared" ca="1" si="25"/>
        <v>0</v>
      </c>
      <c r="G154" s="182">
        <f t="shared" ca="1" si="33"/>
        <v>5133.3333333333685</v>
      </c>
      <c r="H154" s="182">
        <f t="shared" ca="1" si="23"/>
        <v>35000</v>
      </c>
      <c r="I154" s="183">
        <v>0</v>
      </c>
      <c r="J154" s="263">
        <f t="shared" ca="1" si="24"/>
        <v>29866.666666666631</v>
      </c>
      <c r="K154" s="182">
        <f t="shared" ca="1" si="26"/>
        <v>70</v>
      </c>
      <c r="L154" s="182">
        <f t="shared" ca="1" si="27"/>
        <v>3266.666666666672</v>
      </c>
      <c r="M154" s="182">
        <f t="shared" ca="1" si="28"/>
        <v>3266.666666666672</v>
      </c>
      <c r="N154" s="182">
        <f t="shared" ca="1" si="29"/>
        <v>13066.666666666688</v>
      </c>
      <c r="O154" s="182"/>
      <c r="P154" s="185"/>
      <c r="Q154" s="185"/>
      <c r="R154" s="185"/>
      <c r="S154" s="185"/>
    </row>
    <row r="155" spans="1:19" x14ac:dyDescent="0.25">
      <c r="A155" s="180">
        <f t="shared" ca="1" si="30"/>
        <v>46245</v>
      </c>
      <c r="B155" s="181">
        <v>141</v>
      </c>
      <c r="C155" s="182">
        <f t="shared" ca="1" si="31"/>
        <v>35000</v>
      </c>
      <c r="D155" s="182">
        <f t="shared" ca="1" si="32"/>
        <v>23.333333333333332</v>
      </c>
      <c r="E155" s="182">
        <v>0</v>
      </c>
      <c r="F155" s="182">
        <f t="shared" ca="1" si="25"/>
        <v>0</v>
      </c>
      <c r="G155" s="182">
        <f t="shared" ca="1" si="33"/>
        <v>5110.0000000000355</v>
      </c>
      <c r="H155" s="182">
        <f t="shared" ca="1" si="23"/>
        <v>35000</v>
      </c>
      <c r="I155" s="183">
        <v>0</v>
      </c>
      <c r="J155" s="263">
        <f t="shared" ca="1" si="24"/>
        <v>29889.999999999964</v>
      </c>
      <c r="K155" s="182">
        <f t="shared" ca="1" si="26"/>
        <v>70</v>
      </c>
      <c r="L155" s="182">
        <f t="shared" ca="1" si="27"/>
        <v>3290.0000000000055</v>
      </c>
      <c r="M155" s="182">
        <f t="shared" ca="1" si="28"/>
        <v>3290.0000000000055</v>
      </c>
      <c r="N155" s="182">
        <f t="shared" ca="1" si="29"/>
        <v>13160.000000000022</v>
      </c>
      <c r="O155" s="182"/>
      <c r="P155" s="185"/>
      <c r="Q155" s="185"/>
      <c r="R155" s="185"/>
      <c r="S155" s="185"/>
    </row>
    <row r="156" spans="1:19" x14ac:dyDescent="0.25">
      <c r="A156" s="180">
        <f t="shared" ca="1" si="30"/>
        <v>46246</v>
      </c>
      <c r="B156" s="181">
        <v>142</v>
      </c>
      <c r="C156" s="182">
        <f t="shared" ca="1" si="31"/>
        <v>35000</v>
      </c>
      <c r="D156" s="182">
        <f t="shared" ca="1" si="32"/>
        <v>23.333333333333332</v>
      </c>
      <c r="E156" s="182">
        <v>0</v>
      </c>
      <c r="F156" s="182">
        <f t="shared" ca="1" si="25"/>
        <v>0</v>
      </c>
      <c r="G156" s="182">
        <f t="shared" ca="1" si="33"/>
        <v>5086.6666666667024</v>
      </c>
      <c r="H156" s="182">
        <f t="shared" ca="1" si="23"/>
        <v>35000</v>
      </c>
      <c r="I156" s="183">
        <v>0</v>
      </c>
      <c r="J156" s="263">
        <f t="shared" ca="1" si="24"/>
        <v>29913.333333333299</v>
      </c>
      <c r="K156" s="182">
        <f t="shared" ca="1" si="26"/>
        <v>70</v>
      </c>
      <c r="L156" s="182">
        <f t="shared" ca="1" si="27"/>
        <v>3313.3333333333389</v>
      </c>
      <c r="M156" s="182">
        <f t="shared" ca="1" si="28"/>
        <v>3313.3333333333389</v>
      </c>
      <c r="N156" s="182">
        <f t="shared" ca="1" si="29"/>
        <v>13253.333333333356</v>
      </c>
      <c r="O156" s="182"/>
      <c r="P156" s="185"/>
      <c r="Q156" s="185"/>
      <c r="R156" s="185"/>
      <c r="S156" s="185"/>
    </row>
    <row r="157" spans="1:19" x14ac:dyDescent="0.25">
      <c r="A157" s="180">
        <f t="shared" ca="1" si="30"/>
        <v>46247</v>
      </c>
      <c r="B157" s="181">
        <v>143</v>
      </c>
      <c r="C157" s="182">
        <f t="shared" ca="1" si="31"/>
        <v>35000</v>
      </c>
      <c r="D157" s="182">
        <f t="shared" ca="1" si="32"/>
        <v>23.333333333333332</v>
      </c>
      <c r="E157" s="182">
        <v>0</v>
      </c>
      <c r="F157" s="182">
        <f t="shared" ca="1" si="25"/>
        <v>0</v>
      </c>
      <c r="G157" s="182">
        <f t="shared" ca="1" si="33"/>
        <v>5063.3333333333694</v>
      </c>
      <c r="H157" s="182">
        <f t="shared" ca="1" si="23"/>
        <v>35000</v>
      </c>
      <c r="I157" s="183">
        <v>0</v>
      </c>
      <c r="J157" s="263">
        <f t="shared" ca="1" si="24"/>
        <v>29936.666666666631</v>
      </c>
      <c r="K157" s="182">
        <f t="shared" ca="1" si="26"/>
        <v>70</v>
      </c>
      <c r="L157" s="182">
        <f t="shared" ca="1" si="27"/>
        <v>3336.6666666666724</v>
      </c>
      <c r="M157" s="182">
        <f t="shared" ca="1" si="28"/>
        <v>3336.6666666666724</v>
      </c>
      <c r="N157" s="182">
        <f t="shared" ca="1" si="29"/>
        <v>13346.66666666669</v>
      </c>
      <c r="O157" s="182"/>
      <c r="P157" s="185"/>
      <c r="Q157" s="185"/>
      <c r="R157" s="185"/>
      <c r="S157" s="185"/>
    </row>
    <row r="158" spans="1:19" x14ac:dyDescent="0.25">
      <c r="A158" s="180">
        <f t="shared" ca="1" si="30"/>
        <v>46248</v>
      </c>
      <c r="B158" s="181">
        <v>144</v>
      </c>
      <c r="C158" s="182">
        <f t="shared" ca="1" si="31"/>
        <v>35000</v>
      </c>
      <c r="D158" s="182">
        <f t="shared" ca="1" si="32"/>
        <v>23.333333333333332</v>
      </c>
      <c r="E158" s="182">
        <v>0</v>
      </c>
      <c r="F158" s="182">
        <f t="shared" ca="1" si="25"/>
        <v>0</v>
      </c>
      <c r="G158" s="182">
        <f t="shared" ca="1" si="33"/>
        <v>5040.0000000000364</v>
      </c>
      <c r="H158" s="182">
        <f t="shared" ca="1" si="23"/>
        <v>35000</v>
      </c>
      <c r="I158" s="183">
        <v>0</v>
      </c>
      <c r="J158" s="263">
        <f t="shared" ca="1" si="24"/>
        <v>29959.999999999964</v>
      </c>
      <c r="K158" s="182">
        <f t="shared" ca="1" si="26"/>
        <v>70</v>
      </c>
      <c r="L158" s="182">
        <f t="shared" ca="1" si="27"/>
        <v>3360.0000000000059</v>
      </c>
      <c r="M158" s="182">
        <f t="shared" ca="1" si="28"/>
        <v>3360.0000000000059</v>
      </c>
      <c r="N158" s="182">
        <f t="shared" ca="1" si="29"/>
        <v>13440.000000000024</v>
      </c>
      <c r="O158" s="182"/>
      <c r="P158" s="185"/>
      <c r="Q158" s="185"/>
      <c r="R158" s="185"/>
      <c r="S158" s="185"/>
    </row>
    <row r="159" spans="1:19" x14ac:dyDescent="0.25">
      <c r="A159" s="180">
        <f t="shared" ca="1" si="30"/>
        <v>46249</v>
      </c>
      <c r="B159" s="181">
        <v>145</v>
      </c>
      <c r="C159" s="182">
        <f t="shared" ca="1" si="31"/>
        <v>35000</v>
      </c>
      <c r="D159" s="182">
        <f t="shared" ca="1" si="32"/>
        <v>23.333333333333332</v>
      </c>
      <c r="E159" s="182">
        <v>0</v>
      </c>
      <c r="F159" s="182">
        <f t="shared" ca="1" si="25"/>
        <v>0</v>
      </c>
      <c r="G159" s="182">
        <f t="shared" ca="1" si="33"/>
        <v>5016.6666666667033</v>
      </c>
      <c r="H159" s="182">
        <f t="shared" ca="1" si="23"/>
        <v>35000</v>
      </c>
      <c r="I159" s="183">
        <v>0</v>
      </c>
      <c r="J159" s="263">
        <f t="shared" ca="1" si="24"/>
        <v>29983.333333333296</v>
      </c>
      <c r="K159" s="182">
        <f t="shared" ca="1" si="26"/>
        <v>70</v>
      </c>
      <c r="L159" s="182">
        <f t="shared" ca="1" si="27"/>
        <v>3383.3333333333394</v>
      </c>
      <c r="M159" s="182">
        <f t="shared" ca="1" si="28"/>
        <v>3383.3333333333394</v>
      </c>
      <c r="N159" s="182">
        <f t="shared" ca="1" si="29"/>
        <v>13533.333333333358</v>
      </c>
      <c r="O159" s="182"/>
      <c r="P159" s="185"/>
      <c r="Q159" s="185"/>
      <c r="R159" s="185"/>
      <c r="S159" s="185"/>
    </row>
    <row r="160" spans="1:19" x14ac:dyDescent="0.25">
      <c r="A160" s="180">
        <f t="shared" ca="1" si="30"/>
        <v>46250</v>
      </c>
      <c r="B160" s="181">
        <v>146</v>
      </c>
      <c r="C160" s="182">
        <f t="shared" ca="1" si="31"/>
        <v>35000</v>
      </c>
      <c r="D160" s="182">
        <f t="shared" ca="1" si="32"/>
        <v>23.333333333333332</v>
      </c>
      <c r="E160" s="182">
        <v>0</v>
      </c>
      <c r="F160" s="182">
        <f t="shared" ca="1" si="25"/>
        <v>0</v>
      </c>
      <c r="G160" s="182">
        <f t="shared" ca="1" si="33"/>
        <v>4993.3333333333703</v>
      </c>
      <c r="H160" s="182">
        <f t="shared" ca="1" si="23"/>
        <v>35000</v>
      </c>
      <c r="I160" s="183">
        <v>0</v>
      </c>
      <c r="J160" s="263">
        <f t="shared" ca="1" si="24"/>
        <v>30006.666666666628</v>
      </c>
      <c r="K160" s="182">
        <f t="shared" ca="1" si="26"/>
        <v>70</v>
      </c>
      <c r="L160" s="182">
        <f t="shared" ca="1" si="27"/>
        <v>3406.6666666666729</v>
      </c>
      <c r="M160" s="182">
        <f t="shared" ca="1" si="28"/>
        <v>3406.6666666666729</v>
      </c>
      <c r="N160" s="182">
        <f t="shared" ca="1" si="29"/>
        <v>13626.666666666692</v>
      </c>
      <c r="O160" s="182"/>
      <c r="P160" s="185"/>
      <c r="Q160" s="185"/>
      <c r="R160" s="185"/>
      <c r="S160" s="185"/>
    </row>
    <row r="161" spans="1:19" x14ac:dyDescent="0.25">
      <c r="A161" s="180">
        <f t="shared" ca="1" si="30"/>
        <v>46251</v>
      </c>
      <c r="B161" s="181">
        <v>147</v>
      </c>
      <c r="C161" s="182">
        <f t="shared" ca="1" si="31"/>
        <v>35000</v>
      </c>
      <c r="D161" s="182">
        <f t="shared" ca="1" si="32"/>
        <v>23.333333333333332</v>
      </c>
      <c r="E161" s="182">
        <v>0</v>
      </c>
      <c r="F161" s="182">
        <f t="shared" ca="1" si="25"/>
        <v>0</v>
      </c>
      <c r="G161" s="182">
        <f t="shared" ca="1" si="33"/>
        <v>4970.0000000000373</v>
      </c>
      <c r="H161" s="182">
        <f t="shared" ca="1" si="23"/>
        <v>35000</v>
      </c>
      <c r="I161" s="183">
        <v>0</v>
      </c>
      <c r="J161" s="263">
        <f t="shared" ca="1" si="24"/>
        <v>30029.999999999964</v>
      </c>
      <c r="K161" s="182">
        <f t="shared" ca="1" si="26"/>
        <v>70</v>
      </c>
      <c r="L161" s="182">
        <f t="shared" ca="1" si="27"/>
        <v>3430.0000000000064</v>
      </c>
      <c r="M161" s="182">
        <f t="shared" ca="1" si="28"/>
        <v>3430.0000000000064</v>
      </c>
      <c r="N161" s="182">
        <f t="shared" ca="1" si="29"/>
        <v>13720.000000000025</v>
      </c>
      <c r="O161" s="182"/>
      <c r="P161" s="185"/>
      <c r="Q161" s="185"/>
      <c r="R161" s="185"/>
      <c r="S161" s="185"/>
    </row>
    <row r="162" spans="1:19" x14ac:dyDescent="0.25">
      <c r="A162" s="180">
        <f t="shared" ca="1" si="30"/>
        <v>46252</v>
      </c>
      <c r="B162" s="181">
        <v>148</v>
      </c>
      <c r="C162" s="182">
        <f t="shared" ca="1" si="31"/>
        <v>35000</v>
      </c>
      <c r="D162" s="182">
        <f t="shared" ca="1" si="32"/>
        <v>23.333333333333332</v>
      </c>
      <c r="E162" s="182">
        <v>0</v>
      </c>
      <c r="F162" s="182">
        <f t="shared" ca="1" si="25"/>
        <v>0</v>
      </c>
      <c r="G162" s="182">
        <f t="shared" ca="1" si="33"/>
        <v>4946.6666666667043</v>
      </c>
      <c r="H162" s="182">
        <f t="shared" ca="1" si="23"/>
        <v>35000</v>
      </c>
      <c r="I162" s="183">
        <v>0</v>
      </c>
      <c r="J162" s="263">
        <f t="shared" ca="1" si="24"/>
        <v>30053.333333333296</v>
      </c>
      <c r="K162" s="182">
        <f t="shared" ca="1" si="26"/>
        <v>70</v>
      </c>
      <c r="L162" s="182">
        <f t="shared" ca="1" si="27"/>
        <v>3453.3333333333399</v>
      </c>
      <c r="M162" s="182">
        <f t="shared" ca="1" si="28"/>
        <v>3453.3333333333399</v>
      </c>
      <c r="N162" s="182">
        <f t="shared" ca="1" si="29"/>
        <v>13813.333333333359</v>
      </c>
      <c r="O162" s="182"/>
      <c r="P162" s="185"/>
      <c r="Q162" s="185"/>
      <c r="R162" s="185"/>
      <c r="S162" s="185"/>
    </row>
    <row r="163" spans="1:19" x14ac:dyDescent="0.25">
      <c r="A163" s="180">
        <f t="shared" ca="1" si="30"/>
        <v>46253</v>
      </c>
      <c r="B163" s="181">
        <v>149</v>
      </c>
      <c r="C163" s="182">
        <f t="shared" ca="1" si="31"/>
        <v>35000</v>
      </c>
      <c r="D163" s="182">
        <f t="shared" ca="1" si="32"/>
        <v>23.333333333333332</v>
      </c>
      <c r="E163" s="182">
        <v>0</v>
      </c>
      <c r="F163" s="182">
        <f t="shared" ca="1" si="25"/>
        <v>0</v>
      </c>
      <c r="G163" s="182">
        <f t="shared" ca="1" si="33"/>
        <v>4923.3333333333712</v>
      </c>
      <c r="H163" s="182">
        <f t="shared" ref="H163:H226" ca="1" si="34">IF(G163&gt;0,C163+F163+I163,SUM(C163:F163)-G162)</f>
        <v>35000</v>
      </c>
      <c r="I163" s="183">
        <v>0</v>
      </c>
      <c r="J163" s="263">
        <f t="shared" ca="1" si="24"/>
        <v>30076.666666666628</v>
      </c>
      <c r="K163" s="182">
        <f t="shared" ca="1" si="26"/>
        <v>70</v>
      </c>
      <c r="L163" s="182">
        <f t="shared" ca="1" si="27"/>
        <v>3476.6666666666733</v>
      </c>
      <c r="M163" s="182">
        <f t="shared" ca="1" si="28"/>
        <v>3476.6666666666733</v>
      </c>
      <c r="N163" s="182">
        <f t="shared" ca="1" si="29"/>
        <v>13906.666666666693</v>
      </c>
      <c r="O163" s="182"/>
      <c r="P163" s="185"/>
      <c r="Q163" s="185"/>
      <c r="R163" s="185"/>
      <c r="S163" s="185"/>
    </row>
    <row r="164" spans="1:19" x14ac:dyDescent="0.25">
      <c r="A164" s="180">
        <f t="shared" ca="1" si="30"/>
        <v>46254</v>
      </c>
      <c r="B164" s="181">
        <v>150</v>
      </c>
      <c r="C164" s="182">
        <f t="shared" ca="1" si="31"/>
        <v>35000</v>
      </c>
      <c r="D164" s="182">
        <f t="shared" ca="1" si="32"/>
        <v>23.333333333333332</v>
      </c>
      <c r="E164" s="182">
        <v>0</v>
      </c>
      <c r="F164" s="182">
        <f t="shared" ca="1" si="25"/>
        <v>0</v>
      </c>
      <c r="G164" s="182">
        <f t="shared" ca="1" si="33"/>
        <v>4900.0000000000382</v>
      </c>
      <c r="H164" s="182">
        <f t="shared" ca="1" si="34"/>
        <v>35000</v>
      </c>
      <c r="I164" s="183">
        <v>0</v>
      </c>
      <c r="J164" s="263">
        <f t="shared" ca="1" si="24"/>
        <v>30099.999999999964</v>
      </c>
      <c r="K164" s="182">
        <f t="shared" ca="1" si="26"/>
        <v>70</v>
      </c>
      <c r="L164" s="182">
        <f t="shared" ca="1" si="27"/>
        <v>3500.0000000000068</v>
      </c>
      <c r="M164" s="182">
        <f t="shared" ca="1" si="28"/>
        <v>3500.0000000000068</v>
      </c>
      <c r="N164" s="182">
        <f t="shared" ca="1" si="29"/>
        <v>14000.000000000027</v>
      </c>
      <c r="O164" s="182"/>
      <c r="P164" s="185"/>
      <c r="Q164" s="185"/>
      <c r="R164" s="185"/>
      <c r="S164" s="185"/>
    </row>
    <row r="165" spans="1:19" x14ac:dyDescent="0.25">
      <c r="A165" s="180">
        <f t="shared" ca="1" si="30"/>
        <v>46255</v>
      </c>
      <c r="B165" s="181">
        <v>151</v>
      </c>
      <c r="C165" s="182">
        <f t="shared" ca="1" si="31"/>
        <v>35000</v>
      </c>
      <c r="D165" s="182">
        <f t="shared" ca="1" si="32"/>
        <v>23.333333333333332</v>
      </c>
      <c r="E165" s="182">
        <v>0</v>
      </c>
      <c r="F165" s="182">
        <f t="shared" ca="1" si="25"/>
        <v>0</v>
      </c>
      <c r="G165" s="182">
        <f t="shared" ca="1" si="33"/>
        <v>4876.6666666667052</v>
      </c>
      <c r="H165" s="182">
        <f t="shared" ca="1" si="34"/>
        <v>35000</v>
      </c>
      <c r="I165" s="183">
        <v>0</v>
      </c>
      <c r="J165" s="263">
        <f t="shared" ca="1" si="24"/>
        <v>30123.333333333296</v>
      </c>
      <c r="K165" s="182">
        <f t="shared" ca="1" si="26"/>
        <v>70</v>
      </c>
      <c r="L165" s="182">
        <f t="shared" ca="1" si="27"/>
        <v>3523.3333333333403</v>
      </c>
      <c r="M165" s="182">
        <f t="shared" ca="1" si="28"/>
        <v>3523.3333333333403</v>
      </c>
      <c r="N165" s="182">
        <f t="shared" ca="1" si="29"/>
        <v>14093.333333333361</v>
      </c>
      <c r="O165" s="182"/>
      <c r="P165" s="185"/>
      <c r="Q165" s="185"/>
      <c r="R165" s="185"/>
      <c r="S165" s="185"/>
    </row>
    <row r="166" spans="1:19" x14ac:dyDescent="0.25">
      <c r="A166" s="180">
        <f t="shared" ca="1" si="30"/>
        <v>46256</v>
      </c>
      <c r="B166" s="181">
        <v>152</v>
      </c>
      <c r="C166" s="182">
        <f t="shared" ca="1" si="31"/>
        <v>35000</v>
      </c>
      <c r="D166" s="182">
        <f t="shared" ca="1" si="32"/>
        <v>23.333333333333332</v>
      </c>
      <c r="E166" s="182">
        <v>0</v>
      </c>
      <c r="F166" s="182">
        <f t="shared" ca="1" si="25"/>
        <v>0</v>
      </c>
      <c r="G166" s="182">
        <f t="shared" ca="1" si="33"/>
        <v>4853.3333333333721</v>
      </c>
      <c r="H166" s="182">
        <f t="shared" ca="1" si="34"/>
        <v>35000</v>
      </c>
      <c r="I166" s="183">
        <v>0</v>
      </c>
      <c r="J166" s="263">
        <f t="shared" ca="1" si="24"/>
        <v>30146.666666666628</v>
      </c>
      <c r="K166" s="182">
        <f t="shared" ca="1" si="26"/>
        <v>70</v>
      </c>
      <c r="L166" s="182">
        <f t="shared" ca="1" si="27"/>
        <v>3546.6666666666738</v>
      </c>
      <c r="M166" s="182">
        <f t="shared" ca="1" si="28"/>
        <v>3546.6666666666738</v>
      </c>
      <c r="N166" s="182">
        <f t="shared" ca="1" si="29"/>
        <v>14186.666666666695</v>
      </c>
      <c r="O166" s="182"/>
      <c r="P166" s="185"/>
      <c r="Q166" s="185"/>
      <c r="R166" s="185"/>
      <c r="S166" s="185"/>
    </row>
    <row r="167" spans="1:19" x14ac:dyDescent="0.25">
      <c r="A167" s="180">
        <f t="shared" ca="1" si="30"/>
        <v>46257</v>
      </c>
      <c r="B167" s="181">
        <v>153</v>
      </c>
      <c r="C167" s="182">
        <f t="shared" ca="1" si="31"/>
        <v>35000</v>
      </c>
      <c r="D167" s="182">
        <f t="shared" ca="1" si="32"/>
        <v>23.333333333333332</v>
      </c>
      <c r="E167" s="182">
        <v>0</v>
      </c>
      <c r="F167" s="182">
        <f t="shared" ca="1" si="25"/>
        <v>0</v>
      </c>
      <c r="G167" s="182">
        <f t="shared" ca="1" si="33"/>
        <v>4830.0000000000391</v>
      </c>
      <c r="H167" s="182">
        <f t="shared" ca="1" si="34"/>
        <v>35000</v>
      </c>
      <c r="I167" s="183">
        <v>0</v>
      </c>
      <c r="J167" s="263">
        <f t="shared" ca="1" si="24"/>
        <v>30169.99999999996</v>
      </c>
      <c r="K167" s="182">
        <f t="shared" ca="1" si="26"/>
        <v>70</v>
      </c>
      <c r="L167" s="182">
        <f t="shared" ca="1" si="27"/>
        <v>3570.0000000000073</v>
      </c>
      <c r="M167" s="182">
        <f t="shared" ca="1" si="28"/>
        <v>3570.0000000000073</v>
      </c>
      <c r="N167" s="182">
        <f t="shared" ca="1" si="29"/>
        <v>14280.000000000029</v>
      </c>
      <c r="O167" s="182"/>
      <c r="P167" s="185"/>
      <c r="Q167" s="185"/>
      <c r="R167" s="185"/>
      <c r="S167" s="185"/>
    </row>
    <row r="168" spans="1:19" x14ac:dyDescent="0.25">
      <c r="A168" s="180">
        <f t="shared" ca="1" si="30"/>
        <v>46258</v>
      </c>
      <c r="B168" s="181">
        <v>154</v>
      </c>
      <c r="C168" s="182">
        <f t="shared" ca="1" si="31"/>
        <v>35000</v>
      </c>
      <c r="D168" s="182">
        <f t="shared" ca="1" si="32"/>
        <v>23.333333333333332</v>
      </c>
      <c r="E168" s="182">
        <v>0</v>
      </c>
      <c r="F168" s="182">
        <f t="shared" ca="1" si="25"/>
        <v>0</v>
      </c>
      <c r="G168" s="182">
        <f t="shared" ca="1" si="33"/>
        <v>4806.6666666667061</v>
      </c>
      <c r="H168" s="182">
        <f t="shared" ca="1" si="34"/>
        <v>35000</v>
      </c>
      <c r="I168" s="183">
        <v>0</v>
      </c>
      <c r="J168" s="263">
        <f t="shared" ca="1" si="24"/>
        <v>30193.333333333292</v>
      </c>
      <c r="K168" s="182">
        <f t="shared" ca="1" si="26"/>
        <v>70</v>
      </c>
      <c r="L168" s="182">
        <f t="shared" ca="1" si="27"/>
        <v>3593.3333333333408</v>
      </c>
      <c r="M168" s="182">
        <f t="shared" ca="1" si="28"/>
        <v>3593.3333333333408</v>
      </c>
      <c r="N168" s="182">
        <f t="shared" ca="1" si="29"/>
        <v>14373.333333333363</v>
      </c>
      <c r="O168" s="182"/>
      <c r="P168" s="185"/>
      <c r="Q168" s="185"/>
      <c r="R168" s="185"/>
      <c r="S168" s="185"/>
    </row>
    <row r="169" spans="1:19" x14ac:dyDescent="0.25">
      <c r="A169" s="180">
        <f t="shared" ca="1" si="30"/>
        <v>46259</v>
      </c>
      <c r="B169" s="181">
        <v>155</v>
      </c>
      <c r="C169" s="182">
        <f t="shared" ca="1" si="31"/>
        <v>35000</v>
      </c>
      <c r="D169" s="182">
        <f t="shared" ca="1" si="32"/>
        <v>23.333333333333332</v>
      </c>
      <c r="E169" s="182">
        <v>0</v>
      </c>
      <c r="F169" s="182">
        <f t="shared" ca="1" si="25"/>
        <v>0</v>
      </c>
      <c r="G169" s="182">
        <f t="shared" ca="1" si="33"/>
        <v>4783.333333333373</v>
      </c>
      <c r="H169" s="182">
        <f t="shared" ca="1" si="34"/>
        <v>35000</v>
      </c>
      <c r="I169" s="183">
        <v>0</v>
      </c>
      <c r="J169" s="263">
        <f t="shared" ca="1" si="24"/>
        <v>30216.666666666628</v>
      </c>
      <c r="K169" s="182">
        <f t="shared" ca="1" si="26"/>
        <v>70</v>
      </c>
      <c r="L169" s="182">
        <f t="shared" ca="1" si="27"/>
        <v>3616.6666666666742</v>
      </c>
      <c r="M169" s="182">
        <f t="shared" ca="1" si="28"/>
        <v>3616.6666666666742</v>
      </c>
      <c r="N169" s="182">
        <f t="shared" ca="1" si="29"/>
        <v>14466.666666666697</v>
      </c>
      <c r="O169" s="182"/>
      <c r="P169" s="185"/>
      <c r="Q169" s="185"/>
      <c r="R169" s="185"/>
      <c r="S169" s="185"/>
    </row>
    <row r="170" spans="1:19" x14ac:dyDescent="0.25">
      <c r="A170" s="180">
        <f t="shared" ca="1" si="30"/>
        <v>46260</v>
      </c>
      <c r="B170" s="181">
        <v>156</v>
      </c>
      <c r="C170" s="182">
        <f t="shared" ca="1" si="31"/>
        <v>35000</v>
      </c>
      <c r="D170" s="182">
        <f t="shared" ca="1" si="32"/>
        <v>23.333333333333332</v>
      </c>
      <c r="E170" s="182">
        <v>0</v>
      </c>
      <c r="F170" s="182">
        <f t="shared" ca="1" si="25"/>
        <v>0</v>
      </c>
      <c r="G170" s="182">
        <f t="shared" ca="1" si="33"/>
        <v>4760.00000000004</v>
      </c>
      <c r="H170" s="182">
        <f t="shared" ca="1" si="34"/>
        <v>35000</v>
      </c>
      <c r="I170" s="183">
        <v>0</v>
      </c>
      <c r="J170" s="263">
        <f t="shared" ca="1" si="24"/>
        <v>30239.99999999996</v>
      </c>
      <c r="K170" s="182">
        <f t="shared" ca="1" si="26"/>
        <v>70</v>
      </c>
      <c r="L170" s="182">
        <f t="shared" ca="1" si="27"/>
        <v>3640.0000000000077</v>
      </c>
      <c r="M170" s="182">
        <f t="shared" ca="1" si="28"/>
        <v>3640.0000000000077</v>
      </c>
      <c r="N170" s="182">
        <f t="shared" ca="1" si="29"/>
        <v>14560.000000000031</v>
      </c>
      <c r="O170" s="182"/>
      <c r="P170" s="185"/>
      <c r="Q170" s="185"/>
      <c r="R170" s="185"/>
      <c r="S170" s="185"/>
    </row>
    <row r="171" spans="1:19" x14ac:dyDescent="0.25">
      <c r="A171" s="180">
        <f t="shared" ca="1" si="30"/>
        <v>46261</v>
      </c>
      <c r="B171" s="181">
        <v>157</v>
      </c>
      <c r="C171" s="182">
        <f t="shared" ca="1" si="31"/>
        <v>35000</v>
      </c>
      <c r="D171" s="182">
        <f t="shared" ca="1" si="32"/>
        <v>23.333333333333332</v>
      </c>
      <c r="E171" s="182">
        <v>0</v>
      </c>
      <c r="F171" s="182">
        <f t="shared" ca="1" si="25"/>
        <v>0</v>
      </c>
      <c r="G171" s="182">
        <f t="shared" ca="1" si="33"/>
        <v>4736.666666666707</v>
      </c>
      <c r="H171" s="182">
        <f t="shared" ca="1" si="34"/>
        <v>35000</v>
      </c>
      <c r="I171" s="183">
        <v>0</v>
      </c>
      <c r="J171" s="263">
        <f t="shared" ca="1" si="24"/>
        <v>30263.333333333292</v>
      </c>
      <c r="K171" s="182">
        <f t="shared" ca="1" si="26"/>
        <v>70</v>
      </c>
      <c r="L171" s="182">
        <f t="shared" ca="1" si="27"/>
        <v>3663.3333333333412</v>
      </c>
      <c r="M171" s="182">
        <f t="shared" ca="1" si="28"/>
        <v>3663.3333333333412</v>
      </c>
      <c r="N171" s="182">
        <f t="shared" ca="1" si="29"/>
        <v>14653.333333333365</v>
      </c>
      <c r="O171" s="182"/>
      <c r="P171" s="185"/>
      <c r="Q171" s="185"/>
      <c r="R171" s="185"/>
      <c r="S171" s="185"/>
    </row>
    <row r="172" spans="1:19" x14ac:dyDescent="0.25">
      <c r="A172" s="180">
        <f t="shared" ca="1" si="30"/>
        <v>46262</v>
      </c>
      <c r="B172" s="181">
        <v>158</v>
      </c>
      <c r="C172" s="182">
        <f t="shared" ca="1" si="31"/>
        <v>35000</v>
      </c>
      <c r="D172" s="182">
        <f t="shared" ca="1" si="32"/>
        <v>23.333333333333332</v>
      </c>
      <c r="E172" s="182">
        <v>0</v>
      </c>
      <c r="F172" s="182">
        <f t="shared" ca="1" si="25"/>
        <v>0</v>
      </c>
      <c r="G172" s="182">
        <f t="shared" ca="1" si="33"/>
        <v>4713.333333333374</v>
      </c>
      <c r="H172" s="182">
        <f t="shared" ca="1" si="34"/>
        <v>35000</v>
      </c>
      <c r="I172" s="183">
        <v>0</v>
      </c>
      <c r="J172" s="263">
        <f t="shared" ca="1" si="24"/>
        <v>30286.666666666628</v>
      </c>
      <c r="K172" s="182">
        <f t="shared" ca="1" si="26"/>
        <v>70</v>
      </c>
      <c r="L172" s="182">
        <f t="shared" ca="1" si="27"/>
        <v>3686.6666666666747</v>
      </c>
      <c r="M172" s="182">
        <f t="shared" ca="1" si="28"/>
        <v>3686.6666666666747</v>
      </c>
      <c r="N172" s="182">
        <f t="shared" ca="1" si="29"/>
        <v>14746.666666666699</v>
      </c>
      <c r="O172" s="182"/>
      <c r="P172" s="185"/>
      <c r="Q172" s="185"/>
      <c r="R172" s="185"/>
      <c r="S172" s="185"/>
    </row>
    <row r="173" spans="1:19" x14ac:dyDescent="0.25">
      <c r="A173" s="180">
        <f t="shared" ca="1" si="30"/>
        <v>46263</v>
      </c>
      <c r="B173" s="181">
        <v>159</v>
      </c>
      <c r="C173" s="182">
        <f t="shared" ca="1" si="31"/>
        <v>35000</v>
      </c>
      <c r="D173" s="182">
        <f t="shared" ca="1" si="32"/>
        <v>23.333333333333332</v>
      </c>
      <c r="E173" s="182">
        <v>0</v>
      </c>
      <c r="F173" s="182">
        <f t="shared" ca="1" si="25"/>
        <v>0</v>
      </c>
      <c r="G173" s="182">
        <f t="shared" ca="1" si="33"/>
        <v>4690.0000000000409</v>
      </c>
      <c r="H173" s="182">
        <f t="shared" ca="1" si="34"/>
        <v>35000</v>
      </c>
      <c r="I173" s="183">
        <v>0</v>
      </c>
      <c r="J173" s="263">
        <f t="shared" ca="1" si="24"/>
        <v>30309.99999999996</v>
      </c>
      <c r="K173" s="182">
        <f t="shared" ca="1" si="26"/>
        <v>70</v>
      </c>
      <c r="L173" s="182">
        <f t="shared" ca="1" si="27"/>
        <v>3710.0000000000082</v>
      </c>
      <c r="M173" s="182">
        <f t="shared" ca="1" si="28"/>
        <v>3710.0000000000082</v>
      </c>
      <c r="N173" s="182">
        <f t="shared" ca="1" si="29"/>
        <v>14840.000000000033</v>
      </c>
      <c r="O173" s="182"/>
      <c r="P173" s="185"/>
      <c r="Q173" s="185"/>
      <c r="R173" s="185"/>
      <c r="S173" s="185"/>
    </row>
    <row r="174" spans="1:19" x14ac:dyDescent="0.25">
      <c r="A174" s="180">
        <f t="shared" ca="1" si="30"/>
        <v>46264</v>
      </c>
      <c r="B174" s="181">
        <v>160</v>
      </c>
      <c r="C174" s="182">
        <f t="shared" ca="1" si="31"/>
        <v>35000</v>
      </c>
      <c r="D174" s="182">
        <f t="shared" ca="1" si="32"/>
        <v>23.333333333333332</v>
      </c>
      <c r="E174" s="182">
        <v>0</v>
      </c>
      <c r="F174" s="182">
        <f t="shared" ca="1" si="25"/>
        <v>0</v>
      </c>
      <c r="G174" s="182">
        <f t="shared" ca="1" si="33"/>
        <v>4666.6666666667079</v>
      </c>
      <c r="H174" s="182">
        <f t="shared" ca="1" si="34"/>
        <v>35000</v>
      </c>
      <c r="I174" s="183">
        <v>0</v>
      </c>
      <c r="J174" s="263">
        <f t="shared" ca="1" si="24"/>
        <v>30333.333333333292</v>
      </c>
      <c r="K174" s="182">
        <f t="shared" ca="1" si="26"/>
        <v>70</v>
      </c>
      <c r="L174" s="182">
        <f t="shared" ca="1" si="27"/>
        <v>3733.3333333333417</v>
      </c>
      <c r="M174" s="182">
        <f t="shared" ca="1" si="28"/>
        <v>3733.3333333333417</v>
      </c>
      <c r="N174" s="182">
        <f t="shared" ca="1" si="29"/>
        <v>14933.333333333367</v>
      </c>
      <c r="O174" s="182"/>
      <c r="P174" s="185"/>
      <c r="Q174" s="185"/>
      <c r="R174" s="185"/>
      <c r="S174" s="185"/>
    </row>
    <row r="175" spans="1:19" x14ac:dyDescent="0.25">
      <c r="A175" s="180">
        <f t="shared" ca="1" si="30"/>
        <v>46265</v>
      </c>
      <c r="B175" s="181">
        <v>161</v>
      </c>
      <c r="C175" s="182">
        <f t="shared" ca="1" si="31"/>
        <v>35000</v>
      </c>
      <c r="D175" s="182">
        <f t="shared" ca="1" si="32"/>
        <v>23.333333333333332</v>
      </c>
      <c r="E175" s="182">
        <v>0</v>
      </c>
      <c r="F175" s="182">
        <f t="shared" ca="1" si="25"/>
        <v>0</v>
      </c>
      <c r="G175" s="182">
        <f t="shared" ca="1" si="33"/>
        <v>4643.3333333333749</v>
      </c>
      <c r="H175" s="182">
        <f t="shared" ca="1" si="34"/>
        <v>35000</v>
      </c>
      <c r="I175" s="183">
        <v>0</v>
      </c>
      <c r="J175" s="263">
        <f t="shared" ca="1" si="24"/>
        <v>30356.666666666624</v>
      </c>
      <c r="K175" s="182">
        <f t="shared" ca="1" si="26"/>
        <v>70</v>
      </c>
      <c r="L175" s="182">
        <f t="shared" ca="1" si="27"/>
        <v>3756.6666666666752</v>
      </c>
      <c r="M175" s="182">
        <f t="shared" ca="1" si="28"/>
        <v>3756.6666666666752</v>
      </c>
      <c r="N175" s="182">
        <f t="shared" ca="1" si="29"/>
        <v>15026.666666666701</v>
      </c>
      <c r="O175" s="182"/>
      <c r="P175" s="185"/>
      <c r="Q175" s="185"/>
      <c r="R175" s="185"/>
      <c r="S175" s="185"/>
    </row>
    <row r="176" spans="1:19" x14ac:dyDescent="0.25">
      <c r="A176" s="180">
        <f t="shared" ca="1" si="30"/>
        <v>46266</v>
      </c>
      <c r="B176" s="181">
        <v>162</v>
      </c>
      <c r="C176" s="182">
        <f t="shared" ca="1" si="31"/>
        <v>35000</v>
      </c>
      <c r="D176" s="182">
        <f t="shared" ca="1" si="32"/>
        <v>23.333333333333332</v>
      </c>
      <c r="E176" s="182">
        <v>0</v>
      </c>
      <c r="F176" s="182">
        <f t="shared" ca="1" si="25"/>
        <v>0</v>
      </c>
      <c r="G176" s="182">
        <f t="shared" ca="1" si="33"/>
        <v>4620.0000000000418</v>
      </c>
      <c r="H176" s="182">
        <f t="shared" ca="1" si="34"/>
        <v>35000</v>
      </c>
      <c r="I176" s="183">
        <v>0</v>
      </c>
      <c r="J176" s="263">
        <f t="shared" ca="1" si="24"/>
        <v>30379.999999999956</v>
      </c>
      <c r="K176" s="182">
        <f t="shared" ca="1" si="26"/>
        <v>70</v>
      </c>
      <c r="L176" s="182">
        <f t="shared" ca="1" si="27"/>
        <v>3780.0000000000086</v>
      </c>
      <c r="M176" s="182">
        <f t="shared" ca="1" si="28"/>
        <v>3780.0000000000086</v>
      </c>
      <c r="N176" s="182">
        <f t="shared" ca="1" si="29"/>
        <v>15120.000000000035</v>
      </c>
      <c r="O176" s="182"/>
      <c r="P176" s="185"/>
      <c r="Q176" s="185"/>
      <c r="R176" s="185"/>
      <c r="S176" s="185"/>
    </row>
    <row r="177" spans="1:19" x14ac:dyDescent="0.25">
      <c r="A177" s="180">
        <f t="shared" ca="1" si="30"/>
        <v>46267</v>
      </c>
      <c r="B177" s="181">
        <v>163</v>
      </c>
      <c r="C177" s="182">
        <f t="shared" ca="1" si="31"/>
        <v>35000</v>
      </c>
      <c r="D177" s="182">
        <f t="shared" ca="1" si="32"/>
        <v>23.333333333333332</v>
      </c>
      <c r="E177" s="182">
        <v>0</v>
      </c>
      <c r="F177" s="182">
        <f t="shared" ca="1" si="25"/>
        <v>0</v>
      </c>
      <c r="G177" s="182">
        <f t="shared" ca="1" si="33"/>
        <v>4596.6666666667088</v>
      </c>
      <c r="H177" s="182">
        <f t="shared" ca="1" si="34"/>
        <v>35000</v>
      </c>
      <c r="I177" s="183">
        <v>0</v>
      </c>
      <c r="J177" s="263">
        <f t="shared" ca="1" si="24"/>
        <v>30403.333333333292</v>
      </c>
      <c r="K177" s="182">
        <f t="shared" ca="1" si="26"/>
        <v>70</v>
      </c>
      <c r="L177" s="182">
        <f t="shared" ca="1" si="27"/>
        <v>3803.3333333333421</v>
      </c>
      <c r="M177" s="182">
        <f t="shared" ca="1" si="28"/>
        <v>3803.3333333333421</v>
      </c>
      <c r="N177" s="182">
        <f t="shared" ca="1" si="29"/>
        <v>15213.333333333369</v>
      </c>
      <c r="O177" s="182"/>
      <c r="P177" s="185"/>
      <c r="Q177" s="185"/>
      <c r="R177" s="185"/>
      <c r="S177" s="185"/>
    </row>
    <row r="178" spans="1:19" x14ac:dyDescent="0.25">
      <c r="A178" s="180">
        <f t="shared" ca="1" si="30"/>
        <v>46268</v>
      </c>
      <c r="B178" s="181">
        <v>164</v>
      </c>
      <c r="C178" s="182">
        <f t="shared" ca="1" si="31"/>
        <v>35000</v>
      </c>
      <c r="D178" s="182">
        <f t="shared" ca="1" si="32"/>
        <v>23.333333333333332</v>
      </c>
      <c r="E178" s="182">
        <v>0</v>
      </c>
      <c r="F178" s="182">
        <f t="shared" ca="1" si="25"/>
        <v>0</v>
      </c>
      <c r="G178" s="182">
        <f t="shared" ca="1" si="33"/>
        <v>4573.3333333333758</v>
      </c>
      <c r="H178" s="182">
        <f t="shared" ca="1" si="34"/>
        <v>35000</v>
      </c>
      <c r="I178" s="183">
        <v>0</v>
      </c>
      <c r="J178" s="263">
        <f t="shared" ca="1" si="24"/>
        <v>30426.666666666624</v>
      </c>
      <c r="K178" s="182">
        <f t="shared" ca="1" si="26"/>
        <v>70</v>
      </c>
      <c r="L178" s="182">
        <f t="shared" ca="1" si="27"/>
        <v>3826.6666666666756</v>
      </c>
      <c r="M178" s="182">
        <f t="shared" ca="1" si="28"/>
        <v>3826.6666666666756</v>
      </c>
      <c r="N178" s="182">
        <f t="shared" ca="1" si="29"/>
        <v>15306.666666666702</v>
      </c>
      <c r="O178" s="182"/>
      <c r="P178" s="185"/>
      <c r="Q178" s="185"/>
      <c r="R178" s="185"/>
      <c r="S178" s="185"/>
    </row>
    <row r="179" spans="1:19" x14ac:dyDescent="0.25">
      <c r="A179" s="180">
        <f t="shared" ca="1" si="30"/>
        <v>46269</v>
      </c>
      <c r="B179" s="181">
        <v>165</v>
      </c>
      <c r="C179" s="182">
        <f t="shared" ca="1" si="31"/>
        <v>35000</v>
      </c>
      <c r="D179" s="182">
        <f t="shared" ca="1" si="32"/>
        <v>23.333333333333332</v>
      </c>
      <c r="E179" s="182">
        <v>0</v>
      </c>
      <c r="F179" s="182">
        <f t="shared" ca="1" si="25"/>
        <v>0</v>
      </c>
      <c r="G179" s="182">
        <f t="shared" ca="1" si="33"/>
        <v>4550.0000000000427</v>
      </c>
      <c r="H179" s="182">
        <f t="shared" ca="1" si="34"/>
        <v>35000</v>
      </c>
      <c r="I179" s="183">
        <v>0</v>
      </c>
      <c r="J179" s="263">
        <f t="shared" ca="1" si="24"/>
        <v>30449.999999999956</v>
      </c>
      <c r="K179" s="182">
        <f t="shared" ca="1" si="26"/>
        <v>70</v>
      </c>
      <c r="L179" s="182">
        <f t="shared" ca="1" si="27"/>
        <v>3850.0000000000091</v>
      </c>
      <c r="M179" s="182">
        <f t="shared" ca="1" si="28"/>
        <v>3850.0000000000091</v>
      </c>
      <c r="N179" s="182">
        <f t="shared" ca="1" si="29"/>
        <v>15400.000000000036</v>
      </c>
      <c r="O179" s="182"/>
      <c r="P179" s="185"/>
      <c r="Q179" s="185"/>
      <c r="R179" s="185"/>
      <c r="S179" s="185"/>
    </row>
    <row r="180" spans="1:19" x14ac:dyDescent="0.25">
      <c r="A180" s="180">
        <f t="shared" ca="1" si="30"/>
        <v>46270</v>
      </c>
      <c r="B180" s="181">
        <v>166</v>
      </c>
      <c r="C180" s="182">
        <f t="shared" ca="1" si="31"/>
        <v>35000</v>
      </c>
      <c r="D180" s="182">
        <f t="shared" ca="1" si="32"/>
        <v>23.333333333333332</v>
      </c>
      <c r="E180" s="182">
        <v>0</v>
      </c>
      <c r="F180" s="182">
        <f t="shared" ca="1" si="25"/>
        <v>0</v>
      </c>
      <c r="G180" s="182">
        <f t="shared" ca="1" si="33"/>
        <v>4526.6666666667097</v>
      </c>
      <c r="H180" s="182">
        <f t="shared" ca="1" si="34"/>
        <v>35000</v>
      </c>
      <c r="I180" s="183">
        <v>0</v>
      </c>
      <c r="J180" s="263">
        <f t="shared" ca="1" si="24"/>
        <v>30473.333333333292</v>
      </c>
      <c r="K180" s="182">
        <f t="shared" ca="1" si="26"/>
        <v>70</v>
      </c>
      <c r="L180" s="182">
        <f t="shared" ca="1" si="27"/>
        <v>3873.3333333333426</v>
      </c>
      <c r="M180" s="182">
        <f t="shared" ca="1" si="28"/>
        <v>3873.3333333333426</v>
      </c>
      <c r="N180" s="182">
        <f t="shared" ca="1" si="29"/>
        <v>15493.33333333337</v>
      </c>
      <c r="O180" s="182"/>
      <c r="P180" s="185"/>
      <c r="Q180" s="185"/>
      <c r="R180" s="185"/>
      <c r="S180" s="185"/>
    </row>
    <row r="181" spans="1:19" x14ac:dyDescent="0.25">
      <c r="A181" s="180">
        <f t="shared" ca="1" si="30"/>
        <v>46271</v>
      </c>
      <c r="B181" s="181">
        <v>167</v>
      </c>
      <c r="C181" s="182">
        <f t="shared" ca="1" si="31"/>
        <v>35000</v>
      </c>
      <c r="D181" s="182">
        <f t="shared" ca="1" si="32"/>
        <v>23.333333333333332</v>
      </c>
      <c r="E181" s="182">
        <v>0</v>
      </c>
      <c r="F181" s="182">
        <f t="shared" ca="1" si="25"/>
        <v>0</v>
      </c>
      <c r="G181" s="182">
        <f t="shared" ca="1" si="33"/>
        <v>4503.3333333333767</v>
      </c>
      <c r="H181" s="182">
        <f t="shared" ca="1" si="34"/>
        <v>35000</v>
      </c>
      <c r="I181" s="183">
        <v>0</v>
      </c>
      <c r="J181" s="263">
        <f t="shared" ca="1" si="24"/>
        <v>30496.666666666624</v>
      </c>
      <c r="K181" s="182">
        <f t="shared" ca="1" si="26"/>
        <v>70</v>
      </c>
      <c r="L181" s="182">
        <f t="shared" ca="1" si="27"/>
        <v>3896.6666666666761</v>
      </c>
      <c r="M181" s="182">
        <f t="shared" ca="1" si="28"/>
        <v>3896.6666666666761</v>
      </c>
      <c r="N181" s="182">
        <f t="shared" ca="1" si="29"/>
        <v>15586.666666666704</v>
      </c>
      <c r="O181" s="182"/>
      <c r="P181" s="185"/>
      <c r="Q181" s="185"/>
      <c r="R181" s="185"/>
      <c r="S181" s="185"/>
    </row>
    <row r="182" spans="1:19" x14ac:dyDescent="0.25">
      <c r="A182" s="180">
        <f t="shared" ca="1" si="30"/>
        <v>46272</v>
      </c>
      <c r="B182" s="181">
        <v>168</v>
      </c>
      <c r="C182" s="182">
        <f t="shared" ca="1" si="31"/>
        <v>35000</v>
      </c>
      <c r="D182" s="182">
        <f t="shared" ca="1" si="32"/>
        <v>23.333333333333332</v>
      </c>
      <c r="E182" s="182">
        <v>0</v>
      </c>
      <c r="F182" s="182">
        <f t="shared" ca="1" si="25"/>
        <v>0</v>
      </c>
      <c r="G182" s="182">
        <f t="shared" ca="1" si="33"/>
        <v>4480.0000000000437</v>
      </c>
      <c r="H182" s="182">
        <f t="shared" ca="1" si="34"/>
        <v>35000</v>
      </c>
      <c r="I182" s="183">
        <v>0</v>
      </c>
      <c r="J182" s="263">
        <f t="shared" ca="1" si="24"/>
        <v>30519.999999999956</v>
      </c>
      <c r="K182" s="182">
        <f t="shared" ca="1" si="26"/>
        <v>70</v>
      </c>
      <c r="L182" s="182">
        <f t="shared" ca="1" si="27"/>
        <v>3920.0000000000095</v>
      </c>
      <c r="M182" s="182">
        <f t="shared" ca="1" si="28"/>
        <v>3920.0000000000095</v>
      </c>
      <c r="N182" s="182">
        <f t="shared" ca="1" si="29"/>
        <v>15680.000000000038</v>
      </c>
      <c r="O182" s="182"/>
      <c r="P182" s="185"/>
      <c r="Q182" s="185"/>
      <c r="R182" s="185"/>
      <c r="S182" s="185"/>
    </row>
    <row r="183" spans="1:19" x14ac:dyDescent="0.25">
      <c r="A183" s="180">
        <f t="shared" ca="1" si="30"/>
        <v>46273</v>
      </c>
      <c r="B183" s="181">
        <v>169</v>
      </c>
      <c r="C183" s="182">
        <f t="shared" ca="1" si="31"/>
        <v>35000</v>
      </c>
      <c r="D183" s="182">
        <f t="shared" ca="1" si="32"/>
        <v>23.333333333333332</v>
      </c>
      <c r="E183" s="182">
        <v>0</v>
      </c>
      <c r="F183" s="182">
        <f t="shared" ca="1" si="25"/>
        <v>0</v>
      </c>
      <c r="G183" s="182">
        <f t="shared" ca="1" si="33"/>
        <v>4456.6666666667106</v>
      </c>
      <c r="H183" s="182">
        <f t="shared" ca="1" si="34"/>
        <v>35000</v>
      </c>
      <c r="I183" s="183">
        <v>0</v>
      </c>
      <c r="J183" s="263">
        <f t="shared" ca="1" si="24"/>
        <v>30543.333333333288</v>
      </c>
      <c r="K183" s="182">
        <f t="shared" ca="1" si="26"/>
        <v>70</v>
      </c>
      <c r="L183" s="182">
        <f t="shared" ca="1" si="27"/>
        <v>3943.333333333343</v>
      </c>
      <c r="M183" s="182">
        <f t="shared" ca="1" si="28"/>
        <v>3943.333333333343</v>
      </c>
      <c r="N183" s="182">
        <f t="shared" ca="1" si="29"/>
        <v>15773.333333333372</v>
      </c>
      <c r="O183" s="182"/>
      <c r="P183" s="185"/>
      <c r="Q183" s="185"/>
      <c r="R183" s="185"/>
      <c r="S183" s="185"/>
    </row>
    <row r="184" spans="1:19" x14ac:dyDescent="0.25">
      <c r="A184" s="180">
        <f t="shared" ca="1" si="30"/>
        <v>46274</v>
      </c>
      <c r="B184" s="181">
        <v>170</v>
      </c>
      <c r="C184" s="182">
        <f t="shared" ca="1" si="31"/>
        <v>35000</v>
      </c>
      <c r="D184" s="182">
        <f t="shared" ca="1" si="32"/>
        <v>23.333333333333332</v>
      </c>
      <c r="E184" s="182">
        <v>0</v>
      </c>
      <c r="F184" s="182">
        <f t="shared" ca="1" si="25"/>
        <v>0</v>
      </c>
      <c r="G184" s="182">
        <f t="shared" ca="1" si="33"/>
        <v>4433.3333333333776</v>
      </c>
      <c r="H184" s="182">
        <f t="shared" ca="1" si="34"/>
        <v>35000</v>
      </c>
      <c r="I184" s="183">
        <v>0</v>
      </c>
      <c r="J184" s="263">
        <f t="shared" ca="1" si="24"/>
        <v>30566.666666666621</v>
      </c>
      <c r="K184" s="182">
        <f t="shared" ca="1" si="26"/>
        <v>70</v>
      </c>
      <c r="L184" s="182">
        <f t="shared" ca="1" si="27"/>
        <v>3966.6666666666765</v>
      </c>
      <c r="M184" s="182">
        <f t="shared" ca="1" si="28"/>
        <v>3966.6666666666765</v>
      </c>
      <c r="N184" s="182">
        <f t="shared" ca="1" si="29"/>
        <v>15866.666666666706</v>
      </c>
      <c r="O184" s="182"/>
      <c r="P184" s="185"/>
      <c r="Q184" s="185"/>
      <c r="R184" s="185"/>
      <c r="S184" s="185"/>
    </row>
    <row r="185" spans="1:19" x14ac:dyDescent="0.25">
      <c r="A185" s="180">
        <f t="shared" ca="1" si="30"/>
        <v>46275</v>
      </c>
      <c r="B185" s="181">
        <v>171</v>
      </c>
      <c r="C185" s="182">
        <f t="shared" ca="1" si="31"/>
        <v>35000</v>
      </c>
      <c r="D185" s="182">
        <f t="shared" ca="1" si="32"/>
        <v>23.333333333333332</v>
      </c>
      <c r="E185" s="182">
        <v>0</v>
      </c>
      <c r="F185" s="182">
        <f t="shared" ca="1" si="25"/>
        <v>0</v>
      </c>
      <c r="G185" s="182">
        <f t="shared" ca="1" si="33"/>
        <v>4410.0000000000446</v>
      </c>
      <c r="H185" s="182">
        <f t="shared" ca="1" si="34"/>
        <v>35000</v>
      </c>
      <c r="I185" s="183">
        <v>0</v>
      </c>
      <c r="J185" s="263">
        <f t="shared" ca="1" si="24"/>
        <v>30589.999999999956</v>
      </c>
      <c r="K185" s="182">
        <f t="shared" ca="1" si="26"/>
        <v>70</v>
      </c>
      <c r="L185" s="182">
        <f t="shared" ca="1" si="27"/>
        <v>3990.00000000001</v>
      </c>
      <c r="M185" s="182">
        <f t="shared" ca="1" si="28"/>
        <v>3990.00000000001</v>
      </c>
      <c r="N185" s="182">
        <f t="shared" ca="1" si="29"/>
        <v>15960.00000000004</v>
      </c>
      <c r="O185" s="182"/>
      <c r="P185" s="185"/>
      <c r="Q185" s="185"/>
      <c r="R185" s="185"/>
      <c r="S185" s="185"/>
    </row>
    <row r="186" spans="1:19" x14ac:dyDescent="0.25">
      <c r="A186" s="180">
        <f t="shared" ca="1" si="30"/>
        <v>46276</v>
      </c>
      <c r="B186" s="181">
        <v>172</v>
      </c>
      <c r="C186" s="182">
        <f t="shared" ca="1" si="31"/>
        <v>35000</v>
      </c>
      <c r="D186" s="182">
        <f t="shared" ca="1" si="32"/>
        <v>23.333333333333332</v>
      </c>
      <c r="E186" s="182">
        <v>0</v>
      </c>
      <c r="F186" s="182">
        <f t="shared" ca="1" si="25"/>
        <v>0</v>
      </c>
      <c r="G186" s="182">
        <f t="shared" ca="1" si="33"/>
        <v>4386.6666666667115</v>
      </c>
      <c r="H186" s="182">
        <f t="shared" ca="1" si="34"/>
        <v>35000</v>
      </c>
      <c r="I186" s="183">
        <v>0</v>
      </c>
      <c r="J186" s="263">
        <f t="shared" ca="1" si="24"/>
        <v>30613.333333333288</v>
      </c>
      <c r="K186" s="182">
        <f t="shared" ca="1" si="26"/>
        <v>70</v>
      </c>
      <c r="L186" s="182">
        <f t="shared" ca="1" si="27"/>
        <v>4013.3333333333435</v>
      </c>
      <c r="M186" s="182">
        <f t="shared" ca="1" si="28"/>
        <v>4013.3333333333435</v>
      </c>
      <c r="N186" s="182">
        <f t="shared" ca="1" si="29"/>
        <v>16053.333333333374</v>
      </c>
      <c r="O186" s="182"/>
      <c r="P186" s="185"/>
      <c r="Q186" s="185"/>
      <c r="R186" s="185"/>
      <c r="S186" s="185"/>
    </row>
    <row r="187" spans="1:19" x14ac:dyDescent="0.25">
      <c r="A187" s="180">
        <f t="shared" ca="1" si="30"/>
        <v>46277</v>
      </c>
      <c r="B187" s="181">
        <v>173</v>
      </c>
      <c r="C187" s="182">
        <f t="shared" ca="1" si="31"/>
        <v>35000</v>
      </c>
      <c r="D187" s="182">
        <f t="shared" ca="1" si="32"/>
        <v>23.333333333333332</v>
      </c>
      <c r="E187" s="182">
        <v>0</v>
      </c>
      <c r="F187" s="182">
        <f t="shared" ca="1" si="25"/>
        <v>0</v>
      </c>
      <c r="G187" s="182">
        <f t="shared" ca="1" si="33"/>
        <v>4363.3333333333785</v>
      </c>
      <c r="H187" s="182">
        <f t="shared" ca="1" si="34"/>
        <v>35000</v>
      </c>
      <c r="I187" s="183">
        <v>0</v>
      </c>
      <c r="J187" s="263">
        <f t="shared" ca="1" si="24"/>
        <v>30636.666666666621</v>
      </c>
      <c r="K187" s="182">
        <f t="shared" ca="1" si="26"/>
        <v>70</v>
      </c>
      <c r="L187" s="182">
        <f t="shared" ca="1" si="27"/>
        <v>4036.666666666677</v>
      </c>
      <c r="M187" s="182">
        <f t="shared" ca="1" si="28"/>
        <v>4036.666666666677</v>
      </c>
      <c r="N187" s="182">
        <f t="shared" ca="1" si="29"/>
        <v>16146.666666666708</v>
      </c>
      <c r="O187" s="182"/>
      <c r="P187" s="185"/>
      <c r="Q187" s="185"/>
      <c r="R187" s="185"/>
      <c r="S187" s="185"/>
    </row>
    <row r="188" spans="1:19" x14ac:dyDescent="0.25">
      <c r="A188" s="180">
        <f t="shared" ca="1" si="30"/>
        <v>46278</v>
      </c>
      <c r="B188" s="181">
        <v>174</v>
      </c>
      <c r="C188" s="182">
        <f t="shared" ca="1" si="31"/>
        <v>35000</v>
      </c>
      <c r="D188" s="182">
        <f t="shared" ca="1" si="32"/>
        <v>23.333333333333332</v>
      </c>
      <c r="E188" s="182">
        <v>0</v>
      </c>
      <c r="F188" s="182">
        <f t="shared" ca="1" si="25"/>
        <v>0</v>
      </c>
      <c r="G188" s="182">
        <f t="shared" ca="1" si="33"/>
        <v>4340.0000000000455</v>
      </c>
      <c r="H188" s="182">
        <f t="shared" ca="1" si="34"/>
        <v>35000</v>
      </c>
      <c r="I188" s="183">
        <v>0</v>
      </c>
      <c r="J188" s="263">
        <f t="shared" ca="1" si="24"/>
        <v>30659.999999999956</v>
      </c>
      <c r="K188" s="182">
        <f t="shared" ca="1" si="26"/>
        <v>70</v>
      </c>
      <c r="L188" s="182">
        <f t="shared" ca="1" si="27"/>
        <v>4060.0000000000105</v>
      </c>
      <c r="M188" s="182">
        <f t="shared" ca="1" si="28"/>
        <v>4060.0000000000105</v>
      </c>
      <c r="N188" s="182">
        <f t="shared" ca="1" si="29"/>
        <v>16240.000000000042</v>
      </c>
      <c r="O188" s="182"/>
      <c r="P188" s="185"/>
      <c r="Q188" s="185"/>
      <c r="R188" s="185"/>
      <c r="S188" s="185"/>
    </row>
    <row r="189" spans="1:19" x14ac:dyDescent="0.25">
      <c r="A189" s="180">
        <f t="shared" ca="1" si="30"/>
        <v>46279</v>
      </c>
      <c r="B189" s="181">
        <v>175</v>
      </c>
      <c r="C189" s="182">
        <f t="shared" ca="1" si="31"/>
        <v>35000</v>
      </c>
      <c r="D189" s="182">
        <f t="shared" ca="1" si="32"/>
        <v>23.333333333333332</v>
      </c>
      <c r="E189" s="182">
        <v>0</v>
      </c>
      <c r="F189" s="182">
        <f t="shared" ca="1" si="25"/>
        <v>0</v>
      </c>
      <c r="G189" s="182">
        <f t="shared" ca="1" si="33"/>
        <v>4316.6666666667124</v>
      </c>
      <c r="H189" s="182">
        <f t="shared" ca="1" si="34"/>
        <v>35000</v>
      </c>
      <c r="I189" s="183">
        <v>0</v>
      </c>
      <c r="J189" s="263">
        <f t="shared" ca="1" si="24"/>
        <v>30683.333333333288</v>
      </c>
      <c r="K189" s="182">
        <f t="shared" ca="1" si="26"/>
        <v>70</v>
      </c>
      <c r="L189" s="182">
        <f t="shared" ca="1" si="27"/>
        <v>4083.3333333333439</v>
      </c>
      <c r="M189" s="182">
        <f t="shared" ca="1" si="28"/>
        <v>4083.3333333333439</v>
      </c>
      <c r="N189" s="182">
        <f t="shared" ca="1" si="29"/>
        <v>16333.333333333376</v>
      </c>
      <c r="O189" s="182"/>
    </row>
    <row r="190" spans="1:19" x14ac:dyDescent="0.25">
      <c r="A190" s="180">
        <f t="shared" ca="1" si="30"/>
        <v>46280</v>
      </c>
      <c r="B190" s="181">
        <v>176</v>
      </c>
      <c r="C190" s="182">
        <f t="shared" ca="1" si="31"/>
        <v>35000</v>
      </c>
      <c r="D190" s="182">
        <f t="shared" ca="1" si="32"/>
        <v>23.333333333333332</v>
      </c>
      <c r="E190" s="182">
        <v>0</v>
      </c>
      <c r="F190" s="182">
        <f t="shared" ca="1" si="25"/>
        <v>0</v>
      </c>
      <c r="G190" s="182">
        <f t="shared" ca="1" si="33"/>
        <v>4293.3333333333794</v>
      </c>
      <c r="H190" s="182">
        <f t="shared" ca="1" si="34"/>
        <v>35000</v>
      </c>
      <c r="I190" s="183">
        <v>0</v>
      </c>
      <c r="J190" s="263">
        <f t="shared" ca="1" si="24"/>
        <v>30706.666666666621</v>
      </c>
      <c r="K190" s="182">
        <f t="shared" ca="1" si="26"/>
        <v>70</v>
      </c>
      <c r="L190" s="182">
        <f t="shared" ca="1" si="27"/>
        <v>4106.666666666677</v>
      </c>
      <c r="M190" s="182">
        <f t="shared" ca="1" si="28"/>
        <v>4106.666666666677</v>
      </c>
      <c r="N190" s="182">
        <f t="shared" ca="1" si="29"/>
        <v>16426.666666666708</v>
      </c>
      <c r="O190" s="182"/>
    </row>
    <row r="191" spans="1:19" x14ac:dyDescent="0.25">
      <c r="A191" s="180">
        <f t="shared" ca="1" si="30"/>
        <v>46281</v>
      </c>
      <c r="B191" s="181">
        <v>177</v>
      </c>
      <c r="C191" s="182">
        <f t="shared" ca="1" si="31"/>
        <v>35000</v>
      </c>
      <c r="D191" s="182">
        <f t="shared" ca="1" si="32"/>
        <v>23.333333333333332</v>
      </c>
      <c r="E191" s="182">
        <v>0</v>
      </c>
      <c r="F191" s="182">
        <f t="shared" ca="1" si="25"/>
        <v>0</v>
      </c>
      <c r="G191" s="182">
        <f t="shared" ca="1" si="33"/>
        <v>4270.0000000000464</v>
      </c>
      <c r="H191" s="182">
        <f t="shared" ca="1" si="34"/>
        <v>35000</v>
      </c>
      <c r="I191" s="183">
        <v>0</v>
      </c>
      <c r="J191" s="263">
        <f t="shared" ca="1" si="24"/>
        <v>30729.999999999953</v>
      </c>
      <c r="K191" s="182">
        <f t="shared" ca="1" si="26"/>
        <v>70</v>
      </c>
      <c r="L191" s="182">
        <f t="shared" ca="1" si="27"/>
        <v>4130.00000000001</v>
      </c>
      <c r="M191" s="182">
        <f t="shared" ca="1" si="28"/>
        <v>4130.00000000001</v>
      </c>
      <c r="N191" s="182">
        <f t="shared" ca="1" si="29"/>
        <v>16520.00000000004</v>
      </c>
      <c r="O191" s="182"/>
    </row>
    <row r="192" spans="1:19" x14ac:dyDescent="0.25">
      <c r="A192" s="180">
        <f t="shared" ca="1" si="30"/>
        <v>46282</v>
      </c>
      <c r="B192" s="181">
        <v>178</v>
      </c>
      <c r="C192" s="182">
        <f t="shared" ca="1" si="31"/>
        <v>35000</v>
      </c>
      <c r="D192" s="182">
        <f t="shared" ca="1" si="32"/>
        <v>23.333333333333332</v>
      </c>
      <c r="E192" s="182">
        <v>0</v>
      </c>
      <c r="F192" s="182">
        <f t="shared" ca="1" si="25"/>
        <v>0</v>
      </c>
      <c r="G192" s="182">
        <f t="shared" ca="1" si="33"/>
        <v>4246.6666666667134</v>
      </c>
      <c r="H192" s="182">
        <f t="shared" ca="1" si="34"/>
        <v>35000</v>
      </c>
      <c r="I192" s="183">
        <v>0</v>
      </c>
      <c r="J192" s="263">
        <f t="shared" ca="1" si="24"/>
        <v>30753.333333333285</v>
      </c>
      <c r="K192" s="182">
        <f t="shared" ca="1" si="26"/>
        <v>70</v>
      </c>
      <c r="L192" s="182">
        <f t="shared" ca="1" si="27"/>
        <v>4153.333333333343</v>
      </c>
      <c r="M192" s="182">
        <f t="shared" ca="1" si="28"/>
        <v>4153.333333333343</v>
      </c>
      <c r="N192" s="182">
        <f t="shared" ca="1" si="29"/>
        <v>16613.333333333372</v>
      </c>
      <c r="O192" s="182"/>
    </row>
    <row r="193" spans="1:15" x14ac:dyDescent="0.25">
      <c r="A193" s="180">
        <f t="shared" ca="1" si="30"/>
        <v>46283</v>
      </c>
      <c r="B193" s="181">
        <v>179</v>
      </c>
      <c r="C193" s="182">
        <f t="shared" ca="1" si="31"/>
        <v>35000</v>
      </c>
      <c r="D193" s="182">
        <f t="shared" ca="1" si="32"/>
        <v>23.333333333333332</v>
      </c>
      <c r="E193" s="182">
        <v>0</v>
      </c>
      <c r="F193" s="182">
        <f t="shared" ca="1" si="25"/>
        <v>0</v>
      </c>
      <c r="G193" s="182">
        <f t="shared" ca="1" si="33"/>
        <v>4223.3333333333803</v>
      </c>
      <c r="H193" s="182">
        <f t="shared" ca="1" si="34"/>
        <v>35000</v>
      </c>
      <c r="I193" s="183">
        <v>0</v>
      </c>
      <c r="J193" s="263">
        <f t="shared" ca="1" si="24"/>
        <v>30776.666666666621</v>
      </c>
      <c r="K193" s="182">
        <f t="shared" ca="1" si="26"/>
        <v>70</v>
      </c>
      <c r="L193" s="182">
        <f t="shared" ca="1" si="27"/>
        <v>4176.6666666666761</v>
      </c>
      <c r="M193" s="182">
        <f t="shared" ca="1" si="28"/>
        <v>4176.6666666666761</v>
      </c>
      <c r="N193" s="182">
        <f t="shared" ca="1" si="29"/>
        <v>16706.666666666704</v>
      </c>
      <c r="O193" s="182"/>
    </row>
    <row r="194" spans="1:15" x14ac:dyDescent="0.25">
      <c r="A194" s="180">
        <f t="shared" ca="1" si="30"/>
        <v>46284</v>
      </c>
      <c r="B194" s="181">
        <v>180</v>
      </c>
      <c r="C194" s="182">
        <f t="shared" ca="1" si="31"/>
        <v>35000</v>
      </c>
      <c r="D194" s="182">
        <f t="shared" ca="1" si="32"/>
        <v>23.333333333333332</v>
      </c>
      <c r="E194" s="182">
        <v>0</v>
      </c>
      <c r="F194" s="182">
        <f t="shared" ca="1" si="25"/>
        <v>0</v>
      </c>
      <c r="G194" s="182">
        <f t="shared" ca="1" si="33"/>
        <v>4200.0000000000473</v>
      </c>
      <c r="H194" s="182">
        <f t="shared" ca="1" si="34"/>
        <v>35000</v>
      </c>
      <c r="I194" s="183">
        <v>0</v>
      </c>
      <c r="J194" s="263">
        <f t="shared" ca="1" si="24"/>
        <v>30799.999999999953</v>
      </c>
      <c r="K194" s="182">
        <f t="shared" ca="1" si="26"/>
        <v>70</v>
      </c>
      <c r="L194" s="182">
        <f t="shared" ca="1" si="27"/>
        <v>4200.0000000000091</v>
      </c>
      <c r="M194" s="182">
        <f t="shared" ca="1" si="28"/>
        <v>4200.0000000000091</v>
      </c>
      <c r="N194" s="182">
        <f t="shared" ca="1" si="29"/>
        <v>16800.000000000036</v>
      </c>
      <c r="O194" s="182"/>
    </row>
    <row r="195" spans="1:15" x14ac:dyDescent="0.25">
      <c r="A195" s="180">
        <f t="shared" ca="1" si="30"/>
        <v>46285</v>
      </c>
      <c r="B195" s="181">
        <v>181</v>
      </c>
      <c r="C195" s="182">
        <f t="shared" ca="1" si="31"/>
        <v>35000</v>
      </c>
      <c r="D195" s="182">
        <f t="shared" ca="1" si="32"/>
        <v>23.333333333333332</v>
      </c>
      <c r="E195" s="182">
        <v>0</v>
      </c>
      <c r="F195" s="182">
        <f t="shared" ca="1" si="25"/>
        <v>0</v>
      </c>
      <c r="G195" s="182">
        <f t="shared" ca="1" si="33"/>
        <v>4176.6666666667143</v>
      </c>
      <c r="H195" s="182">
        <f t="shared" ca="1" si="34"/>
        <v>35000</v>
      </c>
      <c r="I195" s="183">
        <v>0</v>
      </c>
      <c r="J195" s="263">
        <f t="shared" ca="1" si="24"/>
        <v>30823.333333333285</v>
      </c>
      <c r="K195" s="182">
        <f t="shared" ca="1" si="26"/>
        <v>70</v>
      </c>
      <c r="L195" s="182">
        <f t="shared" ca="1" si="27"/>
        <v>4223.3333333333421</v>
      </c>
      <c r="M195" s="182">
        <f t="shared" ca="1" si="28"/>
        <v>4223.3333333333421</v>
      </c>
      <c r="N195" s="182">
        <f t="shared" ca="1" si="29"/>
        <v>16893.333333333369</v>
      </c>
      <c r="O195" s="182"/>
    </row>
    <row r="196" spans="1:15" x14ac:dyDescent="0.25">
      <c r="A196" s="180">
        <f t="shared" ca="1" si="30"/>
        <v>46286</v>
      </c>
      <c r="B196" s="181">
        <v>182</v>
      </c>
      <c r="C196" s="182">
        <f t="shared" ca="1" si="31"/>
        <v>35000</v>
      </c>
      <c r="D196" s="182">
        <f t="shared" ca="1" si="32"/>
        <v>23.333333333333332</v>
      </c>
      <c r="E196" s="182">
        <v>0</v>
      </c>
      <c r="F196" s="182">
        <f t="shared" ca="1" si="25"/>
        <v>0</v>
      </c>
      <c r="G196" s="182">
        <f t="shared" ca="1" si="33"/>
        <v>4153.3333333333812</v>
      </c>
      <c r="H196" s="182">
        <f t="shared" ca="1" si="34"/>
        <v>35000</v>
      </c>
      <c r="I196" s="183">
        <v>0</v>
      </c>
      <c r="J196" s="263">
        <f t="shared" ca="1" si="24"/>
        <v>30846.666666666621</v>
      </c>
      <c r="K196" s="182">
        <f t="shared" ca="1" si="26"/>
        <v>70</v>
      </c>
      <c r="L196" s="182">
        <f t="shared" ca="1" si="27"/>
        <v>4246.6666666666752</v>
      </c>
      <c r="M196" s="182">
        <f t="shared" ca="1" si="28"/>
        <v>4246.6666666666752</v>
      </c>
      <c r="N196" s="182">
        <f t="shared" ca="1" si="29"/>
        <v>16986.666666666701</v>
      </c>
      <c r="O196" s="182"/>
    </row>
    <row r="197" spans="1:15" x14ac:dyDescent="0.25">
      <c r="A197" s="180">
        <f t="shared" ca="1" si="30"/>
        <v>46287</v>
      </c>
      <c r="B197" s="181">
        <v>183</v>
      </c>
      <c r="C197" s="182">
        <f t="shared" ca="1" si="31"/>
        <v>35000</v>
      </c>
      <c r="D197" s="182">
        <f t="shared" ca="1" si="32"/>
        <v>23.333333333333332</v>
      </c>
      <c r="E197" s="182">
        <v>0</v>
      </c>
      <c r="F197" s="182">
        <f t="shared" ca="1" si="25"/>
        <v>0</v>
      </c>
      <c r="G197" s="182">
        <f t="shared" ca="1" si="33"/>
        <v>4130.0000000000482</v>
      </c>
      <c r="H197" s="182">
        <f t="shared" ca="1" si="34"/>
        <v>35000</v>
      </c>
      <c r="I197" s="183">
        <v>0</v>
      </c>
      <c r="J197" s="263">
        <f t="shared" ca="1" si="24"/>
        <v>30869.999999999953</v>
      </c>
      <c r="K197" s="182">
        <f t="shared" ca="1" si="26"/>
        <v>70</v>
      </c>
      <c r="L197" s="182">
        <f t="shared" ca="1" si="27"/>
        <v>4270.0000000000082</v>
      </c>
      <c r="M197" s="182">
        <f t="shared" ca="1" si="28"/>
        <v>4270.0000000000082</v>
      </c>
      <c r="N197" s="182">
        <f t="shared" ca="1" si="29"/>
        <v>17080.000000000033</v>
      </c>
      <c r="O197" s="182"/>
    </row>
    <row r="198" spans="1:15" x14ac:dyDescent="0.25">
      <c r="A198" s="180">
        <f t="shared" ca="1" si="30"/>
        <v>46288</v>
      </c>
      <c r="B198" s="181">
        <v>184</v>
      </c>
      <c r="C198" s="182">
        <f t="shared" ca="1" si="31"/>
        <v>35000</v>
      </c>
      <c r="D198" s="182">
        <f t="shared" ca="1" si="32"/>
        <v>23.333333333333332</v>
      </c>
      <c r="E198" s="182">
        <v>0</v>
      </c>
      <c r="F198" s="182">
        <f t="shared" ca="1" si="25"/>
        <v>0</v>
      </c>
      <c r="G198" s="182">
        <f t="shared" ca="1" si="33"/>
        <v>4106.6666666667152</v>
      </c>
      <c r="H198" s="182">
        <f t="shared" ca="1" si="34"/>
        <v>35000</v>
      </c>
      <c r="I198" s="183">
        <v>0</v>
      </c>
      <c r="J198" s="263">
        <f t="shared" ca="1" si="24"/>
        <v>30893.333333333285</v>
      </c>
      <c r="K198" s="182">
        <f t="shared" ca="1" si="26"/>
        <v>70</v>
      </c>
      <c r="L198" s="182">
        <f t="shared" ca="1" si="27"/>
        <v>4293.3333333333412</v>
      </c>
      <c r="M198" s="182">
        <f t="shared" ca="1" si="28"/>
        <v>4293.3333333333412</v>
      </c>
      <c r="N198" s="182">
        <f t="shared" ca="1" si="29"/>
        <v>17173.333333333365</v>
      </c>
      <c r="O198" s="182"/>
    </row>
    <row r="199" spans="1:15" x14ac:dyDescent="0.25">
      <c r="A199" s="180">
        <f t="shared" ca="1" si="30"/>
        <v>46289</v>
      </c>
      <c r="B199" s="181">
        <v>185</v>
      </c>
      <c r="C199" s="182">
        <f t="shared" ca="1" si="31"/>
        <v>35000</v>
      </c>
      <c r="D199" s="182">
        <f t="shared" ca="1" si="32"/>
        <v>23.333333333333332</v>
      </c>
      <c r="E199" s="182">
        <v>0</v>
      </c>
      <c r="F199" s="182">
        <f t="shared" ca="1" si="25"/>
        <v>0</v>
      </c>
      <c r="G199" s="182">
        <f t="shared" ca="1" si="33"/>
        <v>4083.3333333333817</v>
      </c>
      <c r="H199" s="182">
        <f t="shared" ca="1" si="34"/>
        <v>35000</v>
      </c>
      <c r="I199" s="183">
        <v>0</v>
      </c>
      <c r="J199" s="263">
        <f t="shared" ca="1" si="24"/>
        <v>30916.666666666617</v>
      </c>
      <c r="K199" s="182">
        <f t="shared" ca="1" si="26"/>
        <v>70</v>
      </c>
      <c r="L199" s="182">
        <f t="shared" ca="1" si="27"/>
        <v>4316.6666666666742</v>
      </c>
      <c r="M199" s="182">
        <f t="shared" ca="1" si="28"/>
        <v>4316.6666666666742</v>
      </c>
      <c r="N199" s="182">
        <f t="shared" ca="1" si="29"/>
        <v>17266.666666666697</v>
      </c>
      <c r="O199" s="182"/>
    </row>
    <row r="200" spans="1:15" x14ac:dyDescent="0.25">
      <c r="A200" s="180">
        <f t="shared" ca="1" si="30"/>
        <v>46290</v>
      </c>
      <c r="B200" s="181">
        <v>186</v>
      </c>
      <c r="C200" s="182">
        <f t="shared" ca="1" si="31"/>
        <v>35000</v>
      </c>
      <c r="D200" s="182">
        <f t="shared" ca="1" si="32"/>
        <v>23.333333333333332</v>
      </c>
      <c r="E200" s="182">
        <v>0</v>
      </c>
      <c r="F200" s="182">
        <f t="shared" ca="1" si="25"/>
        <v>0</v>
      </c>
      <c r="G200" s="182">
        <f t="shared" ca="1" si="33"/>
        <v>4060.0000000000482</v>
      </c>
      <c r="H200" s="182">
        <f t="shared" ca="1" si="34"/>
        <v>35000</v>
      </c>
      <c r="I200" s="183">
        <v>0</v>
      </c>
      <c r="J200" s="263">
        <f t="shared" ca="1" si="24"/>
        <v>30939.999999999953</v>
      </c>
      <c r="K200" s="182">
        <f t="shared" ca="1" si="26"/>
        <v>70</v>
      </c>
      <c r="L200" s="182">
        <f t="shared" ca="1" si="27"/>
        <v>4340.0000000000073</v>
      </c>
      <c r="M200" s="182">
        <f t="shared" ca="1" si="28"/>
        <v>4340.0000000000073</v>
      </c>
      <c r="N200" s="182">
        <f t="shared" ca="1" si="29"/>
        <v>17360.000000000029</v>
      </c>
      <c r="O200" s="182"/>
    </row>
    <row r="201" spans="1:15" x14ac:dyDescent="0.25">
      <c r="A201" s="180">
        <f t="shared" ca="1" si="30"/>
        <v>46291</v>
      </c>
      <c r="B201" s="181">
        <v>187</v>
      </c>
      <c r="C201" s="182">
        <f t="shared" ca="1" si="31"/>
        <v>35000</v>
      </c>
      <c r="D201" s="182">
        <f t="shared" ca="1" si="32"/>
        <v>23.333333333333332</v>
      </c>
      <c r="E201" s="182">
        <v>0</v>
      </c>
      <c r="F201" s="182">
        <f t="shared" ca="1" si="25"/>
        <v>0</v>
      </c>
      <c r="G201" s="182">
        <f t="shared" ca="1" si="33"/>
        <v>4036.6666666667147</v>
      </c>
      <c r="H201" s="182">
        <f t="shared" ca="1" si="34"/>
        <v>35000</v>
      </c>
      <c r="I201" s="183">
        <v>0</v>
      </c>
      <c r="J201" s="263">
        <f t="shared" ca="1" si="24"/>
        <v>30963.333333333285</v>
      </c>
      <c r="K201" s="182">
        <f t="shared" ca="1" si="26"/>
        <v>70</v>
      </c>
      <c r="L201" s="182">
        <f t="shared" ca="1" si="27"/>
        <v>4363.3333333333403</v>
      </c>
      <c r="M201" s="182">
        <f t="shared" ca="1" si="28"/>
        <v>4363.3333333333403</v>
      </c>
      <c r="N201" s="182">
        <f t="shared" ca="1" si="29"/>
        <v>17453.333333333361</v>
      </c>
      <c r="O201" s="182"/>
    </row>
    <row r="202" spans="1:15" x14ac:dyDescent="0.25">
      <c r="A202" s="180">
        <f t="shared" ca="1" si="30"/>
        <v>46292</v>
      </c>
      <c r="B202" s="181">
        <v>188</v>
      </c>
      <c r="C202" s="182">
        <f t="shared" ca="1" si="31"/>
        <v>35000</v>
      </c>
      <c r="D202" s="182">
        <f t="shared" ca="1" si="32"/>
        <v>23.333333333333332</v>
      </c>
      <c r="E202" s="182">
        <v>0</v>
      </c>
      <c r="F202" s="182">
        <f t="shared" ca="1" si="25"/>
        <v>0</v>
      </c>
      <c r="G202" s="182">
        <f t="shared" ca="1" si="33"/>
        <v>4013.3333333333812</v>
      </c>
      <c r="H202" s="182">
        <f t="shared" ca="1" si="34"/>
        <v>35000</v>
      </c>
      <c r="I202" s="183">
        <v>0</v>
      </c>
      <c r="J202" s="263">
        <f t="shared" ca="1" si="24"/>
        <v>30986.666666666621</v>
      </c>
      <c r="K202" s="182">
        <f t="shared" ca="1" si="26"/>
        <v>70</v>
      </c>
      <c r="L202" s="182">
        <f t="shared" ca="1" si="27"/>
        <v>4386.6666666666733</v>
      </c>
      <c r="M202" s="182">
        <f t="shared" ca="1" si="28"/>
        <v>4386.6666666666733</v>
      </c>
      <c r="N202" s="182">
        <f t="shared" ca="1" si="29"/>
        <v>17546.666666666693</v>
      </c>
      <c r="O202" s="182"/>
    </row>
    <row r="203" spans="1:15" x14ac:dyDescent="0.25">
      <c r="A203" s="180">
        <f t="shared" ca="1" si="30"/>
        <v>46293</v>
      </c>
      <c r="B203" s="181">
        <v>189</v>
      </c>
      <c r="C203" s="182">
        <f t="shared" ca="1" si="31"/>
        <v>35000</v>
      </c>
      <c r="D203" s="182">
        <f t="shared" ca="1" si="32"/>
        <v>23.333333333333332</v>
      </c>
      <c r="E203" s="182">
        <v>0</v>
      </c>
      <c r="F203" s="182">
        <f t="shared" ca="1" si="25"/>
        <v>0</v>
      </c>
      <c r="G203" s="182">
        <f t="shared" ca="1" si="33"/>
        <v>3990.0000000000477</v>
      </c>
      <c r="H203" s="182">
        <f t="shared" ca="1" si="34"/>
        <v>35000</v>
      </c>
      <c r="I203" s="183">
        <v>0</v>
      </c>
      <c r="J203" s="263">
        <f t="shared" ca="1" si="24"/>
        <v>31009.999999999953</v>
      </c>
      <c r="K203" s="182">
        <f t="shared" ca="1" si="26"/>
        <v>70</v>
      </c>
      <c r="L203" s="182">
        <f t="shared" ca="1" si="27"/>
        <v>4410.0000000000064</v>
      </c>
      <c r="M203" s="182">
        <f t="shared" ca="1" si="28"/>
        <v>4410.0000000000064</v>
      </c>
      <c r="N203" s="182">
        <f t="shared" ca="1" si="29"/>
        <v>17640.000000000025</v>
      </c>
      <c r="O203" s="182"/>
    </row>
    <row r="204" spans="1:15" x14ac:dyDescent="0.25">
      <c r="A204" s="180">
        <f t="shared" ca="1" si="30"/>
        <v>46294</v>
      </c>
      <c r="B204" s="181">
        <v>190</v>
      </c>
      <c r="C204" s="182">
        <f t="shared" ca="1" si="31"/>
        <v>35000</v>
      </c>
      <c r="D204" s="182">
        <f t="shared" ca="1" si="32"/>
        <v>23.333333333333332</v>
      </c>
      <c r="E204" s="182">
        <v>0</v>
      </c>
      <c r="F204" s="182">
        <f t="shared" ca="1" si="25"/>
        <v>0</v>
      </c>
      <c r="G204" s="182">
        <f t="shared" ca="1" si="33"/>
        <v>3966.6666666667143</v>
      </c>
      <c r="H204" s="182">
        <f t="shared" ca="1" si="34"/>
        <v>35000</v>
      </c>
      <c r="I204" s="183">
        <v>0</v>
      </c>
      <c r="J204" s="263">
        <f t="shared" ca="1" si="24"/>
        <v>31033.333333333285</v>
      </c>
      <c r="K204" s="182">
        <f t="shared" ca="1" si="26"/>
        <v>70</v>
      </c>
      <c r="L204" s="182">
        <f t="shared" ca="1" si="27"/>
        <v>4433.3333333333394</v>
      </c>
      <c r="M204" s="182">
        <f t="shared" ca="1" si="28"/>
        <v>4433.3333333333394</v>
      </c>
      <c r="N204" s="182">
        <f t="shared" ca="1" si="29"/>
        <v>17733.333333333358</v>
      </c>
      <c r="O204" s="182"/>
    </row>
    <row r="205" spans="1:15" x14ac:dyDescent="0.25">
      <c r="A205" s="180">
        <f t="shared" ca="1" si="30"/>
        <v>46295</v>
      </c>
      <c r="B205" s="181">
        <v>191</v>
      </c>
      <c r="C205" s="182">
        <f t="shared" ca="1" si="31"/>
        <v>35000</v>
      </c>
      <c r="D205" s="182">
        <f t="shared" ca="1" si="32"/>
        <v>23.333333333333332</v>
      </c>
      <c r="E205" s="182">
        <v>0</v>
      </c>
      <c r="F205" s="182">
        <f t="shared" ca="1" si="25"/>
        <v>0</v>
      </c>
      <c r="G205" s="182">
        <f t="shared" ca="1" si="33"/>
        <v>3943.3333333333808</v>
      </c>
      <c r="H205" s="182">
        <f t="shared" ca="1" si="34"/>
        <v>35000</v>
      </c>
      <c r="I205" s="183">
        <v>0</v>
      </c>
      <c r="J205" s="263">
        <f t="shared" ca="1" si="24"/>
        <v>31056.666666666621</v>
      </c>
      <c r="K205" s="182">
        <f t="shared" ca="1" si="26"/>
        <v>70</v>
      </c>
      <c r="L205" s="182">
        <f t="shared" ca="1" si="27"/>
        <v>4456.6666666666724</v>
      </c>
      <c r="M205" s="182">
        <f t="shared" ca="1" si="28"/>
        <v>4456.6666666666724</v>
      </c>
      <c r="N205" s="182">
        <f t="shared" ca="1" si="29"/>
        <v>17826.66666666669</v>
      </c>
      <c r="O205" s="182"/>
    </row>
    <row r="206" spans="1:15" x14ac:dyDescent="0.25">
      <c r="A206" s="180">
        <f t="shared" ca="1" si="30"/>
        <v>46296</v>
      </c>
      <c r="B206" s="181">
        <v>192</v>
      </c>
      <c r="C206" s="182">
        <f t="shared" ca="1" si="31"/>
        <v>35000</v>
      </c>
      <c r="D206" s="182">
        <f t="shared" ca="1" si="32"/>
        <v>23.333333333333332</v>
      </c>
      <c r="E206" s="182">
        <v>0</v>
      </c>
      <c r="F206" s="182">
        <f t="shared" ca="1" si="25"/>
        <v>0</v>
      </c>
      <c r="G206" s="182">
        <f t="shared" ca="1" si="33"/>
        <v>3920.0000000000473</v>
      </c>
      <c r="H206" s="182">
        <f t="shared" ca="1" si="34"/>
        <v>35000</v>
      </c>
      <c r="I206" s="183">
        <v>0</v>
      </c>
      <c r="J206" s="263">
        <f t="shared" ca="1" si="24"/>
        <v>31079.999999999953</v>
      </c>
      <c r="K206" s="182">
        <f t="shared" ca="1" si="26"/>
        <v>70</v>
      </c>
      <c r="L206" s="182">
        <f t="shared" ca="1" si="27"/>
        <v>4480.0000000000055</v>
      </c>
      <c r="M206" s="182">
        <f t="shared" ca="1" si="28"/>
        <v>4480.0000000000055</v>
      </c>
      <c r="N206" s="182">
        <f t="shared" ca="1" si="29"/>
        <v>17920.000000000022</v>
      </c>
      <c r="O206" s="182"/>
    </row>
    <row r="207" spans="1:15" x14ac:dyDescent="0.25">
      <c r="A207" s="180">
        <f t="shared" ca="1" si="30"/>
        <v>46297</v>
      </c>
      <c r="B207" s="181">
        <v>193</v>
      </c>
      <c r="C207" s="182">
        <f t="shared" ca="1" si="31"/>
        <v>35000</v>
      </c>
      <c r="D207" s="182">
        <f t="shared" ca="1" si="32"/>
        <v>23.333333333333332</v>
      </c>
      <c r="E207" s="182">
        <v>0</v>
      </c>
      <c r="F207" s="182">
        <f t="shared" ca="1" si="25"/>
        <v>0</v>
      </c>
      <c r="G207" s="182">
        <f t="shared" ca="1" si="33"/>
        <v>3896.6666666667138</v>
      </c>
      <c r="H207" s="182">
        <f t="shared" ca="1" si="34"/>
        <v>35000</v>
      </c>
      <c r="I207" s="183">
        <v>0</v>
      </c>
      <c r="J207" s="263">
        <f t="shared" ref="J207:J270" ca="1" si="35">H207-IF(I$8-G207&lt;Q$42,I$8-Q$42,G207)</f>
        <v>31103.333333333285</v>
      </c>
      <c r="K207" s="182">
        <f t="shared" ca="1" si="26"/>
        <v>70</v>
      </c>
      <c r="L207" s="182">
        <f t="shared" ca="1" si="27"/>
        <v>4503.3333333333385</v>
      </c>
      <c r="M207" s="182">
        <f t="shared" ca="1" si="28"/>
        <v>4503.3333333333385</v>
      </c>
      <c r="N207" s="182">
        <f t="shared" ca="1" si="29"/>
        <v>18013.333333333354</v>
      </c>
      <c r="O207" s="182"/>
    </row>
    <row r="208" spans="1:15" x14ac:dyDescent="0.25">
      <c r="A208" s="180">
        <f t="shared" ca="1" si="30"/>
        <v>46298</v>
      </c>
      <c r="B208" s="181">
        <v>194</v>
      </c>
      <c r="C208" s="182">
        <f t="shared" ca="1" si="31"/>
        <v>35000</v>
      </c>
      <c r="D208" s="182">
        <f t="shared" ca="1" si="32"/>
        <v>23.333333333333332</v>
      </c>
      <c r="E208" s="182">
        <v>0</v>
      </c>
      <c r="F208" s="182">
        <f t="shared" ref="F208:F271" ca="1" si="36">IFERROR(-VLOOKUP(A208,$P$4:$R$12,2,FALSE),0)</f>
        <v>0</v>
      </c>
      <c r="G208" s="182">
        <f t="shared" ca="1" si="33"/>
        <v>3873.3333333333803</v>
      </c>
      <c r="H208" s="182">
        <f t="shared" ca="1" si="34"/>
        <v>35000</v>
      </c>
      <c r="I208" s="183">
        <v>0</v>
      </c>
      <c r="J208" s="263">
        <f t="shared" ca="1" si="35"/>
        <v>31126.666666666621</v>
      </c>
      <c r="K208" s="182">
        <f t="shared" ref="K208:K271" ca="1" si="37">$L$3/($C$11-$C$8)</f>
        <v>70</v>
      </c>
      <c r="L208" s="182">
        <f t="shared" ref="L208:L271" ca="1" si="38">L207+D208</f>
        <v>4526.6666666666715</v>
      </c>
      <c r="M208" s="182">
        <f t="shared" ref="M208:M271" ca="1" si="39">IF($I$8&gt;L208,L208,$I$8)</f>
        <v>4526.6666666666715</v>
      </c>
      <c r="N208" s="182">
        <f t="shared" ref="N208:N271" ca="1" si="40">N207+D208+K208+I208</f>
        <v>18106.666666666686</v>
      </c>
      <c r="O208" s="182"/>
    </row>
    <row r="209" spans="1:15" x14ac:dyDescent="0.25">
      <c r="A209" s="180">
        <f t="shared" ref="A209:A272" ca="1" si="41">A208+1</f>
        <v>46299</v>
      </c>
      <c r="B209" s="181">
        <v>195</v>
      </c>
      <c r="C209" s="182">
        <f t="shared" ref="C209:C272" ca="1" si="42">H208</f>
        <v>35000</v>
      </c>
      <c r="D209" s="182">
        <f t="shared" ref="D209:D272" ca="1" si="43">(($C$6/360))*C209</f>
        <v>23.333333333333332</v>
      </c>
      <c r="E209" s="182">
        <v>0</v>
      </c>
      <c r="F209" s="182">
        <f t="shared" ca="1" si="36"/>
        <v>0</v>
      </c>
      <c r="G209" s="182">
        <f t="shared" ref="G209:G272" ca="1" si="44">IF(G208-D209-E209&gt;0,G208-D209-E209,0)</f>
        <v>3850.0000000000468</v>
      </c>
      <c r="H209" s="182">
        <f t="shared" ca="1" si="34"/>
        <v>35000</v>
      </c>
      <c r="I209" s="183">
        <v>0</v>
      </c>
      <c r="J209" s="263">
        <f t="shared" ca="1" si="35"/>
        <v>31149.999999999953</v>
      </c>
      <c r="K209" s="182">
        <f t="shared" ca="1" si="37"/>
        <v>70</v>
      </c>
      <c r="L209" s="182">
        <f t="shared" ca="1" si="38"/>
        <v>4550.0000000000045</v>
      </c>
      <c r="M209" s="182">
        <f t="shared" ca="1" si="39"/>
        <v>4550.0000000000045</v>
      </c>
      <c r="N209" s="182">
        <f t="shared" ca="1" si="40"/>
        <v>18200.000000000018</v>
      </c>
      <c r="O209" s="182"/>
    </row>
    <row r="210" spans="1:15" x14ac:dyDescent="0.25">
      <c r="A210" s="180">
        <f t="shared" ca="1" si="41"/>
        <v>46300</v>
      </c>
      <c r="B210" s="181">
        <v>196</v>
      </c>
      <c r="C210" s="182">
        <f t="shared" ca="1" si="42"/>
        <v>35000</v>
      </c>
      <c r="D210" s="182">
        <f t="shared" ca="1" si="43"/>
        <v>23.333333333333332</v>
      </c>
      <c r="E210" s="182">
        <v>0</v>
      </c>
      <c r="F210" s="182">
        <f t="shared" ca="1" si="36"/>
        <v>0</v>
      </c>
      <c r="G210" s="182">
        <f t="shared" ca="1" si="44"/>
        <v>3826.6666666667134</v>
      </c>
      <c r="H210" s="182">
        <f t="shared" ca="1" si="34"/>
        <v>35000</v>
      </c>
      <c r="I210" s="183">
        <v>0</v>
      </c>
      <c r="J210" s="263">
        <f t="shared" ca="1" si="35"/>
        <v>31173.333333333285</v>
      </c>
      <c r="K210" s="182">
        <f t="shared" ca="1" si="37"/>
        <v>70</v>
      </c>
      <c r="L210" s="182">
        <f t="shared" ca="1" si="38"/>
        <v>4573.3333333333376</v>
      </c>
      <c r="M210" s="182">
        <f t="shared" ca="1" si="39"/>
        <v>4573.3333333333376</v>
      </c>
      <c r="N210" s="182">
        <f t="shared" ca="1" si="40"/>
        <v>18293.33333333335</v>
      </c>
      <c r="O210" s="182"/>
    </row>
    <row r="211" spans="1:15" x14ac:dyDescent="0.25">
      <c r="A211" s="180">
        <f t="shared" ca="1" si="41"/>
        <v>46301</v>
      </c>
      <c r="B211" s="181">
        <v>197</v>
      </c>
      <c r="C211" s="182">
        <f t="shared" ca="1" si="42"/>
        <v>35000</v>
      </c>
      <c r="D211" s="182">
        <f t="shared" ca="1" si="43"/>
        <v>23.333333333333332</v>
      </c>
      <c r="E211" s="182">
        <v>0</v>
      </c>
      <c r="F211" s="182">
        <f t="shared" ca="1" si="36"/>
        <v>0</v>
      </c>
      <c r="G211" s="182">
        <f t="shared" ca="1" si="44"/>
        <v>3803.3333333333799</v>
      </c>
      <c r="H211" s="182">
        <f t="shared" ca="1" si="34"/>
        <v>35000</v>
      </c>
      <c r="I211" s="183">
        <v>0</v>
      </c>
      <c r="J211" s="263">
        <f t="shared" ca="1" si="35"/>
        <v>31196.666666666621</v>
      </c>
      <c r="K211" s="182">
        <f t="shared" ca="1" si="37"/>
        <v>70</v>
      </c>
      <c r="L211" s="182">
        <f t="shared" ca="1" si="38"/>
        <v>4596.6666666666706</v>
      </c>
      <c r="M211" s="182">
        <f t="shared" ca="1" si="39"/>
        <v>4596.6666666666706</v>
      </c>
      <c r="N211" s="182">
        <f t="shared" ca="1" si="40"/>
        <v>18386.666666666682</v>
      </c>
      <c r="O211" s="182"/>
    </row>
    <row r="212" spans="1:15" x14ac:dyDescent="0.25">
      <c r="A212" s="180">
        <f t="shared" ca="1" si="41"/>
        <v>46302</v>
      </c>
      <c r="B212" s="181">
        <v>198</v>
      </c>
      <c r="C212" s="182">
        <f t="shared" ca="1" si="42"/>
        <v>35000</v>
      </c>
      <c r="D212" s="182">
        <f t="shared" ca="1" si="43"/>
        <v>23.333333333333332</v>
      </c>
      <c r="E212" s="182">
        <v>0</v>
      </c>
      <c r="F212" s="182">
        <f t="shared" ca="1" si="36"/>
        <v>0</v>
      </c>
      <c r="G212" s="182">
        <f t="shared" ca="1" si="44"/>
        <v>3780.0000000000464</v>
      </c>
      <c r="H212" s="182">
        <f t="shared" ca="1" si="34"/>
        <v>35000</v>
      </c>
      <c r="I212" s="183">
        <v>0</v>
      </c>
      <c r="J212" s="263">
        <f t="shared" ca="1" si="35"/>
        <v>31219.999999999953</v>
      </c>
      <c r="K212" s="182">
        <f t="shared" ca="1" si="37"/>
        <v>70</v>
      </c>
      <c r="L212" s="182">
        <f t="shared" ca="1" si="38"/>
        <v>4620.0000000000036</v>
      </c>
      <c r="M212" s="182">
        <f t="shared" ca="1" si="39"/>
        <v>4620.0000000000036</v>
      </c>
      <c r="N212" s="182">
        <f t="shared" ca="1" si="40"/>
        <v>18480.000000000015</v>
      </c>
      <c r="O212" s="182"/>
    </row>
    <row r="213" spans="1:15" x14ac:dyDescent="0.25">
      <c r="A213" s="180">
        <f t="shared" ca="1" si="41"/>
        <v>46303</v>
      </c>
      <c r="B213" s="181">
        <v>199</v>
      </c>
      <c r="C213" s="182">
        <f t="shared" ca="1" si="42"/>
        <v>35000</v>
      </c>
      <c r="D213" s="182">
        <f t="shared" ca="1" si="43"/>
        <v>23.333333333333332</v>
      </c>
      <c r="E213" s="182">
        <v>0</v>
      </c>
      <c r="F213" s="182">
        <f t="shared" ca="1" si="36"/>
        <v>0</v>
      </c>
      <c r="G213" s="182">
        <f t="shared" ca="1" si="44"/>
        <v>3756.6666666667129</v>
      </c>
      <c r="H213" s="182">
        <f t="shared" ca="1" si="34"/>
        <v>35000</v>
      </c>
      <c r="I213" s="183">
        <v>0</v>
      </c>
      <c r="J213" s="263">
        <f t="shared" ca="1" si="35"/>
        <v>31243.333333333288</v>
      </c>
      <c r="K213" s="182">
        <f t="shared" ca="1" si="37"/>
        <v>70</v>
      </c>
      <c r="L213" s="182">
        <f t="shared" ca="1" si="38"/>
        <v>4643.3333333333367</v>
      </c>
      <c r="M213" s="182">
        <f t="shared" ca="1" si="39"/>
        <v>4643.3333333333367</v>
      </c>
      <c r="N213" s="182">
        <f t="shared" ca="1" si="40"/>
        <v>18573.333333333347</v>
      </c>
      <c r="O213" s="182"/>
    </row>
    <row r="214" spans="1:15" x14ac:dyDescent="0.25">
      <c r="A214" s="180">
        <f t="shared" ca="1" si="41"/>
        <v>46304</v>
      </c>
      <c r="B214" s="181">
        <v>200</v>
      </c>
      <c r="C214" s="182">
        <f t="shared" ca="1" si="42"/>
        <v>35000</v>
      </c>
      <c r="D214" s="182">
        <f t="shared" ca="1" si="43"/>
        <v>23.333333333333332</v>
      </c>
      <c r="E214" s="182">
        <v>0</v>
      </c>
      <c r="F214" s="182">
        <f t="shared" ca="1" si="36"/>
        <v>0</v>
      </c>
      <c r="G214" s="182">
        <f t="shared" ca="1" si="44"/>
        <v>3733.3333333333794</v>
      </c>
      <c r="H214" s="182">
        <f t="shared" ca="1" si="34"/>
        <v>35000</v>
      </c>
      <c r="I214" s="183">
        <v>0</v>
      </c>
      <c r="J214" s="263">
        <f t="shared" ca="1" si="35"/>
        <v>31266.666666666621</v>
      </c>
      <c r="K214" s="182">
        <f t="shared" ca="1" si="37"/>
        <v>70</v>
      </c>
      <c r="L214" s="182">
        <f t="shared" ca="1" si="38"/>
        <v>4666.6666666666697</v>
      </c>
      <c r="M214" s="182">
        <f t="shared" ca="1" si="39"/>
        <v>4666.6666666666697</v>
      </c>
      <c r="N214" s="182">
        <f t="shared" ca="1" si="40"/>
        <v>18666.666666666679</v>
      </c>
      <c r="O214" s="182"/>
    </row>
    <row r="215" spans="1:15" x14ac:dyDescent="0.25">
      <c r="A215" s="180">
        <f t="shared" ca="1" si="41"/>
        <v>46305</v>
      </c>
      <c r="B215" s="181">
        <v>201</v>
      </c>
      <c r="C215" s="182">
        <f t="shared" ca="1" si="42"/>
        <v>35000</v>
      </c>
      <c r="D215" s="182">
        <f t="shared" ca="1" si="43"/>
        <v>23.333333333333332</v>
      </c>
      <c r="E215" s="182">
        <v>0</v>
      </c>
      <c r="F215" s="182">
        <f t="shared" ca="1" si="36"/>
        <v>0</v>
      </c>
      <c r="G215" s="182">
        <f t="shared" ca="1" si="44"/>
        <v>3710.0000000000459</v>
      </c>
      <c r="H215" s="182">
        <f t="shared" ca="1" si="34"/>
        <v>35000</v>
      </c>
      <c r="I215" s="183">
        <v>0</v>
      </c>
      <c r="J215" s="263">
        <f t="shared" ca="1" si="35"/>
        <v>31289.999999999953</v>
      </c>
      <c r="K215" s="182">
        <f t="shared" ca="1" si="37"/>
        <v>70</v>
      </c>
      <c r="L215" s="182">
        <f t="shared" ca="1" si="38"/>
        <v>4690.0000000000027</v>
      </c>
      <c r="M215" s="182">
        <f t="shared" ca="1" si="39"/>
        <v>4690.0000000000027</v>
      </c>
      <c r="N215" s="182">
        <f t="shared" ca="1" si="40"/>
        <v>18760.000000000011</v>
      </c>
      <c r="O215" s="182"/>
    </row>
    <row r="216" spans="1:15" x14ac:dyDescent="0.25">
      <c r="A216" s="180">
        <f t="shared" ca="1" si="41"/>
        <v>46306</v>
      </c>
      <c r="B216" s="181">
        <v>202</v>
      </c>
      <c r="C216" s="182">
        <f t="shared" ca="1" si="42"/>
        <v>35000</v>
      </c>
      <c r="D216" s="182">
        <f t="shared" ca="1" si="43"/>
        <v>23.333333333333332</v>
      </c>
      <c r="E216" s="182">
        <v>0</v>
      </c>
      <c r="F216" s="182">
        <f t="shared" ca="1" si="36"/>
        <v>0</v>
      </c>
      <c r="G216" s="182">
        <f t="shared" ca="1" si="44"/>
        <v>3686.6666666667124</v>
      </c>
      <c r="H216" s="182">
        <f t="shared" ca="1" si="34"/>
        <v>35000</v>
      </c>
      <c r="I216" s="183">
        <v>0</v>
      </c>
      <c r="J216" s="263">
        <f t="shared" ca="1" si="35"/>
        <v>31313.333333333288</v>
      </c>
      <c r="K216" s="182">
        <f t="shared" ca="1" si="37"/>
        <v>70</v>
      </c>
      <c r="L216" s="182">
        <f t="shared" ca="1" si="38"/>
        <v>4713.3333333333358</v>
      </c>
      <c r="M216" s="182">
        <f t="shared" ca="1" si="39"/>
        <v>4713.3333333333358</v>
      </c>
      <c r="N216" s="182">
        <f t="shared" ca="1" si="40"/>
        <v>18853.333333333343</v>
      </c>
      <c r="O216" s="182"/>
    </row>
    <row r="217" spans="1:15" x14ac:dyDescent="0.25">
      <c r="A217" s="180">
        <f t="shared" ca="1" si="41"/>
        <v>46307</v>
      </c>
      <c r="B217" s="181">
        <v>203</v>
      </c>
      <c r="C217" s="182">
        <f t="shared" ca="1" si="42"/>
        <v>35000</v>
      </c>
      <c r="D217" s="182">
        <f t="shared" ca="1" si="43"/>
        <v>23.333333333333332</v>
      </c>
      <c r="E217" s="182">
        <v>0</v>
      </c>
      <c r="F217" s="182">
        <f t="shared" ca="1" si="36"/>
        <v>0</v>
      </c>
      <c r="G217" s="182">
        <f t="shared" ca="1" si="44"/>
        <v>3663.333333333379</v>
      </c>
      <c r="H217" s="182">
        <f t="shared" ca="1" si="34"/>
        <v>35000</v>
      </c>
      <c r="I217" s="183">
        <v>0</v>
      </c>
      <c r="J217" s="263">
        <f t="shared" ca="1" si="35"/>
        <v>31336.666666666621</v>
      </c>
      <c r="K217" s="182">
        <f t="shared" ca="1" si="37"/>
        <v>70</v>
      </c>
      <c r="L217" s="182">
        <f t="shared" ca="1" si="38"/>
        <v>4736.6666666666688</v>
      </c>
      <c r="M217" s="182">
        <f t="shared" ca="1" si="39"/>
        <v>4736.6666666666688</v>
      </c>
      <c r="N217" s="182">
        <f t="shared" ca="1" si="40"/>
        <v>18946.666666666675</v>
      </c>
      <c r="O217" s="182"/>
    </row>
    <row r="218" spans="1:15" x14ac:dyDescent="0.25">
      <c r="A218" s="180">
        <f t="shared" ca="1" si="41"/>
        <v>46308</v>
      </c>
      <c r="B218" s="181">
        <v>204</v>
      </c>
      <c r="C218" s="182">
        <f t="shared" ca="1" si="42"/>
        <v>35000</v>
      </c>
      <c r="D218" s="182">
        <f t="shared" ca="1" si="43"/>
        <v>23.333333333333332</v>
      </c>
      <c r="E218" s="182">
        <v>0</v>
      </c>
      <c r="F218" s="182">
        <f t="shared" ca="1" si="36"/>
        <v>0</v>
      </c>
      <c r="G218" s="182">
        <f t="shared" ca="1" si="44"/>
        <v>3640.0000000000455</v>
      </c>
      <c r="H218" s="182">
        <f t="shared" ca="1" si="34"/>
        <v>35000</v>
      </c>
      <c r="I218" s="183">
        <v>0</v>
      </c>
      <c r="J218" s="263">
        <f t="shared" ca="1" si="35"/>
        <v>31359.999999999956</v>
      </c>
      <c r="K218" s="182">
        <f t="shared" ca="1" si="37"/>
        <v>70</v>
      </c>
      <c r="L218" s="182">
        <f t="shared" ca="1" si="38"/>
        <v>4760.0000000000018</v>
      </c>
      <c r="M218" s="182">
        <f t="shared" ca="1" si="39"/>
        <v>4760.0000000000018</v>
      </c>
      <c r="N218" s="182">
        <f t="shared" ca="1" si="40"/>
        <v>19040.000000000007</v>
      </c>
      <c r="O218" s="182"/>
    </row>
    <row r="219" spans="1:15" x14ac:dyDescent="0.25">
      <c r="A219" s="180">
        <f t="shared" ca="1" si="41"/>
        <v>46309</v>
      </c>
      <c r="B219" s="181">
        <v>205</v>
      </c>
      <c r="C219" s="182">
        <f t="shared" ca="1" si="42"/>
        <v>35000</v>
      </c>
      <c r="D219" s="182">
        <f t="shared" ca="1" si="43"/>
        <v>23.333333333333332</v>
      </c>
      <c r="E219" s="182">
        <v>0</v>
      </c>
      <c r="F219" s="182">
        <f t="shared" ca="1" si="36"/>
        <v>0</v>
      </c>
      <c r="G219" s="182">
        <f t="shared" ca="1" si="44"/>
        <v>3616.666666666712</v>
      </c>
      <c r="H219" s="182">
        <f t="shared" ca="1" si="34"/>
        <v>35000</v>
      </c>
      <c r="I219" s="183">
        <v>0</v>
      </c>
      <c r="J219" s="263">
        <f t="shared" ca="1" si="35"/>
        <v>31383.333333333288</v>
      </c>
      <c r="K219" s="182">
        <f t="shared" ca="1" si="37"/>
        <v>70</v>
      </c>
      <c r="L219" s="182">
        <f t="shared" ca="1" si="38"/>
        <v>4783.3333333333348</v>
      </c>
      <c r="M219" s="182">
        <f t="shared" ca="1" si="39"/>
        <v>4783.3333333333348</v>
      </c>
      <c r="N219" s="182">
        <f t="shared" ca="1" si="40"/>
        <v>19133.333333333339</v>
      </c>
      <c r="O219" s="182"/>
    </row>
    <row r="220" spans="1:15" x14ac:dyDescent="0.25">
      <c r="A220" s="180">
        <f t="shared" ca="1" si="41"/>
        <v>46310</v>
      </c>
      <c r="B220" s="181">
        <v>206</v>
      </c>
      <c r="C220" s="182">
        <f t="shared" ca="1" si="42"/>
        <v>35000</v>
      </c>
      <c r="D220" s="182">
        <f t="shared" ca="1" si="43"/>
        <v>23.333333333333332</v>
      </c>
      <c r="E220" s="182">
        <v>0</v>
      </c>
      <c r="F220" s="182">
        <f t="shared" ca="1" si="36"/>
        <v>0</v>
      </c>
      <c r="G220" s="182">
        <f t="shared" ca="1" si="44"/>
        <v>3593.3333333333785</v>
      </c>
      <c r="H220" s="182">
        <f t="shared" ca="1" si="34"/>
        <v>35000</v>
      </c>
      <c r="I220" s="183">
        <v>0</v>
      </c>
      <c r="J220" s="263">
        <f t="shared" ca="1" si="35"/>
        <v>31406.666666666621</v>
      </c>
      <c r="K220" s="182">
        <f t="shared" ca="1" si="37"/>
        <v>70</v>
      </c>
      <c r="L220" s="182">
        <f t="shared" ca="1" si="38"/>
        <v>4806.6666666666679</v>
      </c>
      <c r="M220" s="182">
        <f t="shared" ca="1" si="39"/>
        <v>4806.6666666666679</v>
      </c>
      <c r="N220" s="182">
        <f t="shared" ca="1" si="40"/>
        <v>19226.666666666672</v>
      </c>
      <c r="O220" s="182"/>
    </row>
    <row r="221" spans="1:15" x14ac:dyDescent="0.25">
      <c r="A221" s="180">
        <f t="shared" ca="1" si="41"/>
        <v>46311</v>
      </c>
      <c r="B221" s="181">
        <v>207</v>
      </c>
      <c r="C221" s="182">
        <f t="shared" ca="1" si="42"/>
        <v>35000</v>
      </c>
      <c r="D221" s="182">
        <f t="shared" ca="1" si="43"/>
        <v>23.333333333333332</v>
      </c>
      <c r="E221" s="182">
        <v>0</v>
      </c>
      <c r="F221" s="182">
        <f t="shared" ca="1" si="36"/>
        <v>0</v>
      </c>
      <c r="G221" s="182">
        <f t="shared" ca="1" si="44"/>
        <v>3570.000000000045</v>
      </c>
      <c r="H221" s="182">
        <f t="shared" ca="1" si="34"/>
        <v>35000</v>
      </c>
      <c r="I221" s="183">
        <v>0</v>
      </c>
      <c r="J221" s="263">
        <f t="shared" ca="1" si="35"/>
        <v>31429.999999999956</v>
      </c>
      <c r="K221" s="182">
        <f t="shared" ca="1" si="37"/>
        <v>70</v>
      </c>
      <c r="L221" s="182">
        <f t="shared" ca="1" si="38"/>
        <v>4830.0000000000009</v>
      </c>
      <c r="M221" s="182">
        <f t="shared" ca="1" si="39"/>
        <v>4830.0000000000009</v>
      </c>
      <c r="N221" s="182">
        <f t="shared" ca="1" si="40"/>
        <v>19320.000000000004</v>
      </c>
      <c r="O221" s="182"/>
    </row>
    <row r="222" spans="1:15" x14ac:dyDescent="0.25">
      <c r="A222" s="180">
        <f t="shared" ca="1" si="41"/>
        <v>46312</v>
      </c>
      <c r="B222" s="181">
        <v>208</v>
      </c>
      <c r="C222" s="182">
        <f t="shared" ca="1" si="42"/>
        <v>35000</v>
      </c>
      <c r="D222" s="182">
        <f t="shared" ca="1" si="43"/>
        <v>23.333333333333332</v>
      </c>
      <c r="E222" s="182">
        <v>0</v>
      </c>
      <c r="F222" s="182">
        <f t="shared" ca="1" si="36"/>
        <v>0</v>
      </c>
      <c r="G222" s="182">
        <f t="shared" ca="1" si="44"/>
        <v>3546.6666666667115</v>
      </c>
      <c r="H222" s="182">
        <f t="shared" ca="1" si="34"/>
        <v>35000</v>
      </c>
      <c r="I222" s="183">
        <v>0</v>
      </c>
      <c r="J222" s="263">
        <f t="shared" ca="1" si="35"/>
        <v>31453.333333333288</v>
      </c>
      <c r="K222" s="182">
        <f t="shared" ca="1" si="37"/>
        <v>70</v>
      </c>
      <c r="L222" s="182">
        <f t="shared" ca="1" si="38"/>
        <v>4853.3333333333339</v>
      </c>
      <c r="M222" s="182">
        <f t="shared" ca="1" si="39"/>
        <v>4853.3333333333339</v>
      </c>
      <c r="N222" s="182">
        <f t="shared" ca="1" si="40"/>
        <v>19413.333333333336</v>
      </c>
      <c r="O222" s="182"/>
    </row>
    <row r="223" spans="1:15" x14ac:dyDescent="0.25">
      <c r="A223" s="180">
        <f t="shared" ca="1" si="41"/>
        <v>46313</v>
      </c>
      <c r="B223" s="181">
        <v>209</v>
      </c>
      <c r="C223" s="182">
        <f t="shared" ca="1" si="42"/>
        <v>35000</v>
      </c>
      <c r="D223" s="182">
        <f t="shared" ca="1" si="43"/>
        <v>23.333333333333332</v>
      </c>
      <c r="E223" s="182">
        <v>0</v>
      </c>
      <c r="F223" s="182">
        <f t="shared" ca="1" si="36"/>
        <v>0</v>
      </c>
      <c r="G223" s="182">
        <f t="shared" ca="1" si="44"/>
        <v>3523.3333333333781</v>
      </c>
      <c r="H223" s="182">
        <f t="shared" ca="1" si="34"/>
        <v>35000</v>
      </c>
      <c r="I223" s="183">
        <v>0</v>
      </c>
      <c r="J223" s="263">
        <f t="shared" ca="1" si="35"/>
        <v>31476.666666666621</v>
      </c>
      <c r="K223" s="182">
        <f t="shared" ca="1" si="37"/>
        <v>70</v>
      </c>
      <c r="L223" s="182">
        <f t="shared" ca="1" si="38"/>
        <v>4876.666666666667</v>
      </c>
      <c r="M223" s="182">
        <f t="shared" ca="1" si="39"/>
        <v>4876.666666666667</v>
      </c>
      <c r="N223" s="182">
        <f t="shared" ca="1" si="40"/>
        <v>19506.666666666668</v>
      </c>
      <c r="O223" s="182"/>
    </row>
    <row r="224" spans="1:15" x14ac:dyDescent="0.25">
      <c r="A224" s="180">
        <f t="shared" ca="1" si="41"/>
        <v>46314</v>
      </c>
      <c r="B224" s="181">
        <v>210</v>
      </c>
      <c r="C224" s="182">
        <f t="shared" ca="1" si="42"/>
        <v>35000</v>
      </c>
      <c r="D224" s="182">
        <f t="shared" ca="1" si="43"/>
        <v>23.333333333333332</v>
      </c>
      <c r="E224" s="182">
        <v>0</v>
      </c>
      <c r="F224" s="182">
        <f t="shared" ca="1" si="36"/>
        <v>0</v>
      </c>
      <c r="G224" s="182">
        <f t="shared" ca="1" si="44"/>
        <v>3500.0000000000446</v>
      </c>
      <c r="H224" s="182">
        <f t="shared" ca="1" si="34"/>
        <v>35000</v>
      </c>
      <c r="I224" s="183">
        <v>0</v>
      </c>
      <c r="J224" s="263">
        <f t="shared" ca="1" si="35"/>
        <v>31499.999999999956</v>
      </c>
      <c r="K224" s="182">
        <f t="shared" ca="1" si="37"/>
        <v>70</v>
      </c>
      <c r="L224" s="182">
        <f t="shared" ca="1" si="38"/>
        <v>4900</v>
      </c>
      <c r="M224" s="182">
        <f t="shared" ca="1" si="39"/>
        <v>4900</v>
      </c>
      <c r="N224" s="182">
        <f t="shared" ca="1" si="40"/>
        <v>19600</v>
      </c>
      <c r="O224" s="182"/>
    </row>
    <row r="225" spans="1:15" x14ac:dyDescent="0.25">
      <c r="A225" s="180">
        <f t="shared" ca="1" si="41"/>
        <v>46315</v>
      </c>
      <c r="B225" s="181">
        <v>211</v>
      </c>
      <c r="C225" s="182">
        <f t="shared" ca="1" si="42"/>
        <v>35000</v>
      </c>
      <c r="D225" s="182">
        <f t="shared" ca="1" si="43"/>
        <v>23.333333333333332</v>
      </c>
      <c r="E225" s="182">
        <v>0</v>
      </c>
      <c r="F225" s="182">
        <f t="shared" ca="1" si="36"/>
        <v>0</v>
      </c>
      <c r="G225" s="182">
        <f t="shared" ca="1" si="44"/>
        <v>3476.6666666667111</v>
      </c>
      <c r="H225" s="182">
        <f t="shared" ca="1" si="34"/>
        <v>35000</v>
      </c>
      <c r="I225" s="183">
        <v>0</v>
      </c>
      <c r="J225" s="263">
        <f t="shared" ca="1" si="35"/>
        <v>31523.333333333288</v>
      </c>
      <c r="K225" s="182">
        <f t="shared" ca="1" si="37"/>
        <v>70</v>
      </c>
      <c r="L225" s="182">
        <f t="shared" ca="1" si="38"/>
        <v>4923.333333333333</v>
      </c>
      <c r="M225" s="182">
        <f t="shared" ca="1" si="39"/>
        <v>4923.333333333333</v>
      </c>
      <c r="N225" s="182">
        <f t="shared" ca="1" si="40"/>
        <v>19693.333333333332</v>
      </c>
      <c r="O225" s="182"/>
    </row>
    <row r="226" spans="1:15" x14ac:dyDescent="0.25">
      <c r="A226" s="180">
        <f t="shared" ca="1" si="41"/>
        <v>46316</v>
      </c>
      <c r="B226" s="181">
        <v>212</v>
      </c>
      <c r="C226" s="182">
        <f t="shared" ca="1" si="42"/>
        <v>35000</v>
      </c>
      <c r="D226" s="182">
        <f t="shared" ca="1" si="43"/>
        <v>23.333333333333332</v>
      </c>
      <c r="E226" s="182">
        <v>0</v>
      </c>
      <c r="F226" s="182">
        <f t="shared" ca="1" si="36"/>
        <v>0</v>
      </c>
      <c r="G226" s="182">
        <f t="shared" ca="1" si="44"/>
        <v>3453.3333333333776</v>
      </c>
      <c r="H226" s="182">
        <f t="shared" ca="1" si="34"/>
        <v>35000</v>
      </c>
      <c r="I226" s="183">
        <v>0</v>
      </c>
      <c r="J226" s="263">
        <f t="shared" ca="1" si="35"/>
        <v>31546.666666666621</v>
      </c>
      <c r="K226" s="182">
        <f t="shared" ca="1" si="37"/>
        <v>70</v>
      </c>
      <c r="L226" s="182">
        <f t="shared" ca="1" si="38"/>
        <v>4946.6666666666661</v>
      </c>
      <c r="M226" s="182">
        <f t="shared" ca="1" si="39"/>
        <v>4946.6666666666661</v>
      </c>
      <c r="N226" s="182">
        <f t="shared" ca="1" si="40"/>
        <v>19786.666666666664</v>
      </c>
      <c r="O226" s="182"/>
    </row>
    <row r="227" spans="1:15" x14ac:dyDescent="0.25">
      <c r="A227" s="180">
        <f t="shared" ca="1" si="41"/>
        <v>46317</v>
      </c>
      <c r="B227" s="181">
        <v>213</v>
      </c>
      <c r="C227" s="182">
        <f t="shared" ca="1" si="42"/>
        <v>35000</v>
      </c>
      <c r="D227" s="182">
        <f t="shared" ca="1" si="43"/>
        <v>23.333333333333332</v>
      </c>
      <c r="E227" s="182">
        <v>0</v>
      </c>
      <c r="F227" s="182">
        <f t="shared" ca="1" si="36"/>
        <v>0</v>
      </c>
      <c r="G227" s="182">
        <f t="shared" ca="1" si="44"/>
        <v>3430.0000000000441</v>
      </c>
      <c r="H227" s="182">
        <f t="shared" ref="H227:H290" ca="1" si="45">IF(G227&gt;0,C227+F227+I227,SUM(C227:F227)-G226)</f>
        <v>35000</v>
      </c>
      <c r="I227" s="183">
        <v>0</v>
      </c>
      <c r="J227" s="263">
        <f t="shared" ca="1" si="35"/>
        <v>31569.999999999956</v>
      </c>
      <c r="K227" s="182">
        <f t="shared" ca="1" si="37"/>
        <v>70</v>
      </c>
      <c r="L227" s="182">
        <f t="shared" ca="1" si="38"/>
        <v>4969.9999999999991</v>
      </c>
      <c r="M227" s="182">
        <f t="shared" ca="1" si="39"/>
        <v>4969.9999999999991</v>
      </c>
      <c r="N227" s="182">
        <f t="shared" ca="1" si="40"/>
        <v>19879.999999999996</v>
      </c>
      <c r="O227" s="182"/>
    </row>
    <row r="228" spans="1:15" x14ac:dyDescent="0.25">
      <c r="A228" s="180">
        <f t="shared" ca="1" si="41"/>
        <v>46318</v>
      </c>
      <c r="B228" s="181">
        <v>214</v>
      </c>
      <c r="C228" s="182">
        <f t="shared" ca="1" si="42"/>
        <v>35000</v>
      </c>
      <c r="D228" s="182">
        <f t="shared" ca="1" si="43"/>
        <v>23.333333333333332</v>
      </c>
      <c r="E228" s="182">
        <v>0</v>
      </c>
      <c r="F228" s="182">
        <f t="shared" ca="1" si="36"/>
        <v>0</v>
      </c>
      <c r="G228" s="182">
        <f t="shared" ca="1" si="44"/>
        <v>3406.6666666667106</v>
      </c>
      <c r="H228" s="182">
        <f t="shared" ca="1" si="45"/>
        <v>35000</v>
      </c>
      <c r="I228" s="183">
        <v>0</v>
      </c>
      <c r="J228" s="263">
        <f t="shared" ca="1" si="35"/>
        <v>31593.333333333288</v>
      </c>
      <c r="K228" s="182">
        <f t="shared" ca="1" si="37"/>
        <v>70</v>
      </c>
      <c r="L228" s="182">
        <f t="shared" ca="1" si="38"/>
        <v>4993.3333333333321</v>
      </c>
      <c r="M228" s="182">
        <f t="shared" ca="1" si="39"/>
        <v>4993.3333333333321</v>
      </c>
      <c r="N228" s="182">
        <f t="shared" ca="1" si="40"/>
        <v>19973.333333333328</v>
      </c>
      <c r="O228" s="182"/>
    </row>
    <row r="229" spans="1:15" x14ac:dyDescent="0.25">
      <c r="A229" s="180">
        <f t="shared" ca="1" si="41"/>
        <v>46319</v>
      </c>
      <c r="B229" s="181">
        <v>215</v>
      </c>
      <c r="C229" s="182">
        <f t="shared" ca="1" si="42"/>
        <v>35000</v>
      </c>
      <c r="D229" s="182">
        <f t="shared" ca="1" si="43"/>
        <v>23.333333333333332</v>
      </c>
      <c r="E229" s="182">
        <v>0</v>
      </c>
      <c r="F229" s="182">
        <f t="shared" ca="1" si="36"/>
        <v>0</v>
      </c>
      <c r="G229" s="182">
        <f t="shared" ca="1" si="44"/>
        <v>3383.3333333333771</v>
      </c>
      <c r="H229" s="182">
        <f t="shared" ca="1" si="45"/>
        <v>35000</v>
      </c>
      <c r="I229" s="183">
        <v>0</v>
      </c>
      <c r="J229" s="263">
        <f t="shared" ca="1" si="35"/>
        <v>31616.666666666624</v>
      </c>
      <c r="K229" s="182">
        <f t="shared" ca="1" si="37"/>
        <v>70</v>
      </c>
      <c r="L229" s="182">
        <f t="shared" ca="1" si="38"/>
        <v>5016.6666666666652</v>
      </c>
      <c r="M229" s="182">
        <f t="shared" ca="1" si="39"/>
        <v>5016.6666666666652</v>
      </c>
      <c r="N229" s="182">
        <f t="shared" ca="1" si="40"/>
        <v>20066.666666666661</v>
      </c>
      <c r="O229" s="182"/>
    </row>
    <row r="230" spans="1:15" x14ac:dyDescent="0.25">
      <c r="A230" s="180">
        <f t="shared" ca="1" si="41"/>
        <v>46320</v>
      </c>
      <c r="B230" s="181">
        <v>216</v>
      </c>
      <c r="C230" s="182">
        <f t="shared" ca="1" si="42"/>
        <v>35000</v>
      </c>
      <c r="D230" s="182">
        <f t="shared" ca="1" si="43"/>
        <v>23.333333333333332</v>
      </c>
      <c r="E230" s="182">
        <v>0</v>
      </c>
      <c r="F230" s="182">
        <f t="shared" ca="1" si="36"/>
        <v>0</v>
      </c>
      <c r="G230" s="182">
        <f t="shared" ca="1" si="44"/>
        <v>3360.0000000000437</v>
      </c>
      <c r="H230" s="182">
        <f t="shared" ca="1" si="45"/>
        <v>35000</v>
      </c>
      <c r="I230" s="183">
        <v>0</v>
      </c>
      <c r="J230" s="263">
        <f t="shared" ca="1" si="35"/>
        <v>31639.999999999956</v>
      </c>
      <c r="K230" s="182">
        <f t="shared" ca="1" si="37"/>
        <v>70</v>
      </c>
      <c r="L230" s="182">
        <f t="shared" ca="1" si="38"/>
        <v>5039.9999999999982</v>
      </c>
      <c r="M230" s="182">
        <f t="shared" ca="1" si="39"/>
        <v>5039.9999999999982</v>
      </c>
      <c r="N230" s="182">
        <f t="shared" ca="1" si="40"/>
        <v>20159.999999999993</v>
      </c>
      <c r="O230" s="182"/>
    </row>
    <row r="231" spans="1:15" x14ac:dyDescent="0.25">
      <c r="A231" s="180">
        <f t="shared" ca="1" si="41"/>
        <v>46321</v>
      </c>
      <c r="B231" s="181">
        <v>217</v>
      </c>
      <c r="C231" s="182">
        <f t="shared" ca="1" si="42"/>
        <v>35000</v>
      </c>
      <c r="D231" s="182">
        <f t="shared" ca="1" si="43"/>
        <v>23.333333333333332</v>
      </c>
      <c r="E231" s="182">
        <v>0</v>
      </c>
      <c r="F231" s="182">
        <f t="shared" ca="1" si="36"/>
        <v>0</v>
      </c>
      <c r="G231" s="182">
        <f t="shared" ca="1" si="44"/>
        <v>3336.6666666667102</v>
      </c>
      <c r="H231" s="182">
        <f t="shared" ca="1" si="45"/>
        <v>35000</v>
      </c>
      <c r="I231" s="183">
        <v>0</v>
      </c>
      <c r="J231" s="263">
        <f t="shared" ca="1" si="35"/>
        <v>31663.333333333288</v>
      </c>
      <c r="K231" s="182">
        <f t="shared" ca="1" si="37"/>
        <v>70</v>
      </c>
      <c r="L231" s="182">
        <f t="shared" ca="1" si="38"/>
        <v>5063.3333333333312</v>
      </c>
      <c r="M231" s="182">
        <f t="shared" ca="1" si="39"/>
        <v>5063.3333333333312</v>
      </c>
      <c r="N231" s="182">
        <f t="shared" ca="1" si="40"/>
        <v>20253.333333333325</v>
      </c>
      <c r="O231" s="182"/>
    </row>
    <row r="232" spans="1:15" x14ac:dyDescent="0.25">
      <c r="A232" s="180">
        <f t="shared" ca="1" si="41"/>
        <v>46322</v>
      </c>
      <c r="B232" s="181">
        <v>218</v>
      </c>
      <c r="C232" s="182">
        <f t="shared" ca="1" si="42"/>
        <v>35000</v>
      </c>
      <c r="D232" s="182">
        <f t="shared" ca="1" si="43"/>
        <v>23.333333333333332</v>
      </c>
      <c r="E232" s="182">
        <v>0</v>
      </c>
      <c r="F232" s="182">
        <f t="shared" ca="1" si="36"/>
        <v>0</v>
      </c>
      <c r="G232" s="182">
        <f t="shared" ca="1" si="44"/>
        <v>3313.3333333333767</v>
      </c>
      <c r="H232" s="182">
        <f t="shared" ca="1" si="45"/>
        <v>35000</v>
      </c>
      <c r="I232" s="183">
        <v>0</v>
      </c>
      <c r="J232" s="263">
        <f t="shared" ca="1" si="35"/>
        <v>31686.666666666624</v>
      </c>
      <c r="K232" s="182">
        <f t="shared" ca="1" si="37"/>
        <v>70</v>
      </c>
      <c r="L232" s="182">
        <f t="shared" ca="1" si="38"/>
        <v>5086.6666666666642</v>
      </c>
      <c r="M232" s="182">
        <f t="shared" ca="1" si="39"/>
        <v>5086.6666666666642</v>
      </c>
      <c r="N232" s="182">
        <f t="shared" ca="1" si="40"/>
        <v>20346.666666666657</v>
      </c>
      <c r="O232" s="182"/>
    </row>
    <row r="233" spans="1:15" x14ac:dyDescent="0.25">
      <c r="A233" s="180">
        <f t="shared" ca="1" si="41"/>
        <v>46323</v>
      </c>
      <c r="B233" s="181">
        <v>219</v>
      </c>
      <c r="C233" s="182">
        <f t="shared" ca="1" si="42"/>
        <v>35000</v>
      </c>
      <c r="D233" s="182">
        <f t="shared" ca="1" si="43"/>
        <v>23.333333333333332</v>
      </c>
      <c r="E233" s="182">
        <v>0</v>
      </c>
      <c r="F233" s="182">
        <f t="shared" ca="1" si="36"/>
        <v>0</v>
      </c>
      <c r="G233" s="182">
        <f t="shared" ca="1" si="44"/>
        <v>3290.0000000000432</v>
      </c>
      <c r="H233" s="182">
        <f t="shared" ca="1" si="45"/>
        <v>35000</v>
      </c>
      <c r="I233" s="183">
        <v>0</v>
      </c>
      <c r="J233" s="263">
        <f t="shared" ca="1" si="35"/>
        <v>31709.999999999956</v>
      </c>
      <c r="K233" s="182">
        <f t="shared" ca="1" si="37"/>
        <v>70</v>
      </c>
      <c r="L233" s="182">
        <f t="shared" ca="1" si="38"/>
        <v>5109.9999999999973</v>
      </c>
      <c r="M233" s="182">
        <f t="shared" ca="1" si="39"/>
        <v>5109.9999999999973</v>
      </c>
      <c r="N233" s="182">
        <f t="shared" ca="1" si="40"/>
        <v>20439.999999999989</v>
      </c>
      <c r="O233" s="182"/>
    </row>
    <row r="234" spans="1:15" x14ac:dyDescent="0.25">
      <c r="A234" s="180">
        <f t="shared" ca="1" si="41"/>
        <v>46324</v>
      </c>
      <c r="B234" s="181">
        <v>220</v>
      </c>
      <c r="C234" s="182">
        <f t="shared" ca="1" si="42"/>
        <v>35000</v>
      </c>
      <c r="D234" s="182">
        <f t="shared" ca="1" si="43"/>
        <v>23.333333333333332</v>
      </c>
      <c r="E234" s="182">
        <v>0</v>
      </c>
      <c r="F234" s="182">
        <f t="shared" ca="1" si="36"/>
        <v>0</v>
      </c>
      <c r="G234" s="182">
        <f t="shared" ca="1" si="44"/>
        <v>3266.6666666667097</v>
      </c>
      <c r="H234" s="182">
        <f t="shared" ca="1" si="45"/>
        <v>35000</v>
      </c>
      <c r="I234" s="183">
        <v>0</v>
      </c>
      <c r="J234" s="263">
        <f t="shared" ca="1" si="35"/>
        <v>31733.333333333292</v>
      </c>
      <c r="K234" s="182">
        <f t="shared" ca="1" si="37"/>
        <v>70</v>
      </c>
      <c r="L234" s="182">
        <f t="shared" ca="1" si="38"/>
        <v>5133.3333333333303</v>
      </c>
      <c r="M234" s="182">
        <f t="shared" ca="1" si="39"/>
        <v>5133.3333333333303</v>
      </c>
      <c r="N234" s="182">
        <f t="shared" ca="1" si="40"/>
        <v>20533.333333333321</v>
      </c>
      <c r="O234" s="182"/>
    </row>
    <row r="235" spans="1:15" x14ac:dyDescent="0.25">
      <c r="A235" s="180">
        <f t="shared" ca="1" si="41"/>
        <v>46325</v>
      </c>
      <c r="B235" s="181">
        <v>221</v>
      </c>
      <c r="C235" s="182">
        <f t="shared" ca="1" si="42"/>
        <v>35000</v>
      </c>
      <c r="D235" s="182">
        <f t="shared" ca="1" si="43"/>
        <v>23.333333333333332</v>
      </c>
      <c r="E235" s="182">
        <v>0</v>
      </c>
      <c r="F235" s="182">
        <f t="shared" ca="1" si="36"/>
        <v>0</v>
      </c>
      <c r="G235" s="182">
        <f t="shared" ca="1" si="44"/>
        <v>3243.3333333333762</v>
      </c>
      <c r="H235" s="182">
        <f t="shared" ca="1" si="45"/>
        <v>35000</v>
      </c>
      <c r="I235" s="183">
        <v>0</v>
      </c>
      <c r="J235" s="263">
        <f t="shared" ca="1" si="35"/>
        <v>31756.666666666624</v>
      </c>
      <c r="K235" s="182">
        <f t="shared" ca="1" si="37"/>
        <v>70</v>
      </c>
      <c r="L235" s="182">
        <f t="shared" ca="1" si="38"/>
        <v>5156.6666666666633</v>
      </c>
      <c r="M235" s="182">
        <f t="shared" ca="1" si="39"/>
        <v>5156.6666666666633</v>
      </c>
      <c r="N235" s="182">
        <f t="shared" ca="1" si="40"/>
        <v>20626.666666666653</v>
      </c>
      <c r="O235" s="182"/>
    </row>
    <row r="236" spans="1:15" x14ac:dyDescent="0.25">
      <c r="A236" s="180">
        <f t="shared" ca="1" si="41"/>
        <v>46326</v>
      </c>
      <c r="B236" s="181">
        <v>222</v>
      </c>
      <c r="C236" s="182">
        <f t="shared" ca="1" si="42"/>
        <v>35000</v>
      </c>
      <c r="D236" s="182">
        <f t="shared" ca="1" si="43"/>
        <v>23.333333333333332</v>
      </c>
      <c r="E236" s="182">
        <v>0</v>
      </c>
      <c r="F236" s="182">
        <f t="shared" ca="1" si="36"/>
        <v>0</v>
      </c>
      <c r="G236" s="182">
        <f t="shared" ca="1" si="44"/>
        <v>3220.0000000000427</v>
      </c>
      <c r="H236" s="182">
        <f t="shared" ca="1" si="45"/>
        <v>35000</v>
      </c>
      <c r="I236" s="183">
        <v>0</v>
      </c>
      <c r="J236" s="263">
        <f t="shared" ca="1" si="35"/>
        <v>31779.999999999956</v>
      </c>
      <c r="K236" s="182">
        <f t="shared" ca="1" si="37"/>
        <v>70</v>
      </c>
      <c r="L236" s="182">
        <f t="shared" ca="1" si="38"/>
        <v>5179.9999999999964</v>
      </c>
      <c r="M236" s="182">
        <f t="shared" ca="1" si="39"/>
        <v>5179.9999999999964</v>
      </c>
      <c r="N236" s="182">
        <f t="shared" ca="1" si="40"/>
        <v>20719.999999999985</v>
      </c>
      <c r="O236" s="182"/>
    </row>
    <row r="237" spans="1:15" x14ac:dyDescent="0.25">
      <c r="A237" s="180">
        <f t="shared" ca="1" si="41"/>
        <v>46327</v>
      </c>
      <c r="B237" s="181">
        <v>223</v>
      </c>
      <c r="C237" s="182">
        <f t="shared" ca="1" si="42"/>
        <v>35000</v>
      </c>
      <c r="D237" s="182">
        <f t="shared" ca="1" si="43"/>
        <v>23.333333333333332</v>
      </c>
      <c r="E237" s="182">
        <v>0</v>
      </c>
      <c r="F237" s="182">
        <f t="shared" ca="1" si="36"/>
        <v>0</v>
      </c>
      <c r="G237" s="182">
        <f t="shared" ca="1" si="44"/>
        <v>3196.6666666667093</v>
      </c>
      <c r="H237" s="182">
        <f t="shared" ca="1" si="45"/>
        <v>35000</v>
      </c>
      <c r="I237" s="183">
        <v>0</v>
      </c>
      <c r="J237" s="263">
        <f t="shared" ca="1" si="35"/>
        <v>31803.333333333292</v>
      </c>
      <c r="K237" s="182">
        <f t="shared" ca="1" si="37"/>
        <v>70</v>
      </c>
      <c r="L237" s="182">
        <f t="shared" ca="1" si="38"/>
        <v>5203.3333333333294</v>
      </c>
      <c r="M237" s="182">
        <f t="shared" ca="1" si="39"/>
        <v>5203.3333333333294</v>
      </c>
      <c r="N237" s="182">
        <f t="shared" ca="1" si="40"/>
        <v>20813.333333333318</v>
      </c>
      <c r="O237" s="182"/>
    </row>
    <row r="238" spans="1:15" x14ac:dyDescent="0.25">
      <c r="A238" s="180">
        <f t="shared" ca="1" si="41"/>
        <v>46328</v>
      </c>
      <c r="B238" s="181">
        <v>224</v>
      </c>
      <c r="C238" s="182">
        <f t="shared" ca="1" si="42"/>
        <v>35000</v>
      </c>
      <c r="D238" s="182">
        <f t="shared" ca="1" si="43"/>
        <v>23.333333333333332</v>
      </c>
      <c r="E238" s="182">
        <v>0</v>
      </c>
      <c r="F238" s="182">
        <f t="shared" ca="1" si="36"/>
        <v>0</v>
      </c>
      <c r="G238" s="182">
        <f t="shared" ca="1" si="44"/>
        <v>3173.3333333333758</v>
      </c>
      <c r="H238" s="182">
        <f t="shared" ca="1" si="45"/>
        <v>35000</v>
      </c>
      <c r="I238" s="183">
        <v>0</v>
      </c>
      <c r="J238" s="263">
        <f t="shared" ca="1" si="35"/>
        <v>31826.666666666624</v>
      </c>
      <c r="K238" s="182">
        <f t="shared" ca="1" si="37"/>
        <v>70</v>
      </c>
      <c r="L238" s="182">
        <f t="shared" ca="1" si="38"/>
        <v>5226.6666666666624</v>
      </c>
      <c r="M238" s="182">
        <f t="shared" ca="1" si="39"/>
        <v>5226.6666666666624</v>
      </c>
      <c r="N238" s="182">
        <f t="shared" ca="1" si="40"/>
        <v>20906.66666666665</v>
      </c>
      <c r="O238" s="182"/>
    </row>
    <row r="239" spans="1:15" x14ac:dyDescent="0.25">
      <c r="A239" s="180">
        <f t="shared" ca="1" si="41"/>
        <v>46329</v>
      </c>
      <c r="B239" s="181">
        <v>225</v>
      </c>
      <c r="C239" s="182">
        <f t="shared" ca="1" si="42"/>
        <v>35000</v>
      </c>
      <c r="D239" s="182">
        <f t="shared" ca="1" si="43"/>
        <v>23.333333333333332</v>
      </c>
      <c r="E239" s="182">
        <v>0</v>
      </c>
      <c r="F239" s="182">
        <f t="shared" ca="1" si="36"/>
        <v>0</v>
      </c>
      <c r="G239" s="182">
        <f t="shared" ca="1" si="44"/>
        <v>3150.0000000000423</v>
      </c>
      <c r="H239" s="182">
        <f t="shared" ca="1" si="45"/>
        <v>35000</v>
      </c>
      <c r="I239" s="183">
        <v>0</v>
      </c>
      <c r="J239" s="263">
        <f t="shared" ca="1" si="35"/>
        <v>31849.999999999956</v>
      </c>
      <c r="K239" s="182">
        <f t="shared" ca="1" si="37"/>
        <v>70</v>
      </c>
      <c r="L239" s="182">
        <f t="shared" ca="1" si="38"/>
        <v>5249.9999999999955</v>
      </c>
      <c r="M239" s="182">
        <f t="shared" ca="1" si="39"/>
        <v>5249.9999999999955</v>
      </c>
      <c r="N239" s="182">
        <f t="shared" ca="1" si="40"/>
        <v>20999.999999999982</v>
      </c>
      <c r="O239" s="182"/>
    </row>
    <row r="240" spans="1:15" x14ac:dyDescent="0.25">
      <c r="A240" s="180">
        <f t="shared" ca="1" si="41"/>
        <v>46330</v>
      </c>
      <c r="B240" s="181">
        <v>226</v>
      </c>
      <c r="C240" s="182">
        <f t="shared" ca="1" si="42"/>
        <v>35000</v>
      </c>
      <c r="D240" s="182">
        <f t="shared" ca="1" si="43"/>
        <v>23.333333333333332</v>
      </c>
      <c r="E240" s="182">
        <v>0</v>
      </c>
      <c r="F240" s="182">
        <f t="shared" ca="1" si="36"/>
        <v>0</v>
      </c>
      <c r="G240" s="182">
        <f t="shared" ca="1" si="44"/>
        <v>3126.6666666667088</v>
      </c>
      <c r="H240" s="182">
        <f t="shared" ca="1" si="45"/>
        <v>35000</v>
      </c>
      <c r="I240" s="183">
        <v>0</v>
      </c>
      <c r="J240" s="263">
        <f t="shared" ca="1" si="35"/>
        <v>31873.333333333292</v>
      </c>
      <c r="K240" s="182">
        <f t="shared" ca="1" si="37"/>
        <v>70</v>
      </c>
      <c r="L240" s="182">
        <f t="shared" ca="1" si="38"/>
        <v>5273.3333333333285</v>
      </c>
      <c r="M240" s="182">
        <f t="shared" ca="1" si="39"/>
        <v>5273.3333333333285</v>
      </c>
      <c r="N240" s="182">
        <f t="shared" ca="1" si="40"/>
        <v>21093.333333333314</v>
      </c>
      <c r="O240" s="182"/>
    </row>
    <row r="241" spans="1:15" x14ac:dyDescent="0.25">
      <c r="A241" s="180">
        <f t="shared" ca="1" si="41"/>
        <v>46331</v>
      </c>
      <c r="B241" s="181">
        <v>227</v>
      </c>
      <c r="C241" s="182">
        <f t="shared" ca="1" si="42"/>
        <v>35000</v>
      </c>
      <c r="D241" s="182">
        <f t="shared" ca="1" si="43"/>
        <v>23.333333333333332</v>
      </c>
      <c r="E241" s="182">
        <v>0</v>
      </c>
      <c r="F241" s="182">
        <f t="shared" ca="1" si="36"/>
        <v>0</v>
      </c>
      <c r="G241" s="182">
        <f t="shared" ca="1" si="44"/>
        <v>3103.3333333333753</v>
      </c>
      <c r="H241" s="182">
        <f t="shared" ca="1" si="45"/>
        <v>35000</v>
      </c>
      <c r="I241" s="183">
        <v>0</v>
      </c>
      <c r="J241" s="263">
        <f t="shared" ca="1" si="35"/>
        <v>31896.666666666624</v>
      </c>
      <c r="K241" s="182">
        <f t="shared" ca="1" si="37"/>
        <v>70</v>
      </c>
      <c r="L241" s="182">
        <f t="shared" ca="1" si="38"/>
        <v>5296.6666666666615</v>
      </c>
      <c r="M241" s="182">
        <f t="shared" ca="1" si="39"/>
        <v>5296.6666666666615</v>
      </c>
      <c r="N241" s="182">
        <f t="shared" ca="1" si="40"/>
        <v>21186.666666666646</v>
      </c>
      <c r="O241" s="182"/>
    </row>
    <row r="242" spans="1:15" x14ac:dyDescent="0.25">
      <c r="A242" s="180">
        <f t="shared" ca="1" si="41"/>
        <v>46332</v>
      </c>
      <c r="B242" s="181">
        <v>228</v>
      </c>
      <c r="C242" s="182">
        <f t="shared" ca="1" si="42"/>
        <v>35000</v>
      </c>
      <c r="D242" s="182">
        <f t="shared" ca="1" si="43"/>
        <v>23.333333333333332</v>
      </c>
      <c r="E242" s="182">
        <v>0</v>
      </c>
      <c r="F242" s="182">
        <f t="shared" ca="1" si="36"/>
        <v>0</v>
      </c>
      <c r="G242" s="182">
        <f t="shared" ca="1" si="44"/>
        <v>3080.0000000000418</v>
      </c>
      <c r="H242" s="182">
        <f t="shared" ca="1" si="45"/>
        <v>35000</v>
      </c>
      <c r="I242" s="183">
        <v>0</v>
      </c>
      <c r="J242" s="263">
        <f t="shared" ca="1" si="35"/>
        <v>31919.999999999956</v>
      </c>
      <c r="K242" s="182">
        <f t="shared" ca="1" si="37"/>
        <v>70</v>
      </c>
      <c r="L242" s="182">
        <f t="shared" ca="1" si="38"/>
        <v>5319.9999999999945</v>
      </c>
      <c r="M242" s="182">
        <f t="shared" ca="1" si="39"/>
        <v>5319.9999999999945</v>
      </c>
      <c r="N242" s="182">
        <f t="shared" ca="1" si="40"/>
        <v>21279.999999999978</v>
      </c>
      <c r="O242" s="182"/>
    </row>
    <row r="243" spans="1:15" x14ac:dyDescent="0.25">
      <c r="A243" s="180">
        <f t="shared" ca="1" si="41"/>
        <v>46333</v>
      </c>
      <c r="B243" s="181">
        <v>229</v>
      </c>
      <c r="C243" s="182">
        <f t="shared" ca="1" si="42"/>
        <v>35000</v>
      </c>
      <c r="D243" s="182">
        <f t="shared" ca="1" si="43"/>
        <v>23.333333333333332</v>
      </c>
      <c r="E243" s="182">
        <v>0</v>
      </c>
      <c r="F243" s="182">
        <f t="shared" ca="1" si="36"/>
        <v>0</v>
      </c>
      <c r="G243" s="182">
        <f t="shared" ca="1" si="44"/>
        <v>3056.6666666667084</v>
      </c>
      <c r="H243" s="182">
        <f t="shared" ca="1" si="45"/>
        <v>35000</v>
      </c>
      <c r="I243" s="183">
        <v>0</v>
      </c>
      <c r="J243" s="263">
        <f t="shared" ca="1" si="35"/>
        <v>31943.333333333292</v>
      </c>
      <c r="K243" s="182">
        <f t="shared" ca="1" si="37"/>
        <v>70</v>
      </c>
      <c r="L243" s="182">
        <f t="shared" ca="1" si="38"/>
        <v>5343.3333333333276</v>
      </c>
      <c r="M243" s="182">
        <f t="shared" ca="1" si="39"/>
        <v>5343.3333333333276</v>
      </c>
      <c r="N243" s="182">
        <f t="shared" ca="1" si="40"/>
        <v>21373.33333333331</v>
      </c>
      <c r="O243" s="182"/>
    </row>
    <row r="244" spans="1:15" x14ac:dyDescent="0.25">
      <c r="A244" s="180">
        <f t="shared" ca="1" si="41"/>
        <v>46334</v>
      </c>
      <c r="B244" s="181">
        <v>230</v>
      </c>
      <c r="C244" s="182">
        <f t="shared" ca="1" si="42"/>
        <v>35000</v>
      </c>
      <c r="D244" s="182">
        <f t="shared" ca="1" si="43"/>
        <v>23.333333333333332</v>
      </c>
      <c r="E244" s="182">
        <v>0</v>
      </c>
      <c r="F244" s="182">
        <f t="shared" ca="1" si="36"/>
        <v>0</v>
      </c>
      <c r="G244" s="182">
        <f t="shared" ca="1" si="44"/>
        <v>3033.3333333333749</v>
      </c>
      <c r="H244" s="182">
        <f t="shared" ca="1" si="45"/>
        <v>35000</v>
      </c>
      <c r="I244" s="183">
        <v>0</v>
      </c>
      <c r="J244" s="263">
        <f t="shared" ca="1" si="35"/>
        <v>31966.666666666624</v>
      </c>
      <c r="K244" s="182">
        <f t="shared" ca="1" si="37"/>
        <v>70</v>
      </c>
      <c r="L244" s="182">
        <f t="shared" ca="1" si="38"/>
        <v>5366.6666666666606</v>
      </c>
      <c r="M244" s="182">
        <f t="shared" ca="1" si="39"/>
        <v>5366.6666666666606</v>
      </c>
      <c r="N244" s="182">
        <f t="shared" ca="1" si="40"/>
        <v>21466.666666666642</v>
      </c>
      <c r="O244" s="182"/>
    </row>
    <row r="245" spans="1:15" x14ac:dyDescent="0.25">
      <c r="A245" s="180">
        <f t="shared" ca="1" si="41"/>
        <v>46335</v>
      </c>
      <c r="B245" s="181">
        <v>231</v>
      </c>
      <c r="C245" s="182">
        <f t="shared" ca="1" si="42"/>
        <v>35000</v>
      </c>
      <c r="D245" s="182">
        <f t="shared" ca="1" si="43"/>
        <v>23.333333333333332</v>
      </c>
      <c r="E245" s="182">
        <v>0</v>
      </c>
      <c r="F245" s="182">
        <f t="shared" ca="1" si="36"/>
        <v>0</v>
      </c>
      <c r="G245" s="182">
        <f t="shared" ca="1" si="44"/>
        <v>3010.0000000000414</v>
      </c>
      <c r="H245" s="182">
        <f t="shared" ca="1" si="45"/>
        <v>35000</v>
      </c>
      <c r="I245" s="183">
        <v>0</v>
      </c>
      <c r="J245" s="263">
        <f t="shared" ca="1" si="35"/>
        <v>31989.99999999996</v>
      </c>
      <c r="K245" s="182">
        <f t="shared" ca="1" si="37"/>
        <v>70</v>
      </c>
      <c r="L245" s="182">
        <f t="shared" ca="1" si="38"/>
        <v>5389.9999999999936</v>
      </c>
      <c r="M245" s="182">
        <f t="shared" ca="1" si="39"/>
        <v>5389.9999999999936</v>
      </c>
      <c r="N245" s="182">
        <f t="shared" ca="1" si="40"/>
        <v>21559.999999999975</v>
      </c>
      <c r="O245" s="182"/>
    </row>
    <row r="246" spans="1:15" x14ac:dyDescent="0.25">
      <c r="A246" s="180">
        <f t="shared" ca="1" si="41"/>
        <v>46336</v>
      </c>
      <c r="B246" s="181">
        <v>232</v>
      </c>
      <c r="C246" s="182">
        <f t="shared" ca="1" si="42"/>
        <v>35000</v>
      </c>
      <c r="D246" s="182">
        <f t="shared" ca="1" si="43"/>
        <v>23.333333333333332</v>
      </c>
      <c r="E246" s="182">
        <v>0</v>
      </c>
      <c r="F246" s="182">
        <f t="shared" ca="1" si="36"/>
        <v>0</v>
      </c>
      <c r="G246" s="182">
        <f t="shared" ca="1" si="44"/>
        <v>2986.6666666667079</v>
      </c>
      <c r="H246" s="182">
        <f t="shared" ca="1" si="45"/>
        <v>35000</v>
      </c>
      <c r="I246" s="183">
        <v>0</v>
      </c>
      <c r="J246" s="263">
        <f t="shared" ca="1" si="35"/>
        <v>32013.333333333292</v>
      </c>
      <c r="K246" s="182">
        <f t="shared" ca="1" si="37"/>
        <v>70</v>
      </c>
      <c r="L246" s="182">
        <f t="shared" ca="1" si="38"/>
        <v>5413.3333333333267</v>
      </c>
      <c r="M246" s="182">
        <f t="shared" ca="1" si="39"/>
        <v>5413.3333333333267</v>
      </c>
      <c r="N246" s="182">
        <f t="shared" ca="1" si="40"/>
        <v>21653.333333333307</v>
      </c>
      <c r="O246" s="182"/>
    </row>
    <row r="247" spans="1:15" x14ac:dyDescent="0.25">
      <c r="A247" s="180">
        <f t="shared" ca="1" si="41"/>
        <v>46337</v>
      </c>
      <c r="B247" s="181">
        <v>233</v>
      </c>
      <c r="C247" s="182">
        <f t="shared" ca="1" si="42"/>
        <v>35000</v>
      </c>
      <c r="D247" s="182">
        <f t="shared" ca="1" si="43"/>
        <v>23.333333333333332</v>
      </c>
      <c r="E247" s="182">
        <v>0</v>
      </c>
      <c r="F247" s="182">
        <f t="shared" ca="1" si="36"/>
        <v>0</v>
      </c>
      <c r="G247" s="182">
        <f t="shared" ca="1" si="44"/>
        <v>2963.3333333333744</v>
      </c>
      <c r="H247" s="182">
        <f t="shared" ca="1" si="45"/>
        <v>35000</v>
      </c>
      <c r="I247" s="183">
        <v>0</v>
      </c>
      <c r="J247" s="263">
        <f t="shared" ca="1" si="35"/>
        <v>32036.666666666624</v>
      </c>
      <c r="K247" s="182">
        <f t="shared" ca="1" si="37"/>
        <v>70</v>
      </c>
      <c r="L247" s="182">
        <f t="shared" ca="1" si="38"/>
        <v>5436.6666666666597</v>
      </c>
      <c r="M247" s="182">
        <f t="shared" ca="1" si="39"/>
        <v>5436.6666666666597</v>
      </c>
      <c r="N247" s="182">
        <f t="shared" ca="1" si="40"/>
        <v>21746.666666666639</v>
      </c>
      <c r="O247" s="182"/>
    </row>
    <row r="248" spans="1:15" x14ac:dyDescent="0.25">
      <c r="A248" s="180">
        <f t="shared" ca="1" si="41"/>
        <v>46338</v>
      </c>
      <c r="B248" s="181">
        <v>234</v>
      </c>
      <c r="C248" s="182">
        <f t="shared" ca="1" si="42"/>
        <v>35000</v>
      </c>
      <c r="D248" s="182">
        <f t="shared" ca="1" si="43"/>
        <v>23.333333333333332</v>
      </c>
      <c r="E248" s="182">
        <v>0</v>
      </c>
      <c r="F248" s="182">
        <f t="shared" ca="1" si="36"/>
        <v>0</v>
      </c>
      <c r="G248" s="182">
        <f t="shared" ca="1" si="44"/>
        <v>2940.0000000000409</v>
      </c>
      <c r="H248" s="182">
        <f t="shared" ca="1" si="45"/>
        <v>35000</v>
      </c>
      <c r="I248" s="183">
        <v>0</v>
      </c>
      <c r="J248" s="263">
        <f t="shared" ca="1" si="35"/>
        <v>32059.99999999996</v>
      </c>
      <c r="K248" s="182">
        <f t="shared" ca="1" si="37"/>
        <v>70</v>
      </c>
      <c r="L248" s="182">
        <f t="shared" ca="1" si="38"/>
        <v>5459.9999999999927</v>
      </c>
      <c r="M248" s="182">
        <f t="shared" ca="1" si="39"/>
        <v>5459.9999999999927</v>
      </c>
      <c r="N248" s="182">
        <f t="shared" ca="1" si="40"/>
        <v>21839.999999999971</v>
      </c>
      <c r="O248" s="182"/>
    </row>
    <row r="249" spans="1:15" x14ac:dyDescent="0.25">
      <c r="A249" s="180">
        <f t="shared" ca="1" si="41"/>
        <v>46339</v>
      </c>
      <c r="B249" s="181">
        <v>235</v>
      </c>
      <c r="C249" s="182">
        <f t="shared" ca="1" si="42"/>
        <v>35000</v>
      </c>
      <c r="D249" s="182">
        <f t="shared" ca="1" si="43"/>
        <v>23.333333333333332</v>
      </c>
      <c r="E249" s="182">
        <v>0</v>
      </c>
      <c r="F249" s="182">
        <f t="shared" ca="1" si="36"/>
        <v>0</v>
      </c>
      <c r="G249" s="182">
        <f t="shared" ca="1" si="44"/>
        <v>2916.6666666667074</v>
      </c>
      <c r="H249" s="182">
        <f t="shared" ca="1" si="45"/>
        <v>35000</v>
      </c>
      <c r="I249" s="183">
        <v>0</v>
      </c>
      <c r="J249" s="263">
        <f t="shared" ca="1" si="35"/>
        <v>32083.333333333292</v>
      </c>
      <c r="K249" s="182">
        <f t="shared" ca="1" si="37"/>
        <v>70</v>
      </c>
      <c r="L249" s="182">
        <f t="shared" ca="1" si="38"/>
        <v>5483.3333333333258</v>
      </c>
      <c r="M249" s="182">
        <f t="shared" ca="1" si="39"/>
        <v>5483.3333333333258</v>
      </c>
      <c r="N249" s="182">
        <f t="shared" ca="1" si="40"/>
        <v>21933.333333333303</v>
      </c>
      <c r="O249" s="182"/>
    </row>
    <row r="250" spans="1:15" x14ac:dyDescent="0.25">
      <c r="A250" s="180">
        <f t="shared" ca="1" si="41"/>
        <v>46340</v>
      </c>
      <c r="B250" s="181">
        <v>236</v>
      </c>
      <c r="C250" s="182">
        <f t="shared" ca="1" si="42"/>
        <v>35000</v>
      </c>
      <c r="D250" s="182">
        <f t="shared" ca="1" si="43"/>
        <v>23.333333333333332</v>
      </c>
      <c r="E250" s="182">
        <v>0</v>
      </c>
      <c r="F250" s="182">
        <f t="shared" ca="1" si="36"/>
        <v>0</v>
      </c>
      <c r="G250" s="182">
        <f t="shared" ca="1" si="44"/>
        <v>2893.333333333374</v>
      </c>
      <c r="H250" s="182">
        <f t="shared" ca="1" si="45"/>
        <v>35000</v>
      </c>
      <c r="I250" s="183">
        <v>0</v>
      </c>
      <c r="J250" s="263">
        <f t="shared" ca="1" si="35"/>
        <v>32106.666666666628</v>
      </c>
      <c r="K250" s="182">
        <f t="shared" ca="1" si="37"/>
        <v>70</v>
      </c>
      <c r="L250" s="182">
        <f t="shared" ca="1" si="38"/>
        <v>5506.6666666666588</v>
      </c>
      <c r="M250" s="182">
        <f t="shared" ca="1" si="39"/>
        <v>5506.6666666666588</v>
      </c>
      <c r="N250" s="182">
        <f t="shared" ca="1" si="40"/>
        <v>22026.666666666635</v>
      </c>
      <c r="O250" s="182"/>
    </row>
    <row r="251" spans="1:15" x14ac:dyDescent="0.25">
      <c r="A251" s="180">
        <f t="shared" ca="1" si="41"/>
        <v>46341</v>
      </c>
      <c r="B251" s="181">
        <v>237</v>
      </c>
      <c r="C251" s="182">
        <f t="shared" ca="1" si="42"/>
        <v>35000</v>
      </c>
      <c r="D251" s="182">
        <f t="shared" ca="1" si="43"/>
        <v>23.333333333333332</v>
      </c>
      <c r="E251" s="182">
        <v>0</v>
      </c>
      <c r="F251" s="182">
        <f t="shared" ca="1" si="36"/>
        <v>0</v>
      </c>
      <c r="G251" s="182">
        <f t="shared" ca="1" si="44"/>
        <v>2870.0000000000405</v>
      </c>
      <c r="H251" s="182">
        <f t="shared" ca="1" si="45"/>
        <v>35000</v>
      </c>
      <c r="I251" s="183">
        <v>0</v>
      </c>
      <c r="J251" s="263">
        <f t="shared" ca="1" si="35"/>
        <v>32129.99999999996</v>
      </c>
      <c r="K251" s="182">
        <f t="shared" ca="1" si="37"/>
        <v>70</v>
      </c>
      <c r="L251" s="182">
        <f t="shared" ca="1" si="38"/>
        <v>5529.9999999999918</v>
      </c>
      <c r="M251" s="182">
        <f t="shared" ca="1" si="39"/>
        <v>5529.9999999999918</v>
      </c>
      <c r="N251" s="182">
        <f t="shared" ca="1" si="40"/>
        <v>22119.999999999967</v>
      </c>
      <c r="O251" s="182"/>
    </row>
    <row r="252" spans="1:15" x14ac:dyDescent="0.25">
      <c r="A252" s="180">
        <f t="shared" ca="1" si="41"/>
        <v>46342</v>
      </c>
      <c r="B252" s="181">
        <v>238</v>
      </c>
      <c r="C252" s="182">
        <f t="shared" ca="1" si="42"/>
        <v>35000</v>
      </c>
      <c r="D252" s="182">
        <f t="shared" ca="1" si="43"/>
        <v>23.333333333333332</v>
      </c>
      <c r="E252" s="182">
        <v>0</v>
      </c>
      <c r="F252" s="182">
        <f t="shared" ca="1" si="36"/>
        <v>0</v>
      </c>
      <c r="G252" s="182">
        <f t="shared" ca="1" si="44"/>
        <v>2846.666666666707</v>
      </c>
      <c r="H252" s="182">
        <f t="shared" ca="1" si="45"/>
        <v>35000</v>
      </c>
      <c r="I252" s="183">
        <v>0</v>
      </c>
      <c r="J252" s="263">
        <f t="shared" ca="1" si="35"/>
        <v>32153.333333333292</v>
      </c>
      <c r="K252" s="182">
        <f t="shared" ca="1" si="37"/>
        <v>70</v>
      </c>
      <c r="L252" s="182">
        <f t="shared" ca="1" si="38"/>
        <v>5553.3333333333248</v>
      </c>
      <c r="M252" s="182">
        <f t="shared" ca="1" si="39"/>
        <v>5553.3333333333248</v>
      </c>
      <c r="N252" s="182">
        <f t="shared" ca="1" si="40"/>
        <v>22213.333333333299</v>
      </c>
      <c r="O252" s="182"/>
    </row>
    <row r="253" spans="1:15" x14ac:dyDescent="0.25">
      <c r="A253" s="180">
        <f t="shared" ca="1" si="41"/>
        <v>46343</v>
      </c>
      <c r="B253" s="181">
        <v>239</v>
      </c>
      <c r="C253" s="182">
        <f t="shared" ca="1" si="42"/>
        <v>35000</v>
      </c>
      <c r="D253" s="182">
        <f t="shared" ca="1" si="43"/>
        <v>23.333333333333332</v>
      </c>
      <c r="E253" s="182">
        <v>0</v>
      </c>
      <c r="F253" s="182">
        <f t="shared" ca="1" si="36"/>
        <v>0</v>
      </c>
      <c r="G253" s="182">
        <f t="shared" ca="1" si="44"/>
        <v>2823.3333333333735</v>
      </c>
      <c r="H253" s="182">
        <f t="shared" ca="1" si="45"/>
        <v>35000</v>
      </c>
      <c r="I253" s="183">
        <v>0</v>
      </c>
      <c r="J253" s="263">
        <f t="shared" ca="1" si="35"/>
        <v>32176.666666666628</v>
      </c>
      <c r="K253" s="182">
        <f t="shared" ca="1" si="37"/>
        <v>70</v>
      </c>
      <c r="L253" s="182">
        <f t="shared" ca="1" si="38"/>
        <v>5576.6666666666579</v>
      </c>
      <c r="M253" s="182">
        <f t="shared" ca="1" si="39"/>
        <v>5576.6666666666579</v>
      </c>
      <c r="N253" s="182">
        <f t="shared" ca="1" si="40"/>
        <v>22306.666666666631</v>
      </c>
      <c r="O253" s="182"/>
    </row>
    <row r="254" spans="1:15" x14ac:dyDescent="0.25">
      <c r="A254" s="180">
        <f t="shared" ca="1" si="41"/>
        <v>46344</v>
      </c>
      <c r="B254" s="181">
        <v>240</v>
      </c>
      <c r="C254" s="182">
        <f t="shared" ca="1" si="42"/>
        <v>35000</v>
      </c>
      <c r="D254" s="182">
        <f t="shared" ca="1" si="43"/>
        <v>23.333333333333332</v>
      </c>
      <c r="E254" s="182">
        <v>0</v>
      </c>
      <c r="F254" s="182">
        <f t="shared" ca="1" si="36"/>
        <v>0</v>
      </c>
      <c r="G254" s="182">
        <f t="shared" ca="1" si="44"/>
        <v>2800.00000000004</v>
      </c>
      <c r="H254" s="182">
        <f t="shared" ca="1" si="45"/>
        <v>35000</v>
      </c>
      <c r="I254" s="183">
        <v>0</v>
      </c>
      <c r="J254" s="263">
        <f t="shared" ca="1" si="35"/>
        <v>32199.99999999996</v>
      </c>
      <c r="K254" s="182">
        <f t="shared" ca="1" si="37"/>
        <v>70</v>
      </c>
      <c r="L254" s="182">
        <f t="shared" ca="1" si="38"/>
        <v>5599.9999999999909</v>
      </c>
      <c r="M254" s="182">
        <f t="shared" ca="1" si="39"/>
        <v>5599.9999999999909</v>
      </c>
      <c r="N254" s="182">
        <f t="shared" ca="1" si="40"/>
        <v>22399.999999999964</v>
      </c>
      <c r="O254" s="182"/>
    </row>
    <row r="255" spans="1:15" x14ac:dyDescent="0.25">
      <c r="A255" s="180">
        <f t="shared" ca="1" si="41"/>
        <v>46345</v>
      </c>
      <c r="B255" s="181">
        <v>241</v>
      </c>
      <c r="C255" s="182">
        <f t="shared" ca="1" si="42"/>
        <v>35000</v>
      </c>
      <c r="D255" s="182">
        <f t="shared" ca="1" si="43"/>
        <v>23.333333333333332</v>
      </c>
      <c r="E255" s="182">
        <v>0</v>
      </c>
      <c r="F255" s="182">
        <f t="shared" ca="1" si="36"/>
        <v>0</v>
      </c>
      <c r="G255" s="182">
        <f t="shared" ca="1" si="44"/>
        <v>2776.6666666667065</v>
      </c>
      <c r="H255" s="182">
        <f t="shared" ca="1" si="45"/>
        <v>35000</v>
      </c>
      <c r="I255" s="183">
        <v>0</v>
      </c>
      <c r="J255" s="263">
        <f t="shared" ca="1" si="35"/>
        <v>32223.333333333292</v>
      </c>
      <c r="K255" s="182">
        <f t="shared" ca="1" si="37"/>
        <v>70</v>
      </c>
      <c r="L255" s="182">
        <f t="shared" ca="1" si="38"/>
        <v>5623.3333333333239</v>
      </c>
      <c r="M255" s="182">
        <f t="shared" ca="1" si="39"/>
        <v>5623.3333333333239</v>
      </c>
      <c r="N255" s="182">
        <f t="shared" ca="1" si="40"/>
        <v>22493.333333333296</v>
      </c>
      <c r="O255" s="182"/>
    </row>
    <row r="256" spans="1:15" x14ac:dyDescent="0.25">
      <c r="A256" s="180">
        <f t="shared" ca="1" si="41"/>
        <v>46346</v>
      </c>
      <c r="B256" s="181">
        <v>242</v>
      </c>
      <c r="C256" s="182">
        <f t="shared" ca="1" si="42"/>
        <v>35000</v>
      </c>
      <c r="D256" s="182">
        <f t="shared" ca="1" si="43"/>
        <v>23.333333333333332</v>
      </c>
      <c r="E256" s="182">
        <v>0</v>
      </c>
      <c r="F256" s="182">
        <f t="shared" ca="1" si="36"/>
        <v>0</v>
      </c>
      <c r="G256" s="182">
        <f t="shared" ca="1" si="44"/>
        <v>2753.333333333373</v>
      </c>
      <c r="H256" s="182">
        <f t="shared" ca="1" si="45"/>
        <v>35000</v>
      </c>
      <c r="I256" s="183">
        <v>0</v>
      </c>
      <c r="J256" s="263">
        <f t="shared" ca="1" si="35"/>
        <v>32246.666666666628</v>
      </c>
      <c r="K256" s="182">
        <f t="shared" ca="1" si="37"/>
        <v>70</v>
      </c>
      <c r="L256" s="182">
        <f t="shared" ca="1" si="38"/>
        <v>5646.666666666657</v>
      </c>
      <c r="M256" s="182">
        <f t="shared" ca="1" si="39"/>
        <v>5646.666666666657</v>
      </c>
      <c r="N256" s="182">
        <f t="shared" ca="1" si="40"/>
        <v>22586.666666666628</v>
      </c>
      <c r="O256" s="182"/>
    </row>
    <row r="257" spans="1:15" x14ac:dyDescent="0.25">
      <c r="A257" s="180">
        <f t="shared" ca="1" si="41"/>
        <v>46347</v>
      </c>
      <c r="B257" s="181">
        <v>243</v>
      </c>
      <c r="C257" s="182">
        <f t="shared" ca="1" si="42"/>
        <v>35000</v>
      </c>
      <c r="D257" s="182">
        <f t="shared" ca="1" si="43"/>
        <v>23.333333333333332</v>
      </c>
      <c r="E257" s="182">
        <v>0</v>
      </c>
      <c r="F257" s="182">
        <f t="shared" ca="1" si="36"/>
        <v>0</v>
      </c>
      <c r="G257" s="182">
        <f t="shared" ca="1" si="44"/>
        <v>2730.0000000000396</v>
      </c>
      <c r="H257" s="182">
        <f t="shared" ca="1" si="45"/>
        <v>35000</v>
      </c>
      <c r="I257" s="183">
        <v>0</v>
      </c>
      <c r="J257" s="263">
        <f t="shared" ca="1" si="35"/>
        <v>32269.99999999996</v>
      </c>
      <c r="K257" s="182">
        <f t="shared" ca="1" si="37"/>
        <v>70</v>
      </c>
      <c r="L257" s="182">
        <f t="shared" ca="1" si="38"/>
        <v>5669.99999999999</v>
      </c>
      <c r="M257" s="182">
        <f t="shared" ca="1" si="39"/>
        <v>5669.99999999999</v>
      </c>
      <c r="N257" s="182">
        <f t="shared" ca="1" si="40"/>
        <v>22679.99999999996</v>
      </c>
      <c r="O257" s="182"/>
    </row>
    <row r="258" spans="1:15" x14ac:dyDescent="0.25">
      <c r="A258" s="180">
        <f t="shared" ca="1" si="41"/>
        <v>46348</v>
      </c>
      <c r="B258" s="181">
        <v>244</v>
      </c>
      <c r="C258" s="182">
        <f t="shared" ca="1" si="42"/>
        <v>35000</v>
      </c>
      <c r="D258" s="182">
        <f t="shared" ca="1" si="43"/>
        <v>23.333333333333332</v>
      </c>
      <c r="E258" s="182">
        <v>0</v>
      </c>
      <c r="F258" s="182">
        <f t="shared" ca="1" si="36"/>
        <v>0</v>
      </c>
      <c r="G258" s="182">
        <f t="shared" ca="1" si="44"/>
        <v>2706.6666666667061</v>
      </c>
      <c r="H258" s="182">
        <f t="shared" ca="1" si="45"/>
        <v>35000</v>
      </c>
      <c r="I258" s="183">
        <v>0</v>
      </c>
      <c r="J258" s="263">
        <f t="shared" ca="1" si="35"/>
        <v>32293.333333333292</v>
      </c>
      <c r="K258" s="182">
        <f t="shared" ca="1" si="37"/>
        <v>70</v>
      </c>
      <c r="L258" s="182">
        <f t="shared" ca="1" si="38"/>
        <v>5693.333333333323</v>
      </c>
      <c r="M258" s="182">
        <f t="shared" ca="1" si="39"/>
        <v>5693.333333333323</v>
      </c>
      <c r="N258" s="182">
        <f t="shared" ca="1" si="40"/>
        <v>22773.333333333292</v>
      </c>
      <c r="O258" s="182"/>
    </row>
    <row r="259" spans="1:15" x14ac:dyDescent="0.25">
      <c r="A259" s="180">
        <f t="shared" ca="1" si="41"/>
        <v>46349</v>
      </c>
      <c r="B259" s="181">
        <v>245</v>
      </c>
      <c r="C259" s="182">
        <f t="shared" ca="1" si="42"/>
        <v>35000</v>
      </c>
      <c r="D259" s="182">
        <f t="shared" ca="1" si="43"/>
        <v>23.333333333333332</v>
      </c>
      <c r="E259" s="182">
        <v>0</v>
      </c>
      <c r="F259" s="182">
        <f t="shared" ca="1" si="36"/>
        <v>0</v>
      </c>
      <c r="G259" s="182">
        <f t="shared" ca="1" si="44"/>
        <v>2683.3333333333726</v>
      </c>
      <c r="H259" s="182">
        <f t="shared" ca="1" si="45"/>
        <v>35000</v>
      </c>
      <c r="I259" s="183">
        <v>0</v>
      </c>
      <c r="J259" s="263">
        <f t="shared" ca="1" si="35"/>
        <v>32316.666666666628</v>
      </c>
      <c r="K259" s="182">
        <f t="shared" ca="1" si="37"/>
        <v>70</v>
      </c>
      <c r="L259" s="182">
        <f t="shared" ca="1" si="38"/>
        <v>5716.6666666666561</v>
      </c>
      <c r="M259" s="182">
        <f t="shared" ca="1" si="39"/>
        <v>5716.6666666666561</v>
      </c>
      <c r="N259" s="182">
        <f t="shared" ca="1" si="40"/>
        <v>22866.666666666624</v>
      </c>
      <c r="O259" s="182"/>
    </row>
    <row r="260" spans="1:15" x14ac:dyDescent="0.25">
      <c r="A260" s="180">
        <f t="shared" ca="1" si="41"/>
        <v>46350</v>
      </c>
      <c r="B260" s="181">
        <v>246</v>
      </c>
      <c r="C260" s="182">
        <f t="shared" ca="1" si="42"/>
        <v>35000</v>
      </c>
      <c r="D260" s="182">
        <f t="shared" ca="1" si="43"/>
        <v>23.333333333333332</v>
      </c>
      <c r="E260" s="182">
        <v>0</v>
      </c>
      <c r="F260" s="182">
        <f t="shared" ca="1" si="36"/>
        <v>0</v>
      </c>
      <c r="G260" s="182">
        <f t="shared" ca="1" si="44"/>
        <v>2660.0000000000391</v>
      </c>
      <c r="H260" s="182">
        <f t="shared" ca="1" si="45"/>
        <v>35000</v>
      </c>
      <c r="I260" s="183">
        <v>0</v>
      </c>
      <c r="J260" s="263">
        <f t="shared" ca="1" si="35"/>
        <v>32339.99999999996</v>
      </c>
      <c r="K260" s="182">
        <f t="shared" ca="1" si="37"/>
        <v>70</v>
      </c>
      <c r="L260" s="182">
        <f t="shared" ca="1" si="38"/>
        <v>5739.9999999999891</v>
      </c>
      <c r="M260" s="182">
        <f t="shared" ca="1" si="39"/>
        <v>5739.9999999999891</v>
      </c>
      <c r="N260" s="182">
        <f t="shared" ca="1" si="40"/>
        <v>22959.999999999956</v>
      </c>
      <c r="O260" s="182"/>
    </row>
    <row r="261" spans="1:15" x14ac:dyDescent="0.25">
      <c r="A261" s="180">
        <f t="shared" ca="1" si="41"/>
        <v>46351</v>
      </c>
      <c r="B261" s="181">
        <v>247</v>
      </c>
      <c r="C261" s="182">
        <f t="shared" ca="1" si="42"/>
        <v>35000</v>
      </c>
      <c r="D261" s="182">
        <f t="shared" ca="1" si="43"/>
        <v>23.333333333333332</v>
      </c>
      <c r="E261" s="182">
        <v>0</v>
      </c>
      <c r="F261" s="182">
        <f t="shared" ca="1" si="36"/>
        <v>0</v>
      </c>
      <c r="G261" s="182">
        <f t="shared" ca="1" si="44"/>
        <v>2636.6666666667056</v>
      </c>
      <c r="H261" s="182">
        <f t="shared" ca="1" si="45"/>
        <v>35000</v>
      </c>
      <c r="I261" s="183">
        <v>0</v>
      </c>
      <c r="J261" s="263">
        <f t="shared" ca="1" si="35"/>
        <v>32363.333333333296</v>
      </c>
      <c r="K261" s="182">
        <f t="shared" ca="1" si="37"/>
        <v>70</v>
      </c>
      <c r="L261" s="182">
        <f t="shared" ca="1" si="38"/>
        <v>5763.3333333333221</v>
      </c>
      <c r="M261" s="182">
        <f t="shared" ca="1" si="39"/>
        <v>5763.3333333333221</v>
      </c>
      <c r="N261" s="182">
        <f t="shared" ca="1" si="40"/>
        <v>23053.333333333288</v>
      </c>
      <c r="O261" s="182"/>
    </row>
    <row r="262" spans="1:15" x14ac:dyDescent="0.25">
      <c r="A262" s="180">
        <f t="shared" ca="1" si="41"/>
        <v>46352</v>
      </c>
      <c r="B262" s="181">
        <v>248</v>
      </c>
      <c r="C262" s="182">
        <f t="shared" ca="1" si="42"/>
        <v>35000</v>
      </c>
      <c r="D262" s="182">
        <f t="shared" ca="1" si="43"/>
        <v>23.333333333333332</v>
      </c>
      <c r="E262" s="182">
        <v>0</v>
      </c>
      <c r="F262" s="182">
        <f t="shared" ca="1" si="36"/>
        <v>0</v>
      </c>
      <c r="G262" s="182">
        <f t="shared" ca="1" si="44"/>
        <v>2613.3333333333721</v>
      </c>
      <c r="H262" s="182">
        <f t="shared" ca="1" si="45"/>
        <v>35000</v>
      </c>
      <c r="I262" s="183">
        <v>0</v>
      </c>
      <c r="J262" s="263">
        <f t="shared" ca="1" si="35"/>
        <v>32386.666666666628</v>
      </c>
      <c r="K262" s="182">
        <f t="shared" ca="1" si="37"/>
        <v>70</v>
      </c>
      <c r="L262" s="182">
        <f t="shared" ca="1" si="38"/>
        <v>5786.6666666666551</v>
      </c>
      <c r="M262" s="182">
        <f t="shared" ca="1" si="39"/>
        <v>5786.6666666666551</v>
      </c>
      <c r="N262" s="182">
        <f t="shared" ca="1" si="40"/>
        <v>23146.666666666621</v>
      </c>
      <c r="O262" s="182"/>
    </row>
    <row r="263" spans="1:15" x14ac:dyDescent="0.25">
      <c r="A263" s="180">
        <f t="shared" ca="1" si="41"/>
        <v>46353</v>
      </c>
      <c r="B263" s="181">
        <v>249</v>
      </c>
      <c r="C263" s="182">
        <f t="shared" ca="1" si="42"/>
        <v>35000</v>
      </c>
      <c r="D263" s="182">
        <f t="shared" ca="1" si="43"/>
        <v>23.333333333333332</v>
      </c>
      <c r="E263" s="182">
        <v>0</v>
      </c>
      <c r="F263" s="182">
        <f t="shared" ca="1" si="36"/>
        <v>0</v>
      </c>
      <c r="G263" s="182">
        <f t="shared" ca="1" si="44"/>
        <v>2590.0000000000387</v>
      </c>
      <c r="H263" s="182">
        <f t="shared" ca="1" si="45"/>
        <v>35000</v>
      </c>
      <c r="I263" s="183">
        <v>0</v>
      </c>
      <c r="J263" s="263">
        <f t="shared" ca="1" si="35"/>
        <v>32409.99999999996</v>
      </c>
      <c r="K263" s="182">
        <f t="shared" ca="1" si="37"/>
        <v>70</v>
      </c>
      <c r="L263" s="182">
        <f t="shared" ca="1" si="38"/>
        <v>5809.9999999999882</v>
      </c>
      <c r="M263" s="182">
        <f t="shared" ca="1" si="39"/>
        <v>5809.9999999999882</v>
      </c>
      <c r="N263" s="182">
        <f t="shared" ca="1" si="40"/>
        <v>23239.999999999953</v>
      </c>
      <c r="O263" s="182"/>
    </row>
    <row r="264" spans="1:15" x14ac:dyDescent="0.25">
      <c r="A264" s="180">
        <f t="shared" ca="1" si="41"/>
        <v>46354</v>
      </c>
      <c r="B264" s="181">
        <v>250</v>
      </c>
      <c r="C264" s="182">
        <f t="shared" ca="1" si="42"/>
        <v>35000</v>
      </c>
      <c r="D264" s="182">
        <f t="shared" ca="1" si="43"/>
        <v>23.333333333333332</v>
      </c>
      <c r="E264" s="182">
        <v>0</v>
      </c>
      <c r="F264" s="182">
        <f t="shared" ca="1" si="36"/>
        <v>0</v>
      </c>
      <c r="G264" s="182">
        <f t="shared" ca="1" si="44"/>
        <v>2566.6666666667052</v>
      </c>
      <c r="H264" s="182">
        <f t="shared" ca="1" si="45"/>
        <v>35000</v>
      </c>
      <c r="I264" s="183">
        <v>0</v>
      </c>
      <c r="J264" s="263">
        <f t="shared" ca="1" si="35"/>
        <v>32433.333333333296</v>
      </c>
      <c r="K264" s="182">
        <f t="shared" ca="1" si="37"/>
        <v>70</v>
      </c>
      <c r="L264" s="182">
        <f t="shared" ca="1" si="38"/>
        <v>5833.3333333333212</v>
      </c>
      <c r="M264" s="182">
        <f t="shared" ca="1" si="39"/>
        <v>5833.3333333333212</v>
      </c>
      <c r="N264" s="182">
        <f t="shared" ca="1" si="40"/>
        <v>23333.333333333285</v>
      </c>
      <c r="O264" s="182"/>
    </row>
    <row r="265" spans="1:15" x14ac:dyDescent="0.25">
      <c r="A265" s="180">
        <f t="shared" ca="1" si="41"/>
        <v>46355</v>
      </c>
      <c r="B265" s="181">
        <v>251</v>
      </c>
      <c r="C265" s="182">
        <f t="shared" ca="1" si="42"/>
        <v>35000</v>
      </c>
      <c r="D265" s="182">
        <f t="shared" ca="1" si="43"/>
        <v>23.333333333333332</v>
      </c>
      <c r="E265" s="182">
        <v>0</v>
      </c>
      <c r="F265" s="182">
        <f t="shared" ca="1" si="36"/>
        <v>0</v>
      </c>
      <c r="G265" s="182">
        <f t="shared" ca="1" si="44"/>
        <v>2543.3333333333717</v>
      </c>
      <c r="H265" s="182">
        <f t="shared" ca="1" si="45"/>
        <v>35000</v>
      </c>
      <c r="I265" s="183">
        <v>0</v>
      </c>
      <c r="J265" s="263">
        <f t="shared" ca="1" si="35"/>
        <v>32456.666666666628</v>
      </c>
      <c r="K265" s="182">
        <f t="shared" ca="1" si="37"/>
        <v>70</v>
      </c>
      <c r="L265" s="182">
        <f t="shared" ca="1" si="38"/>
        <v>5856.6666666666542</v>
      </c>
      <c r="M265" s="182">
        <f t="shared" ca="1" si="39"/>
        <v>5856.6666666666542</v>
      </c>
      <c r="N265" s="182">
        <f t="shared" ca="1" si="40"/>
        <v>23426.666666666617</v>
      </c>
      <c r="O265" s="182"/>
    </row>
    <row r="266" spans="1:15" x14ac:dyDescent="0.25">
      <c r="A266" s="180">
        <f t="shared" ca="1" si="41"/>
        <v>46356</v>
      </c>
      <c r="B266" s="181">
        <v>252</v>
      </c>
      <c r="C266" s="182">
        <f t="shared" ca="1" si="42"/>
        <v>35000</v>
      </c>
      <c r="D266" s="182">
        <f t="shared" ca="1" si="43"/>
        <v>23.333333333333332</v>
      </c>
      <c r="E266" s="182">
        <v>0</v>
      </c>
      <c r="F266" s="182">
        <f t="shared" ca="1" si="36"/>
        <v>0</v>
      </c>
      <c r="G266" s="182">
        <f t="shared" ca="1" si="44"/>
        <v>2520.0000000000382</v>
      </c>
      <c r="H266" s="182">
        <f t="shared" ca="1" si="45"/>
        <v>35000</v>
      </c>
      <c r="I266" s="183">
        <v>0</v>
      </c>
      <c r="J266" s="263">
        <f t="shared" ca="1" si="35"/>
        <v>32479.999999999964</v>
      </c>
      <c r="K266" s="182">
        <f t="shared" ca="1" si="37"/>
        <v>70</v>
      </c>
      <c r="L266" s="182">
        <f t="shared" ca="1" si="38"/>
        <v>5879.9999999999873</v>
      </c>
      <c r="M266" s="182">
        <f t="shared" ca="1" si="39"/>
        <v>5879.9999999999873</v>
      </c>
      <c r="N266" s="182">
        <f t="shared" ca="1" si="40"/>
        <v>23519.999999999949</v>
      </c>
      <c r="O266" s="182"/>
    </row>
    <row r="267" spans="1:15" x14ac:dyDescent="0.25">
      <c r="A267" s="180">
        <f t="shared" ca="1" si="41"/>
        <v>46357</v>
      </c>
      <c r="B267" s="181">
        <v>253</v>
      </c>
      <c r="C267" s="182">
        <f t="shared" ca="1" si="42"/>
        <v>35000</v>
      </c>
      <c r="D267" s="182">
        <f t="shared" ca="1" si="43"/>
        <v>23.333333333333332</v>
      </c>
      <c r="E267" s="182">
        <v>0</v>
      </c>
      <c r="F267" s="182">
        <f t="shared" ca="1" si="36"/>
        <v>0</v>
      </c>
      <c r="G267" s="182">
        <f t="shared" ca="1" si="44"/>
        <v>2496.6666666667047</v>
      </c>
      <c r="H267" s="182">
        <f t="shared" ca="1" si="45"/>
        <v>35000</v>
      </c>
      <c r="I267" s="183">
        <v>0</v>
      </c>
      <c r="J267" s="263">
        <f t="shared" ca="1" si="35"/>
        <v>32503.333333333296</v>
      </c>
      <c r="K267" s="182">
        <f t="shared" ca="1" si="37"/>
        <v>70</v>
      </c>
      <c r="L267" s="182">
        <f t="shared" ca="1" si="38"/>
        <v>5903.3333333333203</v>
      </c>
      <c r="M267" s="182">
        <f t="shared" ca="1" si="39"/>
        <v>5903.3333333333203</v>
      </c>
      <c r="N267" s="182">
        <f t="shared" ca="1" si="40"/>
        <v>23613.333333333281</v>
      </c>
      <c r="O267" s="182"/>
    </row>
    <row r="268" spans="1:15" x14ac:dyDescent="0.25">
      <c r="A268" s="180">
        <f t="shared" ca="1" si="41"/>
        <v>46358</v>
      </c>
      <c r="B268" s="181">
        <v>254</v>
      </c>
      <c r="C268" s="182">
        <f t="shared" ca="1" si="42"/>
        <v>35000</v>
      </c>
      <c r="D268" s="182">
        <f t="shared" ca="1" si="43"/>
        <v>23.333333333333332</v>
      </c>
      <c r="E268" s="182">
        <v>0</v>
      </c>
      <c r="F268" s="182">
        <f t="shared" ca="1" si="36"/>
        <v>0</v>
      </c>
      <c r="G268" s="182">
        <f t="shared" ca="1" si="44"/>
        <v>2473.3333333333712</v>
      </c>
      <c r="H268" s="182">
        <f t="shared" ca="1" si="45"/>
        <v>35000</v>
      </c>
      <c r="I268" s="183">
        <v>0</v>
      </c>
      <c r="J268" s="263">
        <f t="shared" ca="1" si="35"/>
        <v>32526.666666666628</v>
      </c>
      <c r="K268" s="182">
        <f t="shared" ca="1" si="37"/>
        <v>70</v>
      </c>
      <c r="L268" s="182">
        <f t="shared" ca="1" si="38"/>
        <v>5926.6666666666533</v>
      </c>
      <c r="M268" s="182">
        <f t="shared" ca="1" si="39"/>
        <v>5926.6666666666533</v>
      </c>
      <c r="N268" s="182">
        <f t="shared" ca="1" si="40"/>
        <v>23706.666666666613</v>
      </c>
      <c r="O268" s="182"/>
    </row>
    <row r="269" spans="1:15" x14ac:dyDescent="0.25">
      <c r="A269" s="180">
        <f t="shared" ca="1" si="41"/>
        <v>46359</v>
      </c>
      <c r="B269" s="181">
        <v>255</v>
      </c>
      <c r="C269" s="182">
        <f t="shared" ca="1" si="42"/>
        <v>35000</v>
      </c>
      <c r="D269" s="182">
        <f t="shared" ca="1" si="43"/>
        <v>23.333333333333332</v>
      </c>
      <c r="E269" s="182">
        <v>0</v>
      </c>
      <c r="F269" s="182">
        <f t="shared" ca="1" si="36"/>
        <v>0</v>
      </c>
      <c r="G269" s="182">
        <f t="shared" ca="1" si="44"/>
        <v>2450.0000000000377</v>
      </c>
      <c r="H269" s="182">
        <f t="shared" ca="1" si="45"/>
        <v>35000</v>
      </c>
      <c r="I269" s="183">
        <v>0</v>
      </c>
      <c r="J269" s="263">
        <f t="shared" ca="1" si="35"/>
        <v>32549.999999999964</v>
      </c>
      <c r="K269" s="182">
        <f t="shared" ca="1" si="37"/>
        <v>70</v>
      </c>
      <c r="L269" s="182">
        <f t="shared" ca="1" si="38"/>
        <v>5949.9999999999864</v>
      </c>
      <c r="M269" s="182">
        <f t="shared" ca="1" si="39"/>
        <v>5949.9999999999864</v>
      </c>
      <c r="N269" s="182">
        <f t="shared" ca="1" si="40"/>
        <v>23799.999999999945</v>
      </c>
      <c r="O269" s="182"/>
    </row>
    <row r="270" spans="1:15" x14ac:dyDescent="0.25">
      <c r="A270" s="180">
        <f t="shared" ca="1" si="41"/>
        <v>46360</v>
      </c>
      <c r="B270" s="181">
        <v>256</v>
      </c>
      <c r="C270" s="182">
        <f t="shared" ca="1" si="42"/>
        <v>35000</v>
      </c>
      <c r="D270" s="182">
        <f t="shared" ca="1" si="43"/>
        <v>23.333333333333332</v>
      </c>
      <c r="E270" s="182">
        <v>0</v>
      </c>
      <c r="F270" s="182">
        <f t="shared" ca="1" si="36"/>
        <v>0</v>
      </c>
      <c r="G270" s="182">
        <f t="shared" ca="1" si="44"/>
        <v>2426.6666666667043</v>
      </c>
      <c r="H270" s="182">
        <f t="shared" ca="1" si="45"/>
        <v>35000</v>
      </c>
      <c r="I270" s="183">
        <v>0</v>
      </c>
      <c r="J270" s="263">
        <f t="shared" ca="1" si="35"/>
        <v>32573.333333333296</v>
      </c>
      <c r="K270" s="182">
        <f t="shared" ca="1" si="37"/>
        <v>70</v>
      </c>
      <c r="L270" s="182">
        <f t="shared" ca="1" si="38"/>
        <v>5973.3333333333194</v>
      </c>
      <c r="M270" s="182">
        <f t="shared" ca="1" si="39"/>
        <v>5973.3333333333194</v>
      </c>
      <c r="N270" s="182">
        <f t="shared" ca="1" si="40"/>
        <v>23893.333333333278</v>
      </c>
      <c r="O270" s="182"/>
    </row>
    <row r="271" spans="1:15" x14ac:dyDescent="0.25">
      <c r="A271" s="180">
        <f t="shared" ca="1" si="41"/>
        <v>46361</v>
      </c>
      <c r="B271" s="181">
        <v>257</v>
      </c>
      <c r="C271" s="182">
        <f t="shared" ca="1" si="42"/>
        <v>35000</v>
      </c>
      <c r="D271" s="182">
        <f t="shared" ca="1" si="43"/>
        <v>23.333333333333332</v>
      </c>
      <c r="E271" s="182">
        <v>0</v>
      </c>
      <c r="F271" s="182">
        <f t="shared" ca="1" si="36"/>
        <v>0</v>
      </c>
      <c r="G271" s="182">
        <f t="shared" ca="1" si="44"/>
        <v>2403.3333333333708</v>
      </c>
      <c r="H271" s="182">
        <f t="shared" ca="1" si="45"/>
        <v>35000</v>
      </c>
      <c r="I271" s="183">
        <v>0</v>
      </c>
      <c r="J271" s="263">
        <f t="shared" ref="J271:J334" ca="1" si="46">H271-IF(I$8-G271&lt;Q$42,I$8-Q$42,G271)</f>
        <v>32596.666666666628</v>
      </c>
      <c r="K271" s="182">
        <f t="shared" ca="1" si="37"/>
        <v>70</v>
      </c>
      <c r="L271" s="182">
        <f t="shared" ca="1" si="38"/>
        <v>5996.6666666666524</v>
      </c>
      <c r="M271" s="182">
        <f t="shared" ca="1" si="39"/>
        <v>5996.6666666666524</v>
      </c>
      <c r="N271" s="182">
        <f t="shared" ca="1" si="40"/>
        <v>23986.66666666661</v>
      </c>
      <c r="O271" s="182"/>
    </row>
    <row r="272" spans="1:15" x14ac:dyDescent="0.25">
      <c r="A272" s="180">
        <f t="shared" ca="1" si="41"/>
        <v>46362</v>
      </c>
      <c r="B272" s="181">
        <v>258</v>
      </c>
      <c r="C272" s="182">
        <f t="shared" ca="1" si="42"/>
        <v>35000</v>
      </c>
      <c r="D272" s="182">
        <f t="shared" ca="1" si="43"/>
        <v>23.333333333333332</v>
      </c>
      <c r="E272" s="182">
        <v>0</v>
      </c>
      <c r="F272" s="182">
        <f t="shared" ref="F272:F335" ca="1" si="47">IFERROR(-VLOOKUP(A272,$P$4:$R$12,2,FALSE),0)</f>
        <v>0</v>
      </c>
      <c r="G272" s="182">
        <f t="shared" ca="1" si="44"/>
        <v>2380.0000000000373</v>
      </c>
      <c r="H272" s="182">
        <f t="shared" ca="1" si="45"/>
        <v>35000</v>
      </c>
      <c r="I272" s="183">
        <v>0</v>
      </c>
      <c r="J272" s="263">
        <f t="shared" ca="1" si="46"/>
        <v>32619.999999999964</v>
      </c>
      <c r="K272" s="182">
        <f t="shared" ref="K272:K335" ca="1" si="48">$L$3/($C$11-$C$8)</f>
        <v>70</v>
      </c>
      <c r="L272" s="182">
        <f t="shared" ref="L272:L335" ca="1" si="49">L271+D272</f>
        <v>6019.9999999999854</v>
      </c>
      <c r="M272" s="182">
        <f t="shared" ref="M272:M335" ca="1" si="50">IF($I$8&gt;L272,L272,$I$8)</f>
        <v>6019.9999999999854</v>
      </c>
      <c r="N272" s="182">
        <f t="shared" ref="N272:N335" ca="1" si="51">N271+D272+K272+I272</f>
        <v>24079.999999999942</v>
      </c>
      <c r="O272" s="182"/>
    </row>
    <row r="273" spans="1:15" x14ac:dyDescent="0.25">
      <c r="A273" s="180">
        <f t="shared" ref="A273:A336" ca="1" si="52">A272+1</f>
        <v>46363</v>
      </c>
      <c r="B273" s="181">
        <v>259</v>
      </c>
      <c r="C273" s="182">
        <f t="shared" ref="C273:C336" ca="1" si="53">H272</f>
        <v>35000</v>
      </c>
      <c r="D273" s="182">
        <f t="shared" ref="D273:D336" ca="1" si="54">(($C$6/360))*C273</f>
        <v>23.333333333333332</v>
      </c>
      <c r="E273" s="182">
        <v>0</v>
      </c>
      <c r="F273" s="182">
        <f t="shared" ca="1" si="47"/>
        <v>0</v>
      </c>
      <c r="G273" s="182">
        <f t="shared" ref="G273:G336" ca="1" si="55">IF(G272-D273-E273&gt;0,G272-D273-E273,0)</f>
        <v>2356.6666666667038</v>
      </c>
      <c r="H273" s="182">
        <f t="shared" ca="1" si="45"/>
        <v>35000</v>
      </c>
      <c r="I273" s="183">
        <v>0</v>
      </c>
      <c r="J273" s="263">
        <f t="shared" ca="1" si="46"/>
        <v>32643.333333333296</v>
      </c>
      <c r="K273" s="182">
        <f t="shared" ca="1" si="48"/>
        <v>70</v>
      </c>
      <c r="L273" s="182">
        <f t="shared" ca="1" si="49"/>
        <v>6043.3333333333185</v>
      </c>
      <c r="M273" s="182">
        <f t="shared" ca="1" si="50"/>
        <v>6043.3333333333185</v>
      </c>
      <c r="N273" s="182">
        <f t="shared" ca="1" si="51"/>
        <v>24173.333333333274</v>
      </c>
      <c r="O273" s="182"/>
    </row>
    <row r="274" spans="1:15" x14ac:dyDescent="0.25">
      <c r="A274" s="180">
        <f t="shared" ca="1" si="52"/>
        <v>46364</v>
      </c>
      <c r="B274" s="181">
        <v>260</v>
      </c>
      <c r="C274" s="182">
        <f t="shared" ca="1" si="53"/>
        <v>35000</v>
      </c>
      <c r="D274" s="182">
        <f t="shared" ca="1" si="54"/>
        <v>23.333333333333332</v>
      </c>
      <c r="E274" s="182">
        <v>0</v>
      </c>
      <c r="F274" s="182">
        <f t="shared" ca="1" si="47"/>
        <v>0</v>
      </c>
      <c r="G274" s="182">
        <f t="shared" ca="1" si="55"/>
        <v>2333.3333333333703</v>
      </c>
      <c r="H274" s="182">
        <f t="shared" ca="1" si="45"/>
        <v>35000</v>
      </c>
      <c r="I274" s="183">
        <v>0</v>
      </c>
      <c r="J274" s="263">
        <f t="shared" ca="1" si="46"/>
        <v>32666.666666666628</v>
      </c>
      <c r="K274" s="182">
        <f t="shared" ca="1" si="48"/>
        <v>70</v>
      </c>
      <c r="L274" s="182">
        <f t="shared" ca="1" si="49"/>
        <v>6066.6666666666515</v>
      </c>
      <c r="M274" s="182">
        <f t="shared" ca="1" si="50"/>
        <v>6066.6666666666515</v>
      </c>
      <c r="N274" s="182">
        <f t="shared" ca="1" si="51"/>
        <v>24266.666666666606</v>
      </c>
      <c r="O274" s="182"/>
    </row>
    <row r="275" spans="1:15" x14ac:dyDescent="0.25">
      <c r="A275" s="180">
        <f t="shared" ca="1" si="52"/>
        <v>46365</v>
      </c>
      <c r="B275" s="181">
        <v>261</v>
      </c>
      <c r="C275" s="182">
        <f t="shared" ca="1" si="53"/>
        <v>35000</v>
      </c>
      <c r="D275" s="182">
        <f t="shared" ca="1" si="54"/>
        <v>23.333333333333332</v>
      </c>
      <c r="E275" s="182">
        <v>0</v>
      </c>
      <c r="F275" s="182">
        <f t="shared" ca="1" si="47"/>
        <v>0</v>
      </c>
      <c r="G275" s="182">
        <f t="shared" ca="1" si="55"/>
        <v>2310.0000000000368</v>
      </c>
      <c r="H275" s="182">
        <f t="shared" ca="1" si="45"/>
        <v>35000</v>
      </c>
      <c r="I275" s="183">
        <v>0</v>
      </c>
      <c r="J275" s="263">
        <f t="shared" ca="1" si="46"/>
        <v>32689.999999999964</v>
      </c>
      <c r="K275" s="182">
        <f t="shared" ca="1" si="48"/>
        <v>70</v>
      </c>
      <c r="L275" s="182">
        <f t="shared" ca="1" si="49"/>
        <v>6089.9999999999845</v>
      </c>
      <c r="M275" s="182">
        <f t="shared" ca="1" si="50"/>
        <v>6089.9999999999845</v>
      </c>
      <c r="N275" s="182">
        <f t="shared" ca="1" si="51"/>
        <v>24359.999999999938</v>
      </c>
      <c r="O275" s="182"/>
    </row>
    <row r="276" spans="1:15" x14ac:dyDescent="0.25">
      <c r="A276" s="180">
        <f t="shared" ca="1" si="52"/>
        <v>46366</v>
      </c>
      <c r="B276" s="181">
        <v>262</v>
      </c>
      <c r="C276" s="182">
        <f t="shared" ca="1" si="53"/>
        <v>35000</v>
      </c>
      <c r="D276" s="182">
        <f t="shared" ca="1" si="54"/>
        <v>23.333333333333332</v>
      </c>
      <c r="E276" s="182">
        <v>0</v>
      </c>
      <c r="F276" s="182">
        <f t="shared" ca="1" si="47"/>
        <v>0</v>
      </c>
      <c r="G276" s="182">
        <f t="shared" ca="1" si="55"/>
        <v>2286.6666666667033</v>
      </c>
      <c r="H276" s="182">
        <f t="shared" ca="1" si="45"/>
        <v>35000</v>
      </c>
      <c r="I276" s="183">
        <v>0</v>
      </c>
      <c r="J276" s="263">
        <f t="shared" ca="1" si="46"/>
        <v>32713.333333333296</v>
      </c>
      <c r="K276" s="182">
        <f t="shared" ca="1" si="48"/>
        <v>70</v>
      </c>
      <c r="L276" s="182">
        <f t="shared" ca="1" si="49"/>
        <v>6113.3333333333176</v>
      </c>
      <c r="M276" s="182">
        <f t="shared" ca="1" si="50"/>
        <v>6113.3333333333176</v>
      </c>
      <c r="N276" s="182">
        <f t="shared" ca="1" si="51"/>
        <v>24453.33333333327</v>
      </c>
      <c r="O276" s="182"/>
    </row>
    <row r="277" spans="1:15" x14ac:dyDescent="0.25">
      <c r="A277" s="180">
        <f t="shared" ca="1" si="52"/>
        <v>46367</v>
      </c>
      <c r="B277" s="181">
        <v>263</v>
      </c>
      <c r="C277" s="182">
        <f t="shared" ca="1" si="53"/>
        <v>35000</v>
      </c>
      <c r="D277" s="182">
        <f t="shared" ca="1" si="54"/>
        <v>23.333333333333332</v>
      </c>
      <c r="E277" s="182">
        <v>0</v>
      </c>
      <c r="F277" s="182">
        <f t="shared" ca="1" si="47"/>
        <v>0</v>
      </c>
      <c r="G277" s="182">
        <f t="shared" ca="1" si="55"/>
        <v>2263.3333333333699</v>
      </c>
      <c r="H277" s="182">
        <f t="shared" ca="1" si="45"/>
        <v>35000</v>
      </c>
      <c r="I277" s="183">
        <v>0</v>
      </c>
      <c r="J277" s="263">
        <f t="shared" ca="1" si="46"/>
        <v>32736.666666666631</v>
      </c>
      <c r="K277" s="182">
        <f t="shared" ca="1" si="48"/>
        <v>70</v>
      </c>
      <c r="L277" s="182">
        <f t="shared" ca="1" si="49"/>
        <v>6136.6666666666506</v>
      </c>
      <c r="M277" s="182">
        <f t="shared" ca="1" si="50"/>
        <v>6136.6666666666506</v>
      </c>
      <c r="N277" s="182">
        <f t="shared" ca="1" si="51"/>
        <v>24546.666666666602</v>
      </c>
      <c r="O277" s="182"/>
    </row>
    <row r="278" spans="1:15" x14ac:dyDescent="0.25">
      <c r="A278" s="180">
        <f t="shared" ca="1" si="52"/>
        <v>46368</v>
      </c>
      <c r="B278" s="181">
        <v>264</v>
      </c>
      <c r="C278" s="182">
        <f t="shared" ca="1" si="53"/>
        <v>35000</v>
      </c>
      <c r="D278" s="182">
        <f t="shared" ca="1" si="54"/>
        <v>23.333333333333332</v>
      </c>
      <c r="E278" s="182">
        <v>0</v>
      </c>
      <c r="F278" s="182">
        <f t="shared" ca="1" si="47"/>
        <v>0</v>
      </c>
      <c r="G278" s="182">
        <f t="shared" ca="1" si="55"/>
        <v>2240.0000000000364</v>
      </c>
      <c r="H278" s="182">
        <f t="shared" ca="1" si="45"/>
        <v>35000</v>
      </c>
      <c r="I278" s="183">
        <v>0</v>
      </c>
      <c r="J278" s="263">
        <f t="shared" ca="1" si="46"/>
        <v>32759.999999999964</v>
      </c>
      <c r="K278" s="182">
        <f t="shared" ca="1" si="48"/>
        <v>70</v>
      </c>
      <c r="L278" s="182">
        <f t="shared" ca="1" si="49"/>
        <v>6159.9999999999836</v>
      </c>
      <c r="M278" s="182">
        <f t="shared" ca="1" si="50"/>
        <v>6159.9999999999836</v>
      </c>
      <c r="N278" s="182">
        <f t="shared" ca="1" si="51"/>
        <v>24639.999999999935</v>
      </c>
      <c r="O278" s="182"/>
    </row>
    <row r="279" spans="1:15" x14ac:dyDescent="0.25">
      <c r="A279" s="180">
        <f t="shared" ca="1" si="52"/>
        <v>46369</v>
      </c>
      <c r="B279" s="181">
        <v>265</v>
      </c>
      <c r="C279" s="182">
        <f t="shared" ca="1" si="53"/>
        <v>35000</v>
      </c>
      <c r="D279" s="182">
        <f t="shared" ca="1" si="54"/>
        <v>23.333333333333332</v>
      </c>
      <c r="E279" s="182">
        <v>0</v>
      </c>
      <c r="F279" s="182">
        <f t="shared" ca="1" si="47"/>
        <v>0</v>
      </c>
      <c r="G279" s="182">
        <f t="shared" ca="1" si="55"/>
        <v>2216.6666666667029</v>
      </c>
      <c r="H279" s="182">
        <f t="shared" ca="1" si="45"/>
        <v>35000</v>
      </c>
      <c r="I279" s="183">
        <v>0</v>
      </c>
      <c r="J279" s="263">
        <f t="shared" ca="1" si="46"/>
        <v>32783.333333333299</v>
      </c>
      <c r="K279" s="182">
        <f t="shared" ca="1" si="48"/>
        <v>70</v>
      </c>
      <c r="L279" s="182">
        <f t="shared" ca="1" si="49"/>
        <v>6183.3333333333167</v>
      </c>
      <c r="M279" s="182">
        <f t="shared" ca="1" si="50"/>
        <v>6183.3333333333167</v>
      </c>
      <c r="N279" s="182">
        <f t="shared" ca="1" si="51"/>
        <v>24733.333333333267</v>
      </c>
      <c r="O279" s="182"/>
    </row>
    <row r="280" spans="1:15" x14ac:dyDescent="0.25">
      <c r="A280" s="180">
        <f t="shared" ca="1" si="52"/>
        <v>46370</v>
      </c>
      <c r="B280" s="181">
        <v>266</v>
      </c>
      <c r="C280" s="182">
        <f t="shared" ca="1" si="53"/>
        <v>35000</v>
      </c>
      <c r="D280" s="182">
        <f t="shared" ca="1" si="54"/>
        <v>23.333333333333332</v>
      </c>
      <c r="E280" s="182">
        <v>0</v>
      </c>
      <c r="F280" s="182">
        <f t="shared" ca="1" si="47"/>
        <v>0</v>
      </c>
      <c r="G280" s="182">
        <f t="shared" ca="1" si="55"/>
        <v>2193.3333333333694</v>
      </c>
      <c r="H280" s="182">
        <f t="shared" ca="1" si="45"/>
        <v>35000</v>
      </c>
      <c r="I280" s="183">
        <v>0</v>
      </c>
      <c r="J280" s="263">
        <f t="shared" ca="1" si="46"/>
        <v>32806.666666666628</v>
      </c>
      <c r="K280" s="182">
        <f t="shared" ca="1" si="48"/>
        <v>70</v>
      </c>
      <c r="L280" s="182">
        <f t="shared" ca="1" si="49"/>
        <v>6206.6666666666497</v>
      </c>
      <c r="M280" s="182">
        <f t="shared" ca="1" si="50"/>
        <v>6206.6666666666497</v>
      </c>
      <c r="N280" s="182">
        <f t="shared" ca="1" si="51"/>
        <v>24826.666666666599</v>
      </c>
      <c r="O280" s="182"/>
    </row>
    <row r="281" spans="1:15" x14ac:dyDescent="0.25">
      <c r="A281" s="180">
        <f t="shared" ca="1" si="52"/>
        <v>46371</v>
      </c>
      <c r="B281" s="181">
        <v>267</v>
      </c>
      <c r="C281" s="182">
        <f t="shared" ca="1" si="53"/>
        <v>35000</v>
      </c>
      <c r="D281" s="182">
        <f t="shared" ca="1" si="54"/>
        <v>23.333333333333332</v>
      </c>
      <c r="E281" s="182">
        <v>0</v>
      </c>
      <c r="F281" s="182">
        <f t="shared" ca="1" si="47"/>
        <v>0</v>
      </c>
      <c r="G281" s="182">
        <f t="shared" ca="1" si="55"/>
        <v>2170.0000000000359</v>
      </c>
      <c r="H281" s="182">
        <f t="shared" ca="1" si="45"/>
        <v>35000</v>
      </c>
      <c r="I281" s="183">
        <v>0</v>
      </c>
      <c r="J281" s="263">
        <f t="shared" ca="1" si="46"/>
        <v>32829.999999999964</v>
      </c>
      <c r="K281" s="182">
        <f t="shared" ca="1" si="48"/>
        <v>70</v>
      </c>
      <c r="L281" s="182">
        <f t="shared" ca="1" si="49"/>
        <v>6229.9999999999827</v>
      </c>
      <c r="M281" s="182">
        <f t="shared" ca="1" si="50"/>
        <v>6229.9999999999827</v>
      </c>
      <c r="N281" s="182">
        <f t="shared" ca="1" si="51"/>
        <v>24919.999999999931</v>
      </c>
      <c r="O281" s="182"/>
    </row>
    <row r="282" spans="1:15" x14ac:dyDescent="0.25">
      <c r="A282" s="180">
        <f t="shared" ca="1" si="52"/>
        <v>46372</v>
      </c>
      <c r="B282" s="181">
        <v>268</v>
      </c>
      <c r="C282" s="182">
        <f t="shared" ca="1" si="53"/>
        <v>35000</v>
      </c>
      <c r="D282" s="182">
        <f t="shared" ca="1" si="54"/>
        <v>23.333333333333332</v>
      </c>
      <c r="E282" s="182">
        <v>0</v>
      </c>
      <c r="F282" s="182">
        <f t="shared" ca="1" si="47"/>
        <v>0</v>
      </c>
      <c r="G282" s="182">
        <f t="shared" ca="1" si="55"/>
        <v>2146.6666666667024</v>
      </c>
      <c r="H282" s="182">
        <f t="shared" ca="1" si="45"/>
        <v>35000</v>
      </c>
      <c r="I282" s="183">
        <v>0</v>
      </c>
      <c r="J282" s="263">
        <f t="shared" ca="1" si="46"/>
        <v>32853.333333333299</v>
      </c>
      <c r="K282" s="182">
        <f t="shared" ca="1" si="48"/>
        <v>70</v>
      </c>
      <c r="L282" s="182">
        <f t="shared" ca="1" si="49"/>
        <v>6253.3333333333157</v>
      </c>
      <c r="M282" s="182">
        <f t="shared" ca="1" si="50"/>
        <v>6253.3333333333157</v>
      </c>
      <c r="N282" s="182">
        <f t="shared" ca="1" si="51"/>
        <v>25013.333333333263</v>
      </c>
      <c r="O282" s="182"/>
    </row>
    <row r="283" spans="1:15" x14ac:dyDescent="0.25">
      <c r="A283" s="180">
        <f t="shared" ca="1" si="52"/>
        <v>46373</v>
      </c>
      <c r="B283" s="181">
        <v>269</v>
      </c>
      <c r="C283" s="182">
        <f t="shared" ca="1" si="53"/>
        <v>35000</v>
      </c>
      <c r="D283" s="182">
        <f t="shared" ca="1" si="54"/>
        <v>23.333333333333332</v>
      </c>
      <c r="E283" s="182">
        <v>0</v>
      </c>
      <c r="F283" s="182">
        <f t="shared" ca="1" si="47"/>
        <v>0</v>
      </c>
      <c r="G283" s="182">
        <f t="shared" ca="1" si="55"/>
        <v>2123.333333333369</v>
      </c>
      <c r="H283" s="182">
        <f t="shared" ca="1" si="45"/>
        <v>35000</v>
      </c>
      <c r="I283" s="183">
        <v>0</v>
      </c>
      <c r="J283" s="263">
        <f t="shared" ca="1" si="46"/>
        <v>32876.666666666628</v>
      </c>
      <c r="K283" s="182">
        <f t="shared" ca="1" si="48"/>
        <v>70</v>
      </c>
      <c r="L283" s="182">
        <f t="shared" ca="1" si="49"/>
        <v>6276.6666666666488</v>
      </c>
      <c r="M283" s="182">
        <f t="shared" ca="1" si="50"/>
        <v>6276.6666666666488</v>
      </c>
      <c r="N283" s="182">
        <f t="shared" ca="1" si="51"/>
        <v>25106.666666666595</v>
      </c>
      <c r="O283" s="182"/>
    </row>
    <row r="284" spans="1:15" x14ac:dyDescent="0.25">
      <c r="A284" s="180">
        <f t="shared" ca="1" si="52"/>
        <v>46374</v>
      </c>
      <c r="B284" s="181">
        <v>270</v>
      </c>
      <c r="C284" s="182">
        <f t="shared" ca="1" si="53"/>
        <v>35000</v>
      </c>
      <c r="D284" s="182">
        <f t="shared" ca="1" si="54"/>
        <v>23.333333333333332</v>
      </c>
      <c r="E284" s="182">
        <v>0</v>
      </c>
      <c r="F284" s="182">
        <f t="shared" ca="1" si="47"/>
        <v>0</v>
      </c>
      <c r="G284" s="182">
        <f t="shared" ca="1" si="55"/>
        <v>2100.0000000000355</v>
      </c>
      <c r="H284" s="182">
        <f t="shared" ca="1" si="45"/>
        <v>35000</v>
      </c>
      <c r="I284" s="183">
        <v>0</v>
      </c>
      <c r="J284" s="263">
        <f t="shared" ca="1" si="46"/>
        <v>32899.999999999964</v>
      </c>
      <c r="K284" s="182">
        <f t="shared" ca="1" si="48"/>
        <v>70</v>
      </c>
      <c r="L284" s="182">
        <f t="shared" ca="1" si="49"/>
        <v>6299.9999999999818</v>
      </c>
      <c r="M284" s="182">
        <f t="shared" ca="1" si="50"/>
        <v>6299.9999999999818</v>
      </c>
      <c r="N284" s="182">
        <f t="shared" ca="1" si="51"/>
        <v>25199.999999999927</v>
      </c>
      <c r="O284" s="182"/>
    </row>
    <row r="285" spans="1:15" x14ac:dyDescent="0.25">
      <c r="A285" s="180">
        <f t="shared" ca="1" si="52"/>
        <v>46375</v>
      </c>
      <c r="B285" s="181">
        <v>271</v>
      </c>
      <c r="C285" s="182">
        <f t="shared" ca="1" si="53"/>
        <v>35000</v>
      </c>
      <c r="D285" s="182">
        <f t="shared" ca="1" si="54"/>
        <v>23.333333333333332</v>
      </c>
      <c r="E285" s="182">
        <v>0</v>
      </c>
      <c r="F285" s="182">
        <f t="shared" ca="1" si="47"/>
        <v>0</v>
      </c>
      <c r="G285" s="182">
        <f t="shared" ca="1" si="55"/>
        <v>2076.666666666702</v>
      </c>
      <c r="H285" s="182">
        <f t="shared" ca="1" si="45"/>
        <v>35000</v>
      </c>
      <c r="I285" s="183">
        <v>0</v>
      </c>
      <c r="J285" s="263">
        <f t="shared" ca="1" si="46"/>
        <v>32923.333333333299</v>
      </c>
      <c r="K285" s="182">
        <f t="shared" ca="1" si="48"/>
        <v>70</v>
      </c>
      <c r="L285" s="182">
        <f t="shared" ca="1" si="49"/>
        <v>6323.3333333333148</v>
      </c>
      <c r="M285" s="182">
        <f t="shared" ca="1" si="50"/>
        <v>6323.3333333333148</v>
      </c>
      <c r="N285" s="182">
        <f t="shared" ca="1" si="51"/>
        <v>25293.333333333259</v>
      </c>
      <c r="O285" s="182"/>
    </row>
    <row r="286" spans="1:15" x14ac:dyDescent="0.25">
      <c r="A286" s="180">
        <f t="shared" ca="1" si="52"/>
        <v>46376</v>
      </c>
      <c r="B286" s="181">
        <v>272</v>
      </c>
      <c r="C286" s="182">
        <f t="shared" ca="1" si="53"/>
        <v>35000</v>
      </c>
      <c r="D286" s="182">
        <f t="shared" ca="1" si="54"/>
        <v>23.333333333333332</v>
      </c>
      <c r="E286" s="182">
        <v>0</v>
      </c>
      <c r="F286" s="182">
        <f t="shared" ca="1" si="47"/>
        <v>0</v>
      </c>
      <c r="G286" s="182">
        <f t="shared" ca="1" si="55"/>
        <v>2053.3333333333685</v>
      </c>
      <c r="H286" s="182">
        <f t="shared" ca="1" si="45"/>
        <v>35000</v>
      </c>
      <c r="I286" s="183">
        <v>0</v>
      </c>
      <c r="J286" s="263">
        <f t="shared" ca="1" si="46"/>
        <v>32946.666666666628</v>
      </c>
      <c r="K286" s="182">
        <f t="shared" ca="1" si="48"/>
        <v>70</v>
      </c>
      <c r="L286" s="182">
        <f t="shared" ca="1" si="49"/>
        <v>6346.6666666666479</v>
      </c>
      <c r="M286" s="182">
        <f t="shared" ca="1" si="50"/>
        <v>6346.6666666666479</v>
      </c>
      <c r="N286" s="182">
        <f t="shared" ca="1" si="51"/>
        <v>25386.666666666591</v>
      </c>
      <c r="O286" s="182"/>
    </row>
    <row r="287" spans="1:15" x14ac:dyDescent="0.25">
      <c r="A287" s="180">
        <f t="shared" ca="1" si="52"/>
        <v>46377</v>
      </c>
      <c r="B287" s="181">
        <v>273</v>
      </c>
      <c r="C287" s="182">
        <f t="shared" ca="1" si="53"/>
        <v>35000</v>
      </c>
      <c r="D287" s="182">
        <f t="shared" ca="1" si="54"/>
        <v>23.333333333333332</v>
      </c>
      <c r="E287" s="182">
        <v>0</v>
      </c>
      <c r="F287" s="182">
        <f t="shared" ca="1" si="47"/>
        <v>0</v>
      </c>
      <c r="G287" s="182">
        <f t="shared" ca="1" si="55"/>
        <v>2030.0000000000352</v>
      </c>
      <c r="H287" s="182">
        <f t="shared" ca="1" si="45"/>
        <v>35000</v>
      </c>
      <c r="I287" s="183">
        <v>0</v>
      </c>
      <c r="J287" s="263">
        <f t="shared" ca="1" si="46"/>
        <v>32969.999999999964</v>
      </c>
      <c r="K287" s="182">
        <f t="shared" ca="1" si="48"/>
        <v>70</v>
      </c>
      <c r="L287" s="182">
        <f t="shared" ca="1" si="49"/>
        <v>6369.9999999999809</v>
      </c>
      <c r="M287" s="182">
        <f t="shared" ca="1" si="50"/>
        <v>6369.9999999999809</v>
      </c>
      <c r="N287" s="182">
        <f t="shared" ca="1" si="51"/>
        <v>25479.999999999924</v>
      </c>
      <c r="O287" s="182"/>
    </row>
    <row r="288" spans="1:15" x14ac:dyDescent="0.25">
      <c r="A288" s="180">
        <f t="shared" ca="1" si="52"/>
        <v>46378</v>
      </c>
      <c r="B288" s="181">
        <v>274</v>
      </c>
      <c r="C288" s="182">
        <f t="shared" ca="1" si="53"/>
        <v>35000</v>
      </c>
      <c r="D288" s="182">
        <f t="shared" ca="1" si="54"/>
        <v>23.333333333333332</v>
      </c>
      <c r="E288" s="182">
        <v>0</v>
      </c>
      <c r="F288" s="182">
        <f t="shared" ca="1" si="47"/>
        <v>0</v>
      </c>
      <c r="G288" s="182">
        <f t="shared" ca="1" si="55"/>
        <v>2006.666666666702</v>
      </c>
      <c r="H288" s="182">
        <f t="shared" ca="1" si="45"/>
        <v>35000</v>
      </c>
      <c r="I288" s="183">
        <v>0</v>
      </c>
      <c r="J288" s="263">
        <f t="shared" ca="1" si="46"/>
        <v>32993.333333333299</v>
      </c>
      <c r="K288" s="182">
        <f t="shared" ca="1" si="48"/>
        <v>70</v>
      </c>
      <c r="L288" s="182">
        <f t="shared" ca="1" si="49"/>
        <v>6393.3333333333139</v>
      </c>
      <c r="M288" s="182">
        <f t="shared" ca="1" si="50"/>
        <v>6393.3333333333139</v>
      </c>
      <c r="N288" s="182">
        <f t="shared" ca="1" si="51"/>
        <v>25573.333333333256</v>
      </c>
      <c r="O288" s="182"/>
    </row>
    <row r="289" spans="1:15" x14ac:dyDescent="0.25">
      <c r="A289" s="180">
        <f t="shared" ca="1" si="52"/>
        <v>46379</v>
      </c>
      <c r="B289" s="181">
        <v>275</v>
      </c>
      <c r="C289" s="182">
        <f t="shared" ca="1" si="53"/>
        <v>35000</v>
      </c>
      <c r="D289" s="182">
        <f t="shared" ca="1" si="54"/>
        <v>23.333333333333332</v>
      </c>
      <c r="E289" s="182">
        <v>0</v>
      </c>
      <c r="F289" s="182">
        <f t="shared" ca="1" si="47"/>
        <v>0</v>
      </c>
      <c r="G289" s="182">
        <f t="shared" ca="1" si="55"/>
        <v>1983.3333333333687</v>
      </c>
      <c r="H289" s="182">
        <f t="shared" ca="1" si="45"/>
        <v>35000</v>
      </c>
      <c r="I289" s="183">
        <v>0</v>
      </c>
      <c r="J289" s="263">
        <f t="shared" ca="1" si="46"/>
        <v>33016.666666666628</v>
      </c>
      <c r="K289" s="182">
        <f t="shared" ca="1" si="48"/>
        <v>70</v>
      </c>
      <c r="L289" s="182">
        <f t="shared" ca="1" si="49"/>
        <v>6416.666666666647</v>
      </c>
      <c r="M289" s="182">
        <f t="shared" ca="1" si="50"/>
        <v>6416.666666666647</v>
      </c>
      <c r="N289" s="182">
        <f t="shared" ca="1" si="51"/>
        <v>25666.666666666588</v>
      </c>
      <c r="O289" s="182"/>
    </row>
    <row r="290" spans="1:15" x14ac:dyDescent="0.25">
      <c r="A290" s="180">
        <f t="shared" ca="1" si="52"/>
        <v>46380</v>
      </c>
      <c r="B290" s="181">
        <v>276</v>
      </c>
      <c r="C290" s="182">
        <f t="shared" ca="1" si="53"/>
        <v>35000</v>
      </c>
      <c r="D290" s="182">
        <f t="shared" ca="1" si="54"/>
        <v>23.333333333333332</v>
      </c>
      <c r="E290" s="182">
        <v>0</v>
      </c>
      <c r="F290" s="182">
        <f t="shared" ca="1" si="47"/>
        <v>0</v>
      </c>
      <c r="G290" s="182">
        <f t="shared" ca="1" si="55"/>
        <v>1960.0000000000355</v>
      </c>
      <c r="H290" s="182">
        <f t="shared" ca="1" si="45"/>
        <v>35000</v>
      </c>
      <c r="I290" s="183">
        <v>0</v>
      </c>
      <c r="J290" s="263">
        <f t="shared" ca="1" si="46"/>
        <v>33039.999999999964</v>
      </c>
      <c r="K290" s="182">
        <f t="shared" ca="1" si="48"/>
        <v>70</v>
      </c>
      <c r="L290" s="182">
        <f t="shared" ca="1" si="49"/>
        <v>6439.99999999998</v>
      </c>
      <c r="M290" s="182">
        <f t="shared" ca="1" si="50"/>
        <v>6439.99999999998</v>
      </c>
      <c r="N290" s="182">
        <f t="shared" ca="1" si="51"/>
        <v>25759.99999999992</v>
      </c>
      <c r="O290" s="182"/>
    </row>
    <row r="291" spans="1:15" x14ac:dyDescent="0.25">
      <c r="A291" s="180">
        <f t="shared" ca="1" si="52"/>
        <v>46381</v>
      </c>
      <c r="B291" s="181">
        <v>277</v>
      </c>
      <c r="C291" s="182">
        <f t="shared" ca="1" si="53"/>
        <v>35000</v>
      </c>
      <c r="D291" s="182">
        <f t="shared" ca="1" si="54"/>
        <v>23.333333333333332</v>
      </c>
      <c r="E291" s="182">
        <v>0</v>
      </c>
      <c r="F291" s="182">
        <f t="shared" ca="1" si="47"/>
        <v>0</v>
      </c>
      <c r="G291" s="182">
        <f t="shared" ca="1" si="55"/>
        <v>1936.6666666667022</v>
      </c>
      <c r="H291" s="182">
        <f t="shared" ref="H291:H354" ca="1" si="56">IF(G291&gt;0,C291+F291+I291,SUM(C291:F291)-G290)</f>
        <v>35000</v>
      </c>
      <c r="I291" s="183">
        <v>0</v>
      </c>
      <c r="J291" s="263">
        <f t="shared" ca="1" si="46"/>
        <v>33063.333333333299</v>
      </c>
      <c r="K291" s="182">
        <f t="shared" ca="1" si="48"/>
        <v>70</v>
      </c>
      <c r="L291" s="182">
        <f t="shared" ca="1" si="49"/>
        <v>6463.333333333313</v>
      </c>
      <c r="M291" s="182">
        <f t="shared" ca="1" si="50"/>
        <v>6463.333333333313</v>
      </c>
      <c r="N291" s="182">
        <f t="shared" ca="1" si="51"/>
        <v>25853.333333333252</v>
      </c>
      <c r="O291" s="182"/>
    </row>
    <row r="292" spans="1:15" x14ac:dyDescent="0.25">
      <c r="A292" s="180">
        <f t="shared" ca="1" si="52"/>
        <v>46382</v>
      </c>
      <c r="B292" s="181">
        <v>278</v>
      </c>
      <c r="C292" s="182">
        <f t="shared" ca="1" si="53"/>
        <v>35000</v>
      </c>
      <c r="D292" s="182">
        <f t="shared" ca="1" si="54"/>
        <v>23.333333333333332</v>
      </c>
      <c r="E292" s="182">
        <v>0</v>
      </c>
      <c r="F292" s="182">
        <f t="shared" ca="1" si="47"/>
        <v>0</v>
      </c>
      <c r="G292" s="182">
        <f t="shared" ca="1" si="55"/>
        <v>1913.333333333369</v>
      </c>
      <c r="H292" s="182">
        <f t="shared" ca="1" si="56"/>
        <v>35000</v>
      </c>
      <c r="I292" s="183">
        <v>0</v>
      </c>
      <c r="J292" s="263">
        <f t="shared" ca="1" si="46"/>
        <v>33086.666666666628</v>
      </c>
      <c r="K292" s="182">
        <f t="shared" ca="1" si="48"/>
        <v>70</v>
      </c>
      <c r="L292" s="182">
        <f t="shared" ca="1" si="49"/>
        <v>6486.6666666666461</v>
      </c>
      <c r="M292" s="182">
        <f t="shared" ca="1" si="50"/>
        <v>6486.6666666666461</v>
      </c>
      <c r="N292" s="182">
        <f t="shared" ca="1" si="51"/>
        <v>25946.666666666584</v>
      </c>
      <c r="O292" s="182"/>
    </row>
    <row r="293" spans="1:15" x14ac:dyDescent="0.25">
      <c r="A293" s="180">
        <f t="shared" ca="1" si="52"/>
        <v>46383</v>
      </c>
      <c r="B293" s="181">
        <v>279</v>
      </c>
      <c r="C293" s="182">
        <f t="shared" ca="1" si="53"/>
        <v>35000</v>
      </c>
      <c r="D293" s="182">
        <f t="shared" ca="1" si="54"/>
        <v>23.333333333333332</v>
      </c>
      <c r="E293" s="182">
        <v>0</v>
      </c>
      <c r="F293" s="182">
        <f t="shared" ca="1" si="47"/>
        <v>0</v>
      </c>
      <c r="G293" s="182">
        <f t="shared" ca="1" si="55"/>
        <v>1890.0000000000357</v>
      </c>
      <c r="H293" s="182">
        <f t="shared" ca="1" si="56"/>
        <v>35000</v>
      </c>
      <c r="I293" s="183">
        <v>0</v>
      </c>
      <c r="J293" s="263">
        <f t="shared" ca="1" si="46"/>
        <v>33109.999999999964</v>
      </c>
      <c r="K293" s="182">
        <f t="shared" ca="1" si="48"/>
        <v>70</v>
      </c>
      <c r="L293" s="182">
        <f t="shared" ca="1" si="49"/>
        <v>6509.9999999999791</v>
      </c>
      <c r="M293" s="182">
        <f t="shared" ca="1" si="50"/>
        <v>6509.9999999999791</v>
      </c>
      <c r="N293" s="182">
        <f t="shared" ca="1" si="51"/>
        <v>26039.999999999916</v>
      </c>
      <c r="O293" s="182"/>
    </row>
    <row r="294" spans="1:15" x14ac:dyDescent="0.25">
      <c r="A294" s="180">
        <f t="shared" ca="1" si="52"/>
        <v>46384</v>
      </c>
      <c r="B294" s="181">
        <v>280</v>
      </c>
      <c r="C294" s="182">
        <f t="shared" ca="1" si="53"/>
        <v>35000</v>
      </c>
      <c r="D294" s="182">
        <f t="shared" ca="1" si="54"/>
        <v>23.333333333333332</v>
      </c>
      <c r="E294" s="182">
        <v>0</v>
      </c>
      <c r="F294" s="182">
        <f t="shared" ca="1" si="47"/>
        <v>0</v>
      </c>
      <c r="G294" s="182">
        <f t="shared" ca="1" si="55"/>
        <v>1866.6666666667024</v>
      </c>
      <c r="H294" s="182">
        <f t="shared" ca="1" si="56"/>
        <v>35000</v>
      </c>
      <c r="I294" s="183">
        <v>0</v>
      </c>
      <c r="J294" s="263">
        <f t="shared" ca="1" si="46"/>
        <v>33133.333333333299</v>
      </c>
      <c r="K294" s="182">
        <f t="shared" ca="1" si="48"/>
        <v>70</v>
      </c>
      <c r="L294" s="182">
        <f t="shared" ca="1" si="49"/>
        <v>6533.3333333333121</v>
      </c>
      <c r="M294" s="182">
        <f t="shared" ca="1" si="50"/>
        <v>6533.3333333333121</v>
      </c>
      <c r="N294" s="182">
        <f t="shared" ca="1" si="51"/>
        <v>26133.333333333248</v>
      </c>
      <c r="O294" s="182"/>
    </row>
    <row r="295" spans="1:15" x14ac:dyDescent="0.25">
      <c r="A295" s="180">
        <f t="shared" ca="1" si="52"/>
        <v>46385</v>
      </c>
      <c r="B295" s="181">
        <v>281</v>
      </c>
      <c r="C295" s="182">
        <f t="shared" ca="1" si="53"/>
        <v>35000</v>
      </c>
      <c r="D295" s="182">
        <f t="shared" ca="1" si="54"/>
        <v>23.333333333333332</v>
      </c>
      <c r="E295" s="182">
        <v>0</v>
      </c>
      <c r="F295" s="182">
        <f t="shared" ca="1" si="47"/>
        <v>0</v>
      </c>
      <c r="G295" s="182">
        <f t="shared" ca="1" si="55"/>
        <v>1843.3333333333692</v>
      </c>
      <c r="H295" s="182">
        <f t="shared" ca="1" si="56"/>
        <v>35000</v>
      </c>
      <c r="I295" s="183">
        <v>0</v>
      </c>
      <c r="J295" s="263">
        <f t="shared" ca="1" si="46"/>
        <v>33156.666666666628</v>
      </c>
      <c r="K295" s="182">
        <f t="shared" ca="1" si="48"/>
        <v>70</v>
      </c>
      <c r="L295" s="182">
        <f t="shared" ca="1" si="49"/>
        <v>6556.6666666666451</v>
      </c>
      <c r="M295" s="182">
        <f t="shared" ca="1" si="50"/>
        <v>6556.6666666666451</v>
      </c>
      <c r="N295" s="182">
        <f t="shared" ca="1" si="51"/>
        <v>26226.666666666581</v>
      </c>
      <c r="O295" s="182"/>
    </row>
    <row r="296" spans="1:15" x14ac:dyDescent="0.25">
      <c r="A296" s="180">
        <f t="shared" ca="1" si="52"/>
        <v>46386</v>
      </c>
      <c r="B296" s="181">
        <v>282</v>
      </c>
      <c r="C296" s="182">
        <f t="shared" ca="1" si="53"/>
        <v>35000</v>
      </c>
      <c r="D296" s="182">
        <f t="shared" ca="1" si="54"/>
        <v>23.333333333333332</v>
      </c>
      <c r="E296" s="182">
        <v>0</v>
      </c>
      <c r="F296" s="182">
        <f t="shared" ca="1" si="47"/>
        <v>0</v>
      </c>
      <c r="G296" s="182">
        <f t="shared" ca="1" si="55"/>
        <v>1820.0000000000359</v>
      </c>
      <c r="H296" s="182">
        <f t="shared" ca="1" si="56"/>
        <v>35000</v>
      </c>
      <c r="I296" s="183">
        <v>0</v>
      </c>
      <c r="J296" s="263">
        <f t="shared" ca="1" si="46"/>
        <v>33179.999999999964</v>
      </c>
      <c r="K296" s="182">
        <f t="shared" ca="1" si="48"/>
        <v>70</v>
      </c>
      <c r="L296" s="182">
        <f t="shared" ca="1" si="49"/>
        <v>6579.9999999999782</v>
      </c>
      <c r="M296" s="182">
        <f t="shared" ca="1" si="50"/>
        <v>6579.9999999999782</v>
      </c>
      <c r="N296" s="182">
        <f t="shared" ca="1" si="51"/>
        <v>26319.999999999913</v>
      </c>
      <c r="O296" s="182"/>
    </row>
    <row r="297" spans="1:15" x14ac:dyDescent="0.25">
      <c r="A297" s="180">
        <f t="shared" ca="1" si="52"/>
        <v>46387</v>
      </c>
      <c r="B297" s="181">
        <v>283</v>
      </c>
      <c r="C297" s="182">
        <f t="shared" ca="1" si="53"/>
        <v>35000</v>
      </c>
      <c r="D297" s="182">
        <f t="shared" ca="1" si="54"/>
        <v>23.333333333333332</v>
      </c>
      <c r="E297" s="182">
        <v>0</v>
      </c>
      <c r="F297" s="182">
        <f t="shared" ca="1" si="47"/>
        <v>0</v>
      </c>
      <c r="G297" s="182">
        <f t="shared" ca="1" si="55"/>
        <v>1796.6666666667027</v>
      </c>
      <c r="H297" s="182">
        <f t="shared" ca="1" si="56"/>
        <v>35000</v>
      </c>
      <c r="I297" s="183">
        <v>0</v>
      </c>
      <c r="J297" s="263">
        <f t="shared" ca="1" si="46"/>
        <v>33203.333333333299</v>
      </c>
      <c r="K297" s="182">
        <f t="shared" ca="1" si="48"/>
        <v>70</v>
      </c>
      <c r="L297" s="182">
        <f t="shared" ca="1" si="49"/>
        <v>6603.3333333333112</v>
      </c>
      <c r="M297" s="182">
        <f t="shared" ca="1" si="50"/>
        <v>6603.3333333333112</v>
      </c>
      <c r="N297" s="182">
        <f t="shared" ca="1" si="51"/>
        <v>26413.333333333245</v>
      </c>
      <c r="O297" s="182"/>
    </row>
    <row r="298" spans="1:15" x14ac:dyDescent="0.25">
      <c r="A298" s="180">
        <f t="shared" ca="1" si="52"/>
        <v>46388</v>
      </c>
      <c r="B298" s="181">
        <v>284</v>
      </c>
      <c r="C298" s="182">
        <f t="shared" ca="1" si="53"/>
        <v>35000</v>
      </c>
      <c r="D298" s="182">
        <f t="shared" ca="1" si="54"/>
        <v>23.333333333333332</v>
      </c>
      <c r="E298" s="182">
        <v>0</v>
      </c>
      <c r="F298" s="182">
        <f t="shared" ca="1" si="47"/>
        <v>0</v>
      </c>
      <c r="G298" s="182">
        <f t="shared" ca="1" si="55"/>
        <v>1773.3333333333694</v>
      </c>
      <c r="H298" s="182">
        <f t="shared" ca="1" si="56"/>
        <v>35000</v>
      </c>
      <c r="I298" s="183">
        <v>0</v>
      </c>
      <c r="J298" s="263">
        <f t="shared" ca="1" si="46"/>
        <v>33226.666666666628</v>
      </c>
      <c r="K298" s="182">
        <f t="shared" ca="1" si="48"/>
        <v>70</v>
      </c>
      <c r="L298" s="182">
        <f t="shared" ca="1" si="49"/>
        <v>6626.6666666666442</v>
      </c>
      <c r="M298" s="182">
        <f t="shared" ca="1" si="50"/>
        <v>6626.6666666666442</v>
      </c>
      <c r="N298" s="182">
        <f t="shared" ca="1" si="51"/>
        <v>26506.666666666577</v>
      </c>
      <c r="O298" s="182"/>
    </row>
    <row r="299" spans="1:15" x14ac:dyDescent="0.25">
      <c r="A299" s="180">
        <f t="shared" ca="1" si="52"/>
        <v>46389</v>
      </c>
      <c r="B299" s="181">
        <v>285</v>
      </c>
      <c r="C299" s="182">
        <f t="shared" ca="1" si="53"/>
        <v>35000</v>
      </c>
      <c r="D299" s="182">
        <f t="shared" ca="1" si="54"/>
        <v>23.333333333333332</v>
      </c>
      <c r="E299" s="182">
        <v>0</v>
      </c>
      <c r="F299" s="182">
        <f t="shared" ca="1" si="47"/>
        <v>0</v>
      </c>
      <c r="G299" s="182">
        <f t="shared" ca="1" si="55"/>
        <v>1750.0000000000362</v>
      </c>
      <c r="H299" s="182">
        <f t="shared" ca="1" si="56"/>
        <v>35000</v>
      </c>
      <c r="I299" s="183">
        <v>0</v>
      </c>
      <c r="J299" s="263">
        <f t="shared" ca="1" si="46"/>
        <v>33249.999999999964</v>
      </c>
      <c r="K299" s="182">
        <f t="shared" ca="1" si="48"/>
        <v>70</v>
      </c>
      <c r="L299" s="182">
        <f t="shared" ca="1" si="49"/>
        <v>6649.9999999999773</v>
      </c>
      <c r="M299" s="182">
        <f t="shared" ca="1" si="50"/>
        <v>6649.9999999999773</v>
      </c>
      <c r="N299" s="182">
        <f t="shared" ca="1" si="51"/>
        <v>26599.999999999909</v>
      </c>
      <c r="O299" s="182"/>
    </row>
    <row r="300" spans="1:15" x14ac:dyDescent="0.25">
      <c r="A300" s="180">
        <f t="shared" ca="1" si="52"/>
        <v>46390</v>
      </c>
      <c r="B300" s="181">
        <v>286</v>
      </c>
      <c r="C300" s="182">
        <f t="shared" ca="1" si="53"/>
        <v>35000</v>
      </c>
      <c r="D300" s="182">
        <f t="shared" ca="1" si="54"/>
        <v>23.333333333333332</v>
      </c>
      <c r="E300" s="182">
        <v>0</v>
      </c>
      <c r="F300" s="182">
        <f t="shared" ca="1" si="47"/>
        <v>0</v>
      </c>
      <c r="G300" s="182">
        <f t="shared" ca="1" si="55"/>
        <v>1726.6666666667029</v>
      </c>
      <c r="H300" s="182">
        <f t="shared" ca="1" si="56"/>
        <v>35000</v>
      </c>
      <c r="I300" s="183">
        <v>0</v>
      </c>
      <c r="J300" s="263">
        <f t="shared" ca="1" si="46"/>
        <v>33273.333333333299</v>
      </c>
      <c r="K300" s="182">
        <f t="shared" ca="1" si="48"/>
        <v>70</v>
      </c>
      <c r="L300" s="182">
        <f t="shared" ca="1" si="49"/>
        <v>6673.3333333333103</v>
      </c>
      <c r="M300" s="182">
        <f t="shared" ca="1" si="50"/>
        <v>6673.3333333333103</v>
      </c>
      <c r="N300" s="182">
        <f t="shared" ca="1" si="51"/>
        <v>26693.333333333241</v>
      </c>
      <c r="O300" s="182"/>
    </row>
    <row r="301" spans="1:15" x14ac:dyDescent="0.25">
      <c r="A301" s="180">
        <f t="shared" ca="1" si="52"/>
        <v>46391</v>
      </c>
      <c r="B301" s="181">
        <v>287</v>
      </c>
      <c r="C301" s="182">
        <f t="shared" ca="1" si="53"/>
        <v>35000</v>
      </c>
      <c r="D301" s="182">
        <f t="shared" ca="1" si="54"/>
        <v>23.333333333333332</v>
      </c>
      <c r="E301" s="182">
        <v>0</v>
      </c>
      <c r="F301" s="182">
        <f t="shared" ca="1" si="47"/>
        <v>0</v>
      </c>
      <c r="G301" s="182">
        <f t="shared" ca="1" si="55"/>
        <v>1703.3333333333696</v>
      </c>
      <c r="H301" s="182">
        <f t="shared" ca="1" si="56"/>
        <v>35000</v>
      </c>
      <c r="I301" s="183">
        <v>0</v>
      </c>
      <c r="J301" s="263">
        <f t="shared" ca="1" si="46"/>
        <v>33296.666666666628</v>
      </c>
      <c r="K301" s="182">
        <f t="shared" ca="1" si="48"/>
        <v>70</v>
      </c>
      <c r="L301" s="182">
        <f t="shared" ca="1" si="49"/>
        <v>6696.6666666666433</v>
      </c>
      <c r="M301" s="182">
        <f t="shared" ca="1" si="50"/>
        <v>6696.6666666666433</v>
      </c>
      <c r="N301" s="182">
        <f t="shared" ca="1" si="51"/>
        <v>26786.666666666573</v>
      </c>
      <c r="O301" s="182"/>
    </row>
    <row r="302" spans="1:15" x14ac:dyDescent="0.25">
      <c r="A302" s="180">
        <f t="shared" ca="1" si="52"/>
        <v>46392</v>
      </c>
      <c r="B302" s="181">
        <v>288</v>
      </c>
      <c r="C302" s="182">
        <f t="shared" ca="1" si="53"/>
        <v>35000</v>
      </c>
      <c r="D302" s="182">
        <f t="shared" ca="1" si="54"/>
        <v>23.333333333333332</v>
      </c>
      <c r="E302" s="182">
        <v>0</v>
      </c>
      <c r="F302" s="182">
        <f t="shared" ca="1" si="47"/>
        <v>0</v>
      </c>
      <c r="G302" s="182">
        <f t="shared" ca="1" si="55"/>
        <v>1680.0000000000364</v>
      </c>
      <c r="H302" s="182">
        <f t="shared" ca="1" si="56"/>
        <v>35000</v>
      </c>
      <c r="I302" s="183">
        <v>0</v>
      </c>
      <c r="J302" s="263">
        <f t="shared" ca="1" si="46"/>
        <v>33319.999999999964</v>
      </c>
      <c r="K302" s="182">
        <f t="shared" ca="1" si="48"/>
        <v>70</v>
      </c>
      <c r="L302" s="182">
        <f t="shared" ca="1" si="49"/>
        <v>6719.9999999999764</v>
      </c>
      <c r="M302" s="182">
        <f t="shared" ca="1" si="50"/>
        <v>6719.9999999999764</v>
      </c>
      <c r="N302" s="182">
        <f t="shared" ca="1" si="51"/>
        <v>26879.999999999905</v>
      </c>
      <c r="O302" s="182"/>
    </row>
    <row r="303" spans="1:15" x14ac:dyDescent="0.25">
      <c r="A303" s="180">
        <f t="shared" ca="1" si="52"/>
        <v>46393</v>
      </c>
      <c r="B303" s="181">
        <v>289</v>
      </c>
      <c r="C303" s="182">
        <f t="shared" ca="1" si="53"/>
        <v>35000</v>
      </c>
      <c r="D303" s="182">
        <f t="shared" ca="1" si="54"/>
        <v>23.333333333333332</v>
      </c>
      <c r="E303" s="182">
        <v>0</v>
      </c>
      <c r="F303" s="182">
        <f t="shared" ca="1" si="47"/>
        <v>0</v>
      </c>
      <c r="G303" s="182">
        <f t="shared" ca="1" si="55"/>
        <v>1656.6666666667031</v>
      </c>
      <c r="H303" s="182">
        <f t="shared" ca="1" si="56"/>
        <v>35000</v>
      </c>
      <c r="I303" s="183">
        <v>0</v>
      </c>
      <c r="J303" s="263">
        <f t="shared" ca="1" si="46"/>
        <v>33343.333333333299</v>
      </c>
      <c r="K303" s="182">
        <f t="shared" ca="1" si="48"/>
        <v>70</v>
      </c>
      <c r="L303" s="182">
        <f t="shared" ca="1" si="49"/>
        <v>6743.3333333333094</v>
      </c>
      <c r="M303" s="182">
        <f t="shared" ca="1" si="50"/>
        <v>6743.3333333333094</v>
      </c>
      <c r="N303" s="182">
        <f t="shared" ca="1" si="51"/>
        <v>26973.333333333238</v>
      </c>
      <c r="O303" s="182"/>
    </row>
    <row r="304" spans="1:15" x14ac:dyDescent="0.25">
      <c r="A304" s="180">
        <f t="shared" ca="1" si="52"/>
        <v>46394</v>
      </c>
      <c r="B304" s="181">
        <v>290</v>
      </c>
      <c r="C304" s="182">
        <f t="shared" ca="1" si="53"/>
        <v>35000</v>
      </c>
      <c r="D304" s="182">
        <f t="shared" ca="1" si="54"/>
        <v>23.333333333333332</v>
      </c>
      <c r="E304" s="182">
        <v>0</v>
      </c>
      <c r="F304" s="182">
        <f t="shared" ca="1" si="47"/>
        <v>0</v>
      </c>
      <c r="G304" s="182">
        <f t="shared" ca="1" si="55"/>
        <v>1633.3333333333699</v>
      </c>
      <c r="H304" s="182">
        <f t="shared" ca="1" si="56"/>
        <v>35000</v>
      </c>
      <c r="I304" s="183">
        <v>0</v>
      </c>
      <c r="J304" s="263">
        <f t="shared" ca="1" si="46"/>
        <v>33366.666666666628</v>
      </c>
      <c r="K304" s="182">
        <f t="shared" ca="1" si="48"/>
        <v>70</v>
      </c>
      <c r="L304" s="182">
        <f t="shared" ca="1" si="49"/>
        <v>6766.6666666666424</v>
      </c>
      <c r="M304" s="182">
        <f t="shared" ca="1" si="50"/>
        <v>6766.6666666666424</v>
      </c>
      <c r="N304" s="182">
        <f t="shared" ca="1" si="51"/>
        <v>27066.66666666657</v>
      </c>
      <c r="O304" s="182"/>
    </row>
    <row r="305" spans="1:15" x14ac:dyDescent="0.25">
      <c r="A305" s="180">
        <f t="shared" ca="1" si="52"/>
        <v>46395</v>
      </c>
      <c r="B305" s="181">
        <v>291</v>
      </c>
      <c r="C305" s="182">
        <f t="shared" ca="1" si="53"/>
        <v>35000</v>
      </c>
      <c r="D305" s="182">
        <f t="shared" ca="1" si="54"/>
        <v>23.333333333333332</v>
      </c>
      <c r="E305" s="182">
        <v>0</v>
      </c>
      <c r="F305" s="182">
        <f t="shared" ca="1" si="47"/>
        <v>0</v>
      </c>
      <c r="G305" s="182">
        <f t="shared" ca="1" si="55"/>
        <v>1610.0000000000366</v>
      </c>
      <c r="H305" s="182">
        <f t="shared" ca="1" si="56"/>
        <v>35000</v>
      </c>
      <c r="I305" s="183">
        <v>0</v>
      </c>
      <c r="J305" s="263">
        <f t="shared" ca="1" si="46"/>
        <v>33389.999999999964</v>
      </c>
      <c r="K305" s="182">
        <f t="shared" ca="1" si="48"/>
        <v>70</v>
      </c>
      <c r="L305" s="182">
        <f t="shared" ca="1" si="49"/>
        <v>6789.9999999999754</v>
      </c>
      <c r="M305" s="182">
        <f t="shared" ca="1" si="50"/>
        <v>6789.9999999999754</v>
      </c>
      <c r="N305" s="182">
        <f t="shared" ca="1" si="51"/>
        <v>27159.999999999902</v>
      </c>
      <c r="O305" s="182"/>
    </row>
    <row r="306" spans="1:15" x14ac:dyDescent="0.25">
      <c r="A306" s="180">
        <f t="shared" ca="1" si="52"/>
        <v>46396</v>
      </c>
      <c r="B306" s="181">
        <v>292</v>
      </c>
      <c r="C306" s="182">
        <f t="shared" ca="1" si="53"/>
        <v>35000</v>
      </c>
      <c r="D306" s="182">
        <f t="shared" ca="1" si="54"/>
        <v>23.333333333333332</v>
      </c>
      <c r="E306" s="182">
        <v>0</v>
      </c>
      <c r="F306" s="182">
        <f t="shared" ca="1" si="47"/>
        <v>0</v>
      </c>
      <c r="G306" s="182">
        <f t="shared" ca="1" si="55"/>
        <v>1586.6666666667033</v>
      </c>
      <c r="H306" s="182">
        <f t="shared" ca="1" si="56"/>
        <v>35000</v>
      </c>
      <c r="I306" s="183">
        <v>0</v>
      </c>
      <c r="J306" s="263">
        <f t="shared" ca="1" si="46"/>
        <v>33413.333333333299</v>
      </c>
      <c r="K306" s="182">
        <f t="shared" ca="1" si="48"/>
        <v>70</v>
      </c>
      <c r="L306" s="182">
        <f t="shared" ca="1" si="49"/>
        <v>6813.3333333333085</v>
      </c>
      <c r="M306" s="182">
        <f t="shared" ca="1" si="50"/>
        <v>6813.3333333333085</v>
      </c>
      <c r="N306" s="182">
        <f t="shared" ca="1" si="51"/>
        <v>27253.333333333234</v>
      </c>
      <c r="O306" s="182"/>
    </row>
    <row r="307" spans="1:15" x14ac:dyDescent="0.25">
      <c r="A307" s="180">
        <f t="shared" ca="1" si="52"/>
        <v>46397</v>
      </c>
      <c r="B307" s="181">
        <v>293</v>
      </c>
      <c r="C307" s="182">
        <f t="shared" ca="1" si="53"/>
        <v>35000</v>
      </c>
      <c r="D307" s="182">
        <f t="shared" ca="1" si="54"/>
        <v>23.333333333333332</v>
      </c>
      <c r="E307" s="182">
        <v>0</v>
      </c>
      <c r="F307" s="182">
        <f t="shared" ca="1" si="47"/>
        <v>0</v>
      </c>
      <c r="G307" s="182">
        <f t="shared" ca="1" si="55"/>
        <v>1563.3333333333701</v>
      </c>
      <c r="H307" s="182">
        <f t="shared" ca="1" si="56"/>
        <v>35000</v>
      </c>
      <c r="I307" s="183">
        <v>0</v>
      </c>
      <c r="J307" s="263">
        <f t="shared" ca="1" si="46"/>
        <v>33436.666666666628</v>
      </c>
      <c r="K307" s="182">
        <f t="shared" ca="1" si="48"/>
        <v>70</v>
      </c>
      <c r="L307" s="182">
        <f t="shared" ca="1" si="49"/>
        <v>6836.6666666666415</v>
      </c>
      <c r="M307" s="182">
        <f t="shared" ca="1" si="50"/>
        <v>6836.6666666666415</v>
      </c>
      <c r="N307" s="182">
        <f t="shared" ca="1" si="51"/>
        <v>27346.666666666566</v>
      </c>
      <c r="O307" s="182"/>
    </row>
    <row r="308" spans="1:15" x14ac:dyDescent="0.25">
      <c r="A308" s="180">
        <f t="shared" ca="1" si="52"/>
        <v>46398</v>
      </c>
      <c r="B308" s="181">
        <v>294</v>
      </c>
      <c r="C308" s="182">
        <f t="shared" ca="1" si="53"/>
        <v>35000</v>
      </c>
      <c r="D308" s="182">
        <f t="shared" ca="1" si="54"/>
        <v>23.333333333333332</v>
      </c>
      <c r="E308" s="182">
        <v>0</v>
      </c>
      <c r="F308" s="182">
        <f t="shared" ca="1" si="47"/>
        <v>0</v>
      </c>
      <c r="G308" s="182">
        <f t="shared" ca="1" si="55"/>
        <v>1540.0000000000368</v>
      </c>
      <c r="H308" s="182">
        <f t="shared" ca="1" si="56"/>
        <v>35000</v>
      </c>
      <c r="I308" s="183">
        <v>0</v>
      </c>
      <c r="J308" s="263">
        <f t="shared" ca="1" si="46"/>
        <v>33459.999999999964</v>
      </c>
      <c r="K308" s="182">
        <f t="shared" ca="1" si="48"/>
        <v>70</v>
      </c>
      <c r="L308" s="182">
        <f t="shared" ca="1" si="49"/>
        <v>6859.9999999999745</v>
      </c>
      <c r="M308" s="182">
        <f t="shared" ca="1" si="50"/>
        <v>6859.9999999999745</v>
      </c>
      <c r="N308" s="182">
        <f t="shared" ca="1" si="51"/>
        <v>27439.999999999898</v>
      </c>
      <c r="O308" s="182"/>
    </row>
    <row r="309" spans="1:15" x14ac:dyDescent="0.25">
      <c r="A309" s="180">
        <f t="shared" ca="1" si="52"/>
        <v>46399</v>
      </c>
      <c r="B309" s="181">
        <v>295</v>
      </c>
      <c r="C309" s="182">
        <f t="shared" ca="1" si="53"/>
        <v>35000</v>
      </c>
      <c r="D309" s="182">
        <f t="shared" ca="1" si="54"/>
        <v>23.333333333333332</v>
      </c>
      <c r="E309" s="182">
        <v>0</v>
      </c>
      <c r="F309" s="182">
        <f t="shared" ca="1" si="47"/>
        <v>0</v>
      </c>
      <c r="G309" s="182">
        <f t="shared" ca="1" si="55"/>
        <v>1516.6666666667036</v>
      </c>
      <c r="H309" s="182">
        <f t="shared" ca="1" si="56"/>
        <v>35000</v>
      </c>
      <c r="I309" s="183">
        <v>0</v>
      </c>
      <c r="J309" s="263">
        <f t="shared" ca="1" si="46"/>
        <v>33483.333333333299</v>
      </c>
      <c r="K309" s="182">
        <f t="shared" ca="1" si="48"/>
        <v>70</v>
      </c>
      <c r="L309" s="182">
        <f t="shared" ca="1" si="49"/>
        <v>6883.3333333333076</v>
      </c>
      <c r="M309" s="182">
        <f t="shared" ca="1" si="50"/>
        <v>6883.3333333333076</v>
      </c>
      <c r="N309" s="182">
        <f t="shared" ca="1" si="51"/>
        <v>27533.33333333323</v>
      </c>
      <c r="O309" s="182"/>
    </row>
    <row r="310" spans="1:15" x14ac:dyDescent="0.25">
      <c r="A310" s="180">
        <f t="shared" ca="1" si="52"/>
        <v>46400</v>
      </c>
      <c r="B310" s="181">
        <v>296</v>
      </c>
      <c r="C310" s="182">
        <f t="shared" ca="1" si="53"/>
        <v>35000</v>
      </c>
      <c r="D310" s="182">
        <f t="shared" ca="1" si="54"/>
        <v>23.333333333333332</v>
      </c>
      <c r="E310" s="182">
        <v>0</v>
      </c>
      <c r="F310" s="182">
        <f t="shared" ca="1" si="47"/>
        <v>0</v>
      </c>
      <c r="G310" s="182">
        <f t="shared" ca="1" si="55"/>
        <v>1493.3333333333703</v>
      </c>
      <c r="H310" s="182">
        <f t="shared" ca="1" si="56"/>
        <v>35000</v>
      </c>
      <c r="I310" s="183">
        <v>0</v>
      </c>
      <c r="J310" s="263">
        <f t="shared" ca="1" si="46"/>
        <v>33506.666666666628</v>
      </c>
      <c r="K310" s="182">
        <f t="shared" ca="1" si="48"/>
        <v>70</v>
      </c>
      <c r="L310" s="182">
        <f t="shared" ca="1" si="49"/>
        <v>6906.6666666666406</v>
      </c>
      <c r="M310" s="182">
        <f t="shared" ca="1" si="50"/>
        <v>6906.6666666666406</v>
      </c>
      <c r="N310" s="182">
        <f t="shared" ca="1" si="51"/>
        <v>27626.666666666562</v>
      </c>
      <c r="O310" s="182"/>
    </row>
    <row r="311" spans="1:15" x14ac:dyDescent="0.25">
      <c r="A311" s="180">
        <f t="shared" ca="1" si="52"/>
        <v>46401</v>
      </c>
      <c r="B311" s="181">
        <v>297</v>
      </c>
      <c r="C311" s="182">
        <f t="shared" ca="1" si="53"/>
        <v>35000</v>
      </c>
      <c r="D311" s="182">
        <f t="shared" ca="1" si="54"/>
        <v>23.333333333333332</v>
      </c>
      <c r="E311" s="182">
        <v>0</v>
      </c>
      <c r="F311" s="182">
        <f t="shared" ca="1" si="47"/>
        <v>0</v>
      </c>
      <c r="G311" s="182">
        <f t="shared" ca="1" si="55"/>
        <v>1470.0000000000371</v>
      </c>
      <c r="H311" s="182">
        <f t="shared" ca="1" si="56"/>
        <v>35000</v>
      </c>
      <c r="I311" s="183">
        <v>0</v>
      </c>
      <c r="J311" s="263">
        <f t="shared" ca="1" si="46"/>
        <v>33529.999999999964</v>
      </c>
      <c r="K311" s="182">
        <f t="shared" ca="1" si="48"/>
        <v>70</v>
      </c>
      <c r="L311" s="182">
        <f t="shared" ca="1" si="49"/>
        <v>6929.9999999999736</v>
      </c>
      <c r="M311" s="182">
        <f t="shared" ca="1" si="50"/>
        <v>6929.9999999999736</v>
      </c>
      <c r="N311" s="182">
        <f t="shared" ca="1" si="51"/>
        <v>27719.999999999894</v>
      </c>
      <c r="O311" s="182"/>
    </row>
    <row r="312" spans="1:15" x14ac:dyDescent="0.25">
      <c r="A312" s="180">
        <f t="shared" ca="1" si="52"/>
        <v>46402</v>
      </c>
      <c r="B312" s="181">
        <v>298</v>
      </c>
      <c r="C312" s="182">
        <f t="shared" ca="1" si="53"/>
        <v>35000</v>
      </c>
      <c r="D312" s="182">
        <f t="shared" ca="1" si="54"/>
        <v>23.333333333333332</v>
      </c>
      <c r="E312" s="182">
        <v>0</v>
      </c>
      <c r="F312" s="182">
        <f t="shared" ca="1" si="47"/>
        <v>0</v>
      </c>
      <c r="G312" s="182">
        <f t="shared" ca="1" si="55"/>
        <v>1446.6666666667038</v>
      </c>
      <c r="H312" s="182">
        <f t="shared" ca="1" si="56"/>
        <v>35000</v>
      </c>
      <c r="I312" s="183">
        <v>0</v>
      </c>
      <c r="J312" s="263">
        <f t="shared" ca="1" si="46"/>
        <v>33553.333333333299</v>
      </c>
      <c r="K312" s="182">
        <f t="shared" ca="1" si="48"/>
        <v>70</v>
      </c>
      <c r="L312" s="182">
        <f t="shared" ca="1" si="49"/>
        <v>6953.3333333333067</v>
      </c>
      <c r="M312" s="182">
        <f t="shared" ca="1" si="50"/>
        <v>6953.3333333333067</v>
      </c>
      <c r="N312" s="182">
        <f t="shared" ca="1" si="51"/>
        <v>27813.333333333227</v>
      </c>
      <c r="O312" s="182"/>
    </row>
    <row r="313" spans="1:15" x14ac:dyDescent="0.25">
      <c r="A313" s="180">
        <f t="shared" ca="1" si="52"/>
        <v>46403</v>
      </c>
      <c r="B313" s="181">
        <v>299</v>
      </c>
      <c r="C313" s="182">
        <f t="shared" ca="1" si="53"/>
        <v>35000</v>
      </c>
      <c r="D313" s="182">
        <f t="shared" ca="1" si="54"/>
        <v>23.333333333333332</v>
      </c>
      <c r="E313" s="182">
        <v>0</v>
      </c>
      <c r="F313" s="182">
        <f t="shared" ca="1" si="47"/>
        <v>0</v>
      </c>
      <c r="G313" s="182">
        <f t="shared" ca="1" si="55"/>
        <v>1423.3333333333705</v>
      </c>
      <c r="H313" s="182">
        <f t="shared" ca="1" si="56"/>
        <v>35000</v>
      </c>
      <c r="I313" s="183">
        <v>0</v>
      </c>
      <c r="J313" s="263">
        <f t="shared" ca="1" si="46"/>
        <v>33576.666666666628</v>
      </c>
      <c r="K313" s="182">
        <f t="shared" ca="1" si="48"/>
        <v>70</v>
      </c>
      <c r="L313" s="182">
        <f t="shared" ca="1" si="49"/>
        <v>6976.6666666666397</v>
      </c>
      <c r="M313" s="182">
        <f t="shared" ca="1" si="50"/>
        <v>6976.6666666666397</v>
      </c>
      <c r="N313" s="182">
        <f t="shared" ca="1" si="51"/>
        <v>27906.666666666559</v>
      </c>
      <c r="O313" s="182"/>
    </row>
    <row r="314" spans="1:15" x14ac:dyDescent="0.25">
      <c r="A314" s="180">
        <f t="shared" ca="1" si="52"/>
        <v>46404</v>
      </c>
      <c r="B314" s="181">
        <v>300</v>
      </c>
      <c r="C314" s="182">
        <f t="shared" ca="1" si="53"/>
        <v>35000</v>
      </c>
      <c r="D314" s="182">
        <f t="shared" ca="1" si="54"/>
        <v>23.333333333333332</v>
      </c>
      <c r="E314" s="182">
        <v>0</v>
      </c>
      <c r="F314" s="182">
        <f t="shared" ca="1" si="47"/>
        <v>0</v>
      </c>
      <c r="G314" s="182">
        <f t="shared" ca="1" si="55"/>
        <v>1400.0000000000373</v>
      </c>
      <c r="H314" s="182">
        <f t="shared" ca="1" si="56"/>
        <v>35000</v>
      </c>
      <c r="I314" s="183">
        <v>0</v>
      </c>
      <c r="J314" s="263">
        <f t="shared" ca="1" si="46"/>
        <v>33599.999999999964</v>
      </c>
      <c r="K314" s="182">
        <f t="shared" ca="1" si="48"/>
        <v>70</v>
      </c>
      <c r="L314" s="182">
        <f t="shared" ca="1" si="49"/>
        <v>6999.9999999999727</v>
      </c>
      <c r="M314" s="182">
        <f t="shared" ca="1" si="50"/>
        <v>6999.9999999999727</v>
      </c>
      <c r="N314" s="182">
        <f t="shared" ca="1" si="51"/>
        <v>27999.999999999891</v>
      </c>
      <c r="O314" s="182"/>
    </row>
    <row r="315" spans="1:15" x14ac:dyDescent="0.25">
      <c r="A315" s="180">
        <f t="shared" ca="1" si="52"/>
        <v>46405</v>
      </c>
      <c r="B315" s="181">
        <v>301</v>
      </c>
      <c r="C315" s="182">
        <f t="shared" ca="1" si="53"/>
        <v>35000</v>
      </c>
      <c r="D315" s="182">
        <f t="shared" ca="1" si="54"/>
        <v>23.333333333333332</v>
      </c>
      <c r="E315" s="182">
        <v>0</v>
      </c>
      <c r="F315" s="182">
        <f t="shared" ca="1" si="47"/>
        <v>0</v>
      </c>
      <c r="G315" s="182">
        <f t="shared" ca="1" si="55"/>
        <v>1376.666666666704</v>
      </c>
      <c r="H315" s="182">
        <f t="shared" ca="1" si="56"/>
        <v>35000</v>
      </c>
      <c r="I315" s="183">
        <v>0</v>
      </c>
      <c r="J315" s="263">
        <f t="shared" ca="1" si="46"/>
        <v>33623.333333333299</v>
      </c>
      <c r="K315" s="182">
        <f t="shared" ca="1" si="48"/>
        <v>70</v>
      </c>
      <c r="L315" s="182">
        <f t="shared" ca="1" si="49"/>
        <v>7023.3333333333057</v>
      </c>
      <c r="M315" s="182">
        <f t="shared" ca="1" si="50"/>
        <v>7023.3333333333057</v>
      </c>
      <c r="N315" s="182">
        <f t="shared" ca="1" si="51"/>
        <v>28093.333333333223</v>
      </c>
      <c r="O315" s="182"/>
    </row>
    <row r="316" spans="1:15" x14ac:dyDescent="0.25">
      <c r="A316" s="180">
        <f t="shared" ca="1" si="52"/>
        <v>46406</v>
      </c>
      <c r="B316" s="181">
        <v>302</v>
      </c>
      <c r="C316" s="182">
        <f t="shared" ca="1" si="53"/>
        <v>35000</v>
      </c>
      <c r="D316" s="182">
        <f t="shared" ca="1" si="54"/>
        <v>23.333333333333332</v>
      </c>
      <c r="E316" s="182">
        <v>0</v>
      </c>
      <c r="F316" s="182">
        <f t="shared" ca="1" si="47"/>
        <v>0</v>
      </c>
      <c r="G316" s="182">
        <f t="shared" ca="1" si="55"/>
        <v>1353.3333333333708</v>
      </c>
      <c r="H316" s="182">
        <f t="shared" ca="1" si="56"/>
        <v>35000</v>
      </c>
      <c r="I316" s="183">
        <v>0</v>
      </c>
      <c r="J316" s="263">
        <f t="shared" ca="1" si="46"/>
        <v>33646.666666666628</v>
      </c>
      <c r="K316" s="182">
        <f t="shared" ca="1" si="48"/>
        <v>70</v>
      </c>
      <c r="L316" s="182">
        <f t="shared" ca="1" si="49"/>
        <v>7046.6666666666388</v>
      </c>
      <c r="M316" s="182">
        <f t="shared" ca="1" si="50"/>
        <v>7046.6666666666388</v>
      </c>
      <c r="N316" s="182">
        <f t="shared" ca="1" si="51"/>
        <v>28186.666666666555</v>
      </c>
      <c r="O316" s="182"/>
    </row>
    <row r="317" spans="1:15" x14ac:dyDescent="0.25">
      <c r="A317" s="180">
        <f t="shared" ca="1" si="52"/>
        <v>46407</v>
      </c>
      <c r="B317" s="181">
        <v>303</v>
      </c>
      <c r="C317" s="182">
        <f t="shared" ca="1" si="53"/>
        <v>35000</v>
      </c>
      <c r="D317" s="182">
        <f t="shared" ca="1" si="54"/>
        <v>23.333333333333332</v>
      </c>
      <c r="E317" s="182">
        <v>0</v>
      </c>
      <c r="F317" s="182">
        <f t="shared" ca="1" si="47"/>
        <v>0</v>
      </c>
      <c r="G317" s="182">
        <f t="shared" ca="1" si="55"/>
        <v>1330.0000000000375</v>
      </c>
      <c r="H317" s="182">
        <f t="shared" ca="1" si="56"/>
        <v>35000</v>
      </c>
      <c r="I317" s="183">
        <v>0</v>
      </c>
      <c r="J317" s="263">
        <f t="shared" ca="1" si="46"/>
        <v>33669.999999999964</v>
      </c>
      <c r="K317" s="182">
        <f t="shared" ca="1" si="48"/>
        <v>70</v>
      </c>
      <c r="L317" s="182">
        <f t="shared" ca="1" si="49"/>
        <v>7069.9999999999718</v>
      </c>
      <c r="M317" s="182">
        <f t="shared" ca="1" si="50"/>
        <v>7069.9999999999718</v>
      </c>
      <c r="N317" s="182">
        <f t="shared" ca="1" si="51"/>
        <v>28279.999999999887</v>
      </c>
      <c r="O317" s="182"/>
    </row>
    <row r="318" spans="1:15" x14ac:dyDescent="0.25">
      <c r="A318" s="180">
        <f t="shared" ca="1" si="52"/>
        <v>46408</v>
      </c>
      <c r="B318" s="181">
        <v>304</v>
      </c>
      <c r="C318" s="182">
        <f t="shared" ca="1" si="53"/>
        <v>35000</v>
      </c>
      <c r="D318" s="182">
        <f t="shared" ca="1" si="54"/>
        <v>23.333333333333332</v>
      </c>
      <c r="E318" s="182">
        <v>0</v>
      </c>
      <c r="F318" s="182">
        <f t="shared" ca="1" si="47"/>
        <v>0</v>
      </c>
      <c r="G318" s="182">
        <f t="shared" ca="1" si="55"/>
        <v>1306.6666666667043</v>
      </c>
      <c r="H318" s="182">
        <f t="shared" ca="1" si="56"/>
        <v>35000</v>
      </c>
      <c r="I318" s="183">
        <v>0</v>
      </c>
      <c r="J318" s="263">
        <f t="shared" ca="1" si="46"/>
        <v>33693.333333333299</v>
      </c>
      <c r="K318" s="182">
        <f t="shared" ca="1" si="48"/>
        <v>70</v>
      </c>
      <c r="L318" s="182">
        <f t="shared" ca="1" si="49"/>
        <v>7093.3333333333048</v>
      </c>
      <c r="M318" s="182">
        <f t="shared" ca="1" si="50"/>
        <v>7093.3333333333048</v>
      </c>
      <c r="N318" s="182">
        <f t="shared" ca="1" si="51"/>
        <v>28373.333333333219</v>
      </c>
      <c r="O318" s="182"/>
    </row>
    <row r="319" spans="1:15" x14ac:dyDescent="0.25">
      <c r="A319" s="180">
        <f t="shared" ca="1" si="52"/>
        <v>46409</v>
      </c>
      <c r="B319" s="181">
        <v>305</v>
      </c>
      <c r="C319" s="182">
        <f t="shared" ca="1" si="53"/>
        <v>35000</v>
      </c>
      <c r="D319" s="182">
        <f t="shared" ca="1" si="54"/>
        <v>23.333333333333332</v>
      </c>
      <c r="E319" s="182">
        <v>0</v>
      </c>
      <c r="F319" s="182">
        <f t="shared" ca="1" si="47"/>
        <v>0</v>
      </c>
      <c r="G319" s="182">
        <f t="shared" ca="1" si="55"/>
        <v>1283.333333333371</v>
      </c>
      <c r="H319" s="182">
        <f t="shared" ca="1" si="56"/>
        <v>35000</v>
      </c>
      <c r="I319" s="183">
        <v>0</v>
      </c>
      <c r="J319" s="263">
        <f t="shared" ca="1" si="46"/>
        <v>33716.666666666628</v>
      </c>
      <c r="K319" s="182">
        <f t="shared" ca="1" si="48"/>
        <v>70</v>
      </c>
      <c r="L319" s="182">
        <f t="shared" ca="1" si="49"/>
        <v>7116.6666666666379</v>
      </c>
      <c r="M319" s="182">
        <f t="shared" ca="1" si="50"/>
        <v>7116.6666666666379</v>
      </c>
      <c r="N319" s="182">
        <f t="shared" ca="1" si="51"/>
        <v>28466.666666666551</v>
      </c>
      <c r="O319" s="182"/>
    </row>
    <row r="320" spans="1:15" x14ac:dyDescent="0.25">
      <c r="A320" s="180">
        <f t="shared" ca="1" si="52"/>
        <v>46410</v>
      </c>
      <c r="B320" s="181">
        <v>306</v>
      </c>
      <c r="C320" s="182">
        <f t="shared" ca="1" si="53"/>
        <v>35000</v>
      </c>
      <c r="D320" s="182">
        <f t="shared" ca="1" si="54"/>
        <v>23.333333333333332</v>
      </c>
      <c r="E320" s="182">
        <v>0</v>
      </c>
      <c r="F320" s="182">
        <f t="shared" ca="1" si="47"/>
        <v>0</v>
      </c>
      <c r="G320" s="182">
        <f t="shared" ca="1" si="55"/>
        <v>1260.0000000000377</v>
      </c>
      <c r="H320" s="182">
        <f t="shared" ca="1" si="56"/>
        <v>35000</v>
      </c>
      <c r="I320" s="183">
        <v>0</v>
      </c>
      <c r="J320" s="263">
        <f t="shared" ca="1" si="46"/>
        <v>33739.999999999964</v>
      </c>
      <c r="K320" s="182">
        <f t="shared" ca="1" si="48"/>
        <v>70</v>
      </c>
      <c r="L320" s="182">
        <f t="shared" ca="1" si="49"/>
        <v>7139.9999999999709</v>
      </c>
      <c r="M320" s="182">
        <f t="shared" ca="1" si="50"/>
        <v>7139.9999999999709</v>
      </c>
      <c r="N320" s="182">
        <f t="shared" ca="1" si="51"/>
        <v>28559.999999999884</v>
      </c>
      <c r="O320" s="182"/>
    </row>
    <row r="321" spans="1:15" x14ac:dyDescent="0.25">
      <c r="A321" s="180">
        <f t="shared" ca="1" si="52"/>
        <v>46411</v>
      </c>
      <c r="B321" s="181">
        <v>307</v>
      </c>
      <c r="C321" s="182">
        <f t="shared" ca="1" si="53"/>
        <v>35000</v>
      </c>
      <c r="D321" s="182">
        <f t="shared" ca="1" si="54"/>
        <v>23.333333333333332</v>
      </c>
      <c r="E321" s="182">
        <v>0</v>
      </c>
      <c r="F321" s="182">
        <f t="shared" ca="1" si="47"/>
        <v>0</v>
      </c>
      <c r="G321" s="182">
        <f t="shared" ca="1" si="55"/>
        <v>1236.6666666667045</v>
      </c>
      <c r="H321" s="182">
        <f t="shared" ca="1" si="56"/>
        <v>35000</v>
      </c>
      <c r="I321" s="183">
        <v>0</v>
      </c>
      <c r="J321" s="263">
        <f t="shared" ca="1" si="46"/>
        <v>33763.333333333292</v>
      </c>
      <c r="K321" s="182">
        <f t="shared" ca="1" si="48"/>
        <v>70</v>
      </c>
      <c r="L321" s="182">
        <f t="shared" ca="1" si="49"/>
        <v>7163.3333333333039</v>
      </c>
      <c r="M321" s="182">
        <f t="shared" ca="1" si="50"/>
        <v>7163.3333333333039</v>
      </c>
      <c r="N321" s="182">
        <f t="shared" ca="1" si="51"/>
        <v>28653.333333333216</v>
      </c>
      <c r="O321" s="182"/>
    </row>
    <row r="322" spans="1:15" x14ac:dyDescent="0.25">
      <c r="A322" s="180">
        <f t="shared" ca="1" si="52"/>
        <v>46412</v>
      </c>
      <c r="B322" s="181">
        <v>308</v>
      </c>
      <c r="C322" s="182">
        <f t="shared" ca="1" si="53"/>
        <v>35000</v>
      </c>
      <c r="D322" s="182">
        <f t="shared" ca="1" si="54"/>
        <v>23.333333333333332</v>
      </c>
      <c r="E322" s="182">
        <v>0</v>
      </c>
      <c r="F322" s="182">
        <f t="shared" ca="1" si="47"/>
        <v>0</v>
      </c>
      <c r="G322" s="182">
        <f t="shared" ca="1" si="55"/>
        <v>1213.3333333333712</v>
      </c>
      <c r="H322" s="182">
        <f t="shared" ca="1" si="56"/>
        <v>35000</v>
      </c>
      <c r="I322" s="183">
        <v>0</v>
      </c>
      <c r="J322" s="263">
        <f t="shared" ca="1" si="46"/>
        <v>33786.666666666628</v>
      </c>
      <c r="K322" s="182">
        <f t="shared" ca="1" si="48"/>
        <v>70</v>
      </c>
      <c r="L322" s="182">
        <f t="shared" ca="1" si="49"/>
        <v>7186.666666666637</v>
      </c>
      <c r="M322" s="182">
        <f t="shared" ca="1" si="50"/>
        <v>7186.666666666637</v>
      </c>
      <c r="N322" s="182">
        <f t="shared" ca="1" si="51"/>
        <v>28746.666666666548</v>
      </c>
      <c r="O322" s="182"/>
    </row>
    <row r="323" spans="1:15" x14ac:dyDescent="0.25">
      <c r="A323" s="180">
        <f t="shared" ca="1" si="52"/>
        <v>46413</v>
      </c>
      <c r="B323" s="181">
        <v>309</v>
      </c>
      <c r="C323" s="182">
        <f t="shared" ca="1" si="53"/>
        <v>35000</v>
      </c>
      <c r="D323" s="182">
        <f t="shared" ca="1" si="54"/>
        <v>23.333333333333332</v>
      </c>
      <c r="E323" s="182">
        <v>0</v>
      </c>
      <c r="F323" s="182">
        <f t="shared" ca="1" si="47"/>
        <v>0</v>
      </c>
      <c r="G323" s="182">
        <f t="shared" ca="1" si="55"/>
        <v>1190.000000000038</v>
      </c>
      <c r="H323" s="182">
        <f t="shared" ca="1" si="56"/>
        <v>35000</v>
      </c>
      <c r="I323" s="183">
        <v>0</v>
      </c>
      <c r="J323" s="263">
        <f t="shared" ca="1" si="46"/>
        <v>33809.999999999964</v>
      </c>
      <c r="K323" s="182">
        <f t="shared" ca="1" si="48"/>
        <v>70</v>
      </c>
      <c r="L323" s="182">
        <f t="shared" ca="1" si="49"/>
        <v>7209.99999999997</v>
      </c>
      <c r="M323" s="182">
        <f t="shared" ca="1" si="50"/>
        <v>7209.99999999997</v>
      </c>
      <c r="N323" s="182">
        <f t="shared" ca="1" si="51"/>
        <v>28839.99999999988</v>
      </c>
      <c r="O323" s="182"/>
    </row>
    <row r="324" spans="1:15" x14ac:dyDescent="0.25">
      <c r="A324" s="180">
        <f t="shared" ca="1" si="52"/>
        <v>46414</v>
      </c>
      <c r="B324" s="181">
        <v>310</v>
      </c>
      <c r="C324" s="182">
        <f t="shared" ca="1" si="53"/>
        <v>35000</v>
      </c>
      <c r="D324" s="182">
        <f t="shared" ca="1" si="54"/>
        <v>23.333333333333332</v>
      </c>
      <c r="E324" s="182">
        <v>0</v>
      </c>
      <c r="F324" s="182">
        <f t="shared" ca="1" si="47"/>
        <v>0</v>
      </c>
      <c r="G324" s="182">
        <f t="shared" ca="1" si="55"/>
        <v>1166.6666666667047</v>
      </c>
      <c r="H324" s="182">
        <f t="shared" ca="1" si="56"/>
        <v>35000</v>
      </c>
      <c r="I324" s="183">
        <v>0</v>
      </c>
      <c r="J324" s="263">
        <f t="shared" ca="1" si="46"/>
        <v>33833.333333333292</v>
      </c>
      <c r="K324" s="182">
        <f t="shared" ca="1" si="48"/>
        <v>70</v>
      </c>
      <c r="L324" s="182">
        <f t="shared" ca="1" si="49"/>
        <v>7233.333333333303</v>
      </c>
      <c r="M324" s="182">
        <f t="shared" ca="1" si="50"/>
        <v>7233.333333333303</v>
      </c>
      <c r="N324" s="182">
        <f t="shared" ca="1" si="51"/>
        <v>28933.333333333212</v>
      </c>
      <c r="O324" s="182"/>
    </row>
    <row r="325" spans="1:15" x14ac:dyDescent="0.25">
      <c r="A325" s="180">
        <f t="shared" ca="1" si="52"/>
        <v>46415</v>
      </c>
      <c r="B325" s="181">
        <v>311</v>
      </c>
      <c r="C325" s="182">
        <f t="shared" ca="1" si="53"/>
        <v>35000</v>
      </c>
      <c r="D325" s="182">
        <f t="shared" ca="1" si="54"/>
        <v>23.333333333333332</v>
      </c>
      <c r="E325" s="182">
        <v>0</v>
      </c>
      <c r="F325" s="182">
        <f t="shared" ca="1" si="47"/>
        <v>0</v>
      </c>
      <c r="G325" s="182">
        <f t="shared" ca="1" si="55"/>
        <v>1143.3333333333715</v>
      </c>
      <c r="H325" s="182">
        <f t="shared" ca="1" si="56"/>
        <v>35000</v>
      </c>
      <c r="I325" s="183">
        <v>0</v>
      </c>
      <c r="J325" s="263">
        <f t="shared" ca="1" si="46"/>
        <v>33856.666666666628</v>
      </c>
      <c r="K325" s="182">
        <f t="shared" ca="1" si="48"/>
        <v>70</v>
      </c>
      <c r="L325" s="182">
        <f t="shared" ca="1" si="49"/>
        <v>7256.666666666636</v>
      </c>
      <c r="M325" s="182">
        <f t="shared" ca="1" si="50"/>
        <v>7256.666666666636</v>
      </c>
      <c r="N325" s="182">
        <f t="shared" ca="1" si="51"/>
        <v>29026.666666666544</v>
      </c>
      <c r="O325" s="182"/>
    </row>
    <row r="326" spans="1:15" x14ac:dyDescent="0.25">
      <c r="A326" s="180">
        <f t="shared" ca="1" si="52"/>
        <v>46416</v>
      </c>
      <c r="B326" s="181">
        <v>312</v>
      </c>
      <c r="C326" s="182">
        <f t="shared" ca="1" si="53"/>
        <v>35000</v>
      </c>
      <c r="D326" s="182">
        <f t="shared" ca="1" si="54"/>
        <v>23.333333333333332</v>
      </c>
      <c r="E326" s="182">
        <v>0</v>
      </c>
      <c r="F326" s="182">
        <f t="shared" ca="1" si="47"/>
        <v>0</v>
      </c>
      <c r="G326" s="182">
        <f t="shared" ca="1" si="55"/>
        <v>1120.0000000000382</v>
      </c>
      <c r="H326" s="182">
        <f t="shared" ca="1" si="56"/>
        <v>35000</v>
      </c>
      <c r="I326" s="183">
        <v>0</v>
      </c>
      <c r="J326" s="263">
        <f t="shared" ca="1" si="46"/>
        <v>33879.999999999964</v>
      </c>
      <c r="K326" s="182">
        <f t="shared" ca="1" si="48"/>
        <v>70</v>
      </c>
      <c r="L326" s="182">
        <f t="shared" ca="1" si="49"/>
        <v>7279.9999999999691</v>
      </c>
      <c r="M326" s="182">
        <f t="shared" ca="1" si="50"/>
        <v>7279.9999999999691</v>
      </c>
      <c r="N326" s="182">
        <f t="shared" ca="1" si="51"/>
        <v>29119.999999999876</v>
      </c>
      <c r="O326" s="182"/>
    </row>
    <row r="327" spans="1:15" x14ac:dyDescent="0.25">
      <c r="A327" s="180">
        <f t="shared" ca="1" si="52"/>
        <v>46417</v>
      </c>
      <c r="B327" s="181">
        <v>313</v>
      </c>
      <c r="C327" s="182">
        <f t="shared" ca="1" si="53"/>
        <v>35000</v>
      </c>
      <c r="D327" s="182">
        <f t="shared" ca="1" si="54"/>
        <v>23.333333333333332</v>
      </c>
      <c r="E327" s="182">
        <v>0</v>
      </c>
      <c r="F327" s="182">
        <f t="shared" ca="1" si="47"/>
        <v>0</v>
      </c>
      <c r="G327" s="182">
        <f t="shared" ca="1" si="55"/>
        <v>1096.6666666667049</v>
      </c>
      <c r="H327" s="182">
        <f t="shared" ca="1" si="56"/>
        <v>35000</v>
      </c>
      <c r="I327" s="183">
        <v>0</v>
      </c>
      <c r="J327" s="263">
        <f t="shared" ca="1" si="46"/>
        <v>33903.333333333292</v>
      </c>
      <c r="K327" s="182">
        <f t="shared" ca="1" si="48"/>
        <v>70</v>
      </c>
      <c r="L327" s="182">
        <f t="shared" ca="1" si="49"/>
        <v>7303.3333333333021</v>
      </c>
      <c r="M327" s="182">
        <f t="shared" ca="1" si="50"/>
        <v>7303.3333333333021</v>
      </c>
      <c r="N327" s="182">
        <f t="shared" ca="1" si="51"/>
        <v>29213.333333333208</v>
      </c>
      <c r="O327" s="182"/>
    </row>
    <row r="328" spans="1:15" x14ac:dyDescent="0.25">
      <c r="A328" s="180">
        <f t="shared" ca="1" si="52"/>
        <v>46418</v>
      </c>
      <c r="B328" s="181">
        <v>314</v>
      </c>
      <c r="C328" s="182">
        <f t="shared" ca="1" si="53"/>
        <v>35000</v>
      </c>
      <c r="D328" s="182">
        <f t="shared" ca="1" si="54"/>
        <v>23.333333333333332</v>
      </c>
      <c r="E328" s="182">
        <v>0</v>
      </c>
      <c r="F328" s="182">
        <f t="shared" ca="1" si="47"/>
        <v>0</v>
      </c>
      <c r="G328" s="182">
        <f t="shared" ca="1" si="55"/>
        <v>1073.3333333333717</v>
      </c>
      <c r="H328" s="182">
        <f t="shared" ca="1" si="56"/>
        <v>35000</v>
      </c>
      <c r="I328" s="183">
        <v>0</v>
      </c>
      <c r="J328" s="263">
        <f t="shared" ca="1" si="46"/>
        <v>33926.666666666628</v>
      </c>
      <c r="K328" s="182">
        <f t="shared" ca="1" si="48"/>
        <v>70</v>
      </c>
      <c r="L328" s="182">
        <f t="shared" ca="1" si="49"/>
        <v>7326.6666666666351</v>
      </c>
      <c r="M328" s="182">
        <f t="shared" ca="1" si="50"/>
        <v>7326.6666666666351</v>
      </c>
      <c r="N328" s="182">
        <f t="shared" ca="1" si="51"/>
        <v>29306.666666666541</v>
      </c>
      <c r="O328" s="182"/>
    </row>
    <row r="329" spans="1:15" x14ac:dyDescent="0.25">
      <c r="A329" s="180">
        <f t="shared" ca="1" si="52"/>
        <v>46419</v>
      </c>
      <c r="B329" s="181">
        <v>315</v>
      </c>
      <c r="C329" s="182">
        <f t="shared" ca="1" si="53"/>
        <v>35000</v>
      </c>
      <c r="D329" s="182">
        <f t="shared" ca="1" si="54"/>
        <v>23.333333333333332</v>
      </c>
      <c r="E329" s="182">
        <v>0</v>
      </c>
      <c r="F329" s="182">
        <f t="shared" ca="1" si="47"/>
        <v>0</v>
      </c>
      <c r="G329" s="182">
        <f t="shared" ca="1" si="55"/>
        <v>1050.0000000000384</v>
      </c>
      <c r="H329" s="182">
        <f t="shared" ca="1" si="56"/>
        <v>35000</v>
      </c>
      <c r="I329" s="183">
        <v>0</v>
      </c>
      <c r="J329" s="263">
        <f t="shared" ca="1" si="46"/>
        <v>33949.999999999964</v>
      </c>
      <c r="K329" s="182">
        <f t="shared" ca="1" si="48"/>
        <v>70</v>
      </c>
      <c r="L329" s="182">
        <f t="shared" ca="1" si="49"/>
        <v>7349.9999999999682</v>
      </c>
      <c r="M329" s="182">
        <f t="shared" ca="1" si="50"/>
        <v>7349.9999999999682</v>
      </c>
      <c r="N329" s="182">
        <f t="shared" ca="1" si="51"/>
        <v>29399.999999999873</v>
      </c>
      <c r="O329" s="182"/>
    </row>
    <row r="330" spans="1:15" x14ac:dyDescent="0.25">
      <c r="A330" s="180">
        <f t="shared" ca="1" si="52"/>
        <v>46420</v>
      </c>
      <c r="B330" s="181">
        <v>316</v>
      </c>
      <c r="C330" s="182">
        <f t="shared" ca="1" si="53"/>
        <v>35000</v>
      </c>
      <c r="D330" s="182">
        <f t="shared" ca="1" si="54"/>
        <v>23.333333333333332</v>
      </c>
      <c r="E330" s="182">
        <v>0</v>
      </c>
      <c r="F330" s="182">
        <f t="shared" ca="1" si="47"/>
        <v>0</v>
      </c>
      <c r="G330" s="182">
        <f t="shared" ca="1" si="55"/>
        <v>1026.6666666667052</v>
      </c>
      <c r="H330" s="182">
        <f t="shared" ca="1" si="56"/>
        <v>35000</v>
      </c>
      <c r="I330" s="183">
        <v>0</v>
      </c>
      <c r="J330" s="263">
        <f t="shared" ca="1" si="46"/>
        <v>33973.333333333292</v>
      </c>
      <c r="K330" s="182">
        <f t="shared" ca="1" si="48"/>
        <v>70</v>
      </c>
      <c r="L330" s="182">
        <f t="shared" ca="1" si="49"/>
        <v>7373.3333333333012</v>
      </c>
      <c r="M330" s="182">
        <f t="shared" ca="1" si="50"/>
        <v>7373.3333333333012</v>
      </c>
      <c r="N330" s="182">
        <f t="shared" ca="1" si="51"/>
        <v>29493.333333333205</v>
      </c>
      <c r="O330" s="182"/>
    </row>
    <row r="331" spans="1:15" x14ac:dyDescent="0.25">
      <c r="A331" s="180">
        <f t="shared" ca="1" si="52"/>
        <v>46421</v>
      </c>
      <c r="B331" s="181">
        <v>317</v>
      </c>
      <c r="C331" s="182">
        <f t="shared" ca="1" si="53"/>
        <v>35000</v>
      </c>
      <c r="D331" s="182">
        <f t="shared" ca="1" si="54"/>
        <v>23.333333333333332</v>
      </c>
      <c r="E331" s="182">
        <v>0</v>
      </c>
      <c r="F331" s="182">
        <f t="shared" ca="1" si="47"/>
        <v>0</v>
      </c>
      <c r="G331" s="182">
        <f t="shared" ca="1" si="55"/>
        <v>1003.3333333333718</v>
      </c>
      <c r="H331" s="182">
        <f t="shared" ca="1" si="56"/>
        <v>35000</v>
      </c>
      <c r="I331" s="183">
        <v>0</v>
      </c>
      <c r="J331" s="263">
        <f t="shared" ca="1" si="46"/>
        <v>33996.666666666628</v>
      </c>
      <c r="K331" s="182">
        <f t="shared" ca="1" si="48"/>
        <v>70</v>
      </c>
      <c r="L331" s="182">
        <f t="shared" ca="1" si="49"/>
        <v>7396.6666666666342</v>
      </c>
      <c r="M331" s="182">
        <f t="shared" ca="1" si="50"/>
        <v>7396.6666666666342</v>
      </c>
      <c r="N331" s="182">
        <f t="shared" ca="1" si="51"/>
        <v>29586.666666666537</v>
      </c>
      <c r="O331" s="182"/>
    </row>
    <row r="332" spans="1:15" x14ac:dyDescent="0.25">
      <c r="A332" s="180">
        <f t="shared" ca="1" si="52"/>
        <v>46422</v>
      </c>
      <c r="B332" s="181">
        <v>318</v>
      </c>
      <c r="C332" s="182">
        <f t="shared" ca="1" si="53"/>
        <v>35000</v>
      </c>
      <c r="D332" s="182">
        <f t="shared" ca="1" si="54"/>
        <v>23.333333333333332</v>
      </c>
      <c r="E332" s="182">
        <v>0</v>
      </c>
      <c r="F332" s="182">
        <f t="shared" ca="1" si="47"/>
        <v>0</v>
      </c>
      <c r="G332" s="182">
        <f t="shared" ca="1" si="55"/>
        <v>980.00000000003843</v>
      </c>
      <c r="H332" s="182">
        <f t="shared" ca="1" si="56"/>
        <v>35000</v>
      </c>
      <c r="I332" s="183">
        <v>0</v>
      </c>
      <c r="J332" s="263">
        <f t="shared" ca="1" si="46"/>
        <v>34019.999999999964</v>
      </c>
      <c r="K332" s="182">
        <f t="shared" ca="1" si="48"/>
        <v>70</v>
      </c>
      <c r="L332" s="182">
        <f t="shared" ca="1" si="49"/>
        <v>7419.9999999999673</v>
      </c>
      <c r="M332" s="182">
        <f t="shared" ca="1" si="50"/>
        <v>7419.9999999999673</v>
      </c>
      <c r="N332" s="182">
        <f t="shared" ca="1" si="51"/>
        <v>29679.999999999869</v>
      </c>
      <c r="O332" s="182"/>
    </row>
    <row r="333" spans="1:15" x14ac:dyDescent="0.25">
      <c r="A333" s="180">
        <f t="shared" ca="1" si="52"/>
        <v>46423</v>
      </c>
      <c r="B333" s="181">
        <v>319</v>
      </c>
      <c r="C333" s="182">
        <f t="shared" ca="1" si="53"/>
        <v>35000</v>
      </c>
      <c r="D333" s="182">
        <f t="shared" ca="1" si="54"/>
        <v>23.333333333333332</v>
      </c>
      <c r="E333" s="182">
        <v>0</v>
      </c>
      <c r="F333" s="182">
        <f t="shared" ca="1" si="47"/>
        <v>0</v>
      </c>
      <c r="G333" s="182">
        <f t="shared" ca="1" si="55"/>
        <v>956.66666666670505</v>
      </c>
      <c r="H333" s="182">
        <f t="shared" ca="1" si="56"/>
        <v>35000</v>
      </c>
      <c r="I333" s="183">
        <v>0</v>
      </c>
      <c r="J333" s="263">
        <f t="shared" ca="1" si="46"/>
        <v>34043.333333333292</v>
      </c>
      <c r="K333" s="182">
        <f t="shared" ca="1" si="48"/>
        <v>70</v>
      </c>
      <c r="L333" s="182">
        <f t="shared" ca="1" si="49"/>
        <v>7443.3333333333003</v>
      </c>
      <c r="M333" s="182">
        <f t="shared" ca="1" si="50"/>
        <v>7443.3333333333003</v>
      </c>
      <c r="N333" s="182">
        <f t="shared" ca="1" si="51"/>
        <v>29773.333333333201</v>
      </c>
      <c r="O333" s="182"/>
    </row>
    <row r="334" spans="1:15" x14ac:dyDescent="0.25">
      <c r="A334" s="180">
        <f t="shared" ca="1" si="52"/>
        <v>46424</v>
      </c>
      <c r="B334" s="181">
        <v>320</v>
      </c>
      <c r="C334" s="182">
        <f t="shared" ca="1" si="53"/>
        <v>35000</v>
      </c>
      <c r="D334" s="182">
        <f t="shared" ca="1" si="54"/>
        <v>23.333333333333332</v>
      </c>
      <c r="E334" s="182">
        <v>0</v>
      </c>
      <c r="F334" s="182">
        <f t="shared" ca="1" si="47"/>
        <v>0</v>
      </c>
      <c r="G334" s="182">
        <f t="shared" ca="1" si="55"/>
        <v>933.33333333337168</v>
      </c>
      <c r="H334" s="182">
        <f t="shared" ca="1" si="56"/>
        <v>35000</v>
      </c>
      <c r="I334" s="183">
        <v>0</v>
      </c>
      <c r="J334" s="263">
        <f t="shared" ca="1" si="46"/>
        <v>34066.666666666628</v>
      </c>
      <c r="K334" s="182">
        <f t="shared" ca="1" si="48"/>
        <v>70</v>
      </c>
      <c r="L334" s="182">
        <f t="shared" ca="1" si="49"/>
        <v>7466.6666666666333</v>
      </c>
      <c r="M334" s="182">
        <f t="shared" ca="1" si="50"/>
        <v>7466.6666666666333</v>
      </c>
      <c r="N334" s="182">
        <f t="shared" ca="1" si="51"/>
        <v>29866.666666666533</v>
      </c>
      <c r="O334" s="182"/>
    </row>
    <row r="335" spans="1:15" x14ac:dyDescent="0.25">
      <c r="A335" s="180">
        <f t="shared" ca="1" si="52"/>
        <v>46425</v>
      </c>
      <c r="B335" s="181">
        <v>321</v>
      </c>
      <c r="C335" s="182">
        <f t="shared" ca="1" si="53"/>
        <v>35000</v>
      </c>
      <c r="D335" s="182">
        <f t="shared" ca="1" si="54"/>
        <v>23.333333333333332</v>
      </c>
      <c r="E335" s="182">
        <v>0</v>
      </c>
      <c r="F335" s="182">
        <f t="shared" ca="1" si="47"/>
        <v>0</v>
      </c>
      <c r="G335" s="182">
        <f t="shared" ca="1" si="55"/>
        <v>910.00000000003831</v>
      </c>
      <c r="H335" s="182">
        <f t="shared" ca="1" si="56"/>
        <v>35000</v>
      </c>
      <c r="I335" s="183">
        <v>0</v>
      </c>
      <c r="J335" s="263">
        <f t="shared" ref="J335:J398" ca="1" si="57">H335-IF(I$8-G335&lt;Q$42,I$8-Q$42,G335)</f>
        <v>34089.999999999964</v>
      </c>
      <c r="K335" s="182">
        <f t="shared" ca="1" si="48"/>
        <v>70</v>
      </c>
      <c r="L335" s="182">
        <f t="shared" ca="1" si="49"/>
        <v>7489.9999999999663</v>
      </c>
      <c r="M335" s="182">
        <f t="shared" ca="1" si="50"/>
        <v>7489.9999999999663</v>
      </c>
      <c r="N335" s="182">
        <f t="shared" ca="1" si="51"/>
        <v>29959.999999999865</v>
      </c>
      <c r="O335" s="182"/>
    </row>
    <row r="336" spans="1:15" x14ac:dyDescent="0.25">
      <c r="A336" s="180">
        <f t="shared" ca="1" si="52"/>
        <v>46426</v>
      </c>
      <c r="B336" s="181">
        <v>322</v>
      </c>
      <c r="C336" s="182">
        <f t="shared" ca="1" si="53"/>
        <v>35000</v>
      </c>
      <c r="D336" s="182">
        <f t="shared" ca="1" si="54"/>
        <v>23.333333333333332</v>
      </c>
      <c r="E336" s="182">
        <v>0</v>
      </c>
      <c r="F336" s="182">
        <f t="shared" ref="F336:F399" ca="1" si="58">IFERROR(-VLOOKUP(A336,$P$4:$R$12,2,FALSE),0)</f>
        <v>0</v>
      </c>
      <c r="G336" s="182">
        <f t="shared" ca="1" si="55"/>
        <v>886.66666666670494</v>
      </c>
      <c r="H336" s="182">
        <f t="shared" ca="1" si="56"/>
        <v>35000</v>
      </c>
      <c r="I336" s="183">
        <v>0</v>
      </c>
      <c r="J336" s="263">
        <f t="shared" ca="1" si="57"/>
        <v>34113.333333333292</v>
      </c>
      <c r="K336" s="182">
        <f t="shared" ref="K336:K399" ca="1" si="59">$L$3/($C$11-$C$8)</f>
        <v>70</v>
      </c>
      <c r="L336" s="182">
        <f t="shared" ref="L336:L399" ca="1" si="60">L335+D336</f>
        <v>7513.3333333332994</v>
      </c>
      <c r="M336" s="182">
        <f t="shared" ref="M336:M399" ca="1" si="61">IF($I$8&gt;L336,L336,$I$8)</f>
        <v>7513.3333333332994</v>
      </c>
      <c r="N336" s="182">
        <f t="shared" ref="N336:N399" ca="1" si="62">N335+D336+K336+I336</f>
        <v>30053.333333333198</v>
      </c>
      <c r="O336" s="182"/>
    </row>
    <row r="337" spans="1:15" x14ac:dyDescent="0.25">
      <c r="A337" s="180">
        <f t="shared" ref="A337:A400" ca="1" si="63">A336+1</f>
        <v>46427</v>
      </c>
      <c r="B337" s="181">
        <v>323</v>
      </c>
      <c r="C337" s="182">
        <f t="shared" ref="C337:C400" ca="1" si="64">H336</f>
        <v>35000</v>
      </c>
      <c r="D337" s="182">
        <f t="shared" ref="D337:D400" ca="1" si="65">(($C$6/360))*C337</f>
        <v>23.333333333333332</v>
      </c>
      <c r="E337" s="182">
        <v>0</v>
      </c>
      <c r="F337" s="182">
        <f t="shared" ca="1" si="58"/>
        <v>0</v>
      </c>
      <c r="G337" s="182">
        <f t="shared" ref="G337:G400" ca="1" si="66">IF(G336-D337-E337&gt;0,G336-D337-E337,0)</f>
        <v>863.33333333337157</v>
      </c>
      <c r="H337" s="182">
        <f t="shared" ca="1" si="56"/>
        <v>35000</v>
      </c>
      <c r="I337" s="183">
        <v>0</v>
      </c>
      <c r="J337" s="263">
        <f t="shared" ca="1" si="57"/>
        <v>34136.666666666628</v>
      </c>
      <c r="K337" s="182">
        <f t="shared" ca="1" si="59"/>
        <v>70</v>
      </c>
      <c r="L337" s="182">
        <f t="shared" ca="1" si="60"/>
        <v>7536.6666666666324</v>
      </c>
      <c r="M337" s="182">
        <f t="shared" ca="1" si="61"/>
        <v>7536.6666666666324</v>
      </c>
      <c r="N337" s="182">
        <f t="shared" ca="1" si="62"/>
        <v>30146.66666666653</v>
      </c>
      <c r="O337" s="182"/>
    </row>
    <row r="338" spans="1:15" x14ac:dyDescent="0.25">
      <c r="A338" s="180">
        <f t="shared" ca="1" si="63"/>
        <v>46428</v>
      </c>
      <c r="B338" s="181">
        <v>324</v>
      </c>
      <c r="C338" s="182">
        <f t="shared" ca="1" si="64"/>
        <v>35000</v>
      </c>
      <c r="D338" s="182">
        <f t="shared" ca="1" si="65"/>
        <v>23.333333333333332</v>
      </c>
      <c r="E338" s="182">
        <v>0</v>
      </c>
      <c r="F338" s="182">
        <f t="shared" ca="1" si="58"/>
        <v>0</v>
      </c>
      <c r="G338" s="182">
        <f t="shared" ca="1" si="66"/>
        <v>840.0000000000382</v>
      </c>
      <c r="H338" s="182">
        <f t="shared" ca="1" si="56"/>
        <v>35000</v>
      </c>
      <c r="I338" s="183">
        <v>0</v>
      </c>
      <c r="J338" s="263">
        <f t="shared" ca="1" si="57"/>
        <v>34159.999999999964</v>
      </c>
      <c r="K338" s="182">
        <f t="shared" ca="1" si="59"/>
        <v>70</v>
      </c>
      <c r="L338" s="182">
        <f t="shared" ca="1" si="60"/>
        <v>7559.9999999999654</v>
      </c>
      <c r="M338" s="182">
        <f t="shared" ca="1" si="61"/>
        <v>7559.9999999999654</v>
      </c>
      <c r="N338" s="182">
        <f t="shared" ca="1" si="62"/>
        <v>30239.999999999862</v>
      </c>
      <c r="O338" s="182"/>
    </row>
    <row r="339" spans="1:15" x14ac:dyDescent="0.25">
      <c r="A339" s="180">
        <f t="shared" ca="1" si="63"/>
        <v>46429</v>
      </c>
      <c r="B339" s="181">
        <v>325</v>
      </c>
      <c r="C339" s="182">
        <f t="shared" ca="1" si="64"/>
        <v>35000</v>
      </c>
      <c r="D339" s="182">
        <f t="shared" ca="1" si="65"/>
        <v>23.333333333333332</v>
      </c>
      <c r="E339" s="182">
        <v>0</v>
      </c>
      <c r="F339" s="182">
        <f t="shared" ca="1" si="58"/>
        <v>0</v>
      </c>
      <c r="G339" s="182">
        <f t="shared" ca="1" si="66"/>
        <v>816.66666666670483</v>
      </c>
      <c r="H339" s="182">
        <f t="shared" ca="1" si="56"/>
        <v>35000</v>
      </c>
      <c r="I339" s="183">
        <v>0</v>
      </c>
      <c r="J339" s="263">
        <f t="shared" ca="1" si="57"/>
        <v>34183.333333333292</v>
      </c>
      <c r="K339" s="182">
        <f t="shared" ca="1" si="59"/>
        <v>70</v>
      </c>
      <c r="L339" s="182">
        <f t="shared" ca="1" si="60"/>
        <v>7583.3333333332985</v>
      </c>
      <c r="M339" s="182">
        <f t="shared" ca="1" si="61"/>
        <v>7583.3333333332985</v>
      </c>
      <c r="N339" s="182">
        <f t="shared" ca="1" si="62"/>
        <v>30333.333333333194</v>
      </c>
      <c r="O339" s="182"/>
    </row>
    <row r="340" spans="1:15" x14ac:dyDescent="0.25">
      <c r="A340" s="180">
        <f t="shared" ca="1" si="63"/>
        <v>46430</v>
      </c>
      <c r="B340" s="181">
        <v>326</v>
      </c>
      <c r="C340" s="182">
        <f t="shared" ca="1" si="64"/>
        <v>35000</v>
      </c>
      <c r="D340" s="182">
        <f t="shared" ca="1" si="65"/>
        <v>23.333333333333332</v>
      </c>
      <c r="E340" s="182">
        <v>0</v>
      </c>
      <c r="F340" s="182">
        <f t="shared" ca="1" si="58"/>
        <v>0</v>
      </c>
      <c r="G340" s="182">
        <f t="shared" ca="1" si="66"/>
        <v>793.33333333337146</v>
      </c>
      <c r="H340" s="182">
        <f t="shared" ca="1" si="56"/>
        <v>35000</v>
      </c>
      <c r="I340" s="183">
        <v>0</v>
      </c>
      <c r="J340" s="263">
        <f t="shared" ca="1" si="57"/>
        <v>34206.666666666628</v>
      </c>
      <c r="K340" s="182">
        <f t="shared" ca="1" si="59"/>
        <v>70</v>
      </c>
      <c r="L340" s="182">
        <f t="shared" ca="1" si="60"/>
        <v>7606.6666666666315</v>
      </c>
      <c r="M340" s="182">
        <f t="shared" ca="1" si="61"/>
        <v>7606.6666666666315</v>
      </c>
      <c r="N340" s="182">
        <f t="shared" ca="1" si="62"/>
        <v>30426.666666666526</v>
      </c>
      <c r="O340" s="182"/>
    </row>
    <row r="341" spans="1:15" x14ac:dyDescent="0.25">
      <c r="A341" s="180">
        <f t="shared" ca="1" si="63"/>
        <v>46431</v>
      </c>
      <c r="B341" s="181">
        <v>327</v>
      </c>
      <c r="C341" s="182">
        <f t="shared" ca="1" si="64"/>
        <v>35000</v>
      </c>
      <c r="D341" s="182">
        <f t="shared" ca="1" si="65"/>
        <v>23.333333333333332</v>
      </c>
      <c r="E341" s="182">
        <v>0</v>
      </c>
      <c r="F341" s="182">
        <f t="shared" ca="1" si="58"/>
        <v>0</v>
      </c>
      <c r="G341" s="182">
        <f t="shared" ca="1" si="66"/>
        <v>770.00000000003809</v>
      </c>
      <c r="H341" s="182">
        <f t="shared" ca="1" si="56"/>
        <v>35000</v>
      </c>
      <c r="I341" s="183">
        <v>0</v>
      </c>
      <c r="J341" s="263">
        <f t="shared" ca="1" si="57"/>
        <v>34229.999999999964</v>
      </c>
      <c r="K341" s="182">
        <f t="shared" ca="1" si="59"/>
        <v>70</v>
      </c>
      <c r="L341" s="182">
        <f t="shared" ca="1" si="60"/>
        <v>7629.9999999999645</v>
      </c>
      <c r="M341" s="182">
        <f t="shared" ca="1" si="61"/>
        <v>7629.9999999999645</v>
      </c>
      <c r="N341" s="182">
        <f t="shared" ca="1" si="62"/>
        <v>30519.999999999858</v>
      </c>
      <c r="O341" s="182"/>
    </row>
    <row r="342" spans="1:15" x14ac:dyDescent="0.25">
      <c r="A342" s="180">
        <f t="shared" ca="1" si="63"/>
        <v>46432</v>
      </c>
      <c r="B342" s="181">
        <v>328</v>
      </c>
      <c r="C342" s="182">
        <f t="shared" ca="1" si="64"/>
        <v>35000</v>
      </c>
      <c r="D342" s="182">
        <f t="shared" ca="1" si="65"/>
        <v>23.333333333333332</v>
      </c>
      <c r="E342" s="182">
        <v>0</v>
      </c>
      <c r="F342" s="182">
        <f t="shared" ca="1" si="58"/>
        <v>0</v>
      </c>
      <c r="G342" s="182">
        <f t="shared" ca="1" si="66"/>
        <v>746.66666666670471</v>
      </c>
      <c r="H342" s="182">
        <f t="shared" ca="1" si="56"/>
        <v>35000</v>
      </c>
      <c r="I342" s="183">
        <v>0</v>
      </c>
      <c r="J342" s="263">
        <f t="shared" ca="1" si="57"/>
        <v>34253.333333333292</v>
      </c>
      <c r="K342" s="182">
        <f t="shared" ca="1" si="59"/>
        <v>70</v>
      </c>
      <c r="L342" s="182">
        <f t="shared" ca="1" si="60"/>
        <v>7653.3333333332976</v>
      </c>
      <c r="M342" s="182">
        <f t="shared" ca="1" si="61"/>
        <v>7653.3333333332976</v>
      </c>
      <c r="N342" s="182">
        <f t="shared" ca="1" si="62"/>
        <v>30613.33333333319</v>
      </c>
      <c r="O342" s="182"/>
    </row>
    <row r="343" spans="1:15" x14ac:dyDescent="0.25">
      <c r="A343" s="180">
        <f t="shared" ca="1" si="63"/>
        <v>46433</v>
      </c>
      <c r="B343" s="181">
        <v>329</v>
      </c>
      <c r="C343" s="182">
        <f t="shared" ca="1" si="64"/>
        <v>35000</v>
      </c>
      <c r="D343" s="182">
        <f t="shared" ca="1" si="65"/>
        <v>23.333333333333332</v>
      </c>
      <c r="E343" s="182">
        <v>0</v>
      </c>
      <c r="F343" s="182">
        <f t="shared" ca="1" si="58"/>
        <v>0</v>
      </c>
      <c r="G343" s="182">
        <f t="shared" ca="1" si="66"/>
        <v>723.33333333337134</v>
      </c>
      <c r="H343" s="182">
        <f t="shared" ca="1" si="56"/>
        <v>35000</v>
      </c>
      <c r="I343" s="183">
        <v>0</v>
      </c>
      <c r="J343" s="263">
        <f t="shared" ca="1" si="57"/>
        <v>34276.666666666628</v>
      </c>
      <c r="K343" s="182">
        <f t="shared" ca="1" si="59"/>
        <v>70</v>
      </c>
      <c r="L343" s="182">
        <f t="shared" ca="1" si="60"/>
        <v>7676.6666666666306</v>
      </c>
      <c r="M343" s="182">
        <f t="shared" ca="1" si="61"/>
        <v>7676.6666666666306</v>
      </c>
      <c r="N343" s="182">
        <f t="shared" ca="1" si="62"/>
        <v>30706.666666666522</v>
      </c>
      <c r="O343" s="182"/>
    </row>
    <row r="344" spans="1:15" x14ac:dyDescent="0.25">
      <c r="A344" s="180">
        <f t="shared" ca="1" si="63"/>
        <v>46434</v>
      </c>
      <c r="B344" s="181">
        <v>330</v>
      </c>
      <c r="C344" s="182">
        <f t="shared" ca="1" si="64"/>
        <v>35000</v>
      </c>
      <c r="D344" s="182">
        <f t="shared" ca="1" si="65"/>
        <v>23.333333333333332</v>
      </c>
      <c r="E344" s="182">
        <v>0</v>
      </c>
      <c r="F344" s="182">
        <f t="shared" ca="1" si="58"/>
        <v>0</v>
      </c>
      <c r="G344" s="182">
        <f t="shared" ca="1" si="66"/>
        <v>700.00000000003797</v>
      </c>
      <c r="H344" s="182">
        <f t="shared" ca="1" si="56"/>
        <v>35000</v>
      </c>
      <c r="I344" s="183">
        <v>0</v>
      </c>
      <c r="J344" s="263">
        <f t="shared" ca="1" si="57"/>
        <v>34299.999999999964</v>
      </c>
      <c r="K344" s="182">
        <f t="shared" ca="1" si="59"/>
        <v>70</v>
      </c>
      <c r="L344" s="182">
        <f t="shared" ca="1" si="60"/>
        <v>7699.9999999999636</v>
      </c>
      <c r="M344" s="182">
        <f t="shared" ca="1" si="61"/>
        <v>7699.9999999999636</v>
      </c>
      <c r="N344" s="182">
        <f t="shared" ca="1" si="62"/>
        <v>30799.999999999854</v>
      </c>
      <c r="O344" s="182"/>
    </row>
    <row r="345" spans="1:15" x14ac:dyDescent="0.25">
      <c r="A345" s="180">
        <f t="shared" ca="1" si="63"/>
        <v>46435</v>
      </c>
      <c r="B345" s="181">
        <v>331</v>
      </c>
      <c r="C345" s="182">
        <f t="shared" ca="1" si="64"/>
        <v>35000</v>
      </c>
      <c r="D345" s="182">
        <f t="shared" ca="1" si="65"/>
        <v>23.333333333333332</v>
      </c>
      <c r="E345" s="182">
        <v>0</v>
      </c>
      <c r="F345" s="182">
        <f t="shared" ca="1" si="58"/>
        <v>0</v>
      </c>
      <c r="G345" s="182">
        <f t="shared" ca="1" si="66"/>
        <v>676.6666666667046</v>
      </c>
      <c r="H345" s="182">
        <f t="shared" ca="1" si="56"/>
        <v>35000</v>
      </c>
      <c r="I345" s="183">
        <v>0</v>
      </c>
      <c r="J345" s="263">
        <f t="shared" ca="1" si="57"/>
        <v>34323.333333333292</v>
      </c>
      <c r="K345" s="182">
        <f t="shared" ca="1" si="59"/>
        <v>70</v>
      </c>
      <c r="L345" s="182">
        <f t="shared" ca="1" si="60"/>
        <v>7723.3333333332967</v>
      </c>
      <c r="M345" s="182">
        <f t="shared" ca="1" si="61"/>
        <v>7723.3333333332967</v>
      </c>
      <c r="N345" s="182">
        <f t="shared" ca="1" si="62"/>
        <v>30893.333333333187</v>
      </c>
      <c r="O345" s="182"/>
    </row>
    <row r="346" spans="1:15" x14ac:dyDescent="0.25">
      <c r="A346" s="180">
        <f t="shared" ca="1" si="63"/>
        <v>46436</v>
      </c>
      <c r="B346" s="181">
        <v>332</v>
      </c>
      <c r="C346" s="182">
        <f t="shared" ca="1" si="64"/>
        <v>35000</v>
      </c>
      <c r="D346" s="182">
        <f t="shared" ca="1" si="65"/>
        <v>23.333333333333332</v>
      </c>
      <c r="E346" s="182">
        <v>0</v>
      </c>
      <c r="F346" s="182">
        <f t="shared" ca="1" si="58"/>
        <v>0</v>
      </c>
      <c r="G346" s="182">
        <f t="shared" ca="1" si="66"/>
        <v>653.33333333337123</v>
      </c>
      <c r="H346" s="182">
        <f t="shared" ca="1" si="56"/>
        <v>35000</v>
      </c>
      <c r="I346" s="183">
        <v>0</v>
      </c>
      <c r="J346" s="263">
        <f t="shared" ca="1" si="57"/>
        <v>34346.666666666628</v>
      </c>
      <c r="K346" s="182">
        <f t="shared" ca="1" si="59"/>
        <v>70</v>
      </c>
      <c r="L346" s="182">
        <f t="shared" ca="1" si="60"/>
        <v>7746.6666666666297</v>
      </c>
      <c r="M346" s="182">
        <f t="shared" ca="1" si="61"/>
        <v>7746.6666666666297</v>
      </c>
      <c r="N346" s="182">
        <f t="shared" ca="1" si="62"/>
        <v>30986.666666666519</v>
      </c>
      <c r="O346" s="182"/>
    </row>
    <row r="347" spans="1:15" x14ac:dyDescent="0.25">
      <c r="A347" s="180">
        <f t="shared" ca="1" si="63"/>
        <v>46437</v>
      </c>
      <c r="B347" s="181">
        <v>333</v>
      </c>
      <c r="C347" s="182">
        <f t="shared" ca="1" si="64"/>
        <v>35000</v>
      </c>
      <c r="D347" s="182">
        <f t="shared" ca="1" si="65"/>
        <v>23.333333333333332</v>
      </c>
      <c r="E347" s="182">
        <v>0</v>
      </c>
      <c r="F347" s="182">
        <f t="shared" ca="1" si="58"/>
        <v>0</v>
      </c>
      <c r="G347" s="182">
        <f t="shared" ca="1" si="66"/>
        <v>630.00000000003786</v>
      </c>
      <c r="H347" s="182">
        <f t="shared" ca="1" si="56"/>
        <v>35000</v>
      </c>
      <c r="I347" s="183">
        <v>0</v>
      </c>
      <c r="J347" s="263">
        <f t="shared" ca="1" si="57"/>
        <v>34369.999999999964</v>
      </c>
      <c r="K347" s="182">
        <f t="shared" ca="1" si="59"/>
        <v>70</v>
      </c>
      <c r="L347" s="182">
        <f t="shared" ca="1" si="60"/>
        <v>7769.9999999999627</v>
      </c>
      <c r="M347" s="182">
        <f t="shared" ca="1" si="61"/>
        <v>7769.9999999999627</v>
      </c>
      <c r="N347" s="182">
        <f t="shared" ca="1" si="62"/>
        <v>31079.999999999851</v>
      </c>
      <c r="O347" s="182"/>
    </row>
    <row r="348" spans="1:15" x14ac:dyDescent="0.25">
      <c r="A348" s="180">
        <f t="shared" ca="1" si="63"/>
        <v>46438</v>
      </c>
      <c r="B348" s="181">
        <v>334</v>
      </c>
      <c r="C348" s="182">
        <f t="shared" ca="1" si="64"/>
        <v>35000</v>
      </c>
      <c r="D348" s="182">
        <f t="shared" ca="1" si="65"/>
        <v>23.333333333333332</v>
      </c>
      <c r="E348" s="182">
        <v>0</v>
      </c>
      <c r="F348" s="182">
        <f t="shared" ca="1" si="58"/>
        <v>0</v>
      </c>
      <c r="G348" s="182">
        <f t="shared" ca="1" si="66"/>
        <v>606.66666666670449</v>
      </c>
      <c r="H348" s="182">
        <f t="shared" ca="1" si="56"/>
        <v>35000</v>
      </c>
      <c r="I348" s="183">
        <v>0</v>
      </c>
      <c r="J348" s="263">
        <f t="shared" ca="1" si="57"/>
        <v>34393.333333333292</v>
      </c>
      <c r="K348" s="182">
        <f t="shared" ca="1" si="59"/>
        <v>70</v>
      </c>
      <c r="L348" s="182">
        <f t="shared" ca="1" si="60"/>
        <v>7793.3333333332957</v>
      </c>
      <c r="M348" s="182">
        <f t="shared" ca="1" si="61"/>
        <v>7793.3333333332957</v>
      </c>
      <c r="N348" s="182">
        <f t="shared" ca="1" si="62"/>
        <v>31173.333333333183</v>
      </c>
      <c r="O348" s="182"/>
    </row>
    <row r="349" spans="1:15" x14ac:dyDescent="0.25">
      <c r="A349" s="180">
        <f t="shared" ca="1" si="63"/>
        <v>46439</v>
      </c>
      <c r="B349" s="181">
        <v>335</v>
      </c>
      <c r="C349" s="182">
        <f t="shared" ca="1" si="64"/>
        <v>35000</v>
      </c>
      <c r="D349" s="182">
        <f t="shared" ca="1" si="65"/>
        <v>23.333333333333332</v>
      </c>
      <c r="E349" s="182">
        <v>0</v>
      </c>
      <c r="F349" s="182">
        <f t="shared" ca="1" si="58"/>
        <v>0</v>
      </c>
      <c r="G349" s="182">
        <f t="shared" ca="1" si="66"/>
        <v>583.33333333337112</v>
      </c>
      <c r="H349" s="182">
        <f t="shared" ca="1" si="56"/>
        <v>35000</v>
      </c>
      <c r="I349" s="183">
        <v>0</v>
      </c>
      <c r="J349" s="263">
        <f t="shared" ca="1" si="57"/>
        <v>34416.666666666628</v>
      </c>
      <c r="K349" s="182">
        <f t="shared" ca="1" si="59"/>
        <v>70</v>
      </c>
      <c r="L349" s="182">
        <f t="shared" ca="1" si="60"/>
        <v>7816.6666666666288</v>
      </c>
      <c r="M349" s="182">
        <f t="shared" ca="1" si="61"/>
        <v>7816.6666666666288</v>
      </c>
      <c r="N349" s="182">
        <f t="shared" ca="1" si="62"/>
        <v>31266.666666666515</v>
      </c>
      <c r="O349" s="182"/>
    </row>
    <row r="350" spans="1:15" x14ac:dyDescent="0.25">
      <c r="A350" s="180">
        <f t="shared" ca="1" si="63"/>
        <v>46440</v>
      </c>
      <c r="B350" s="181">
        <v>336</v>
      </c>
      <c r="C350" s="182">
        <f t="shared" ca="1" si="64"/>
        <v>35000</v>
      </c>
      <c r="D350" s="182">
        <f t="shared" ca="1" si="65"/>
        <v>23.333333333333332</v>
      </c>
      <c r="E350" s="182">
        <v>0</v>
      </c>
      <c r="F350" s="182">
        <f t="shared" ca="1" si="58"/>
        <v>0</v>
      </c>
      <c r="G350" s="182">
        <f t="shared" ca="1" si="66"/>
        <v>560.00000000003774</v>
      </c>
      <c r="H350" s="182">
        <f t="shared" ca="1" si="56"/>
        <v>35000</v>
      </c>
      <c r="I350" s="183">
        <v>0</v>
      </c>
      <c r="J350" s="263">
        <f t="shared" ca="1" si="57"/>
        <v>34439.999999999964</v>
      </c>
      <c r="K350" s="182">
        <f t="shared" ca="1" si="59"/>
        <v>70</v>
      </c>
      <c r="L350" s="182">
        <f t="shared" ca="1" si="60"/>
        <v>7839.9999999999618</v>
      </c>
      <c r="M350" s="182">
        <f t="shared" ca="1" si="61"/>
        <v>7839.9999999999618</v>
      </c>
      <c r="N350" s="182">
        <f t="shared" ca="1" si="62"/>
        <v>31359.999999999847</v>
      </c>
      <c r="O350" s="182"/>
    </row>
    <row r="351" spans="1:15" x14ac:dyDescent="0.25">
      <c r="A351" s="180">
        <f t="shared" ca="1" si="63"/>
        <v>46441</v>
      </c>
      <c r="B351" s="181">
        <v>337</v>
      </c>
      <c r="C351" s="182">
        <f t="shared" ca="1" si="64"/>
        <v>35000</v>
      </c>
      <c r="D351" s="182">
        <f t="shared" ca="1" si="65"/>
        <v>23.333333333333332</v>
      </c>
      <c r="E351" s="182">
        <v>0</v>
      </c>
      <c r="F351" s="182">
        <f t="shared" ca="1" si="58"/>
        <v>0</v>
      </c>
      <c r="G351" s="182">
        <f t="shared" ca="1" si="66"/>
        <v>536.66666666670437</v>
      </c>
      <c r="H351" s="182">
        <f t="shared" ca="1" si="56"/>
        <v>35000</v>
      </c>
      <c r="I351" s="183">
        <v>0</v>
      </c>
      <c r="J351" s="263">
        <f t="shared" ca="1" si="57"/>
        <v>34463.333333333292</v>
      </c>
      <c r="K351" s="182">
        <f t="shared" ca="1" si="59"/>
        <v>70</v>
      </c>
      <c r="L351" s="182">
        <f t="shared" ca="1" si="60"/>
        <v>7863.3333333332948</v>
      </c>
      <c r="M351" s="182">
        <f t="shared" ca="1" si="61"/>
        <v>7863.3333333332948</v>
      </c>
      <c r="N351" s="182">
        <f t="shared" ca="1" si="62"/>
        <v>31453.333333333179</v>
      </c>
      <c r="O351" s="182"/>
    </row>
    <row r="352" spans="1:15" x14ac:dyDescent="0.25">
      <c r="A352" s="180">
        <f t="shared" ca="1" si="63"/>
        <v>46442</v>
      </c>
      <c r="B352" s="181">
        <v>338</v>
      </c>
      <c r="C352" s="182">
        <f t="shared" ca="1" si="64"/>
        <v>35000</v>
      </c>
      <c r="D352" s="182">
        <f t="shared" ca="1" si="65"/>
        <v>23.333333333333332</v>
      </c>
      <c r="E352" s="182">
        <v>0</v>
      </c>
      <c r="F352" s="182">
        <f t="shared" ca="1" si="58"/>
        <v>0</v>
      </c>
      <c r="G352" s="182">
        <f t="shared" ca="1" si="66"/>
        <v>513.333333333371</v>
      </c>
      <c r="H352" s="182">
        <f t="shared" ca="1" si="56"/>
        <v>35000</v>
      </c>
      <c r="I352" s="183">
        <v>0</v>
      </c>
      <c r="J352" s="263">
        <f t="shared" ca="1" si="57"/>
        <v>34486.666666666628</v>
      </c>
      <c r="K352" s="182">
        <f t="shared" ca="1" si="59"/>
        <v>70</v>
      </c>
      <c r="L352" s="182">
        <f t="shared" ca="1" si="60"/>
        <v>7886.6666666666279</v>
      </c>
      <c r="M352" s="182">
        <f t="shared" ca="1" si="61"/>
        <v>7886.6666666666279</v>
      </c>
      <c r="N352" s="182">
        <f t="shared" ca="1" si="62"/>
        <v>31546.666666666511</v>
      </c>
      <c r="O352" s="182"/>
    </row>
    <row r="353" spans="1:15" x14ac:dyDescent="0.25">
      <c r="A353" s="180">
        <f t="shared" ca="1" si="63"/>
        <v>46443</v>
      </c>
      <c r="B353" s="181">
        <v>339</v>
      </c>
      <c r="C353" s="182">
        <f t="shared" ca="1" si="64"/>
        <v>35000</v>
      </c>
      <c r="D353" s="182">
        <f t="shared" ca="1" si="65"/>
        <v>23.333333333333332</v>
      </c>
      <c r="E353" s="182">
        <v>0</v>
      </c>
      <c r="F353" s="182">
        <f t="shared" ca="1" si="58"/>
        <v>0</v>
      </c>
      <c r="G353" s="182">
        <f t="shared" ca="1" si="66"/>
        <v>490.00000000003769</v>
      </c>
      <c r="H353" s="182">
        <f t="shared" ca="1" si="56"/>
        <v>35000</v>
      </c>
      <c r="I353" s="183">
        <v>0</v>
      </c>
      <c r="J353" s="263">
        <f t="shared" ca="1" si="57"/>
        <v>34509.999999999964</v>
      </c>
      <c r="K353" s="182">
        <f t="shared" ca="1" si="59"/>
        <v>70</v>
      </c>
      <c r="L353" s="182">
        <f t="shared" ca="1" si="60"/>
        <v>7909.9999999999609</v>
      </c>
      <c r="M353" s="182">
        <f t="shared" ca="1" si="61"/>
        <v>7909.9999999999609</v>
      </c>
      <c r="N353" s="182">
        <f t="shared" ca="1" si="62"/>
        <v>31639.999999999844</v>
      </c>
      <c r="O353" s="182"/>
    </row>
    <row r="354" spans="1:15" x14ac:dyDescent="0.25">
      <c r="A354" s="180">
        <f t="shared" ca="1" si="63"/>
        <v>46444</v>
      </c>
      <c r="B354" s="181">
        <v>340</v>
      </c>
      <c r="C354" s="182">
        <f t="shared" ca="1" si="64"/>
        <v>35000</v>
      </c>
      <c r="D354" s="182">
        <f t="shared" ca="1" si="65"/>
        <v>23.333333333333332</v>
      </c>
      <c r="E354" s="182">
        <v>0</v>
      </c>
      <c r="F354" s="182">
        <f t="shared" ca="1" si="58"/>
        <v>0</v>
      </c>
      <c r="G354" s="182">
        <f t="shared" ca="1" si="66"/>
        <v>466.66666666670437</v>
      </c>
      <c r="H354" s="182">
        <f t="shared" ca="1" si="56"/>
        <v>35000</v>
      </c>
      <c r="I354" s="183">
        <v>0</v>
      </c>
      <c r="J354" s="263">
        <f t="shared" ca="1" si="57"/>
        <v>34533.333333333292</v>
      </c>
      <c r="K354" s="182">
        <f t="shared" ca="1" si="59"/>
        <v>70</v>
      </c>
      <c r="L354" s="182">
        <f t="shared" ca="1" si="60"/>
        <v>7933.3333333332939</v>
      </c>
      <c r="M354" s="182">
        <f t="shared" ca="1" si="61"/>
        <v>7933.3333333332939</v>
      </c>
      <c r="N354" s="182">
        <f t="shared" ca="1" si="62"/>
        <v>31733.333333333176</v>
      </c>
      <c r="O354" s="182"/>
    </row>
    <row r="355" spans="1:15" x14ac:dyDescent="0.25">
      <c r="A355" s="180">
        <f t="shared" ca="1" si="63"/>
        <v>46445</v>
      </c>
      <c r="B355" s="181">
        <v>341</v>
      </c>
      <c r="C355" s="182">
        <f t="shared" ca="1" si="64"/>
        <v>35000</v>
      </c>
      <c r="D355" s="182">
        <f t="shared" ca="1" si="65"/>
        <v>23.333333333333332</v>
      </c>
      <c r="E355" s="182">
        <v>0</v>
      </c>
      <c r="F355" s="182">
        <f t="shared" ca="1" si="58"/>
        <v>0</v>
      </c>
      <c r="G355" s="182">
        <f t="shared" ca="1" si="66"/>
        <v>443.33333333337106</v>
      </c>
      <c r="H355" s="182">
        <f t="shared" ref="H355:H418" ca="1" si="67">IF(G355&gt;0,C355+F355+I355,SUM(C355:F355)-G354)</f>
        <v>35000</v>
      </c>
      <c r="I355" s="183">
        <v>0</v>
      </c>
      <c r="J355" s="263">
        <f t="shared" ca="1" si="57"/>
        <v>34556.666666666628</v>
      </c>
      <c r="K355" s="182">
        <f t="shared" ca="1" si="59"/>
        <v>70</v>
      </c>
      <c r="L355" s="182">
        <f t="shared" ca="1" si="60"/>
        <v>7956.666666666627</v>
      </c>
      <c r="M355" s="182">
        <f t="shared" ca="1" si="61"/>
        <v>7956.666666666627</v>
      </c>
      <c r="N355" s="182">
        <f t="shared" ca="1" si="62"/>
        <v>31826.666666666508</v>
      </c>
      <c r="O355" s="182"/>
    </row>
    <row r="356" spans="1:15" x14ac:dyDescent="0.25">
      <c r="A356" s="180">
        <f t="shared" ca="1" si="63"/>
        <v>46446</v>
      </c>
      <c r="B356" s="181">
        <v>342</v>
      </c>
      <c r="C356" s="182">
        <f t="shared" ca="1" si="64"/>
        <v>35000</v>
      </c>
      <c r="D356" s="182">
        <f t="shared" ca="1" si="65"/>
        <v>23.333333333333332</v>
      </c>
      <c r="E356" s="182">
        <v>0</v>
      </c>
      <c r="F356" s="182">
        <f t="shared" ca="1" si="58"/>
        <v>0</v>
      </c>
      <c r="G356" s="182">
        <f t="shared" ca="1" si="66"/>
        <v>420.00000000003774</v>
      </c>
      <c r="H356" s="182">
        <f t="shared" ca="1" si="67"/>
        <v>35000</v>
      </c>
      <c r="I356" s="183">
        <v>0</v>
      </c>
      <c r="J356" s="263">
        <f t="shared" ca="1" si="57"/>
        <v>34579.999999999964</v>
      </c>
      <c r="K356" s="182">
        <f t="shared" ca="1" si="59"/>
        <v>70</v>
      </c>
      <c r="L356" s="182">
        <f t="shared" ca="1" si="60"/>
        <v>7979.99999999996</v>
      </c>
      <c r="M356" s="182">
        <f t="shared" ca="1" si="61"/>
        <v>7979.99999999996</v>
      </c>
      <c r="N356" s="182">
        <f t="shared" ca="1" si="62"/>
        <v>31919.99999999984</v>
      </c>
      <c r="O356" s="182"/>
    </row>
    <row r="357" spans="1:15" x14ac:dyDescent="0.25">
      <c r="A357" s="180">
        <f t="shared" ca="1" si="63"/>
        <v>46447</v>
      </c>
      <c r="B357" s="181">
        <v>343</v>
      </c>
      <c r="C357" s="182">
        <f t="shared" ca="1" si="64"/>
        <v>35000</v>
      </c>
      <c r="D357" s="182">
        <f t="shared" ca="1" si="65"/>
        <v>23.333333333333332</v>
      </c>
      <c r="E357" s="182">
        <v>0</v>
      </c>
      <c r="F357" s="182">
        <f t="shared" ca="1" si="58"/>
        <v>0</v>
      </c>
      <c r="G357" s="182">
        <f t="shared" ca="1" si="66"/>
        <v>396.66666666670443</v>
      </c>
      <c r="H357" s="182">
        <f t="shared" ca="1" si="67"/>
        <v>35000</v>
      </c>
      <c r="I357" s="183">
        <v>0</v>
      </c>
      <c r="J357" s="263">
        <f t="shared" ca="1" si="57"/>
        <v>34603.333333333292</v>
      </c>
      <c r="K357" s="182">
        <f t="shared" ca="1" si="59"/>
        <v>70</v>
      </c>
      <c r="L357" s="182">
        <f t="shared" ca="1" si="60"/>
        <v>8003.333333333293</v>
      </c>
      <c r="M357" s="182">
        <f t="shared" ca="1" si="61"/>
        <v>8003.333333333293</v>
      </c>
      <c r="N357" s="182">
        <f t="shared" ca="1" si="62"/>
        <v>32013.333333333172</v>
      </c>
      <c r="O357" s="182"/>
    </row>
    <row r="358" spans="1:15" x14ac:dyDescent="0.25">
      <c r="A358" s="180">
        <f t="shared" ca="1" si="63"/>
        <v>46448</v>
      </c>
      <c r="B358" s="181">
        <v>344</v>
      </c>
      <c r="C358" s="182">
        <f t="shared" ca="1" si="64"/>
        <v>35000</v>
      </c>
      <c r="D358" s="182">
        <f t="shared" ca="1" si="65"/>
        <v>23.333333333333332</v>
      </c>
      <c r="E358" s="182">
        <v>0</v>
      </c>
      <c r="F358" s="182">
        <f t="shared" ca="1" si="58"/>
        <v>0</v>
      </c>
      <c r="G358" s="182">
        <f t="shared" ca="1" si="66"/>
        <v>373.33333333337112</v>
      </c>
      <c r="H358" s="182">
        <f t="shared" ca="1" si="67"/>
        <v>35000</v>
      </c>
      <c r="I358" s="183">
        <v>0</v>
      </c>
      <c r="J358" s="263">
        <f t="shared" ca="1" si="57"/>
        <v>34626.666666666628</v>
      </c>
      <c r="K358" s="182">
        <f t="shared" ca="1" si="59"/>
        <v>70</v>
      </c>
      <c r="L358" s="182">
        <f t="shared" ca="1" si="60"/>
        <v>8026.666666666626</v>
      </c>
      <c r="M358" s="182">
        <f t="shared" ca="1" si="61"/>
        <v>8026.666666666626</v>
      </c>
      <c r="N358" s="182">
        <f t="shared" ca="1" si="62"/>
        <v>32106.666666666504</v>
      </c>
      <c r="O358" s="182"/>
    </row>
    <row r="359" spans="1:15" x14ac:dyDescent="0.25">
      <c r="A359" s="180">
        <f t="shared" ca="1" si="63"/>
        <v>46449</v>
      </c>
      <c r="B359" s="181">
        <v>345</v>
      </c>
      <c r="C359" s="182">
        <f t="shared" ca="1" si="64"/>
        <v>35000</v>
      </c>
      <c r="D359" s="182">
        <f t="shared" ca="1" si="65"/>
        <v>23.333333333333332</v>
      </c>
      <c r="E359" s="182">
        <v>0</v>
      </c>
      <c r="F359" s="182">
        <f t="shared" ca="1" si="58"/>
        <v>0</v>
      </c>
      <c r="G359" s="182">
        <f t="shared" ca="1" si="66"/>
        <v>350.0000000000378</v>
      </c>
      <c r="H359" s="182">
        <f t="shared" ca="1" si="67"/>
        <v>35000</v>
      </c>
      <c r="I359" s="183">
        <v>0</v>
      </c>
      <c r="J359" s="263">
        <f t="shared" ca="1" si="57"/>
        <v>34649.999999999964</v>
      </c>
      <c r="K359" s="182">
        <f t="shared" ca="1" si="59"/>
        <v>70</v>
      </c>
      <c r="L359" s="182">
        <f t="shared" ca="1" si="60"/>
        <v>8049.9999999999591</v>
      </c>
      <c r="M359" s="182">
        <f t="shared" ca="1" si="61"/>
        <v>8049.9999999999591</v>
      </c>
      <c r="N359" s="182">
        <f t="shared" ca="1" si="62"/>
        <v>32199.999999999836</v>
      </c>
      <c r="O359" s="182"/>
    </row>
    <row r="360" spans="1:15" x14ac:dyDescent="0.25">
      <c r="A360" s="180">
        <f t="shared" ca="1" si="63"/>
        <v>46450</v>
      </c>
      <c r="B360" s="181">
        <v>346</v>
      </c>
      <c r="C360" s="182">
        <f t="shared" ca="1" si="64"/>
        <v>35000</v>
      </c>
      <c r="D360" s="182">
        <f t="shared" ca="1" si="65"/>
        <v>23.333333333333332</v>
      </c>
      <c r="E360" s="182">
        <v>0</v>
      </c>
      <c r="F360" s="182">
        <f t="shared" ca="1" si="58"/>
        <v>0</v>
      </c>
      <c r="G360" s="182">
        <f t="shared" ca="1" si="66"/>
        <v>326.66666666670449</v>
      </c>
      <c r="H360" s="182">
        <f t="shared" ca="1" si="67"/>
        <v>35000</v>
      </c>
      <c r="I360" s="183">
        <v>0</v>
      </c>
      <c r="J360" s="263">
        <f t="shared" ca="1" si="57"/>
        <v>34673.333333333292</v>
      </c>
      <c r="K360" s="182">
        <f t="shared" ca="1" si="59"/>
        <v>70</v>
      </c>
      <c r="L360" s="182">
        <f t="shared" ca="1" si="60"/>
        <v>8073.3333333332921</v>
      </c>
      <c r="M360" s="182">
        <f t="shared" ca="1" si="61"/>
        <v>8073.3333333332921</v>
      </c>
      <c r="N360" s="182">
        <f t="shared" ca="1" si="62"/>
        <v>32293.333333333168</v>
      </c>
      <c r="O360" s="182"/>
    </row>
    <row r="361" spans="1:15" x14ac:dyDescent="0.25">
      <c r="A361" s="180">
        <f t="shared" ca="1" si="63"/>
        <v>46451</v>
      </c>
      <c r="B361" s="181">
        <v>347</v>
      </c>
      <c r="C361" s="182">
        <f t="shared" ca="1" si="64"/>
        <v>35000</v>
      </c>
      <c r="D361" s="182">
        <f t="shared" ca="1" si="65"/>
        <v>23.333333333333332</v>
      </c>
      <c r="E361" s="182">
        <v>0</v>
      </c>
      <c r="F361" s="182">
        <f t="shared" ca="1" si="58"/>
        <v>0</v>
      </c>
      <c r="G361" s="182">
        <f t="shared" ca="1" si="66"/>
        <v>303.33333333337117</v>
      </c>
      <c r="H361" s="182">
        <f t="shared" ca="1" si="67"/>
        <v>35000</v>
      </c>
      <c r="I361" s="183">
        <v>0</v>
      </c>
      <c r="J361" s="263">
        <f t="shared" ca="1" si="57"/>
        <v>34696.666666666628</v>
      </c>
      <c r="K361" s="182">
        <f t="shared" ca="1" si="59"/>
        <v>70</v>
      </c>
      <c r="L361" s="182">
        <f t="shared" ca="1" si="60"/>
        <v>8096.6666666666251</v>
      </c>
      <c r="M361" s="182">
        <f t="shared" ca="1" si="61"/>
        <v>8096.6666666666251</v>
      </c>
      <c r="N361" s="182">
        <f t="shared" ca="1" si="62"/>
        <v>32386.666666666501</v>
      </c>
      <c r="O361" s="182"/>
    </row>
    <row r="362" spans="1:15" x14ac:dyDescent="0.25">
      <c r="A362" s="180">
        <f t="shared" ca="1" si="63"/>
        <v>46452</v>
      </c>
      <c r="B362" s="181">
        <v>348</v>
      </c>
      <c r="C362" s="182">
        <f t="shared" ca="1" si="64"/>
        <v>35000</v>
      </c>
      <c r="D362" s="182">
        <f t="shared" ca="1" si="65"/>
        <v>23.333333333333332</v>
      </c>
      <c r="E362" s="182">
        <v>0</v>
      </c>
      <c r="F362" s="182">
        <f t="shared" ca="1" si="58"/>
        <v>0</v>
      </c>
      <c r="G362" s="182">
        <f t="shared" ca="1" si="66"/>
        <v>280.00000000003786</v>
      </c>
      <c r="H362" s="182">
        <f t="shared" ca="1" si="67"/>
        <v>35000</v>
      </c>
      <c r="I362" s="183">
        <v>0</v>
      </c>
      <c r="J362" s="263">
        <f t="shared" ca="1" si="57"/>
        <v>34719.999999999964</v>
      </c>
      <c r="K362" s="182">
        <f t="shared" ca="1" si="59"/>
        <v>70</v>
      </c>
      <c r="L362" s="182">
        <f t="shared" ca="1" si="60"/>
        <v>8119.9999999999582</v>
      </c>
      <c r="M362" s="182">
        <f t="shared" ca="1" si="61"/>
        <v>8119.9999999999582</v>
      </c>
      <c r="N362" s="182">
        <f t="shared" ca="1" si="62"/>
        <v>32479.999999999833</v>
      </c>
      <c r="O362" s="182"/>
    </row>
    <row r="363" spans="1:15" x14ac:dyDescent="0.25">
      <c r="A363" s="180">
        <f t="shared" ca="1" si="63"/>
        <v>46453</v>
      </c>
      <c r="B363" s="181">
        <v>349</v>
      </c>
      <c r="C363" s="182">
        <f t="shared" ca="1" si="64"/>
        <v>35000</v>
      </c>
      <c r="D363" s="182">
        <f t="shared" ca="1" si="65"/>
        <v>23.333333333333332</v>
      </c>
      <c r="E363" s="182">
        <v>0</v>
      </c>
      <c r="F363" s="182">
        <f t="shared" ca="1" si="58"/>
        <v>0</v>
      </c>
      <c r="G363" s="182">
        <f t="shared" ca="1" si="66"/>
        <v>256.66666666670454</v>
      </c>
      <c r="H363" s="182">
        <f t="shared" ca="1" si="67"/>
        <v>35000</v>
      </c>
      <c r="I363" s="183">
        <v>0</v>
      </c>
      <c r="J363" s="263">
        <f t="shared" ca="1" si="57"/>
        <v>34743.333333333292</v>
      </c>
      <c r="K363" s="182">
        <f t="shared" ca="1" si="59"/>
        <v>70</v>
      </c>
      <c r="L363" s="182">
        <f t="shared" ca="1" si="60"/>
        <v>8143.3333333332912</v>
      </c>
      <c r="M363" s="182">
        <f t="shared" ca="1" si="61"/>
        <v>8143.3333333332912</v>
      </c>
      <c r="N363" s="182">
        <f t="shared" ca="1" si="62"/>
        <v>32573.333333333165</v>
      </c>
      <c r="O363" s="182"/>
    </row>
    <row r="364" spans="1:15" x14ac:dyDescent="0.25">
      <c r="A364" s="180">
        <f t="shared" ca="1" si="63"/>
        <v>46454</v>
      </c>
      <c r="B364" s="181">
        <v>350</v>
      </c>
      <c r="C364" s="182">
        <f t="shared" ca="1" si="64"/>
        <v>35000</v>
      </c>
      <c r="D364" s="182">
        <f t="shared" ca="1" si="65"/>
        <v>23.333333333333332</v>
      </c>
      <c r="E364" s="182">
        <v>0</v>
      </c>
      <c r="F364" s="182">
        <f t="shared" ca="1" si="58"/>
        <v>0</v>
      </c>
      <c r="G364" s="182">
        <f t="shared" ca="1" si="66"/>
        <v>233.3333333333712</v>
      </c>
      <c r="H364" s="182">
        <f t="shared" ca="1" si="67"/>
        <v>35000</v>
      </c>
      <c r="I364" s="183">
        <v>0</v>
      </c>
      <c r="J364" s="263">
        <f t="shared" ca="1" si="57"/>
        <v>34766.666666666628</v>
      </c>
      <c r="K364" s="182">
        <f t="shared" ca="1" si="59"/>
        <v>70</v>
      </c>
      <c r="L364" s="182">
        <f t="shared" ca="1" si="60"/>
        <v>8166.6666666666242</v>
      </c>
      <c r="M364" s="182">
        <f t="shared" ca="1" si="61"/>
        <v>8166.6666666666242</v>
      </c>
      <c r="N364" s="182">
        <f t="shared" ca="1" si="62"/>
        <v>32666.666666666497</v>
      </c>
      <c r="O364" s="182"/>
    </row>
    <row r="365" spans="1:15" x14ac:dyDescent="0.25">
      <c r="A365" s="180">
        <f t="shared" ca="1" si="63"/>
        <v>46455</v>
      </c>
      <c r="B365" s="181">
        <v>351</v>
      </c>
      <c r="C365" s="182">
        <f t="shared" ca="1" si="64"/>
        <v>35000</v>
      </c>
      <c r="D365" s="182">
        <f t="shared" ca="1" si="65"/>
        <v>23.333333333333332</v>
      </c>
      <c r="E365" s="182">
        <v>0</v>
      </c>
      <c r="F365" s="182">
        <f t="shared" ca="1" si="58"/>
        <v>0</v>
      </c>
      <c r="G365" s="182">
        <f t="shared" ca="1" si="66"/>
        <v>210.00000000003786</v>
      </c>
      <c r="H365" s="182">
        <f t="shared" ca="1" si="67"/>
        <v>35000</v>
      </c>
      <c r="I365" s="183">
        <v>0</v>
      </c>
      <c r="J365" s="263">
        <f t="shared" ca="1" si="57"/>
        <v>34789.999999999964</v>
      </c>
      <c r="K365" s="182">
        <f t="shared" ca="1" si="59"/>
        <v>70</v>
      </c>
      <c r="L365" s="182">
        <f t="shared" ca="1" si="60"/>
        <v>8189.9999999999573</v>
      </c>
      <c r="M365" s="182">
        <f t="shared" ca="1" si="61"/>
        <v>8189.9999999999573</v>
      </c>
      <c r="N365" s="182">
        <f t="shared" ca="1" si="62"/>
        <v>32759.999999999829</v>
      </c>
      <c r="O365" s="182"/>
    </row>
    <row r="366" spans="1:15" x14ac:dyDescent="0.25">
      <c r="A366" s="180">
        <f t="shared" ca="1" si="63"/>
        <v>46456</v>
      </c>
      <c r="B366" s="181">
        <v>352</v>
      </c>
      <c r="C366" s="182">
        <f t="shared" ca="1" si="64"/>
        <v>35000</v>
      </c>
      <c r="D366" s="182">
        <f t="shared" ca="1" si="65"/>
        <v>23.333333333333332</v>
      </c>
      <c r="E366" s="182">
        <v>0</v>
      </c>
      <c r="F366" s="182">
        <f t="shared" ca="1" si="58"/>
        <v>0</v>
      </c>
      <c r="G366" s="182">
        <f t="shared" ca="1" si="66"/>
        <v>186.66666666670451</v>
      </c>
      <c r="H366" s="182">
        <f t="shared" ca="1" si="67"/>
        <v>35000</v>
      </c>
      <c r="I366" s="183">
        <v>0</v>
      </c>
      <c r="J366" s="263">
        <f t="shared" ca="1" si="57"/>
        <v>34813.333333333292</v>
      </c>
      <c r="K366" s="182">
        <f t="shared" ca="1" si="59"/>
        <v>70</v>
      </c>
      <c r="L366" s="182">
        <f t="shared" ca="1" si="60"/>
        <v>8213.3333333332903</v>
      </c>
      <c r="M366" s="182">
        <f t="shared" ca="1" si="61"/>
        <v>8213.3333333332903</v>
      </c>
      <c r="N366" s="182">
        <f t="shared" ca="1" si="62"/>
        <v>32853.333333333161</v>
      </c>
      <c r="O366" s="182"/>
    </row>
    <row r="367" spans="1:15" x14ac:dyDescent="0.25">
      <c r="A367" s="180">
        <f t="shared" ca="1" si="63"/>
        <v>46457</v>
      </c>
      <c r="B367" s="181">
        <v>353</v>
      </c>
      <c r="C367" s="182">
        <f t="shared" ca="1" si="64"/>
        <v>35000</v>
      </c>
      <c r="D367" s="182">
        <f t="shared" ca="1" si="65"/>
        <v>23.333333333333332</v>
      </c>
      <c r="E367" s="182">
        <v>0</v>
      </c>
      <c r="F367" s="182">
        <f t="shared" ca="1" si="58"/>
        <v>0</v>
      </c>
      <c r="G367" s="182">
        <f t="shared" ca="1" si="66"/>
        <v>163.33333333337117</v>
      </c>
      <c r="H367" s="182">
        <f t="shared" ca="1" si="67"/>
        <v>35000</v>
      </c>
      <c r="I367" s="183">
        <v>0</v>
      </c>
      <c r="J367" s="263">
        <f t="shared" ca="1" si="57"/>
        <v>34836.666666666628</v>
      </c>
      <c r="K367" s="182">
        <f t="shared" ca="1" si="59"/>
        <v>70</v>
      </c>
      <c r="L367" s="182">
        <f t="shared" ca="1" si="60"/>
        <v>8236.6666666666242</v>
      </c>
      <c r="M367" s="182">
        <f t="shared" ca="1" si="61"/>
        <v>8236.6666666666242</v>
      </c>
      <c r="N367" s="182">
        <f t="shared" ca="1" si="62"/>
        <v>32946.666666666497</v>
      </c>
      <c r="O367" s="182"/>
    </row>
    <row r="368" spans="1:15" x14ac:dyDescent="0.25">
      <c r="A368" s="180">
        <f t="shared" ca="1" si="63"/>
        <v>46458</v>
      </c>
      <c r="B368" s="181">
        <v>354</v>
      </c>
      <c r="C368" s="182">
        <f t="shared" ca="1" si="64"/>
        <v>35000</v>
      </c>
      <c r="D368" s="182">
        <f t="shared" ca="1" si="65"/>
        <v>23.333333333333332</v>
      </c>
      <c r="E368" s="182">
        <v>0</v>
      </c>
      <c r="F368" s="182">
        <f t="shared" ca="1" si="58"/>
        <v>0</v>
      </c>
      <c r="G368" s="182">
        <f t="shared" ca="1" si="66"/>
        <v>140.00000000003783</v>
      </c>
      <c r="H368" s="182">
        <f t="shared" ca="1" si="67"/>
        <v>35000</v>
      </c>
      <c r="I368" s="183">
        <v>0</v>
      </c>
      <c r="J368" s="263">
        <f t="shared" ca="1" si="57"/>
        <v>34859.999999999964</v>
      </c>
      <c r="K368" s="182">
        <f t="shared" ca="1" si="59"/>
        <v>70</v>
      </c>
      <c r="L368" s="182">
        <f t="shared" ca="1" si="60"/>
        <v>8259.9999999999582</v>
      </c>
      <c r="M368" s="182">
        <f t="shared" ca="1" si="61"/>
        <v>8259.9999999999582</v>
      </c>
      <c r="N368" s="182">
        <f t="shared" ca="1" si="62"/>
        <v>33039.999999999833</v>
      </c>
      <c r="O368" s="182"/>
    </row>
    <row r="369" spans="1:19" x14ac:dyDescent="0.25">
      <c r="A369" s="180">
        <f t="shared" ca="1" si="63"/>
        <v>46459</v>
      </c>
      <c r="B369" s="181">
        <v>355</v>
      </c>
      <c r="C369" s="182">
        <f t="shared" ca="1" si="64"/>
        <v>35000</v>
      </c>
      <c r="D369" s="182">
        <f t="shared" ca="1" si="65"/>
        <v>23.333333333333332</v>
      </c>
      <c r="E369" s="182">
        <v>0</v>
      </c>
      <c r="F369" s="182">
        <f t="shared" ca="1" si="58"/>
        <v>0</v>
      </c>
      <c r="G369" s="182">
        <f t="shared" ca="1" si="66"/>
        <v>116.6666666667045</v>
      </c>
      <c r="H369" s="182">
        <f t="shared" ca="1" si="67"/>
        <v>35000</v>
      </c>
      <c r="I369" s="183">
        <v>0</v>
      </c>
      <c r="J369" s="263">
        <f t="shared" ca="1" si="57"/>
        <v>34883.333333333292</v>
      </c>
      <c r="K369" s="182">
        <f t="shared" ca="1" si="59"/>
        <v>70</v>
      </c>
      <c r="L369" s="182">
        <f t="shared" ca="1" si="60"/>
        <v>8283.3333333332921</v>
      </c>
      <c r="M369" s="182">
        <f t="shared" ca="1" si="61"/>
        <v>8283.3333333332921</v>
      </c>
      <c r="N369" s="182">
        <f t="shared" ca="1" si="62"/>
        <v>33133.333333333168</v>
      </c>
      <c r="O369" s="182"/>
    </row>
    <row r="370" spans="1:19" x14ac:dyDescent="0.25">
      <c r="A370" s="180">
        <f t="shared" ca="1" si="63"/>
        <v>46460</v>
      </c>
      <c r="B370" s="181">
        <v>356</v>
      </c>
      <c r="C370" s="182">
        <f t="shared" ca="1" si="64"/>
        <v>35000</v>
      </c>
      <c r="D370" s="182">
        <f t="shared" ca="1" si="65"/>
        <v>23.333333333333332</v>
      </c>
      <c r="E370" s="182">
        <v>0</v>
      </c>
      <c r="F370" s="182">
        <f t="shared" ca="1" si="58"/>
        <v>0</v>
      </c>
      <c r="G370" s="182">
        <f t="shared" ca="1" si="66"/>
        <v>93.333333333371172</v>
      </c>
      <c r="H370" s="182">
        <f t="shared" ca="1" si="67"/>
        <v>35000</v>
      </c>
      <c r="I370" s="183">
        <v>0</v>
      </c>
      <c r="J370" s="263">
        <f t="shared" ca="1" si="57"/>
        <v>34906.666666666628</v>
      </c>
      <c r="K370" s="182">
        <f t="shared" ca="1" si="59"/>
        <v>70</v>
      </c>
      <c r="L370" s="182">
        <f t="shared" ca="1" si="60"/>
        <v>8306.666666666626</v>
      </c>
      <c r="M370" s="182">
        <f t="shared" ca="1" si="61"/>
        <v>8306.666666666626</v>
      </c>
      <c r="N370" s="182">
        <f t="shared" ca="1" si="62"/>
        <v>33226.666666666504</v>
      </c>
      <c r="O370" s="182"/>
    </row>
    <row r="371" spans="1:19" x14ac:dyDescent="0.25">
      <c r="A371" s="180">
        <f t="shared" ca="1" si="63"/>
        <v>46461</v>
      </c>
      <c r="B371" s="181">
        <v>357</v>
      </c>
      <c r="C371" s="182">
        <f t="shared" ca="1" si="64"/>
        <v>35000</v>
      </c>
      <c r="D371" s="182">
        <f t="shared" ca="1" si="65"/>
        <v>23.333333333333332</v>
      </c>
      <c r="E371" s="182">
        <v>0</v>
      </c>
      <c r="F371" s="182">
        <f t="shared" ca="1" si="58"/>
        <v>0</v>
      </c>
      <c r="G371" s="182">
        <f t="shared" ca="1" si="66"/>
        <v>70.000000000037844</v>
      </c>
      <c r="H371" s="182">
        <f t="shared" ca="1" si="67"/>
        <v>35000</v>
      </c>
      <c r="I371" s="183">
        <v>0</v>
      </c>
      <c r="J371" s="263">
        <f t="shared" ca="1" si="57"/>
        <v>34929.999999999964</v>
      </c>
      <c r="K371" s="182">
        <f t="shared" ca="1" si="59"/>
        <v>70</v>
      </c>
      <c r="L371" s="182">
        <f t="shared" ca="1" si="60"/>
        <v>8329.99999999996</v>
      </c>
      <c r="M371" s="182">
        <f t="shared" ca="1" si="61"/>
        <v>8329.99999999996</v>
      </c>
      <c r="N371" s="182">
        <f t="shared" ca="1" si="62"/>
        <v>33319.99999999984</v>
      </c>
      <c r="O371" s="182"/>
    </row>
    <row r="372" spans="1:19" x14ac:dyDescent="0.25">
      <c r="A372" s="180">
        <f t="shared" ca="1" si="63"/>
        <v>46462</v>
      </c>
      <c r="B372" s="181">
        <v>358</v>
      </c>
      <c r="C372" s="182">
        <f t="shared" ca="1" si="64"/>
        <v>35000</v>
      </c>
      <c r="D372" s="182">
        <f t="shared" ca="1" si="65"/>
        <v>23.333333333333332</v>
      </c>
      <c r="E372" s="182">
        <v>0</v>
      </c>
      <c r="F372" s="182">
        <f t="shared" ca="1" si="58"/>
        <v>0</v>
      </c>
      <c r="G372" s="182">
        <f t="shared" ca="1" si="66"/>
        <v>46.666666666704515</v>
      </c>
      <c r="H372" s="182">
        <f t="shared" ca="1" si="67"/>
        <v>35000</v>
      </c>
      <c r="I372" s="183">
        <v>0</v>
      </c>
      <c r="J372" s="263">
        <f t="shared" ca="1" si="57"/>
        <v>34953.333333333292</v>
      </c>
      <c r="K372" s="182">
        <f t="shared" ca="1" si="59"/>
        <v>70</v>
      </c>
      <c r="L372" s="182">
        <f t="shared" ca="1" si="60"/>
        <v>8353.3333333332939</v>
      </c>
      <c r="M372" s="182">
        <f t="shared" ca="1" si="61"/>
        <v>8353.3333333332939</v>
      </c>
      <c r="N372" s="182">
        <f t="shared" ca="1" si="62"/>
        <v>33413.333333333176</v>
      </c>
      <c r="O372" s="182"/>
    </row>
    <row r="373" spans="1:19" x14ac:dyDescent="0.25">
      <c r="A373" s="180">
        <f t="shared" ca="1" si="63"/>
        <v>46463</v>
      </c>
      <c r="B373" s="181">
        <v>359</v>
      </c>
      <c r="C373" s="182">
        <f t="shared" ca="1" si="64"/>
        <v>35000</v>
      </c>
      <c r="D373" s="182">
        <f t="shared" ca="1" si="65"/>
        <v>23.333333333333332</v>
      </c>
      <c r="E373" s="182">
        <v>0</v>
      </c>
      <c r="F373" s="182">
        <f t="shared" ca="1" si="58"/>
        <v>0</v>
      </c>
      <c r="G373" s="182">
        <f t="shared" ca="1" si="66"/>
        <v>23.333333333371183</v>
      </c>
      <c r="H373" s="182">
        <f t="shared" ca="1" si="67"/>
        <v>35000</v>
      </c>
      <c r="I373" s="183">
        <v>0</v>
      </c>
      <c r="J373" s="263">
        <f t="shared" ca="1" si="57"/>
        <v>34976.666666666628</v>
      </c>
      <c r="K373" s="182">
        <f t="shared" ca="1" si="59"/>
        <v>70</v>
      </c>
      <c r="L373" s="182">
        <f t="shared" ca="1" si="60"/>
        <v>8376.6666666666279</v>
      </c>
      <c r="M373" s="182">
        <f t="shared" ca="1" si="61"/>
        <v>8376.6666666666279</v>
      </c>
      <c r="N373" s="182">
        <f t="shared" ca="1" si="62"/>
        <v>33506.666666666511</v>
      </c>
      <c r="O373" s="182"/>
    </row>
    <row r="374" spans="1:19" x14ac:dyDescent="0.25">
      <c r="A374" s="180">
        <f t="shared" ca="1" si="63"/>
        <v>46464</v>
      </c>
      <c r="B374" s="181">
        <v>360</v>
      </c>
      <c r="C374" s="182">
        <f t="shared" ca="1" si="64"/>
        <v>35000</v>
      </c>
      <c r="D374" s="182">
        <f t="shared" ca="1" si="65"/>
        <v>23.333333333333332</v>
      </c>
      <c r="E374" s="182">
        <v>0</v>
      </c>
      <c r="F374" s="182">
        <f t="shared" ca="1" si="58"/>
        <v>0</v>
      </c>
      <c r="G374" s="182">
        <f t="shared" ca="1" si="66"/>
        <v>3.7850611533940537E-11</v>
      </c>
      <c r="H374" s="182">
        <f t="shared" ca="1" si="67"/>
        <v>35000</v>
      </c>
      <c r="I374" s="183">
        <v>0</v>
      </c>
      <c r="J374" s="263">
        <f t="shared" ca="1" si="57"/>
        <v>34999.999999999964</v>
      </c>
      <c r="K374" s="182">
        <f t="shared" ca="1" si="59"/>
        <v>70</v>
      </c>
      <c r="L374" s="182">
        <f t="shared" ca="1" si="60"/>
        <v>8399.9999999999618</v>
      </c>
      <c r="M374" s="182">
        <f t="shared" ca="1" si="61"/>
        <v>8399.9999999999618</v>
      </c>
      <c r="N374" s="182">
        <f t="shared" ca="1" si="62"/>
        <v>33599.999999999847</v>
      </c>
      <c r="O374" s="182"/>
    </row>
    <row r="375" spans="1:19" x14ac:dyDescent="0.25">
      <c r="A375" s="180">
        <f t="shared" ca="1" si="63"/>
        <v>46465</v>
      </c>
      <c r="B375" s="181">
        <v>361</v>
      </c>
      <c r="C375" s="182">
        <f t="shared" ca="1" si="64"/>
        <v>35000</v>
      </c>
      <c r="D375" s="182">
        <f t="shared" ca="1" si="65"/>
        <v>23.333333333333332</v>
      </c>
      <c r="E375" s="182">
        <v>0</v>
      </c>
      <c r="F375" s="182">
        <f t="shared" ca="1" si="58"/>
        <v>0</v>
      </c>
      <c r="G375" s="182">
        <f t="shared" ca="1" si="66"/>
        <v>0</v>
      </c>
      <c r="H375" s="182">
        <f t="shared" ca="1" si="67"/>
        <v>35023.333333333299</v>
      </c>
      <c r="I375" s="183">
        <v>0</v>
      </c>
      <c r="J375" s="263">
        <f t="shared" ca="1" si="57"/>
        <v>35023.333333333299</v>
      </c>
      <c r="K375" s="182">
        <f t="shared" ca="1" si="59"/>
        <v>70</v>
      </c>
      <c r="L375" s="182">
        <f t="shared" ca="1" si="60"/>
        <v>8423.3333333332957</v>
      </c>
      <c r="M375" s="182">
        <f t="shared" ca="1" si="61"/>
        <v>8400</v>
      </c>
      <c r="N375" s="182">
        <f t="shared" ca="1" si="62"/>
        <v>33693.333333333183</v>
      </c>
      <c r="O375" s="182"/>
    </row>
    <row r="376" spans="1:19" x14ac:dyDescent="0.25">
      <c r="A376" s="180">
        <f t="shared" ca="1" si="63"/>
        <v>46466</v>
      </c>
      <c r="B376" s="181">
        <v>362</v>
      </c>
      <c r="C376" s="182">
        <f t="shared" ca="1" si="64"/>
        <v>35023.333333333299</v>
      </c>
      <c r="D376" s="182">
        <f t="shared" ca="1" si="65"/>
        <v>23.348888888888865</v>
      </c>
      <c r="E376" s="182">
        <v>0</v>
      </c>
      <c r="F376" s="182">
        <f t="shared" ca="1" si="58"/>
        <v>0</v>
      </c>
      <c r="G376" s="182">
        <f t="shared" ca="1" si="66"/>
        <v>0</v>
      </c>
      <c r="H376" s="182">
        <f t="shared" ca="1" si="67"/>
        <v>35046.682222222189</v>
      </c>
      <c r="I376" s="183">
        <v>0</v>
      </c>
      <c r="J376" s="263">
        <f t="shared" ca="1" si="57"/>
        <v>35046.682222222189</v>
      </c>
      <c r="K376" s="182">
        <f t="shared" ca="1" si="59"/>
        <v>70</v>
      </c>
      <c r="L376" s="182">
        <f t="shared" ca="1" si="60"/>
        <v>8446.6822222221854</v>
      </c>
      <c r="M376" s="182">
        <f t="shared" ca="1" si="61"/>
        <v>8400</v>
      </c>
      <c r="N376" s="182">
        <f t="shared" ca="1" si="62"/>
        <v>33786.682222222073</v>
      </c>
      <c r="O376" s="182"/>
    </row>
    <row r="377" spans="1:19" x14ac:dyDescent="0.25">
      <c r="A377" s="180">
        <f t="shared" ca="1" si="63"/>
        <v>46467</v>
      </c>
      <c r="B377" s="181">
        <v>363</v>
      </c>
      <c r="C377" s="182">
        <f t="shared" ca="1" si="64"/>
        <v>35046.682222222189</v>
      </c>
      <c r="D377" s="182">
        <f t="shared" ca="1" si="65"/>
        <v>23.364454814814792</v>
      </c>
      <c r="E377" s="182">
        <v>0</v>
      </c>
      <c r="F377" s="182">
        <f t="shared" ca="1" si="58"/>
        <v>0</v>
      </c>
      <c r="G377" s="182">
        <f t="shared" ca="1" si="66"/>
        <v>0</v>
      </c>
      <c r="H377" s="182">
        <f t="shared" ca="1" si="67"/>
        <v>35070.046677037004</v>
      </c>
      <c r="I377" s="183">
        <v>0</v>
      </c>
      <c r="J377" s="263">
        <f t="shared" ca="1" si="57"/>
        <v>35070.046677037004</v>
      </c>
      <c r="K377" s="182">
        <f t="shared" ca="1" si="59"/>
        <v>70</v>
      </c>
      <c r="L377" s="182">
        <f t="shared" ca="1" si="60"/>
        <v>8470.0466770370003</v>
      </c>
      <c r="M377" s="182">
        <f t="shared" ca="1" si="61"/>
        <v>8400</v>
      </c>
      <c r="N377" s="182">
        <f t="shared" ca="1" si="62"/>
        <v>33880.046677036888</v>
      </c>
      <c r="O377" s="182"/>
    </row>
    <row r="378" spans="1:19" x14ac:dyDescent="0.25">
      <c r="A378" s="180">
        <f t="shared" ca="1" si="63"/>
        <v>46468</v>
      </c>
      <c r="B378" s="181">
        <v>364</v>
      </c>
      <c r="C378" s="182">
        <f t="shared" ca="1" si="64"/>
        <v>35070.046677037004</v>
      </c>
      <c r="D378" s="182">
        <f t="shared" ca="1" si="65"/>
        <v>23.380031118024668</v>
      </c>
      <c r="E378" s="182">
        <v>0</v>
      </c>
      <c r="F378" s="182">
        <f t="shared" ca="1" si="58"/>
        <v>0</v>
      </c>
      <c r="G378" s="182">
        <f t="shared" ca="1" si="66"/>
        <v>0</v>
      </c>
      <c r="H378" s="182">
        <f t="shared" ca="1" si="67"/>
        <v>35093.426708155028</v>
      </c>
      <c r="I378" s="183">
        <v>0</v>
      </c>
      <c r="J378" s="263">
        <f t="shared" ca="1" si="57"/>
        <v>35093.426708155028</v>
      </c>
      <c r="K378" s="182">
        <f t="shared" ca="1" si="59"/>
        <v>70</v>
      </c>
      <c r="L378" s="182">
        <f t="shared" ca="1" si="60"/>
        <v>8493.4267081550242</v>
      </c>
      <c r="M378" s="182">
        <f t="shared" ca="1" si="61"/>
        <v>8400</v>
      </c>
      <c r="N378" s="182">
        <f t="shared" ca="1" si="62"/>
        <v>33973.426708154911</v>
      </c>
      <c r="O378" s="182"/>
    </row>
    <row r="379" spans="1:19" x14ac:dyDescent="0.25">
      <c r="A379" s="180">
        <f t="shared" ca="1" si="63"/>
        <v>46469</v>
      </c>
      <c r="B379" s="181">
        <v>365</v>
      </c>
      <c r="C379" s="182">
        <f t="shared" ca="1" si="64"/>
        <v>35093.426708155028</v>
      </c>
      <c r="D379" s="182">
        <f t="shared" ca="1" si="65"/>
        <v>23.395617805436686</v>
      </c>
      <c r="E379" s="182">
        <v>0</v>
      </c>
      <c r="F379" s="182">
        <f t="shared" ca="1" si="58"/>
        <v>0</v>
      </c>
      <c r="G379" s="182">
        <f t="shared" ca="1" si="66"/>
        <v>0</v>
      </c>
      <c r="H379" s="182">
        <f t="shared" ca="1" si="67"/>
        <v>35116.822325960464</v>
      </c>
      <c r="I379" s="183">
        <v>0</v>
      </c>
      <c r="J379" s="263">
        <f t="shared" ca="1" si="57"/>
        <v>35116.822325960464</v>
      </c>
      <c r="K379" s="182">
        <f t="shared" ca="1" si="59"/>
        <v>70</v>
      </c>
      <c r="L379" s="182">
        <f t="shared" ca="1" si="60"/>
        <v>8516.8223259604601</v>
      </c>
      <c r="M379" s="182">
        <f t="shared" ca="1" si="61"/>
        <v>8400</v>
      </c>
      <c r="N379" s="182">
        <f t="shared" ca="1" si="62"/>
        <v>34066.822325960347</v>
      </c>
      <c r="O379" s="182"/>
    </row>
    <row r="380" spans="1:19" x14ac:dyDescent="0.25">
      <c r="A380" s="180">
        <f t="shared" ca="1" si="63"/>
        <v>46470</v>
      </c>
      <c r="B380" s="181">
        <v>366</v>
      </c>
      <c r="C380" s="182">
        <f t="shared" ca="1" si="64"/>
        <v>35116.822325960464</v>
      </c>
      <c r="D380" s="182">
        <f t="shared" ca="1" si="65"/>
        <v>23.411214883973642</v>
      </c>
      <c r="E380" s="182">
        <v>0</v>
      </c>
      <c r="F380" s="182">
        <f t="shared" ca="1" si="58"/>
        <v>0</v>
      </c>
      <c r="G380" s="182">
        <f t="shared" ca="1" si="66"/>
        <v>0</v>
      </c>
      <c r="H380" s="182">
        <f t="shared" ca="1" si="67"/>
        <v>35140.233540844434</v>
      </c>
      <c r="I380" s="183">
        <v>0</v>
      </c>
      <c r="J380" s="263">
        <f t="shared" ca="1" si="57"/>
        <v>35140.233540844434</v>
      </c>
      <c r="K380" s="182">
        <f t="shared" ca="1" si="59"/>
        <v>70</v>
      </c>
      <c r="L380" s="182">
        <f t="shared" ca="1" si="60"/>
        <v>8540.2335408444342</v>
      </c>
      <c r="M380" s="182">
        <f t="shared" ca="1" si="61"/>
        <v>8400</v>
      </c>
      <c r="N380" s="182">
        <f t="shared" ca="1" si="62"/>
        <v>34160.233540844318</v>
      </c>
      <c r="O380" s="182"/>
    </row>
    <row r="381" spans="1:19" x14ac:dyDescent="0.25">
      <c r="A381" s="247">
        <f t="shared" ca="1" si="63"/>
        <v>46471</v>
      </c>
      <c r="B381" s="248">
        <v>367</v>
      </c>
      <c r="C381" s="249">
        <f t="shared" ca="1" si="64"/>
        <v>35140.233540844434</v>
      </c>
      <c r="D381" s="182">
        <f t="shared" ca="1" si="65"/>
        <v>23.426822360562955</v>
      </c>
      <c r="E381" s="182">
        <v>0</v>
      </c>
      <c r="F381" s="249">
        <f t="shared" ca="1" si="58"/>
        <v>0</v>
      </c>
      <c r="G381" s="182">
        <f t="shared" ca="1" si="66"/>
        <v>0</v>
      </c>
      <c r="H381" s="182">
        <f t="shared" ca="1" si="67"/>
        <v>35163.660363204996</v>
      </c>
      <c r="I381" s="250">
        <v>0</v>
      </c>
      <c r="J381" s="263">
        <f t="shared" ca="1" si="57"/>
        <v>35163.660363204996</v>
      </c>
      <c r="K381" s="182">
        <f t="shared" ca="1" si="59"/>
        <v>70</v>
      </c>
      <c r="L381" s="182">
        <f t="shared" ca="1" si="60"/>
        <v>8563.6603632049973</v>
      </c>
      <c r="M381" s="182">
        <f t="shared" ca="1" si="61"/>
        <v>8400</v>
      </c>
      <c r="N381" s="182">
        <f t="shared" ca="1" si="62"/>
        <v>34253.660363204879</v>
      </c>
      <c r="O381" s="182"/>
    </row>
    <row r="382" spans="1:19" x14ac:dyDescent="0.25">
      <c r="A382" s="180">
        <f t="shared" ca="1" si="63"/>
        <v>46472</v>
      </c>
      <c r="B382" s="181">
        <v>368</v>
      </c>
      <c r="C382" s="182">
        <f t="shared" ca="1" si="64"/>
        <v>35163.660363204996</v>
      </c>
      <c r="D382" s="182">
        <f t="shared" ca="1" si="65"/>
        <v>23.442440242136662</v>
      </c>
      <c r="E382" s="182">
        <v>0</v>
      </c>
      <c r="F382" s="182">
        <f t="shared" ca="1" si="58"/>
        <v>0</v>
      </c>
      <c r="G382" s="182">
        <f t="shared" ca="1" si="66"/>
        <v>0</v>
      </c>
      <c r="H382" s="182">
        <f t="shared" ca="1" si="67"/>
        <v>35187.102803447131</v>
      </c>
      <c r="I382" s="183">
        <v>0</v>
      </c>
      <c r="J382" s="263">
        <f t="shared" ca="1" si="57"/>
        <v>35187.102803447131</v>
      </c>
      <c r="K382" s="182">
        <f t="shared" ca="1" si="59"/>
        <v>70</v>
      </c>
      <c r="L382" s="182">
        <f t="shared" ca="1" si="60"/>
        <v>8587.1028034471346</v>
      </c>
      <c r="M382" s="182">
        <f t="shared" ca="1" si="61"/>
        <v>8400</v>
      </c>
      <c r="N382" s="182">
        <f t="shared" ca="1" si="62"/>
        <v>34347.102803447015</v>
      </c>
      <c r="O382" s="182"/>
    </row>
    <row r="383" spans="1:19" x14ac:dyDescent="0.25">
      <c r="A383" s="180">
        <f t="shared" ca="1" si="63"/>
        <v>46473</v>
      </c>
      <c r="B383" s="181">
        <v>369</v>
      </c>
      <c r="C383" s="182">
        <f t="shared" ca="1" si="64"/>
        <v>35187.102803447131</v>
      </c>
      <c r="D383" s="182">
        <f t="shared" ca="1" si="65"/>
        <v>23.458068535631419</v>
      </c>
      <c r="E383" s="182">
        <v>0</v>
      </c>
      <c r="F383" s="182">
        <f t="shared" ca="1" si="58"/>
        <v>0</v>
      </c>
      <c r="G383" s="182">
        <f t="shared" ca="1" si="66"/>
        <v>0</v>
      </c>
      <c r="H383" s="182">
        <f t="shared" ca="1" si="67"/>
        <v>35210.560871982765</v>
      </c>
      <c r="I383" s="183">
        <v>0</v>
      </c>
      <c r="J383" s="263">
        <f t="shared" ca="1" si="57"/>
        <v>35210.560871982765</v>
      </c>
      <c r="K383" s="182">
        <f t="shared" ca="1" si="59"/>
        <v>70</v>
      </c>
      <c r="L383" s="182">
        <f t="shared" ca="1" si="60"/>
        <v>8610.5608719827669</v>
      </c>
      <c r="M383" s="182">
        <f t="shared" ca="1" si="61"/>
        <v>8400</v>
      </c>
      <c r="N383" s="182">
        <f t="shared" ca="1" si="62"/>
        <v>34440.560871982649</v>
      </c>
      <c r="O383" s="182"/>
    </row>
    <row r="384" spans="1:19" ht="18.75" x14ac:dyDescent="0.3">
      <c r="A384" s="180">
        <f t="shared" ca="1" si="63"/>
        <v>46474</v>
      </c>
      <c r="B384" s="181">
        <v>370</v>
      </c>
      <c r="C384" s="182">
        <f t="shared" ca="1" si="64"/>
        <v>35210.560871982765</v>
      </c>
      <c r="D384" s="182">
        <f t="shared" ca="1" si="65"/>
        <v>23.473707247988511</v>
      </c>
      <c r="E384" s="182">
        <v>0</v>
      </c>
      <c r="F384" s="182">
        <f t="shared" ca="1" si="58"/>
        <v>0</v>
      </c>
      <c r="G384" s="182">
        <f t="shared" ca="1" si="66"/>
        <v>0</v>
      </c>
      <c r="H384" s="182">
        <f t="shared" ca="1" si="67"/>
        <v>35234.034579230756</v>
      </c>
      <c r="I384" s="183">
        <v>0</v>
      </c>
      <c r="J384" s="263">
        <f t="shared" ca="1" si="57"/>
        <v>35234.034579230756</v>
      </c>
      <c r="K384" s="182">
        <f t="shared" ca="1" si="59"/>
        <v>70</v>
      </c>
      <c r="L384" s="182">
        <f t="shared" ca="1" si="60"/>
        <v>8634.0345792307562</v>
      </c>
      <c r="M384" s="182">
        <f t="shared" ca="1" si="61"/>
        <v>8400</v>
      </c>
      <c r="N384" s="182">
        <f t="shared" ca="1" si="62"/>
        <v>34534.03457923064</v>
      </c>
      <c r="O384" s="182"/>
      <c r="Q384" s="719"/>
      <c r="R384" s="719"/>
      <c r="S384" s="719"/>
    </row>
    <row r="385" spans="1:19" x14ac:dyDescent="0.25">
      <c r="A385" s="180">
        <f t="shared" ca="1" si="63"/>
        <v>46475</v>
      </c>
      <c r="B385" s="181">
        <v>371</v>
      </c>
      <c r="C385" s="182">
        <f t="shared" ca="1" si="64"/>
        <v>35234.034579230756</v>
      </c>
      <c r="D385" s="182">
        <f t="shared" ca="1" si="65"/>
        <v>23.489356386153837</v>
      </c>
      <c r="E385" s="182">
        <v>0</v>
      </c>
      <c r="F385" s="182">
        <f t="shared" ca="1" si="58"/>
        <v>0</v>
      </c>
      <c r="G385" s="182">
        <f t="shared" ca="1" si="66"/>
        <v>0</v>
      </c>
      <c r="H385" s="182">
        <f t="shared" ca="1" si="67"/>
        <v>35257.523935616911</v>
      </c>
      <c r="I385" s="183">
        <v>0</v>
      </c>
      <c r="J385" s="263">
        <f t="shared" ca="1" si="57"/>
        <v>35257.523935616911</v>
      </c>
      <c r="K385" s="182">
        <f t="shared" ca="1" si="59"/>
        <v>70</v>
      </c>
      <c r="L385" s="182">
        <f t="shared" ca="1" si="60"/>
        <v>8657.5239356169095</v>
      </c>
      <c r="M385" s="182">
        <f t="shared" ca="1" si="61"/>
        <v>8400</v>
      </c>
      <c r="N385" s="182">
        <f t="shared" ca="1" si="62"/>
        <v>34627.523935616795</v>
      </c>
      <c r="O385" s="182"/>
      <c r="Q385" s="103"/>
      <c r="R385" s="103"/>
      <c r="S385" s="103"/>
    </row>
    <row r="386" spans="1:19" x14ac:dyDescent="0.25">
      <c r="A386" s="180">
        <f t="shared" ca="1" si="63"/>
        <v>46476</v>
      </c>
      <c r="B386" s="181">
        <v>372</v>
      </c>
      <c r="C386" s="182">
        <f t="shared" ca="1" si="64"/>
        <v>35257.523935616911</v>
      </c>
      <c r="D386" s="182">
        <f t="shared" ca="1" si="65"/>
        <v>23.505015957077941</v>
      </c>
      <c r="E386" s="182">
        <v>0</v>
      </c>
      <c r="F386" s="182">
        <f t="shared" ca="1" si="58"/>
        <v>0</v>
      </c>
      <c r="G386" s="182">
        <f t="shared" ca="1" si="66"/>
        <v>0</v>
      </c>
      <c r="H386" s="182">
        <f t="shared" ca="1" si="67"/>
        <v>35281.028951573986</v>
      </c>
      <c r="I386" s="183">
        <v>0</v>
      </c>
      <c r="J386" s="263">
        <f t="shared" ca="1" si="57"/>
        <v>35281.028951573986</v>
      </c>
      <c r="K386" s="182">
        <f t="shared" ca="1" si="59"/>
        <v>70</v>
      </c>
      <c r="L386" s="182">
        <f t="shared" ca="1" si="60"/>
        <v>8681.0289515739878</v>
      </c>
      <c r="M386" s="182">
        <f t="shared" ca="1" si="61"/>
        <v>8400</v>
      </c>
      <c r="N386" s="182">
        <f t="shared" ca="1" si="62"/>
        <v>34721.02895157387</v>
      </c>
      <c r="O386" s="182"/>
      <c r="P386" s="160"/>
      <c r="Q386" s="116"/>
      <c r="R386" s="116"/>
      <c r="S386" s="116"/>
    </row>
    <row r="387" spans="1:19" x14ac:dyDescent="0.25">
      <c r="A387" s="180">
        <f t="shared" ca="1" si="63"/>
        <v>46477</v>
      </c>
      <c r="B387" s="181">
        <v>373</v>
      </c>
      <c r="C387" s="182">
        <f t="shared" ca="1" si="64"/>
        <v>35281.028951573986</v>
      </c>
      <c r="D387" s="182">
        <f t="shared" ca="1" si="65"/>
        <v>23.520685967715991</v>
      </c>
      <c r="E387" s="182">
        <v>0</v>
      </c>
      <c r="F387" s="182">
        <f t="shared" ca="1" si="58"/>
        <v>0</v>
      </c>
      <c r="G387" s="182">
        <f t="shared" ca="1" si="66"/>
        <v>0</v>
      </c>
      <c r="H387" s="182">
        <f t="shared" ca="1" si="67"/>
        <v>35304.549637541699</v>
      </c>
      <c r="I387" s="183">
        <v>0</v>
      </c>
      <c r="J387" s="263">
        <f t="shared" ca="1" si="57"/>
        <v>35304.549637541699</v>
      </c>
      <c r="K387" s="182">
        <f t="shared" ca="1" si="59"/>
        <v>70</v>
      </c>
      <c r="L387" s="182">
        <f t="shared" ca="1" si="60"/>
        <v>8704.5496375417042</v>
      </c>
      <c r="M387" s="182">
        <f t="shared" ca="1" si="61"/>
        <v>8400</v>
      </c>
      <c r="N387" s="182">
        <f t="shared" ca="1" si="62"/>
        <v>34814.549637541582</v>
      </c>
      <c r="O387" s="182"/>
    </row>
    <row r="388" spans="1:19" x14ac:dyDescent="0.25">
      <c r="A388" s="180">
        <f t="shared" ca="1" si="63"/>
        <v>46478</v>
      </c>
      <c r="B388" s="181">
        <v>374</v>
      </c>
      <c r="C388" s="182">
        <f t="shared" ca="1" si="64"/>
        <v>35304.549637541699</v>
      </c>
      <c r="D388" s="182">
        <f t="shared" ca="1" si="65"/>
        <v>23.536366425027797</v>
      </c>
      <c r="E388" s="182">
        <v>0</v>
      </c>
      <c r="F388" s="182">
        <f t="shared" ca="1" si="58"/>
        <v>0</v>
      </c>
      <c r="G388" s="182">
        <f t="shared" ca="1" si="66"/>
        <v>0</v>
      </c>
      <c r="H388" s="182">
        <f t="shared" ca="1" si="67"/>
        <v>35328.086003966724</v>
      </c>
      <c r="I388" s="183">
        <v>0</v>
      </c>
      <c r="J388" s="263">
        <f t="shared" ca="1" si="57"/>
        <v>35328.086003966724</v>
      </c>
      <c r="K388" s="182">
        <f t="shared" ca="1" si="59"/>
        <v>70</v>
      </c>
      <c r="L388" s="182">
        <f t="shared" ca="1" si="60"/>
        <v>8728.0860039667314</v>
      </c>
      <c r="M388" s="182">
        <f t="shared" ca="1" si="61"/>
        <v>8400</v>
      </c>
      <c r="N388" s="182">
        <f t="shared" ca="1" si="62"/>
        <v>34908.086003966608</v>
      </c>
      <c r="O388" s="182"/>
    </row>
    <row r="389" spans="1:19" x14ac:dyDescent="0.25">
      <c r="A389" s="180">
        <f t="shared" ca="1" si="63"/>
        <v>46479</v>
      </c>
      <c r="B389" s="181">
        <v>375</v>
      </c>
      <c r="C389" s="182">
        <f t="shared" ca="1" si="64"/>
        <v>35328.086003966724</v>
      </c>
      <c r="D389" s="182">
        <f t="shared" ca="1" si="65"/>
        <v>23.552057335977814</v>
      </c>
      <c r="E389" s="182">
        <v>0</v>
      </c>
      <c r="F389" s="182">
        <f t="shared" ca="1" si="58"/>
        <v>0</v>
      </c>
      <c r="G389" s="182">
        <f t="shared" ca="1" si="66"/>
        <v>0</v>
      </c>
      <c r="H389" s="182">
        <f t="shared" ca="1" si="67"/>
        <v>35351.638061302699</v>
      </c>
      <c r="I389" s="183">
        <v>0</v>
      </c>
      <c r="J389" s="263">
        <f t="shared" ca="1" si="57"/>
        <v>35351.638061302699</v>
      </c>
      <c r="K389" s="182">
        <f t="shared" ca="1" si="59"/>
        <v>70</v>
      </c>
      <c r="L389" s="182">
        <f t="shared" ca="1" si="60"/>
        <v>8751.6380613027086</v>
      </c>
      <c r="M389" s="182">
        <f t="shared" ca="1" si="61"/>
        <v>8400</v>
      </c>
      <c r="N389" s="182">
        <f t="shared" ca="1" si="62"/>
        <v>35001.638061302583</v>
      </c>
      <c r="O389" s="182"/>
    </row>
    <row r="390" spans="1:19" x14ac:dyDescent="0.25">
      <c r="A390" s="180">
        <f t="shared" ca="1" si="63"/>
        <v>46480</v>
      </c>
      <c r="B390" s="181">
        <v>376</v>
      </c>
      <c r="C390" s="182">
        <f t="shared" ca="1" si="64"/>
        <v>35351.638061302699</v>
      </c>
      <c r="D390" s="182">
        <f t="shared" ca="1" si="65"/>
        <v>23.56775870753513</v>
      </c>
      <c r="E390" s="182">
        <v>0</v>
      </c>
      <c r="F390" s="182">
        <f t="shared" ca="1" si="58"/>
        <v>0</v>
      </c>
      <c r="G390" s="182">
        <f t="shared" ca="1" si="66"/>
        <v>0</v>
      </c>
      <c r="H390" s="182">
        <f t="shared" ca="1" si="67"/>
        <v>35375.205820010233</v>
      </c>
      <c r="I390" s="183">
        <v>0</v>
      </c>
      <c r="J390" s="263">
        <f t="shared" ca="1" si="57"/>
        <v>35375.205820010233</v>
      </c>
      <c r="K390" s="182">
        <f t="shared" ca="1" si="59"/>
        <v>70</v>
      </c>
      <c r="L390" s="182">
        <f t="shared" ca="1" si="60"/>
        <v>8775.2058200102438</v>
      </c>
      <c r="M390" s="182">
        <f t="shared" ca="1" si="61"/>
        <v>8400</v>
      </c>
      <c r="N390" s="182">
        <f t="shared" ca="1" si="62"/>
        <v>35095.205820010116</v>
      </c>
      <c r="O390" s="182"/>
    </row>
    <row r="391" spans="1:19" x14ac:dyDescent="0.25">
      <c r="A391" s="180">
        <f t="shared" ca="1" si="63"/>
        <v>46481</v>
      </c>
      <c r="B391" s="181">
        <v>377</v>
      </c>
      <c r="C391" s="182">
        <f t="shared" ca="1" si="64"/>
        <v>35375.205820010233</v>
      </c>
      <c r="D391" s="182">
        <f t="shared" ca="1" si="65"/>
        <v>23.583470546673489</v>
      </c>
      <c r="E391" s="182">
        <v>0</v>
      </c>
      <c r="F391" s="182">
        <f t="shared" ca="1" si="58"/>
        <v>0</v>
      </c>
      <c r="G391" s="182">
        <f t="shared" ca="1" si="66"/>
        <v>0</v>
      </c>
      <c r="H391" s="182">
        <f t="shared" ca="1" si="67"/>
        <v>35398.78929055691</v>
      </c>
      <c r="I391" s="183">
        <v>0</v>
      </c>
      <c r="J391" s="263">
        <f t="shared" ca="1" si="57"/>
        <v>35398.78929055691</v>
      </c>
      <c r="K391" s="182">
        <f t="shared" ca="1" si="59"/>
        <v>70</v>
      </c>
      <c r="L391" s="182">
        <f t="shared" ca="1" si="60"/>
        <v>8798.789290556917</v>
      </c>
      <c r="M391" s="182">
        <f t="shared" ca="1" si="61"/>
        <v>8400</v>
      </c>
      <c r="N391" s="182">
        <f t="shared" ca="1" si="62"/>
        <v>35188.789290556793</v>
      </c>
      <c r="O391" s="182"/>
    </row>
    <row r="392" spans="1:19" x14ac:dyDescent="0.25">
      <c r="A392" s="180">
        <f t="shared" ca="1" si="63"/>
        <v>46482</v>
      </c>
      <c r="B392" s="181">
        <v>378</v>
      </c>
      <c r="C392" s="182">
        <f t="shared" ca="1" si="64"/>
        <v>35398.78929055691</v>
      </c>
      <c r="D392" s="182">
        <f t="shared" ca="1" si="65"/>
        <v>23.599192860371272</v>
      </c>
      <c r="E392" s="182">
        <v>0</v>
      </c>
      <c r="F392" s="182">
        <f t="shared" ca="1" si="58"/>
        <v>0</v>
      </c>
      <c r="G392" s="182">
        <f t="shared" ca="1" si="66"/>
        <v>0</v>
      </c>
      <c r="H392" s="182">
        <f t="shared" ca="1" si="67"/>
        <v>35422.388483417279</v>
      </c>
      <c r="I392" s="183">
        <v>0</v>
      </c>
      <c r="J392" s="263">
        <f t="shared" ca="1" si="57"/>
        <v>35422.388483417279</v>
      </c>
      <c r="K392" s="182">
        <f t="shared" ca="1" si="59"/>
        <v>70</v>
      </c>
      <c r="L392" s="182">
        <f t="shared" ca="1" si="60"/>
        <v>8822.3884834172877</v>
      </c>
      <c r="M392" s="182">
        <f t="shared" ca="1" si="61"/>
        <v>8400</v>
      </c>
      <c r="N392" s="182">
        <f t="shared" ca="1" si="62"/>
        <v>35282.388483417162</v>
      </c>
      <c r="O392" s="182"/>
    </row>
    <row r="393" spans="1:19" x14ac:dyDescent="0.25">
      <c r="A393" s="180">
        <f t="shared" ca="1" si="63"/>
        <v>46483</v>
      </c>
      <c r="B393" s="181">
        <v>379</v>
      </c>
      <c r="C393" s="182">
        <f t="shared" ca="1" si="64"/>
        <v>35422.388483417279</v>
      </c>
      <c r="D393" s="182">
        <f t="shared" ca="1" si="65"/>
        <v>23.614925655611518</v>
      </c>
      <c r="E393" s="182">
        <v>0</v>
      </c>
      <c r="F393" s="182">
        <f t="shared" ca="1" si="58"/>
        <v>0</v>
      </c>
      <c r="G393" s="182">
        <f t="shared" ca="1" si="66"/>
        <v>0</v>
      </c>
      <c r="H393" s="182">
        <f t="shared" ca="1" si="67"/>
        <v>35446.003409072888</v>
      </c>
      <c r="I393" s="183">
        <v>0</v>
      </c>
      <c r="J393" s="263">
        <f t="shared" ca="1" si="57"/>
        <v>35446.003409072888</v>
      </c>
      <c r="K393" s="182">
        <f t="shared" ca="1" si="59"/>
        <v>70</v>
      </c>
      <c r="L393" s="182">
        <f t="shared" ca="1" si="60"/>
        <v>8846.0034090728986</v>
      </c>
      <c r="M393" s="182">
        <f t="shared" ca="1" si="61"/>
        <v>8400</v>
      </c>
      <c r="N393" s="182">
        <f t="shared" ca="1" si="62"/>
        <v>35376.003409072771</v>
      </c>
      <c r="O393" s="182"/>
    </row>
    <row r="394" spans="1:19" x14ac:dyDescent="0.25">
      <c r="A394" s="180">
        <f t="shared" ca="1" si="63"/>
        <v>46484</v>
      </c>
      <c r="B394" s="181">
        <v>380</v>
      </c>
      <c r="C394" s="182">
        <f t="shared" ca="1" si="64"/>
        <v>35446.003409072888</v>
      </c>
      <c r="D394" s="182">
        <f t="shared" ca="1" si="65"/>
        <v>23.630668939381923</v>
      </c>
      <c r="E394" s="182">
        <v>0</v>
      </c>
      <c r="F394" s="182">
        <f t="shared" ca="1" si="58"/>
        <v>0</v>
      </c>
      <c r="G394" s="182">
        <f t="shared" ca="1" si="66"/>
        <v>0</v>
      </c>
      <c r="H394" s="182">
        <f t="shared" ca="1" si="67"/>
        <v>35469.63407801227</v>
      </c>
      <c r="I394" s="183">
        <v>0</v>
      </c>
      <c r="J394" s="263">
        <f t="shared" ca="1" si="57"/>
        <v>35469.63407801227</v>
      </c>
      <c r="K394" s="182">
        <f t="shared" ca="1" si="59"/>
        <v>70</v>
      </c>
      <c r="L394" s="182">
        <f t="shared" ca="1" si="60"/>
        <v>8869.634078012281</v>
      </c>
      <c r="M394" s="182">
        <f t="shared" ca="1" si="61"/>
        <v>8400</v>
      </c>
      <c r="N394" s="182">
        <f t="shared" ca="1" si="62"/>
        <v>35469.634078012154</v>
      </c>
      <c r="O394" s="182"/>
    </row>
    <row r="395" spans="1:19" x14ac:dyDescent="0.25">
      <c r="A395" s="180">
        <f t="shared" ca="1" si="63"/>
        <v>46485</v>
      </c>
      <c r="B395" s="181">
        <v>381</v>
      </c>
      <c r="C395" s="182">
        <f t="shared" ca="1" si="64"/>
        <v>35469.63407801227</v>
      </c>
      <c r="D395" s="182">
        <f t="shared" ca="1" si="65"/>
        <v>23.646422718674845</v>
      </c>
      <c r="E395" s="182">
        <v>0</v>
      </c>
      <c r="F395" s="182">
        <f t="shared" ca="1" si="58"/>
        <v>0</v>
      </c>
      <c r="G395" s="182">
        <f t="shared" ca="1" si="66"/>
        <v>0</v>
      </c>
      <c r="H395" s="182">
        <f t="shared" ca="1" si="67"/>
        <v>35493.280500730943</v>
      </c>
      <c r="I395" s="183">
        <v>0</v>
      </c>
      <c r="J395" s="263">
        <f t="shared" ca="1" si="57"/>
        <v>35493.280500730943</v>
      </c>
      <c r="K395" s="182">
        <f t="shared" ca="1" si="59"/>
        <v>70</v>
      </c>
      <c r="L395" s="182">
        <f t="shared" ca="1" si="60"/>
        <v>8893.2805007309562</v>
      </c>
      <c r="M395" s="182">
        <f t="shared" ca="1" si="61"/>
        <v>8400</v>
      </c>
      <c r="N395" s="182">
        <f t="shared" ca="1" si="62"/>
        <v>35563.280500730827</v>
      </c>
      <c r="O395" s="182"/>
    </row>
    <row r="396" spans="1:19" x14ac:dyDescent="0.25">
      <c r="A396" s="180">
        <f t="shared" ca="1" si="63"/>
        <v>46486</v>
      </c>
      <c r="B396" s="181">
        <v>382</v>
      </c>
      <c r="C396" s="182">
        <f t="shared" ca="1" si="64"/>
        <v>35493.280500730943</v>
      </c>
      <c r="D396" s="182">
        <f t="shared" ca="1" si="65"/>
        <v>23.662187000487293</v>
      </c>
      <c r="E396" s="182">
        <v>0</v>
      </c>
      <c r="F396" s="182">
        <f t="shared" ca="1" si="58"/>
        <v>0</v>
      </c>
      <c r="G396" s="182">
        <f t="shared" ca="1" si="66"/>
        <v>0</v>
      </c>
      <c r="H396" s="182">
        <f t="shared" ca="1" si="67"/>
        <v>35516.942687731433</v>
      </c>
      <c r="I396" s="183">
        <v>0</v>
      </c>
      <c r="J396" s="263">
        <f t="shared" ca="1" si="57"/>
        <v>35516.942687731433</v>
      </c>
      <c r="K396" s="182">
        <f t="shared" ca="1" si="59"/>
        <v>70</v>
      </c>
      <c r="L396" s="182">
        <f t="shared" ca="1" si="60"/>
        <v>8916.9426877314436</v>
      </c>
      <c r="M396" s="182">
        <f t="shared" ca="1" si="61"/>
        <v>8400</v>
      </c>
      <c r="N396" s="182">
        <f t="shared" ca="1" si="62"/>
        <v>35656.942687731316</v>
      </c>
      <c r="O396" s="182"/>
    </row>
    <row r="397" spans="1:19" x14ac:dyDescent="0.25">
      <c r="A397" s="180">
        <f t="shared" ca="1" si="63"/>
        <v>46487</v>
      </c>
      <c r="B397" s="181">
        <v>383</v>
      </c>
      <c r="C397" s="182">
        <f t="shared" ca="1" si="64"/>
        <v>35516.942687731433</v>
      </c>
      <c r="D397" s="182">
        <f t="shared" ca="1" si="65"/>
        <v>23.677961791820955</v>
      </c>
      <c r="E397" s="182">
        <v>0</v>
      </c>
      <c r="F397" s="182">
        <f t="shared" ca="1" si="58"/>
        <v>0</v>
      </c>
      <c r="G397" s="182">
        <f t="shared" ca="1" si="66"/>
        <v>0</v>
      </c>
      <c r="H397" s="182">
        <f t="shared" ca="1" si="67"/>
        <v>35540.620649523255</v>
      </c>
      <c r="I397" s="183">
        <v>0</v>
      </c>
      <c r="J397" s="263">
        <f t="shared" ca="1" si="57"/>
        <v>35540.620649523255</v>
      </c>
      <c r="K397" s="182">
        <f t="shared" ca="1" si="59"/>
        <v>70</v>
      </c>
      <c r="L397" s="182">
        <f t="shared" ca="1" si="60"/>
        <v>8940.6206495232636</v>
      </c>
      <c r="M397" s="182">
        <f t="shared" ca="1" si="61"/>
        <v>8400</v>
      </c>
      <c r="N397" s="182">
        <f t="shared" ca="1" si="62"/>
        <v>35750.620649523138</v>
      </c>
      <c r="O397" s="182"/>
    </row>
    <row r="398" spans="1:19" x14ac:dyDescent="0.25">
      <c r="A398" s="180">
        <f t="shared" ca="1" si="63"/>
        <v>46488</v>
      </c>
      <c r="B398" s="181">
        <v>384</v>
      </c>
      <c r="C398" s="182">
        <f t="shared" ca="1" si="64"/>
        <v>35540.620649523255</v>
      </c>
      <c r="D398" s="182">
        <f t="shared" ca="1" si="65"/>
        <v>23.69374709968217</v>
      </c>
      <c r="E398" s="182">
        <v>0</v>
      </c>
      <c r="F398" s="182">
        <f t="shared" ca="1" si="58"/>
        <v>0</v>
      </c>
      <c r="G398" s="182">
        <f t="shared" ca="1" si="66"/>
        <v>0</v>
      </c>
      <c r="H398" s="182">
        <f t="shared" ca="1" si="67"/>
        <v>35564.31439662294</v>
      </c>
      <c r="I398" s="183">
        <v>0</v>
      </c>
      <c r="J398" s="263">
        <f t="shared" ca="1" si="57"/>
        <v>35564.31439662294</v>
      </c>
      <c r="K398" s="182">
        <f t="shared" ca="1" si="59"/>
        <v>70</v>
      </c>
      <c r="L398" s="182">
        <f t="shared" ca="1" si="60"/>
        <v>8964.3143966229454</v>
      </c>
      <c r="M398" s="182">
        <f t="shared" ca="1" si="61"/>
        <v>8400</v>
      </c>
      <c r="N398" s="182">
        <f t="shared" ca="1" si="62"/>
        <v>35844.314396622824</v>
      </c>
      <c r="O398" s="182"/>
    </row>
    <row r="399" spans="1:19" x14ac:dyDescent="0.25">
      <c r="A399" s="180">
        <f t="shared" ca="1" si="63"/>
        <v>46489</v>
      </c>
      <c r="B399" s="181">
        <v>385</v>
      </c>
      <c r="C399" s="182">
        <f t="shared" ca="1" si="64"/>
        <v>35564.31439662294</v>
      </c>
      <c r="D399" s="182">
        <f t="shared" ca="1" si="65"/>
        <v>23.709542931081959</v>
      </c>
      <c r="E399" s="182">
        <v>0</v>
      </c>
      <c r="F399" s="182">
        <f t="shared" ca="1" si="58"/>
        <v>0</v>
      </c>
      <c r="G399" s="182">
        <f t="shared" ca="1" si="66"/>
        <v>0</v>
      </c>
      <c r="H399" s="182">
        <f t="shared" ca="1" si="67"/>
        <v>35588.023939554019</v>
      </c>
      <c r="I399" s="183">
        <v>0</v>
      </c>
      <c r="J399" s="263">
        <f t="shared" ref="J399:J462" ca="1" si="68">H399-IF(I$8-G399&lt;Q$42,I$8-Q$42,G399)</f>
        <v>35588.023939554019</v>
      </c>
      <c r="K399" s="182">
        <f t="shared" ca="1" si="59"/>
        <v>70</v>
      </c>
      <c r="L399" s="182">
        <f t="shared" ca="1" si="60"/>
        <v>8988.0239395540266</v>
      </c>
      <c r="M399" s="182">
        <f t="shared" ca="1" si="61"/>
        <v>8400</v>
      </c>
      <c r="N399" s="182">
        <f t="shared" ca="1" si="62"/>
        <v>35938.023939553903</v>
      </c>
      <c r="O399" s="182"/>
    </row>
    <row r="400" spans="1:19" x14ac:dyDescent="0.25">
      <c r="A400" s="180">
        <f t="shared" ca="1" si="63"/>
        <v>46490</v>
      </c>
      <c r="B400" s="181">
        <v>386</v>
      </c>
      <c r="C400" s="182">
        <f t="shared" ca="1" si="64"/>
        <v>35588.023939554019</v>
      </c>
      <c r="D400" s="182">
        <f t="shared" ca="1" si="65"/>
        <v>23.725349293036011</v>
      </c>
      <c r="E400" s="182">
        <v>0</v>
      </c>
      <c r="F400" s="182">
        <f t="shared" ref="F400:F463" ca="1" si="69">IFERROR(-VLOOKUP(A400,$P$4:$R$12,2,FALSE),0)</f>
        <v>0</v>
      </c>
      <c r="G400" s="182">
        <f t="shared" ca="1" si="66"/>
        <v>0</v>
      </c>
      <c r="H400" s="182">
        <f t="shared" ca="1" si="67"/>
        <v>35611.749288847059</v>
      </c>
      <c r="I400" s="183">
        <v>0</v>
      </c>
      <c r="J400" s="263">
        <f t="shared" ca="1" si="68"/>
        <v>35611.749288847059</v>
      </c>
      <c r="K400" s="182">
        <f t="shared" ref="K400:K463" ca="1" si="70">$L$3/($C$11-$C$8)</f>
        <v>70</v>
      </c>
      <c r="L400" s="182">
        <f t="shared" ref="L400:L463" ca="1" si="71">L399+D400</f>
        <v>9011.7492888470624</v>
      </c>
      <c r="M400" s="182">
        <f t="shared" ref="M400:M463" ca="1" si="72">IF($I$8&gt;L400,L400,$I$8)</f>
        <v>8400</v>
      </c>
      <c r="N400" s="182">
        <f t="shared" ref="N400:N463" ca="1" si="73">N399+D400+K400+I400</f>
        <v>36031.749288846942</v>
      </c>
      <c r="O400" s="182"/>
    </row>
    <row r="401" spans="1:19" x14ac:dyDescent="0.25">
      <c r="A401" s="180">
        <f t="shared" ref="A401:A464" ca="1" si="74">A400+1</f>
        <v>46491</v>
      </c>
      <c r="B401" s="181">
        <v>387</v>
      </c>
      <c r="C401" s="182">
        <f t="shared" ref="C401:C464" ca="1" si="75">H400</f>
        <v>35611.749288847059</v>
      </c>
      <c r="D401" s="182">
        <f t="shared" ref="D401:D464" ca="1" si="76">(($C$6/360))*C401</f>
        <v>23.741166192564705</v>
      </c>
      <c r="E401" s="182">
        <v>0</v>
      </c>
      <c r="F401" s="182">
        <f t="shared" ca="1" si="69"/>
        <v>0</v>
      </c>
      <c r="G401" s="182">
        <f t="shared" ref="G401:G464" ca="1" si="77">IF(G400-D401-E401&gt;0,G400-D401-E401,0)</f>
        <v>0</v>
      </c>
      <c r="H401" s="182">
        <f t="shared" ca="1" si="67"/>
        <v>35635.490455039624</v>
      </c>
      <c r="I401" s="183">
        <v>0</v>
      </c>
      <c r="J401" s="263">
        <f t="shared" ca="1" si="68"/>
        <v>35635.490455039624</v>
      </c>
      <c r="K401" s="182">
        <f t="shared" ca="1" si="70"/>
        <v>70</v>
      </c>
      <c r="L401" s="182">
        <f t="shared" ca="1" si="71"/>
        <v>9035.4904550396277</v>
      </c>
      <c r="M401" s="182">
        <f t="shared" ca="1" si="72"/>
        <v>8400</v>
      </c>
      <c r="N401" s="182">
        <f t="shared" ca="1" si="73"/>
        <v>36125.490455039508</v>
      </c>
      <c r="O401" s="182"/>
    </row>
    <row r="402" spans="1:19" x14ac:dyDescent="0.25">
      <c r="A402" s="180">
        <f t="shared" ca="1" si="74"/>
        <v>46492</v>
      </c>
      <c r="B402" s="181">
        <v>388</v>
      </c>
      <c r="C402" s="182">
        <f t="shared" ca="1" si="75"/>
        <v>35635.490455039624</v>
      </c>
      <c r="D402" s="182">
        <f t="shared" ca="1" si="76"/>
        <v>23.756993636693082</v>
      </c>
      <c r="E402" s="182">
        <v>0</v>
      </c>
      <c r="F402" s="182">
        <f t="shared" ca="1" si="69"/>
        <v>0</v>
      </c>
      <c r="G402" s="182">
        <f t="shared" ca="1" si="77"/>
        <v>0</v>
      </c>
      <c r="H402" s="182">
        <f t="shared" ca="1" si="67"/>
        <v>35659.247448676317</v>
      </c>
      <c r="I402" s="183">
        <v>0</v>
      </c>
      <c r="J402" s="263">
        <f t="shared" ca="1" si="68"/>
        <v>35659.247448676317</v>
      </c>
      <c r="K402" s="182">
        <f t="shared" ca="1" si="70"/>
        <v>70</v>
      </c>
      <c r="L402" s="182">
        <f t="shared" ca="1" si="71"/>
        <v>9059.2474486763203</v>
      </c>
      <c r="M402" s="182">
        <f t="shared" ca="1" si="72"/>
        <v>8400</v>
      </c>
      <c r="N402" s="182">
        <f t="shared" ca="1" si="73"/>
        <v>36219.2474486762</v>
      </c>
      <c r="O402" s="182"/>
    </row>
    <row r="403" spans="1:19" x14ac:dyDescent="0.25">
      <c r="A403" s="180">
        <f t="shared" ca="1" si="74"/>
        <v>46493</v>
      </c>
      <c r="B403" s="181">
        <v>389</v>
      </c>
      <c r="C403" s="182">
        <f t="shared" ca="1" si="75"/>
        <v>35659.247448676317</v>
      </c>
      <c r="D403" s="182">
        <f t="shared" ca="1" si="76"/>
        <v>23.772831632450877</v>
      </c>
      <c r="E403" s="182">
        <v>0</v>
      </c>
      <c r="F403" s="182">
        <f t="shared" ca="1" si="69"/>
        <v>0</v>
      </c>
      <c r="G403" s="182">
        <f t="shared" ca="1" si="77"/>
        <v>0</v>
      </c>
      <c r="H403" s="182">
        <f t="shared" ca="1" si="67"/>
        <v>35683.020280308767</v>
      </c>
      <c r="I403" s="183">
        <v>0</v>
      </c>
      <c r="J403" s="263">
        <f t="shared" ca="1" si="68"/>
        <v>35683.020280308767</v>
      </c>
      <c r="K403" s="182">
        <f t="shared" ca="1" si="70"/>
        <v>70</v>
      </c>
      <c r="L403" s="182">
        <f t="shared" ca="1" si="71"/>
        <v>9083.0202803087705</v>
      </c>
      <c r="M403" s="182">
        <f t="shared" ca="1" si="72"/>
        <v>8400</v>
      </c>
      <c r="N403" s="182">
        <f t="shared" ca="1" si="73"/>
        <v>36313.02028030865</v>
      </c>
      <c r="O403" s="182"/>
    </row>
    <row r="404" spans="1:19" x14ac:dyDescent="0.25">
      <c r="A404" s="180">
        <f t="shared" ca="1" si="74"/>
        <v>46494</v>
      </c>
      <c r="B404" s="181">
        <v>390</v>
      </c>
      <c r="C404" s="182">
        <f t="shared" ca="1" si="75"/>
        <v>35683.020280308767</v>
      </c>
      <c r="D404" s="182">
        <f t="shared" ca="1" si="76"/>
        <v>23.788680186872512</v>
      </c>
      <c r="E404" s="182">
        <v>0</v>
      </c>
      <c r="F404" s="182">
        <f t="shared" ca="1" si="69"/>
        <v>0</v>
      </c>
      <c r="G404" s="182">
        <f t="shared" ca="1" si="77"/>
        <v>0</v>
      </c>
      <c r="H404" s="182">
        <f t="shared" ca="1" si="67"/>
        <v>35706.80896049564</v>
      </c>
      <c r="I404" s="183">
        <v>0</v>
      </c>
      <c r="J404" s="263">
        <f t="shared" ca="1" si="68"/>
        <v>35706.80896049564</v>
      </c>
      <c r="K404" s="182">
        <f t="shared" ca="1" si="70"/>
        <v>70</v>
      </c>
      <c r="L404" s="182">
        <f t="shared" ca="1" si="71"/>
        <v>9106.8089604956422</v>
      </c>
      <c r="M404" s="182">
        <f t="shared" ca="1" si="72"/>
        <v>8400</v>
      </c>
      <c r="N404" s="182">
        <f t="shared" ca="1" si="73"/>
        <v>36406.808960495524</v>
      </c>
      <c r="O404" s="182"/>
    </row>
    <row r="405" spans="1:19" x14ac:dyDescent="0.25">
      <c r="A405" s="180">
        <f t="shared" ca="1" si="74"/>
        <v>46495</v>
      </c>
      <c r="B405" s="181">
        <v>391</v>
      </c>
      <c r="C405" s="182">
        <f t="shared" ca="1" si="75"/>
        <v>35706.80896049564</v>
      </c>
      <c r="D405" s="182">
        <f t="shared" ca="1" si="76"/>
        <v>23.804539306997093</v>
      </c>
      <c r="E405" s="182">
        <v>0</v>
      </c>
      <c r="F405" s="182">
        <f t="shared" ca="1" si="69"/>
        <v>0</v>
      </c>
      <c r="G405" s="182">
        <f t="shared" ca="1" si="77"/>
        <v>0</v>
      </c>
      <c r="H405" s="182">
        <f t="shared" ca="1" si="67"/>
        <v>35730.613499802639</v>
      </c>
      <c r="I405" s="183">
        <v>0</v>
      </c>
      <c r="J405" s="263">
        <f t="shared" ca="1" si="68"/>
        <v>35730.613499802639</v>
      </c>
      <c r="K405" s="182">
        <f t="shared" ca="1" si="70"/>
        <v>70</v>
      </c>
      <c r="L405" s="182">
        <f t="shared" ca="1" si="71"/>
        <v>9130.6134998026391</v>
      </c>
      <c r="M405" s="182">
        <f t="shared" ca="1" si="72"/>
        <v>8400</v>
      </c>
      <c r="N405" s="182">
        <f t="shared" ca="1" si="73"/>
        <v>36500.613499802523</v>
      </c>
      <c r="O405" s="182"/>
    </row>
    <row r="406" spans="1:19" x14ac:dyDescent="0.25">
      <c r="A406" s="180">
        <f t="shared" ca="1" si="74"/>
        <v>46496</v>
      </c>
      <c r="B406" s="181">
        <v>392</v>
      </c>
      <c r="C406" s="182">
        <f t="shared" ca="1" si="75"/>
        <v>35730.613499802639</v>
      </c>
      <c r="D406" s="182">
        <f t="shared" ca="1" si="76"/>
        <v>23.820408999868427</v>
      </c>
      <c r="E406" s="182">
        <v>0</v>
      </c>
      <c r="F406" s="182">
        <f t="shared" ca="1" si="69"/>
        <v>0</v>
      </c>
      <c r="G406" s="182">
        <f t="shared" ca="1" si="77"/>
        <v>0</v>
      </c>
      <c r="H406" s="182">
        <f t="shared" ca="1" si="67"/>
        <v>35754.433908802508</v>
      </c>
      <c r="I406" s="183">
        <v>0</v>
      </c>
      <c r="J406" s="263">
        <f t="shared" ca="1" si="68"/>
        <v>35754.433908802508</v>
      </c>
      <c r="K406" s="182">
        <f t="shared" ca="1" si="70"/>
        <v>70</v>
      </c>
      <c r="L406" s="182">
        <f t="shared" ca="1" si="71"/>
        <v>9154.4339088025081</v>
      </c>
      <c r="M406" s="182">
        <f t="shared" ca="1" si="72"/>
        <v>8400</v>
      </c>
      <c r="N406" s="182">
        <f t="shared" ca="1" si="73"/>
        <v>36594.433908802392</v>
      </c>
      <c r="O406" s="182"/>
    </row>
    <row r="407" spans="1:19" x14ac:dyDescent="0.25">
      <c r="A407" s="180">
        <f t="shared" ca="1" si="74"/>
        <v>46497</v>
      </c>
      <c r="B407" s="181">
        <v>393</v>
      </c>
      <c r="C407" s="182">
        <f t="shared" ca="1" si="75"/>
        <v>35754.433908802508</v>
      </c>
      <c r="D407" s="182">
        <f t="shared" ca="1" si="76"/>
        <v>23.836289272535005</v>
      </c>
      <c r="E407" s="182">
        <v>0</v>
      </c>
      <c r="F407" s="182">
        <f t="shared" ca="1" si="69"/>
        <v>0</v>
      </c>
      <c r="G407" s="182">
        <f t="shared" ca="1" si="77"/>
        <v>0</v>
      </c>
      <c r="H407" s="182">
        <f t="shared" ca="1" si="67"/>
        <v>35778.270198075043</v>
      </c>
      <c r="I407" s="183">
        <v>0</v>
      </c>
      <c r="J407" s="263">
        <f t="shared" ca="1" si="68"/>
        <v>35778.270198075043</v>
      </c>
      <c r="K407" s="182">
        <f t="shared" ca="1" si="70"/>
        <v>70</v>
      </c>
      <c r="L407" s="182">
        <f t="shared" ca="1" si="71"/>
        <v>9178.2701980750426</v>
      </c>
      <c r="M407" s="182">
        <f t="shared" ca="1" si="72"/>
        <v>8400</v>
      </c>
      <c r="N407" s="182">
        <f t="shared" ca="1" si="73"/>
        <v>36688.270198074926</v>
      </c>
      <c r="O407" s="182"/>
    </row>
    <row r="408" spans="1:19" x14ac:dyDescent="0.25">
      <c r="A408" s="180">
        <f t="shared" ca="1" si="74"/>
        <v>46498</v>
      </c>
      <c r="B408" s="181">
        <v>394</v>
      </c>
      <c r="C408" s="182">
        <f t="shared" ca="1" si="75"/>
        <v>35778.270198075043</v>
      </c>
      <c r="D408" s="182">
        <f t="shared" ca="1" si="76"/>
        <v>23.852180132050027</v>
      </c>
      <c r="E408" s="182">
        <v>0</v>
      </c>
      <c r="F408" s="182">
        <f t="shared" ca="1" si="69"/>
        <v>0</v>
      </c>
      <c r="G408" s="182">
        <f t="shared" ca="1" si="77"/>
        <v>0</v>
      </c>
      <c r="H408" s="182">
        <f t="shared" ca="1" si="67"/>
        <v>35802.122378207096</v>
      </c>
      <c r="I408" s="183">
        <v>0</v>
      </c>
      <c r="J408" s="263">
        <f t="shared" ca="1" si="68"/>
        <v>35802.122378207096</v>
      </c>
      <c r="K408" s="182">
        <f t="shared" ca="1" si="70"/>
        <v>70</v>
      </c>
      <c r="L408" s="182">
        <f t="shared" ca="1" si="71"/>
        <v>9202.122378207092</v>
      </c>
      <c r="M408" s="182">
        <f t="shared" ca="1" si="72"/>
        <v>8400</v>
      </c>
      <c r="N408" s="182">
        <f t="shared" ca="1" si="73"/>
        <v>36782.122378206979</v>
      </c>
      <c r="O408" s="182"/>
    </row>
    <row r="409" spans="1:19" x14ac:dyDescent="0.25">
      <c r="A409" s="180">
        <f t="shared" ca="1" si="74"/>
        <v>46499</v>
      </c>
      <c r="B409" s="181">
        <v>395</v>
      </c>
      <c r="C409" s="182">
        <f t="shared" ca="1" si="75"/>
        <v>35802.122378207096</v>
      </c>
      <c r="D409" s="182">
        <f t="shared" ca="1" si="76"/>
        <v>23.868081585471398</v>
      </c>
      <c r="E409" s="182">
        <v>0</v>
      </c>
      <c r="F409" s="182">
        <f t="shared" ca="1" si="69"/>
        <v>0</v>
      </c>
      <c r="G409" s="182">
        <f t="shared" ca="1" si="77"/>
        <v>0</v>
      </c>
      <c r="H409" s="182">
        <f t="shared" ca="1" si="67"/>
        <v>35825.990459792571</v>
      </c>
      <c r="I409" s="183">
        <v>0</v>
      </c>
      <c r="J409" s="263">
        <f t="shared" ca="1" si="68"/>
        <v>35825.990459792571</v>
      </c>
      <c r="K409" s="182">
        <f t="shared" ca="1" si="70"/>
        <v>70</v>
      </c>
      <c r="L409" s="182">
        <f t="shared" ca="1" si="71"/>
        <v>9225.9904597925633</v>
      </c>
      <c r="M409" s="182">
        <f t="shared" ca="1" si="72"/>
        <v>8400</v>
      </c>
      <c r="N409" s="182">
        <f t="shared" ca="1" si="73"/>
        <v>36875.990459792454</v>
      </c>
      <c r="O409" s="182"/>
    </row>
    <row r="410" spans="1:19" x14ac:dyDescent="0.25">
      <c r="A410" s="180">
        <f t="shared" ca="1" si="74"/>
        <v>46500</v>
      </c>
      <c r="B410" s="181">
        <v>396</v>
      </c>
      <c r="C410" s="182">
        <f t="shared" ca="1" si="75"/>
        <v>35825.990459792571</v>
      </c>
      <c r="D410" s="182">
        <f t="shared" ca="1" si="76"/>
        <v>23.883993639861714</v>
      </c>
      <c r="E410" s="182">
        <v>0</v>
      </c>
      <c r="F410" s="182">
        <f t="shared" ca="1" si="69"/>
        <v>0</v>
      </c>
      <c r="G410" s="182">
        <f t="shared" ca="1" si="77"/>
        <v>0</v>
      </c>
      <c r="H410" s="182">
        <f t="shared" ca="1" si="67"/>
        <v>35849.874453432429</v>
      </c>
      <c r="I410" s="183">
        <v>0</v>
      </c>
      <c r="J410" s="263">
        <f t="shared" ca="1" si="68"/>
        <v>35849.874453432429</v>
      </c>
      <c r="K410" s="182">
        <f t="shared" ca="1" si="70"/>
        <v>70</v>
      </c>
      <c r="L410" s="182">
        <f t="shared" ca="1" si="71"/>
        <v>9249.8744534324251</v>
      </c>
      <c r="M410" s="182">
        <f t="shared" ca="1" si="72"/>
        <v>8400</v>
      </c>
      <c r="N410" s="182">
        <f t="shared" ca="1" si="73"/>
        <v>36969.874453432312</v>
      </c>
      <c r="O410" s="182"/>
    </row>
    <row r="411" spans="1:19" x14ac:dyDescent="0.25">
      <c r="A411" s="180">
        <f t="shared" ca="1" si="74"/>
        <v>46501</v>
      </c>
      <c r="B411" s="181">
        <v>397</v>
      </c>
      <c r="C411" s="182">
        <f t="shared" ca="1" si="75"/>
        <v>35849.874453432429</v>
      </c>
      <c r="D411" s="182">
        <f t="shared" ca="1" si="76"/>
        <v>23.899916302288286</v>
      </c>
      <c r="E411" s="182">
        <v>0</v>
      </c>
      <c r="F411" s="182">
        <f t="shared" ca="1" si="69"/>
        <v>0</v>
      </c>
      <c r="G411" s="182">
        <f t="shared" ca="1" si="77"/>
        <v>0</v>
      </c>
      <c r="H411" s="182">
        <f t="shared" ca="1" si="67"/>
        <v>35873.774369734718</v>
      </c>
      <c r="I411" s="183">
        <v>0</v>
      </c>
      <c r="J411" s="263">
        <f t="shared" ca="1" si="68"/>
        <v>35873.774369734718</v>
      </c>
      <c r="K411" s="182">
        <f t="shared" ca="1" si="70"/>
        <v>70</v>
      </c>
      <c r="L411" s="182">
        <f t="shared" ca="1" si="71"/>
        <v>9273.7743697347141</v>
      </c>
      <c r="M411" s="182">
        <f t="shared" ca="1" si="72"/>
        <v>8400</v>
      </c>
      <c r="N411" s="182">
        <f t="shared" ca="1" si="73"/>
        <v>37063.774369734601</v>
      </c>
      <c r="O411" s="182"/>
    </row>
    <row r="412" spans="1:19" x14ac:dyDescent="0.25">
      <c r="A412" s="180">
        <f t="shared" ca="1" si="74"/>
        <v>46502</v>
      </c>
      <c r="B412" s="181">
        <v>398</v>
      </c>
      <c r="C412" s="182">
        <f t="shared" ca="1" si="75"/>
        <v>35873.774369734718</v>
      </c>
      <c r="D412" s="182">
        <f t="shared" ca="1" si="76"/>
        <v>23.915849579823146</v>
      </c>
      <c r="E412" s="182">
        <v>0</v>
      </c>
      <c r="F412" s="182">
        <f t="shared" ca="1" si="69"/>
        <v>0</v>
      </c>
      <c r="G412" s="182">
        <f t="shared" ca="1" si="77"/>
        <v>0</v>
      </c>
      <c r="H412" s="182">
        <f t="shared" ca="1" si="67"/>
        <v>35897.690219314543</v>
      </c>
      <c r="I412" s="183">
        <v>0</v>
      </c>
      <c r="J412" s="263">
        <f t="shared" ca="1" si="68"/>
        <v>35897.690219314543</v>
      </c>
      <c r="K412" s="182">
        <f t="shared" ca="1" si="70"/>
        <v>70</v>
      </c>
      <c r="L412" s="182">
        <f t="shared" ca="1" si="71"/>
        <v>9297.6902193145379</v>
      </c>
      <c r="M412" s="182">
        <f t="shared" ca="1" si="72"/>
        <v>8400</v>
      </c>
      <c r="N412" s="182">
        <f t="shared" ca="1" si="73"/>
        <v>37157.690219314427</v>
      </c>
      <c r="O412" s="182"/>
    </row>
    <row r="413" spans="1:19" x14ac:dyDescent="0.25">
      <c r="A413" s="180">
        <f t="shared" ca="1" si="74"/>
        <v>46503</v>
      </c>
      <c r="B413" s="181">
        <v>399</v>
      </c>
      <c r="C413" s="182">
        <f t="shared" ca="1" si="75"/>
        <v>35897.690219314543</v>
      </c>
      <c r="D413" s="182">
        <f t="shared" ca="1" si="76"/>
        <v>23.931793479543028</v>
      </c>
      <c r="E413" s="182">
        <v>0</v>
      </c>
      <c r="F413" s="182">
        <f t="shared" ca="1" si="69"/>
        <v>0</v>
      </c>
      <c r="G413" s="182">
        <f t="shared" ca="1" si="77"/>
        <v>0</v>
      </c>
      <c r="H413" s="182">
        <f t="shared" ca="1" si="67"/>
        <v>35921.622012794083</v>
      </c>
      <c r="I413" s="183">
        <v>0</v>
      </c>
      <c r="J413" s="263">
        <f t="shared" ca="1" si="68"/>
        <v>35921.622012794083</v>
      </c>
      <c r="K413" s="182">
        <f t="shared" ca="1" si="70"/>
        <v>70</v>
      </c>
      <c r="L413" s="182">
        <f t="shared" ca="1" si="71"/>
        <v>9321.6220127940815</v>
      </c>
      <c r="M413" s="182">
        <f t="shared" ca="1" si="72"/>
        <v>8400</v>
      </c>
      <c r="N413" s="182">
        <f t="shared" ca="1" si="73"/>
        <v>37251.622012793967</v>
      </c>
      <c r="O413" s="182"/>
    </row>
    <row r="414" spans="1:19" ht="18.75" x14ac:dyDescent="0.3">
      <c r="A414" s="180">
        <f t="shared" ca="1" si="74"/>
        <v>46504</v>
      </c>
      <c r="B414" s="181">
        <v>400</v>
      </c>
      <c r="C414" s="182">
        <f t="shared" ca="1" si="75"/>
        <v>35921.622012794083</v>
      </c>
      <c r="D414" s="182">
        <f t="shared" ca="1" si="76"/>
        <v>23.947748008529388</v>
      </c>
      <c r="E414" s="182">
        <v>0</v>
      </c>
      <c r="F414" s="182">
        <f t="shared" ca="1" si="69"/>
        <v>0</v>
      </c>
      <c r="G414" s="182">
        <f t="shared" ca="1" si="77"/>
        <v>0</v>
      </c>
      <c r="H414" s="182">
        <f t="shared" ca="1" si="67"/>
        <v>35945.569760802609</v>
      </c>
      <c r="I414" s="183">
        <v>0</v>
      </c>
      <c r="J414" s="263">
        <f t="shared" ca="1" si="68"/>
        <v>35945.569760802609</v>
      </c>
      <c r="K414" s="182">
        <f t="shared" ca="1" si="70"/>
        <v>70</v>
      </c>
      <c r="L414" s="182">
        <f t="shared" ca="1" si="71"/>
        <v>9345.5697608026112</v>
      </c>
      <c r="M414" s="182">
        <f t="shared" ca="1" si="72"/>
        <v>8400</v>
      </c>
      <c r="N414" s="182">
        <f t="shared" ca="1" si="73"/>
        <v>37345.569760802493</v>
      </c>
      <c r="O414" s="182"/>
      <c r="Q414" s="719"/>
      <c r="R414" s="719"/>
      <c r="S414" s="719"/>
    </row>
    <row r="415" spans="1:19" x14ac:dyDescent="0.25">
      <c r="A415" s="180">
        <f t="shared" ca="1" si="74"/>
        <v>46505</v>
      </c>
      <c r="B415" s="181">
        <v>401</v>
      </c>
      <c r="C415" s="182">
        <f t="shared" ca="1" si="75"/>
        <v>35945.569760802609</v>
      </c>
      <c r="D415" s="182">
        <f t="shared" ca="1" si="76"/>
        <v>23.963713173868406</v>
      </c>
      <c r="E415" s="182">
        <v>0</v>
      </c>
      <c r="F415" s="182">
        <f t="shared" ca="1" si="69"/>
        <v>0</v>
      </c>
      <c r="G415" s="182">
        <f t="shared" ca="1" si="77"/>
        <v>0</v>
      </c>
      <c r="H415" s="182">
        <f t="shared" ca="1" si="67"/>
        <v>35969.53347397648</v>
      </c>
      <c r="I415" s="183">
        <v>0</v>
      </c>
      <c r="J415" s="263">
        <f t="shared" ca="1" si="68"/>
        <v>35969.53347397648</v>
      </c>
      <c r="K415" s="182">
        <f t="shared" ca="1" si="70"/>
        <v>70</v>
      </c>
      <c r="L415" s="182">
        <f t="shared" ca="1" si="71"/>
        <v>9369.5334739764803</v>
      </c>
      <c r="M415" s="182">
        <f t="shared" ca="1" si="72"/>
        <v>8400</v>
      </c>
      <c r="N415" s="182">
        <f t="shared" ca="1" si="73"/>
        <v>37439.533473976364</v>
      </c>
      <c r="O415" s="182"/>
      <c r="Q415" s="103"/>
      <c r="R415" s="103"/>
      <c r="S415" s="103"/>
    </row>
    <row r="416" spans="1:19" x14ac:dyDescent="0.25">
      <c r="A416" s="180">
        <f t="shared" ca="1" si="74"/>
        <v>46506</v>
      </c>
      <c r="B416" s="181">
        <v>402</v>
      </c>
      <c r="C416" s="182">
        <f t="shared" ca="1" si="75"/>
        <v>35969.53347397648</v>
      </c>
      <c r="D416" s="182">
        <f t="shared" ca="1" si="76"/>
        <v>23.979688982650988</v>
      </c>
      <c r="E416" s="182">
        <v>0</v>
      </c>
      <c r="F416" s="182">
        <f t="shared" ca="1" si="69"/>
        <v>0</v>
      </c>
      <c r="G416" s="182">
        <f t="shared" ca="1" si="77"/>
        <v>0</v>
      </c>
      <c r="H416" s="182">
        <f t="shared" ca="1" si="67"/>
        <v>35993.513162959134</v>
      </c>
      <c r="I416" s="183">
        <v>0</v>
      </c>
      <c r="J416" s="263">
        <f t="shared" ca="1" si="68"/>
        <v>35993.513162959134</v>
      </c>
      <c r="K416" s="182">
        <f t="shared" ca="1" si="70"/>
        <v>70</v>
      </c>
      <c r="L416" s="182">
        <f t="shared" ca="1" si="71"/>
        <v>9393.5131629591306</v>
      </c>
      <c r="M416" s="182">
        <f t="shared" ca="1" si="72"/>
        <v>8400</v>
      </c>
      <c r="N416" s="182">
        <f t="shared" ca="1" si="73"/>
        <v>37533.513162959018</v>
      </c>
      <c r="O416" s="182"/>
      <c r="P416" s="160"/>
      <c r="Q416" s="116"/>
      <c r="R416" s="116"/>
      <c r="S416" s="116"/>
    </row>
    <row r="417" spans="1:15" x14ac:dyDescent="0.25">
      <c r="A417" s="180">
        <f t="shared" ca="1" si="74"/>
        <v>46507</v>
      </c>
      <c r="B417" s="181">
        <v>403</v>
      </c>
      <c r="C417" s="182">
        <f t="shared" ca="1" si="75"/>
        <v>35993.513162959134</v>
      </c>
      <c r="D417" s="182">
        <f t="shared" ca="1" si="76"/>
        <v>23.995675441972754</v>
      </c>
      <c r="E417" s="182">
        <v>0</v>
      </c>
      <c r="F417" s="182">
        <f t="shared" ca="1" si="69"/>
        <v>0</v>
      </c>
      <c r="G417" s="182">
        <f t="shared" ca="1" si="77"/>
        <v>0</v>
      </c>
      <c r="H417" s="182">
        <f t="shared" ca="1" si="67"/>
        <v>36017.508838401111</v>
      </c>
      <c r="I417" s="183">
        <v>0</v>
      </c>
      <c r="J417" s="263">
        <f t="shared" ca="1" si="68"/>
        <v>36017.508838401111</v>
      </c>
      <c r="K417" s="182">
        <f t="shared" ca="1" si="70"/>
        <v>70</v>
      </c>
      <c r="L417" s="182">
        <f t="shared" ca="1" si="71"/>
        <v>9417.5088384011033</v>
      </c>
      <c r="M417" s="182">
        <f t="shared" ca="1" si="72"/>
        <v>8400</v>
      </c>
      <c r="N417" s="182">
        <f t="shared" ca="1" si="73"/>
        <v>37627.508838400994</v>
      </c>
      <c r="O417" s="182"/>
    </row>
    <row r="418" spans="1:15" x14ac:dyDescent="0.25">
      <c r="A418" s="180">
        <f t="shared" ca="1" si="74"/>
        <v>46508</v>
      </c>
      <c r="B418" s="181">
        <v>404</v>
      </c>
      <c r="C418" s="182">
        <f t="shared" ca="1" si="75"/>
        <v>36017.508838401111</v>
      </c>
      <c r="D418" s="182">
        <f t="shared" ca="1" si="76"/>
        <v>24.011672558934073</v>
      </c>
      <c r="E418" s="182">
        <v>0</v>
      </c>
      <c r="F418" s="182">
        <f t="shared" ca="1" si="69"/>
        <v>0</v>
      </c>
      <c r="G418" s="182">
        <f t="shared" ca="1" si="77"/>
        <v>0</v>
      </c>
      <c r="H418" s="182">
        <f t="shared" ca="1" si="67"/>
        <v>36041.520510960043</v>
      </c>
      <c r="I418" s="183">
        <v>0</v>
      </c>
      <c r="J418" s="263">
        <f t="shared" ca="1" si="68"/>
        <v>36041.520510960043</v>
      </c>
      <c r="K418" s="182">
        <f t="shared" ca="1" si="70"/>
        <v>70</v>
      </c>
      <c r="L418" s="182">
        <f t="shared" ca="1" si="71"/>
        <v>9441.5205109600374</v>
      </c>
      <c r="M418" s="182">
        <f t="shared" ca="1" si="72"/>
        <v>8400</v>
      </c>
      <c r="N418" s="182">
        <f t="shared" ca="1" si="73"/>
        <v>37721.520510959926</v>
      </c>
      <c r="O418" s="182"/>
    </row>
    <row r="419" spans="1:15" x14ac:dyDescent="0.25">
      <c r="A419" s="180">
        <f t="shared" ca="1" si="74"/>
        <v>46509</v>
      </c>
      <c r="B419" s="181">
        <v>405</v>
      </c>
      <c r="C419" s="182">
        <f t="shared" ca="1" si="75"/>
        <v>36041.520510960043</v>
      </c>
      <c r="D419" s="182">
        <f t="shared" ca="1" si="76"/>
        <v>24.027680340640028</v>
      </c>
      <c r="E419" s="182">
        <v>0</v>
      </c>
      <c r="F419" s="182">
        <f t="shared" ca="1" si="69"/>
        <v>0</v>
      </c>
      <c r="G419" s="182">
        <f t="shared" ca="1" si="77"/>
        <v>0</v>
      </c>
      <c r="H419" s="182">
        <f t="shared" ref="H419:H482" ca="1" si="78">IF(G419&gt;0,C419+F419+I419,SUM(C419:F419)-G418)</f>
        <v>36065.548191300681</v>
      </c>
      <c r="I419" s="183">
        <v>0</v>
      </c>
      <c r="J419" s="263">
        <f t="shared" ca="1" si="68"/>
        <v>36065.548191300681</v>
      </c>
      <c r="K419" s="182">
        <f t="shared" ca="1" si="70"/>
        <v>70</v>
      </c>
      <c r="L419" s="182">
        <f t="shared" ca="1" si="71"/>
        <v>9465.548191300677</v>
      </c>
      <c r="M419" s="182">
        <f t="shared" ca="1" si="72"/>
        <v>8400</v>
      </c>
      <c r="N419" s="182">
        <f t="shared" ca="1" si="73"/>
        <v>37815.548191300564</v>
      </c>
      <c r="O419" s="182"/>
    </row>
    <row r="420" spans="1:15" x14ac:dyDescent="0.25">
      <c r="A420" s="180">
        <f t="shared" ca="1" si="74"/>
        <v>46510</v>
      </c>
      <c r="B420" s="181">
        <v>406</v>
      </c>
      <c r="C420" s="182">
        <f t="shared" ca="1" si="75"/>
        <v>36065.548191300681</v>
      </c>
      <c r="D420" s="182">
        <f t="shared" ca="1" si="76"/>
        <v>24.043698794200452</v>
      </c>
      <c r="E420" s="182">
        <v>0</v>
      </c>
      <c r="F420" s="182">
        <f t="shared" ca="1" si="69"/>
        <v>0</v>
      </c>
      <c r="G420" s="182">
        <f t="shared" ca="1" si="77"/>
        <v>0</v>
      </c>
      <c r="H420" s="182">
        <f t="shared" ca="1" si="78"/>
        <v>36089.591890094882</v>
      </c>
      <c r="I420" s="183">
        <v>0</v>
      </c>
      <c r="J420" s="263">
        <f t="shared" ca="1" si="68"/>
        <v>36089.591890094882</v>
      </c>
      <c r="K420" s="182">
        <f t="shared" ca="1" si="70"/>
        <v>70</v>
      </c>
      <c r="L420" s="182">
        <f t="shared" ca="1" si="71"/>
        <v>9489.5918900948782</v>
      </c>
      <c r="M420" s="182">
        <f t="shared" ca="1" si="72"/>
        <v>8400</v>
      </c>
      <c r="N420" s="182">
        <f t="shared" ca="1" si="73"/>
        <v>37909.591890094765</v>
      </c>
      <c r="O420" s="182"/>
    </row>
    <row r="421" spans="1:15" x14ac:dyDescent="0.25">
      <c r="A421" s="180">
        <f t="shared" ca="1" si="74"/>
        <v>46511</v>
      </c>
      <c r="B421" s="181">
        <v>407</v>
      </c>
      <c r="C421" s="182">
        <f t="shared" ca="1" si="75"/>
        <v>36089.591890094882</v>
      </c>
      <c r="D421" s="182">
        <f t="shared" ca="1" si="76"/>
        <v>24.05972792672992</v>
      </c>
      <c r="E421" s="182">
        <v>0</v>
      </c>
      <c r="F421" s="182">
        <f t="shared" ca="1" si="69"/>
        <v>0</v>
      </c>
      <c r="G421" s="182">
        <f t="shared" ca="1" si="77"/>
        <v>0</v>
      </c>
      <c r="H421" s="182">
        <f t="shared" ca="1" si="78"/>
        <v>36113.651618021613</v>
      </c>
      <c r="I421" s="183">
        <v>0</v>
      </c>
      <c r="J421" s="263">
        <f t="shared" ca="1" si="68"/>
        <v>36113.651618021613</v>
      </c>
      <c r="K421" s="182">
        <f t="shared" ca="1" si="70"/>
        <v>70</v>
      </c>
      <c r="L421" s="182">
        <f t="shared" ca="1" si="71"/>
        <v>9513.6516180216076</v>
      </c>
      <c r="M421" s="182">
        <f t="shared" ca="1" si="72"/>
        <v>8400</v>
      </c>
      <c r="N421" s="182">
        <f t="shared" ca="1" si="73"/>
        <v>38003.651618021497</v>
      </c>
      <c r="O421" s="182"/>
    </row>
    <row r="422" spans="1:15" x14ac:dyDescent="0.25">
      <c r="A422" s="180">
        <f t="shared" ca="1" si="74"/>
        <v>46512</v>
      </c>
      <c r="B422" s="181">
        <v>408</v>
      </c>
      <c r="C422" s="182">
        <f t="shared" ca="1" si="75"/>
        <v>36113.651618021613</v>
      </c>
      <c r="D422" s="182">
        <f t="shared" ca="1" si="76"/>
        <v>24.07576774534774</v>
      </c>
      <c r="E422" s="182">
        <v>0</v>
      </c>
      <c r="F422" s="182">
        <f t="shared" ca="1" si="69"/>
        <v>0</v>
      </c>
      <c r="G422" s="182">
        <f t="shared" ca="1" si="77"/>
        <v>0</v>
      </c>
      <c r="H422" s="182">
        <f t="shared" ca="1" si="78"/>
        <v>36137.727385766964</v>
      </c>
      <c r="I422" s="183">
        <v>0</v>
      </c>
      <c r="J422" s="263">
        <f t="shared" ca="1" si="68"/>
        <v>36137.727385766964</v>
      </c>
      <c r="K422" s="182">
        <f t="shared" ca="1" si="70"/>
        <v>70</v>
      </c>
      <c r="L422" s="182">
        <f t="shared" ca="1" si="71"/>
        <v>9537.7273857669552</v>
      </c>
      <c r="M422" s="182">
        <f t="shared" ca="1" si="72"/>
        <v>8400</v>
      </c>
      <c r="N422" s="182">
        <f t="shared" ca="1" si="73"/>
        <v>38097.727385766848</v>
      </c>
      <c r="O422" s="182"/>
    </row>
    <row r="423" spans="1:15" x14ac:dyDescent="0.25">
      <c r="A423" s="180">
        <f t="shared" ca="1" si="74"/>
        <v>46513</v>
      </c>
      <c r="B423" s="181">
        <v>409</v>
      </c>
      <c r="C423" s="182">
        <f t="shared" ca="1" si="75"/>
        <v>36137.727385766964</v>
      </c>
      <c r="D423" s="182">
        <f t="shared" ca="1" si="76"/>
        <v>24.091818257177977</v>
      </c>
      <c r="E423" s="182">
        <v>0</v>
      </c>
      <c r="F423" s="182">
        <f t="shared" ca="1" si="69"/>
        <v>0</v>
      </c>
      <c r="G423" s="182">
        <f t="shared" ca="1" si="77"/>
        <v>0</v>
      </c>
      <c r="H423" s="182">
        <f t="shared" ca="1" si="78"/>
        <v>36161.819204024141</v>
      </c>
      <c r="I423" s="183">
        <v>0</v>
      </c>
      <c r="J423" s="263">
        <f t="shared" ca="1" si="68"/>
        <v>36161.819204024141</v>
      </c>
      <c r="K423" s="182">
        <f t="shared" ca="1" si="70"/>
        <v>70</v>
      </c>
      <c r="L423" s="182">
        <f t="shared" ca="1" si="71"/>
        <v>9561.8192040241338</v>
      </c>
      <c r="M423" s="182">
        <f t="shared" ca="1" si="72"/>
        <v>8400</v>
      </c>
      <c r="N423" s="182">
        <f t="shared" ca="1" si="73"/>
        <v>38191.819204024025</v>
      </c>
      <c r="O423" s="182"/>
    </row>
    <row r="424" spans="1:15" x14ac:dyDescent="0.25">
      <c r="A424" s="180">
        <f t="shared" ca="1" si="74"/>
        <v>46514</v>
      </c>
      <c r="B424" s="181">
        <v>410</v>
      </c>
      <c r="C424" s="182">
        <f t="shared" ca="1" si="75"/>
        <v>36161.819204024141</v>
      </c>
      <c r="D424" s="182">
        <f t="shared" ca="1" si="76"/>
        <v>24.107879469349427</v>
      </c>
      <c r="E424" s="182">
        <v>0</v>
      </c>
      <c r="F424" s="182">
        <f t="shared" ca="1" si="69"/>
        <v>0</v>
      </c>
      <c r="G424" s="182">
        <f t="shared" ca="1" si="77"/>
        <v>0</v>
      </c>
      <c r="H424" s="182">
        <f t="shared" ca="1" si="78"/>
        <v>36185.927083493487</v>
      </c>
      <c r="I424" s="183">
        <v>0</v>
      </c>
      <c r="J424" s="263">
        <f t="shared" ca="1" si="68"/>
        <v>36185.927083493487</v>
      </c>
      <c r="K424" s="182">
        <f t="shared" ca="1" si="70"/>
        <v>70</v>
      </c>
      <c r="L424" s="182">
        <f t="shared" ca="1" si="71"/>
        <v>9585.9270834934832</v>
      </c>
      <c r="M424" s="182">
        <f t="shared" ca="1" si="72"/>
        <v>8400</v>
      </c>
      <c r="N424" s="182">
        <f t="shared" ca="1" si="73"/>
        <v>38285.92708349337</v>
      </c>
      <c r="O424" s="182"/>
    </row>
    <row r="425" spans="1:15" x14ac:dyDescent="0.25">
      <c r="A425" s="180">
        <f t="shared" ca="1" si="74"/>
        <v>46515</v>
      </c>
      <c r="B425" s="181">
        <v>411</v>
      </c>
      <c r="C425" s="182">
        <f t="shared" ca="1" si="75"/>
        <v>36185.927083493487</v>
      </c>
      <c r="D425" s="182">
        <f t="shared" ca="1" si="76"/>
        <v>24.123951388995657</v>
      </c>
      <c r="E425" s="182">
        <v>0</v>
      </c>
      <c r="F425" s="182">
        <f t="shared" ca="1" si="69"/>
        <v>0</v>
      </c>
      <c r="G425" s="182">
        <f t="shared" ca="1" si="77"/>
        <v>0</v>
      </c>
      <c r="H425" s="182">
        <f t="shared" ca="1" si="78"/>
        <v>36210.051034882483</v>
      </c>
      <c r="I425" s="183">
        <v>0</v>
      </c>
      <c r="J425" s="263">
        <f t="shared" ca="1" si="68"/>
        <v>36210.051034882483</v>
      </c>
      <c r="K425" s="182">
        <f t="shared" ca="1" si="70"/>
        <v>70</v>
      </c>
      <c r="L425" s="182">
        <f t="shared" ca="1" si="71"/>
        <v>9610.0510348824791</v>
      </c>
      <c r="M425" s="182">
        <f t="shared" ca="1" si="72"/>
        <v>8400</v>
      </c>
      <c r="N425" s="182">
        <f t="shared" ca="1" si="73"/>
        <v>38380.051034882366</v>
      </c>
      <c r="O425" s="182"/>
    </row>
    <row r="426" spans="1:15" x14ac:dyDescent="0.25">
      <c r="A426" s="180">
        <f t="shared" ca="1" si="74"/>
        <v>46516</v>
      </c>
      <c r="B426" s="181">
        <v>412</v>
      </c>
      <c r="C426" s="182">
        <f t="shared" ca="1" si="75"/>
        <v>36210.051034882483</v>
      </c>
      <c r="D426" s="182">
        <f t="shared" ca="1" si="76"/>
        <v>24.140034023254987</v>
      </c>
      <c r="E426" s="182">
        <v>0</v>
      </c>
      <c r="F426" s="182">
        <f t="shared" ca="1" si="69"/>
        <v>0</v>
      </c>
      <c r="G426" s="182">
        <f t="shared" ca="1" si="77"/>
        <v>0</v>
      </c>
      <c r="H426" s="182">
        <f t="shared" ca="1" si="78"/>
        <v>36234.19106890574</v>
      </c>
      <c r="I426" s="183">
        <v>0</v>
      </c>
      <c r="J426" s="263">
        <f t="shared" ca="1" si="68"/>
        <v>36234.19106890574</v>
      </c>
      <c r="K426" s="182">
        <f t="shared" ca="1" si="70"/>
        <v>70</v>
      </c>
      <c r="L426" s="182">
        <f t="shared" ca="1" si="71"/>
        <v>9634.1910689057349</v>
      </c>
      <c r="M426" s="182">
        <f t="shared" ca="1" si="72"/>
        <v>8400</v>
      </c>
      <c r="N426" s="182">
        <f t="shared" ca="1" si="73"/>
        <v>38474.191068905624</v>
      </c>
      <c r="O426" s="182"/>
    </row>
    <row r="427" spans="1:15" x14ac:dyDescent="0.25">
      <c r="A427" s="180">
        <f t="shared" ca="1" si="74"/>
        <v>46517</v>
      </c>
      <c r="B427" s="181">
        <v>413</v>
      </c>
      <c r="C427" s="182">
        <f t="shared" ca="1" si="75"/>
        <v>36234.19106890574</v>
      </c>
      <c r="D427" s="182">
        <f t="shared" ca="1" si="76"/>
        <v>24.156127379270494</v>
      </c>
      <c r="E427" s="182">
        <v>0</v>
      </c>
      <c r="F427" s="182">
        <f t="shared" ca="1" si="69"/>
        <v>0</v>
      </c>
      <c r="G427" s="182">
        <f t="shared" ca="1" si="77"/>
        <v>0</v>
      </c>
      <c r="H427" s="182">
        <f t="shared" ca="1" si="78"/>
        <v>36258.347196285009</v>
      </c>
      <c r="I427" s="183">
        <v>0</v>
      </c>
      <c r="J427" s="263">
        <f t="shared" ca="1" si="68"/>
        <v>36258.347196285009</v>
      </c>
      <c r="K427" s="182">
        <f t="shared" ca="1" si="70"/>
        <v>70</v>
      </c>
      <c r="L427" s="182">
        <f t="shared" ca="1" si="71"/>
        <v>9658.3471962850053</v>
      </c>
      <c r="M427" s="182">
        <f t="shared" ca="1" si="72"/>
        <v>8400</v>
      </c>
      <c r="N427" s="182">
        <f t="shared" ca="1" si="73"/>
        <v>38568.347196284893</v>
      </c>
      <c r="O427" s="182"/>
    </row>
    <row r="428" spans="1:15" x14ac:dyDescent="0.25">
      <c r="A428" s="180">
        <f t="shared" ca="1" si="74"/>
        <v>46518</v>
      </c>
      <c r="B428" s="181">
        <v>414</v>
      </c>
      <c r="C428" s="182">
        <f t="shared" ca="1" si="75"/>
        <v>36258.347196285009</v>
      </c>
      <c r="D428" s="182">
        <f t="shared" ca="1" si="76"/>
        <v>24.172231464190006</v>
      </c>
      <c r="E428" s="182">
        <v>0</v>
      </c>
      <c r="F428" s="182">
        <f t="shared" ca="1" si="69"/>
        <v>0</v>
      </c>
      <c r="G428" s="182">
        <f t="shared" ca="1" si="77"/>
        <v>0</v>
      </c>
      <c r="H428" s="182">
        <f t="shared" ca="1" si="78"/>
        <v>36282.519427749197</v>
      </c>
      <c r="I428" s="183">
        <v>0</v>
      </c>
      <c r="J428" s="263">
        <f t="shared" ca="1" si="68"/>
        <v>36282.519427749197</v>
      </c>
      <c r="K428" s="182">
        <f t="shared" ca="1" si="70"/>
        <v>70</v>
      </c>
      <c r="L428" s="182">
        <f t="shared" ca="1" si="71"/>
        <v>9682.5194277491955</v>
      </c>
      <c r="M428" s="182">
        <f t="shared" ca="1" si="72"/>
        <v>8400</v>
      </c>
      <c r="N428" s="182">
        <f t="shared" ca="1" si="73"/>
        <v>38662.519427749081</v>
      </c>
      <c r="O428" s="182"/>
    </row>
    <row r="429" spans="1:15" x14ac:dyDescent="0.25">
      <c r="A429" s="180">
        <f t="shared" ca="1" si="74"/>
        <v>46519</v>
      </c>
      <c r="B429" s="181">
        <v>415</v>
      </c>
      <c r="C429" s="182">
        <f t="shared" ca="1" si="75"/>
        <v>36282.519427749197</v>
      </c>
      <c r="D429" s="182">
        <f t="shared" ca="1" si="76"/>
        <v>24.18834628516613</v>
      </c>
      <c r="E429" s="182">
        <v>0</v>
      </c>
      <c r="F429" s="182">
        <f t="shared" ca="1" si="69"/>
        <v>0</v>
      </c>
      <c r="G429" s="182">
        <f t="shared" ca="1" si="77"/>
        <v>0</v>
      </c>
      <c r="H429" s="182">
        <f t="shared" ca="1" si="78"/>
        <v>36306.707774034367</v>
      </c>
      <c r="I429" s="183">
        <v>0</v>
      </c>
      <c r="J429" s="263">
        <f t="shared" ca="1" si="68"/>
        <v>36306.707774034367</v>
      </c>
      <c r="K429" s="182">
        <f t="shared" ca="1" si="70"/>
        <v>70</v>
      </c>
      <c r="L429" s="182">
        <f t="shared" ca="1" si="71"/>
        <v>9706.7077740343611</v>
      </c>
      <c r="M429" s="182">
        <f t="shared" ca="1" si="72"/>
        <v>8400</v>
      </c>
      <c r="N429" s="182">
        <f t="shared" ca="1" si="73"/>
        <v>38756.70777403425</v>
      </c>
      <c r="O429" s="182"/>
    </row>
    <row r="430" spans="1:15" x14ac:dyDescent="0.25">
      <c r="A430" s="180">
        <f t="shared" ca="1" si="74"/>
        <v>46520</v>
      </c>
      <c r="B430" s="181">
        <v>416</v>
      </c>
      <c r="C430" s="182">
        <f t="shared" ca="1" si="75"/>
        <v>36306.707774034367</v>
      </c>
      <c r="D430" s="182">
        <f t="shared" ca="1" si="76"/>
        <v>24.204471849356242</v>
      </c>
      <c r="E430" s="182">
        <v>0</v>
      </c>
      <c r="F430" s="182">
        <f t="shared" ca="1" si="69"/>
        <v>0</v>
      </c>
      <c r="G430" s="182">
        <f t="shared" ca="1" si="77"/>
        <v>0</v>
      </c>
      <c r="H430" s="182">
        <f t="shared" ca="1" si="78"/>
        <v>36330.912245883723</v>
      </c>
      <c r="I430" s="183">
        <v>0</v>
      </c>
      <c r="J430" s="263">
        <f t="shared" ca="1" si="68"/>
        <v>36330.912245883723</v>
      </c>
      <c r="K430" s="182">
        <f t="shared" ca="1" si="70"/>
        <v>70</v>
      </c>
      <c r="L430" s="182">
        <f t="shared" ca="1" si="71"/>
        <v>9730.9122458837173</v>
      </c>
      <c r="M430" s="182">
        <f t="shared" ca="1" si="72"/>
        <v>8400</v>
      </c>
      <c r="N430" s="182">
        <f t="shared" ca="1" si="73"/>
        <v>38850.912245883606</v>
      </c>
      <c r="O430" s="182"/>
    </row>
    <row r="431" spans="1:15" x14ac:dyDescent="0.25">
      <c r="A431" s="180">
        <f t="shared" ca="1" si="74"/>
        <v>46521</v>
      </c>
      <c r="B431" s="181">
        <v>417</v>
      </c>
      <c r="C431" s="182">
        <f t="shared" ca="1" si="75"/>
        <v>36330.912245883723</v>
      </c>
      <c r="D431" s="182">
        <f t="shared" ca="1" si="76"/>
        <v>24.220608163922481</v>
      </c>
      <c r="E431" s="182">
        <v>0</v>
      </c>
      <c r="F431" s="182">
        <f t="shared" ca="1" si="69"/>
        <v>0</v>
      </c>
      <c r="G431" s="182">
        <f t="shared" ca="1" si="77"/>
        <v>0</v>
      </c>
      <c r="H431" s="182">
        <f t="shared" ca="1" si="78"/>
        <v>36355.132854047646</v>
      </c>
      <c r="I431" s="183">
        <v>0</v>
      </c>
      <c r="J431" s="263">
        <f t="shared" ca="1" si="68"/>
        <v>36355.132854047646</v>
      </c>
      <c r="K431" s="182">
        <f t="shared" ca="1" si="70"/>
        <v>70</v>
      </c>
      <c r="L431" s="182">
        <f t="shared" ca="1" si="71"/>
        <v>9755.1328540476406</v>
      </c>
      <c r="M431" s="182">
        <f t="shared" ca="1" si="72"/>
        <v>8400</v>
      </c>
      <c r="N431" s="182">
        <f t="shared" ca="1" si="73"/>
        <v>38945.13285404753</v>
      </c>
      <c r="O431" s="182"/>
    </row>
    <row r="432" spans="1:15" x14ac:dyDescent="0.25">
      <c r="A432" s="180">
        <f t="shared" ca="1" si="74"/>
        <v>46522</v>
      </c>
      <c r="B432" s="181">
        <v>418</v>
      </c>
      <c r="C432" s="182">
        <f t="shared" ca="1" si="75"/>
        <v>36355.132854047646</v>
      </c>
      <c r="D432" s="182">
        <f t="shared" ca="1" si="76"/>
        <v>24.236755236031762</v>
      </c>
      <c r="E432" s="182">
        <v>0</v>
      </c>
      <c r="F432" s="182">
        <f t="shared" ca="1" si="69"/>
        <v>0</v>
      </c>
      <c r="G432" s="182">
        <f t="shared" ca="1" si="77"/>
        <v>0</v>
      </c>
      <c r="H432" s="182">
        <f t="shared" ca="1" si="78"/>
        <v>36379.369609283676</v>
      </c>
      <c r="I432" s="183">
        <v>0</v>
      </c>
      <c r="J432" s="263">
        <f t="shared" ca="1" si="68"/>
        <v>36379.369609283676</v>
      </c>
      <c r="K432" s="182">
        <f t="shared" ca="1" si="70"/>
        <v>70</v>
      </c>
      <c r="L432" s="182">
        <f t="shared" ca="1" si="71"/>
        <v>9779.3696092836726</v>
      </c>
      <c r="M432" s="182">
        <f t="shared" ca="1" si="72"/>
        <v>8400</v>
      </c>
      <c r="N432" s="182">
        <f t="shared" ca="1" si="73"/>
        <v>39039.36960928356</v>
      </c>
      <c r="O432" s="182"/>
    </row>
    <row r="433" spans="1:19" x14ac:dyDescent="0.25">
      <c r="A433" s="180">
        <f t="shared" ca="1" si="74"/>
        <v>46523</v>
      </c>
      <c r="B433" s="181">
        <v>419</v>
      </c>
      <c r="C433" s="182">
        <f t="shared" ca="1" si="75"/>
        <v>36379.369609283676</v>
      </c>
      <c r="D433" s="182">
        <f t="shared" ca="1" si="76"/>
        <v>24.252913072855783</v>
      </c>
      <c r="E433" s="182">
        <v>0</v>
      </c>
      <c r="F433" s="182">
        <f t="shared" ca="1" si="69"/>
        <v>0</v>
      </c>
      <c r="G433" s="182">
        <f t="shared" ca="1" si="77"/>
        <v>0</v>
      </c>
      <c r="H433" s="182">
        <f t="shared" ca="1" si="78"/>
        <v>36403.622522356534</v>
      </c>
      <c r="I433" s="183">
        <v>0</v>
      </c>
      <c r="J433" s="263">
        <f t="shared" ca="1" si="68"/>
        <v>36403.622522356534</v>
      </c>
      <c r="K433" s="182">
        <f t="shared" ca="1" si="70"/>
        <v>70</v>
      </c>
      <c r="L433" s="182">
        <f t="shared" ca="1" si="71"/>
        <v>9803.6225223565289</v>
      </c>
      <c r="M433" s="182">
        <f t="shared" ca="1" si="72"/>
        <v>8400</v>
      </c>
      <c r="N433" s="182">
        <f t="shared" ca="1" si="73"/>
        <v>39133.622522356418</v>
      </c>
      <c r="O433" s="182"/>
    </row>
    <row r="434" spans="1:19" x14ac:dyDescent="0.25">
      <c r="A434" s="180">
        <f t="shared" ca="1" si="74"/>
        <v>46524</v>
      </c>
      <c r="B434" s="181">
        <v>420</v>
      </c>
      <c r="C434" s="182">
        <f t="shared" ca="1" si="75"/>
        <v>36403.622522356534</v>
      </c>
      <c r="D434" s="182">
        <f t="shared" ca="1" si="76"/>
        <v>24.269081681571024</v>
      </c>
      <c r="E434" s="182">
        <v>0</v>
      </c>
      <c r="F434" s="182">
        <f t="shared" ca="1" si="69"/>
        <v>0</v>
      </c>
      <c r="G434" s="182">
        <f t="shared" ca="1" si="77"/>
        <v>0</v>
      </c>
      <c r="H434" s="182">
        <f t="shared" ca="1" si="78"/>
        <v>36427.891604038108</v>
      </c>
      <c r="I434" s="183">
        <v>0</v>
      </c>
      <c r="J434" s="263">
        <f t="shared" ca="1" si="68"/>
        <v>36427.891604038108</v>
      </c>
      <c r="K434" s="182">
        <f t="shared" ca="1" si="70"/>
        <v>70</v>
      </c>
      <c r="L434" s="182">
        <f t="shared" ca="1" si="71"/>
        <v>9827.8916040380991</v>
      </c>
      <c r="M434" s="182">
        <f t="shared" ca="1" si="72"/>
        <v>8400</v>
      </c>
      <c r="N434" s="182">
        <f t="shared" ca="1" si="73"/>
        <v>39227.891604037992</v>
      </c>
      <c r="O434" s="182"/>
    </row>
    <row r="435" spans="1:19" x14ac:dyDescent="0.25">
      <c r="A435" s="180">
        <f t="shared" ca="1" si="74"/>
        <v>46525</v>
      </c>
      <c r="B435" s="181">
        <v>421</v>
      </c>
      <c r="C435" s="182">
        <f t="shared" ca="1" si="75"/>
        <v>36427.891604038108</v>
      </c>
      <c r="D435" s="182">
        <f t="shared" ca="1" si="76"/>
        <v>24.285261069358739</v>
      </c>
      <c r="E435" s="182">
        <v>0</v>
      </c>
      <c r="F435" s="182">
        <f t="shared" ca="1" si="69"/>
        <v>0</v>
      </c>
      <c r="G435" s="182">
        <f t="shared" ca="1" si="77"/>
        <v>0</v>
      </c>
      <c r="H435" s="182">
        <f t="shared" ca="1" si="78"/>
        <v>36452.176865107467</v>
      </c>
      <c r="I435" s="183">
        <v>0</v>
      </c>
      <c r="J435" s="263">
        <f t="shared" ca="1" si="68"/>
        <v>36452.176865107467</v>
      </c>
      <c r="K435" s="182">
        <f t="shared" ca="1" si="70"/>
        <v>70</v>
      </c>
      <c r="L435" s="182">
        <f t="shared" ca="1" si="71"/>
        <v>9852.1768651074581</v>
      </c>
      <c r="M435" s="182">
        <f t="shared" ca="1" si="72"/>
        <v>8400</v>
      </c>
      <c r="N435" s="182">
        <f t="shared" ca="1" si="73"/>
        <v>39322.176865107351</v>
      </c>
      <c r="O435" s="182"/>
    </row>
    <row r="436" spans="1:19" x14ac:dyDescent="0.25">
      <c r="A436" s="180">
        <f t="shared" ca="1" si="74"/>
        <v>46526</v>
      </c>
      <c r="B436" s="181">
        <v>422</v>
      </c>
      <c r="C436" s="182">
        <f t="shared" ca="1" si="75"/>
        <v>36452.176865107467</v>
      </c>
      <c r="D436" s="182">
        <f t="shared" ca="1" si="76"/>
        <v>24.301451243404976</v>
      </c>
      <c r="E436" s="182">
        <v>0</v>
      </c>
      <c r="F436" s="182">
        <f t="shared" ca="1" si="69"/>
        <v>0</v>
      </c>
      <c r="G436" s="182">
        <f t="shared" ca="1" si="77"/>
        <v>0</v>
      </c>
      <c r="H436" s="182">
        <f t="shared" ca="1" si="78"/>
        <v>36476.478316350869</v>
      </c>
      <c r="I436" s="183">
        <v>0</v>
      </c>
      <c r="J436" s="263">
        <f t="shared" ca="1" si="68"/>
        <v>36476.478316350869</v>
      </c>
      <c r="K436" s="182">
        <f t="shared" ca="1" si="70"/>
        <v>70</v>
      </c>
      <c r="L436" s="182">
        <f t="shared" ca="1" si="71"/>
        <v>9876.4783163508637</v>
      </c>
      <c r="M436" s="182">
        <f t="shared" ca="1" si="72"/>
        <v>8400</v>
      </c>
      <c r="N436" s="182">
        <f t="shared" ca="1" si="73"/>
        <v>39416.478316350753</v>
      </c>
      <c r="O436" s="182"/>
    </row>
    <row r="437" spans="1:19" x14ac:dyDescent="0.25">
      <c r="A437" s="180">
        <f t="shared" ca="1" si="74"/>
        <v>46527</v>
      </c>
      <c r="B437" s="181">
        <v>423</v>
      </c>
      <c r="C437" s="182">
        <f t="shared" ca="1" si="75"/>
        <v>36476.478316350869</v>
      </c>
      <c r="D437" s="182">
        <f t="shared" ca="1" si="76"/>
        <v>24.317652210900579</v>
      </c>
      <c r="E437" s="182">
        <v>0</v>
      </c>
      <c r="F437" s="182">
        <f t="shared" ca="1" si="69"/>
        <v>0</v>
      </c>
      <c r="G437" s="182">
        <f t="shared" ca="1" si="77"/>
        <v>0</v>
      </c>
      <c r="H437" s="182">
        <f t="shared" ca="1" si="78"/>
        <v>36500.795968561768</v>
      </c>
      <c r="I437" s="183">
        <v>0</v>
      </c>
      <c r="J437" s="263">
        <f t="shared" ca="1" si="68"/>
        <v>36500.795968561768</v>
      </c>
      <c r="K437" s="182">
        <f t="shared" ca="1" si="70"/>
        <v>70</v>
      </c>
      <c r="L437" s="182">
        <f t="shared" ca="1" si="71"/>
        <v>9900.7959685617643</v>
      </c>
      <c r="M437" s="182">
        <f t="shared" ca="1" si="72"/>
        <v>8400</v>
      </c>
      <c r="N437" s="182">
        <f t="shared" ca="1" si="73"/>
        <v>39510.795968561652</v>
      </c>
      <c r="O437" s="182"/>
    </row>
    <row r="438" spans="1:19" x14ac:dyDescent="0.25">
      <c r="A438" s="180">
        <f t="shared" ca="1" si="74"/>
        <v>46528</v>
      </c>
      <c r="B438" s="181">
        <v>424</v>
      </c>
      <c r="C438" s="182">
        <f t="shared" ca="1" si="75"/>
        <v>36500.795968561768</v>
      </c>
      <c r="D438" s="182">
        <f t="shared" ca="1" si="76"/>
        <v>24.333863979041176</v>
      </c>
      <c r="E438" s="182">
        <v>0</v>
      </c>
      <c r="F438" s="182">
        <f t="shared" ca="1" si="69"/>
        <v>0</v>
      </c>
      <c r="G438" s="182">
        <f t="shared" ca="1" si="77"/>
        <v>0</v>
      </c>
      <c r="H438" s="182">
        <f t="shared" ca="1" si="78"/>
        <v>36525.129832540806</v>
      </c>
      <c r="I438" s="183">
        <v>0</v>
      </c>
      <c r="J438" s="263">
        <f t="shared" ca="1" si="68"/>
        <v>36525.129832540806</v>
      </c>
      <c r="K438" s="182">
        <f t="shared" ca="1" si="70"/>
        <v>70</v>
      </c>
      <c r="L438" s="182">
        <f t="shared" ca="1" si="71"/>
        <v>9925.1298325408061</v>
      </c>
      <c r="M438" s="182">
        <f t="shared" ca="1" si="72"/>
        <v>8400</v>
      </c>
      <c r="N438" s="182">
        <f t="shared" ca="1" si="73"/>
        <v>39605.12983254069</v>
      </c>
      <c r="O438" s="182"/>
    </row>
    <row r="439" spans="1:19" x14ac:dyDescent="0.25">
      <c r="A439" s="180">
        <f t="shared" ca="1" si="74"/>
        <v>46529</v>
      </c>
      <c r="B439" s="181">
        <v>425</v>
      </c>
      <c r="C439" s="182">
        <f t="shared" ca="1" si="75"/>
        <v>36525.129832540806</v>
      </c>
      <c r="D439" s="182">
        <f t="shared" ca="1" si="76"/>
        <v>24.350086555027204</v>
      </c>
      <c r="E439" s="182">
        <v>0</v>
      </c>
      <c r="F439" s="182">
        <f t="shared" ca="1" si="69"/>
        <v>0</v>
      </c>
      <c r="G439" s="182">
        <f t="shared" ca="1" si="77"/>
        <v>0</v>
      </c>
      <c r="H439" s="182">
        <f t="shared" ca="1" si="78"/>
        <v>36549.479919095837</v>
      </c>
      <c r="I439" s="183">
        <v>0</v>
      </c>
      <c r="J439" s="263">
        <f t="shared" ca="1" si="68"/>
        <v>36549.479919095837</v>
      </c>
      <c r="K439" s="182">
        <f t="shared" ca="1" si="70"/>
        <v>70</v>
      </c>
      <c r="L439" s="182">
        <f t="shared" ca="1" si="71"/>
        <v>9949.4799190958329</v>
      </c>
      <c r="M439" s="182">
        <f t="shared" ca="1" si="72"/>
        <v>8400</v>
      </c>
      <c r="N439" s="182">
        <f t="shared" ca="1" si="73"/>
        <v>39699.47991909572</v>
      </c>
      <c r="O439" s="182"/>
    </row>
    <row r="440" spans="1:19" x14ac:dyDescent="0.25">
      <c r="A440" s="180">
        <f t="shared" ca="1" si="74"/>
        <v>46530</v>
      </c>
      <c r="B440" s="181">
        <v>426</v>
      </c>
      <c r="C440" s="182">
        <f t="shared" ca="1" si="75"/>
        <v>36549.479919095837</v>
      </c>
      <c r="D440" s="182">
        <f t="shared" ca="1" si="76"/>
        <v>24.366319946063889</v>
      </c>
      <c r="E440" s="182">
        <v>0</v>
      </c>
      <c r="F440" s="182">
        <f t="shared" ca="1" si="69"/>
        <v>0</v>
      </c>
      <c r="G440" s="182">
        <f t="shared" ca="1" si="77"/>
        <v>0</v>
      </c>
      <c r="H440" s="182">
        <f t="shared" ca="1" si="78"/>
        <v>36573.846239041901</v>
      </c>
      <c r="I440" s="183">
        <v>0</v>
      </c>
      <c r="J440" s="263">
        <f t="shared" ca="1" si="68"/>
        <v>36573.846239041901</v>
      </c>
      <c r="K440" s="182">
        <f t="shared" ca="1" si="70"/>
        <v>70</v>
      </c>
      <c r="L440" s="182">
        <f t="shared" ca="1" si="71"/>
        <v>9973.8462390418972</v>
      </c>
      <c r="M440" s="182">
        <f t="shared" ca="1" si="72"/>
        <v>8400</v>
      </c>
      <c r="N440" s="182">
        <f t="shared" ca="1" si="73"/>
        <v>39793.846239041784</v>
      </c>
      <c r="O440" s="182"/>
    </row>
    <row r="441" spans="1:19" x14ac:dyDescent="0.25">
      <c r="A441" s="180">
        <f t="shared" ca="1" si="74"/>
        <v>46531</v>
      </c>
      <c r="B441" s="181">
        <v>427</v>
      </c>
      <c r="C441" s="182">
        <f t="shared" ca="1" si="75"/>
        <v>36573.846239041901</v>
      </c>
      <c r="D441" s="182">
        <f t="shared" ca="1" si="76"/>
        <v>24.382564159361266</v>
      </c>
      <c r="E441" s="182">
        <v>0</v>
      </c>
      <c r="F441" s="182">
        <f t="shared" ca="1" si="69"/>
        <v>0</v>
      </c>
      <c r="G441" s="182">
        <f t="shared" ca="1" si="77"/>
        <v>0</v>
      </c>
      <c r="H441" s="182">
        <f t="shared" ca="1" si="78"/>
        <v>36598.228803201266</v>
      </c>
      <c r="I441" s="183">
        <v>0</v>
      </c>
      <c r="J441" s="263">
        <f t="shared" ca="1" si="68"/>
        <v>36598.228803201266</v>
      </c>
      <c r="K441" s="182">
        <f t="shared" ca="1" si="70"/>
        <v>70</v>
      </c>
      <c r="L441" s="182">
        <f t="shared" ca="1" si="71"/>
        <v>9998.2288032012584</v>
      </c>
      <c r="M441" s="182">
        <f t="shared" ca="1" si="72"/>
        <v>8400</v>
      </c>
      <c r="N441" s="182">
        <f t="shared" ca="1" si="73"/>
        <v>39888.228803201149</v>
      </c>
      <c r="O441" s="182"/>
    </row>
    <row r="442" spans="1:19" x14ac:dyDescent="0.25">
      <c r="A442" s="180">
        <f t="shared" ca="1" si="74"/>
        <v>46532</v>
      </c>
      <c r="B442" s="181">
        <v>428</v>
      </c>
      <c r="C442" s="182">
        <f t="shared" ca="1" si="75"/>
        <v>36598.228803201266</v>
      </c>
      <c r="D442" s="182">
        <f t="shared" ca="1" si="76"/>
        <v>24.398819202134177</v>
      </c>
      <c r="E442" s="182">
        <v>0</v>
      </c>
      <c r="F442" s="182">
        <f t="shared" ca="1" si="69"/>
        <v>0</v>
      </c>
      <c r="G442" s="182">
        <f t="shared" ca="1" si="77"/>
        <v>0</v>
      </c>
      <c r="H442" s="182">
        <f t="shared" ca="1" si="78"/>
        <v>36622.627622403401</v>
      </c>
      <c r="I442" s="183">
        <v>0</v>
      </c>
      <c r="J442" s="263">
        <f t="shared" ca="1" si="68"/>
        <v>36622.627622403401</v>
      </c>
      <c r="K442" s="182">
        <f t="shared" ca="1" si="70"/>
        <v>70</v>
      </c>
      <c r="L442" s="182">
        <f t="shared" ca="1" si="71"/>
        <v>10022.627622403392</v>
      </c>
      <c r="M442" s="182">
        <f t="shared" ca="1" si="72"/>
        <v>8400</v>
      </c>
      <c r="N442" s="182">
        <f t="shared" ca="1" si="73"/>
        <v>39982.627622403284</v>
      </c>
      <c r="O442" s="182"/>
    </row>
    <row r="443" spans="1:19" x14ac:dyDescent="0.25">
      <c r="A443" s="180">
        <f t="shared" ca="1" si="74"/>
        <v>46533</v>
      </c>
      <c r="B443" s="181">
        <v>429</v>
      </c>
      <c r="C443" s="182">
        <f t="shared" ca="1" si="75"/>
        <v>36622.627622403401</v>
      </c>
      <c r="D443" s="182">
        <f t="shared" ca="1" si="76"/>
        <v>24.415085081602268</v>
      </c>
      <c r="E443" s="182">
        <v>0</v>
      </c>
      <c r="F443" s="182">
        <f t="shared" ca="1" si="69"/>
        <v>0</v>
      </c>
      <c r="G443" s="182">
        <f t="shared" ca="1" si="77"/>
        <v>0</v>
      </c>
      <c r="H443" s="182">
        <f t="shared" ca="1" si="78"/>
        <v>36647.042707485001</v>
      </c>
      <c r="I443" s="183">
        <v>0</v>
      </c>
      <c r="J443" s="263">
        <f t="shared" ca="1" si="68"/>
        <v>36647.042707485001</v>
      </c>
      <c r="K443" s="182">
        <f t="shared" ca="1" si="70"/>
        <v>70</v>
      </c>
      <c r="L443" s="182">
        <f t="shared" ca="1" si="71"/>
        <v>10047.042707484994</v>
      </c>
      <c r="M443" s="182">
        <f t="shared" ca="1" si="72"/>
        <v>8400</v>
      </c>
      <c r="N443" s="182">
        <f t="shared" ca="1" si="73"/>
        <v>40077.042707484885</v>
      </c>
      <c r="O443" s="182"/>
    </row>
    <row r="444" spans="1:19" ht="18.75" x14ac:dyDescent="0.3">
      <c r="A444" s="180">
        <f t="shared" ca="1" si="74"/>
        <v>46534</v>
      </c>
      <c r="B444" s="181">
        <v>430</v>
      </c>
      <c r="C444" s="182">
        <f t="shared" ca="1" si="75"/>
        <v>36647.042707485001</v>
      </c>
      <c r="D444" s="182">
        <f t="shared" ca="1" si="76"/>
        <v>24.431361804990001</v>
      </c>
      <c r="E444" s="182">
        <v>0</v>
      </c>
      <c r="F444" s="182">
        <f t="shared" ca="1" si="69"/>
        <v>0</v>
      </c>
      <c r="G444" s="182">
        <f t="shared" ca="1" si="77"/>
        <v>0</v>
      </c>
      <c r="H444" s="182">
        <f t="shared" ca="1" si="78"/>
        <v>36671.474069289994</v>
      </c>
      <c r="I444" s="183">
        <v>0</v>
      </c>
      <c r="J444" s="263">
        <f t="shared" ca="1" si="68"/>
        <v>36671.474069289994</v>
      </c>
      <c r="K444" s="182">
        <f t="shared" ca="1" si="70"/>
        <v>70</v>
      </c>
      <c r="L444" s="182">
        <f t="shared" ca="1" si="71"/>
        <v>10071.474069289983</v>
      </c>
      <c r="M444" s="182">
        <f t="shared" ca="1" si="72"/>
        <v>8400</v>
      </c>
      <c r="N444" s="182">
        <f t="shared" ca="1" si="73"/>
        <v>40171.474069289878</v>
      </c>
      <c r="O444" s="182"/>
      <c r="Q444" s="719"/>
      <c r="R444" s="719"/>
      <c r="S444" s="719"/>
    </row>
    <row r="445" spans="1:19" x14ac:dyDescent="0.25">
      <c r="A445" s="180">
        <f t="shared" ca="1" si="74"/>
        <v>46535</v>
      </c>
      <c r="B445" s="181">
        <v>431</v>
      </c>
      <c r="C445" s="182">
        <f t="shared" ca="1" si="75"/>
        <v>36671.474069289994</v>
      </c>
      <c r="D445" s="182">
        <f t="shared" ca="1" si="76"/>
        <v>24.447649379526663</v>
      </c>
      <c r="E445" s="182">
        <v>0</v>
      </c>
      <c r="F445" s="182">
        <f t="shared" ca="1" si="69"/>
        <v>0</v>
      </c>
      <c r="G445" s="182">
        <f t="shared" ca="1" si="77"/>
        <v>0</v>
      </c>
      <c r="H445" s="182">
        <f t="shared" ca="1" si="78"/>
        <v>36695.921718669524</v>
      </c>
      <c r="I445" s="183">
        <v>0</v>
      </c>
      <c r="J445" s="263">
        <f t="shared" ca="1" si="68"/>
        <v>36695.921718669524</v>
      </c>
      <c r="K445" s="182">
        <f t="shared" ca="1" si="70"/>
        <v>70</v>
      </c>
      <c r="L445" s="182">
        <f t="shared" ca="1" si="71"/>
        <v>10095.92171866951</v>
      </c>
      <c r="M445" s="182">
        <f t="shared" ca="1" si="72"/>
        <v>8400</v>
      </c>
      <c r="N445" s="182">
        <f t="shared" ca="1" si="73"/>
        <v>40265.921718669408</v>
      </c>
      <c r="O445" s="182"/>
      <c r="Q445" s="103"/>
      <c r="R445" s="103"/>
      <c r="S445" s="103"/>
    </row>
    <row r="446" spans="1:19" x14ac:dyDescent="0.25">
      <c r="A446" s="180">
        <f t="shared" ca="1" si="74"/>
        <v>46536</v>
      </c>
      <c r="B446" s="181">
        <v>432</v>
      </c>
      <c r="C446" s="182">
        <f t="shared" ca="1" si="75"/>
        <v>36695.921718669524</v>
      </c>
      <c r="D446" s="182">
        <f t="shared" ca="1" si="76"/>
        <v>24.463947812446349</v>
      </c>
      <c r="E446" s="182">
        <v>0</v>
      </c>
      <c r="F446" s="182">
        <f t="shared" ca="1" si="69"/>
        <v>0</v>
      </c>
      <c r="G446" s="182">
        <f t="shared" ca="1" si="77"/>
        <v>0</v>
      </c>
      <c r="H446" s="182">
        <f t="shared" ca="1" si="78"/>
        <v>36720.385666481969</v>
      </c>
      <c r="I446" s="183">
        <v>0</v>
      </c>
      <c r="J446" s="263">
        <f t="shared" ca="1" si="68"/>
        <v>36720.385666481969</v>
      </c>
      <c r="K446" s="182">
        <f t="shared" ca="1" si="70"/>
        <v>70</v>
      </c>
      <c r="L446" s="182">
        <f t="shared" ca="1" si="71"/>
        <v>10120.385666481956</v>
      </c>
      <c r="M446" s="182">
        <f t="shared" ca="1" si="72"/>
        <v>8400</v>
      </c>
      <c r="N446" s="182">
        <f t="shared" ca="1" si="73"/>
        <v>40360.385666481852</v>
      </c>
      <c r="O446" s="182"/>
      <c r="Q446" s="116"/>
      <c r="R446" s="116"/>
      <c r="S446" s="116"/>
    </row>
    <row r="447" spans="1:19" x14ac:dyDescent="0.25">
      <c r="A447" s="180">
        <f t="shared" ca="1" si="74"/>
        <v>46537</v>
      </c>
      <c r="B447" s="181">
        <v>433</v>
      </c>
      <c r="C447" s="182">
        <f t="shared" ca="1" si="75"/>
        <v>36720.385666481969</v>
      </c>
      <c r="D447" s="182">
        <f t="shared" ca="1" si="76"/>
        <v>24.480257110987978</v>
      </c>
      <c r="E447" s="182">
        <v>0</v>
      </c>
      <c r="F447" s="182">
        <f t="shared" ca="1" si="69"/>
        <v>0</v>
      </c>
      <c r="G447" s="182">
        <f t="shared" ca="1" si="77"/>
        <v>0</v>
      </c>
      <c r="H447" s="182">
        <f t="shared" ca="1" si="78"/>
        <v>36744.865923592959</v>
      </c>
      <c r="I447" s="183">
        <v>0</v>
      </c>
      <c r="J447" s="263">
        <f t="shared" ca="1" si="68"/>
        <v>36744.865923592959</v>
      </c>
      <c r="K447" s="182">
        <f t="shared" ca="1" si="70"/>
        <v>70</v>
      </c>
      <c r="L447" s="182">
        <f t="shared" ca="1" si="71"/>
        <v>10144.865923592944</v>
      </c>
      <c r="M447" s="182">
        <f t="shared" ca="1" si="72"/>
        <v>8400</v>
      </c>
      <c r="N447" s="182">
        <f t="shared" ca="1" si="73"/>
        <v>40454.865923592843</v>
      </c>
      <c r="O447" s="182"/>
    </row>
    <row r="448" spans="1:19" x14ac:dyDescent="0.25">
      <c r="A448" s="180">
        <f t="shared" ca="1" si="74"/>
        <v>46538</v>
      </c>
      <c r="B448" s="181">
        <v>434</v>
      </c>
      <c r="C448" s="182">
        <f t="shared" ca="1" si="75"/>
        <v>36744.865923592959</v>
      </c>
      <c r="D448" s="182">
        <f t="shared" ca="1" si="76"/>
        <v>24.496577282395304</v>
      </c>
      <c r="E448" s="182">
        <v>0</v>
      </c>
      <c r="F448" s="182">
        <f t="shared" ca="1" si="69"/>
        <v>0</v>
      </c>
      <c r="G448" s="182">
        <f t="shared" ca="1" si="77"/>
        <v>0</v>
      </c>
      <c r="H448" s="182">
        <f t="shared" ca="1" si="78"/>
        <v>36769.362500875352</v>
      </c>
      <c r="I448" s="183">
        <v>0</v>
      </c>
      <c r="J448" s="263">
        <f t="shared" ca="1" si="68"/>
        <v>36769.362500875352</v>
      </c>
      <c r="K448" s="182">
        <f t="shared" ca="1" si="70"/>
        <v>70</v>
      </c>
      <c r="L448" s="182">
        <f t="shared" ca="1" si="71"/>
        <v>10169.362500875341</v>
      </c>
      <c r="M448" s="182">
        <f t="shared" ca="1" si="72"/>
        <v>8400</v>
      </c>
      <c r="N448" s="182">
        <f t="shared" ca="1" si="73"/>
        <v>40549.362500875235</v>
      </c>
      <c r="O448" s="182"/>
    </row>
    <row r="449" spans="1:15" x14ac:dyDescent="0.25">
      <c r="A449" s="180">
        <f t="shared" ca="1" si="74"/>
        <v>46539</v>
      </c>
      <c r="B449" s="181">
        <v>435</v>
      </c>
      <c r="C449" s="182">
        <f t="shared" ca="1" si="75"/>
        <v>36769.362500875352</v>
      </c>
      <c r="D449" s="182">
        <f t="shared" ca="1" si="76"/>
        <v>24.512908333916901</v>
      </c>
      <c r="E449" s="182">
        <v>0</v>
      </c>
      <c r="F449" s="182">
        <f t="shared" ca="1" si="69"/>
        <v>0</v>
      </c>
      <c r="G449" s="182">
        <f t="shared" ca="1" si="77"/>
        <v>0</v>
      </c>
      <c r="H449" s="182">
        <f t="shared" ca="1" si="78"/>
        <v>36793.875409209271</v>
      </c>
      <c r="I449" s="183">
        <v>0</v>
      </c>
      <c r="J449" s="263">
        <f t="shared" ca="1" si="68"/>
        <v>36793.875409209271</v>
      </c>
      <c r="K449" s="182">
        <f t="shared" ca="1" si="70"/>
        <v>70</v>
      </c>
      <c r="L449" s="182">
        <f t="shared" ca="1" si="71"/>
        <v>10193.875409209257</v>
      </c>
      <c r="M449" s="182">
        <f t="shared" ca="1" si="72"/>
        <v>8400</v>
      </c>
      <c r="N449" s="182">
        <f t="shared" ca="1" si="73"/>
        <v>40643.875409209155</v>
      </c>
      <c r="O449" s="182"/>
    </row>
    <row r="450" spans="1:15" x14ac:dyDescent="0.25">
      <c r="A450" s="180">
        <f t="shared" ca="1" si="74"/>
        <v>46540</v>
      </c>
      <c r="B450" s="181">
        <v>436</v>
      </c>
      <c r="C450" s="182">
        <f t="shared" ca="1" si="75"/>
        <v>36793.875409209271</v>
      </c>
      <c r="D450" s="182">
        <f t="shared" ca="1" si="76"/>
        <v>24.529250272806181</v>
      </c>
      <c r="E450" s="182">
        <v>0</v>
      </c>
      <c r="F450" s="182">
        <f t="shared" ca="1" si="69"/>
        <v>0</v>
      </c>
      <c r="G450" s="182">
        <f t="shared" ca="1" si="77"/>
        <v>0</v>
      </c>
      <c r="H450" s="182">
        <f t="shared" ca="1" si="78"/>
        <v>36818.404659482076</v>
      </c>
      <c r="I450" s="183">
        <v>0</v>
      </c>
      <c r="J450" s="263">
        <f t="shared" ca="1" si="68"/>
        <v>36818.404659482076</v>
      </c>
      <c r="K450" s="182">
        <f t="shared" ca="1" si="70"/>
        <v>70</v>
      </c>
      <c r="L450" s="182">
        <f t="shared" ca="1" si="71"/>
        <v>10218.404659482063</v>
      </c>
      <c r="M450" s="182">
        <f t="shared" ca="1" si="72"/>
        <v>8400</v>
      </c>
      <c r="N450" s="182">
        <f t="shared" ca="1" si="73"/>
        <v>40738.404659481959</v>
      </c>
      <c r="O450" s="182"/>
    </row>
    <row r="451" spans="1:15" x14ac:dyDescent="0.25">
      <c r="A451" s="180">
        <f t="shared" ca="1" si="74"/>
        <v>46541</v>
      </c>
      <c r="B451" s="181">
        <v>437</v>
      </c>
      <c r="C451" s="182">
        <f t="shared" ca="1" si="75"/>
        <v>36818.404659482076</v>
      </c>
      <c r="D451" s="182">
        <f t="shared" ca="1" si="76"/>
        <v>24.545603106321384</v>
      </c>
      <c r="E451" s="182">
        <v>0</v>
      </c>
      <c r="F451" s="182">
        <f t="shared" ca="1" si="69"/>
        <v>0</v>
      </c>
      <c r="G451" s="182">
        <f t="shared" ca="1" si="77"/>
        <v>0</v>
      </c>
      <c r="H451" s="182">
        <f t="shared" ca="1" si="78"/>
        <v>36842.950262588398</v>
      </c>
      <c r="I451" s="183">
        <v>0</v>
      </c>
      <c r="J451" s="263">
        <f t="shared" ca="1" si="68"/>
        <v>36842.950262588398</v>
      </c>
      <c r="K451" s="182">
        <f t="shared" ca="1" si="70"/>
        <v>70</v>
      </c>
      <c r="L451" s="182">
        <f t="shared" ca="1" si="71"/>
        <v>10242.950262588385</v>
      </c>
      <c r="M451" s="182">
        <f t="shared" ca="1" si="72"/>
        <v>8400</v>
      </c>
      <c r="N451" s="182">
        <f t="shared" ca="1" si="73"/>
        <v>40832.950262588281</v>
      </c>
      <c r="O451" s="182"/>
    </row>
    <row r="452" spans="1:15" x14ac:dyDescent="0.25">
      <c r="A452" s="180">
        <f t="shared" ca="1" si="74"/>
        <v>46542</v>
      </c>
      <c r="B452" s="181">
        <v>438</v>
      </c>
      <c r="C452" s="182">
        <f t="shared" ca="1" si="75"/>
        <v>36842.950262588398</v>
      </c>
      <c r="D452" s="182">
        <f t="shared" ca="1" si="76"/>
        <v>24.561966841725599</v>
      </c>
      <c r="E452" s="182">
        <v>0</v>
      </c>
      <c r="F452" s="182">
        <f t="shared" ca="1" si="69"/>
        <v>0</v>
      </c>
      <c r="G452" s="182">
        <f t="shared" ca="1" si="77"/>
        <v>0</v>
      </c>
      <c r="H452" s="182">
        <f t="shared" ca="1" si="78"/>
        <v>36867.512229430125</v>
      </c>
      <c r="I452" s="183">
        <v>0</v>
      </c>
      <c r="J452" s="263">
        <f t="shared" ca="1" si="68"/>
        <v>36867.512229430125</v>
      </c>
      <c r="K452" s="182">
        <f t="shared" ca="1" si="70"/>
        <v>70</v>
      </c>
      <c r="L452" s="182">
        <f t="shared" ca="1" si="71"/>
        <v>10267.512229430111</v>
      </c>
      <c r="M452" s="182">
        <f t="shared" ca="1" si="72"/>
        <v>8400</v>
      </c>
      <c r="N452" s="182">
        <f t="shared" ca="1" si="73"/>
        <v>40927.512229430009</v>
      </c>
      <c r="O452" s="182"/>
    </row>
    <row r="453" spans="1:15" x14ac:dyDescent="0.25">
      <c r="A453" s="180">
        <f t="shared" ca="1" si="74"/>
        <v>46543</v>
      </c>
      <c r="B453" s="181">
        <v>439</v>
      </c>
      <c r="C453" s="182">
        <f t="shared" ca="1" si="75"/>
        <v>36867.512229430125</v>
      </c>
      <c r="D453" s="182">
        <f t="shared" ca="1" si="76"/>
        <v>24.57834148628675</v>
      </c>
      <c r="E453" s="182">
        <v>0</v>
      </c>
      <c r="F453" s="182">
        <f t="shared" ca="1" si="69"/>
        <v>0</v>
      </c>
      <c r="G453" s="182">
        <f t="shared" ca="1" si="77"/>
        <v>0</v>
      </c>
      <c r="H453" s="182">
        <f t="shared" ca="1" si="78"/>
        <v>36892.090570916414</v>
      </c>
      <c r="I453" s="183">
        <v>0</v>
      </c>
      <c r="J453" s="263">
        <f t="shared" ca="1" si="68"/>
        <v>36892.090570916414</v>
      </c>
      <c r="K453" s="182">
        <f t="shared" ca="1" si="70"/>
        <v>70</v>
      </c>
      <c r="L453" s="182">
        <f t="shared" ca="1" si="71"/>
        <v>10292.090570916398</v>
      </c>
      <c r="M453" s="182">
        <f t="shared" ca="1" si="72"/>
        <v>8400</v>
      </c>
      <c r="N453" s="182">
        <f t="shared" ca="1" si="73"/>
        <v>41022.090570916298</v>
      </c>
      <c r="O453" s="182"/>
    </row>
    <row r="454" spans="1:15" x14ac:dyDescent="0.25">
      <c r="A454" s="180">
        <f t="shared" ca="1" si="74"/>
        <v>46544</v>
      </c>
      <c r="B454" s="181">
        <v>440</v>
      </c>
      <c r="C454" s="182">
        <f t="shared" ca="1" si="75"/>
        <v>36892.090570916414</v>
      </c>
      <c r="D454" s="182">
        <f t="shared" ca="1" si="76"/>
        <v>24.594727047277608</v>
      </c>
      <c r="E454" s="182">
        <v>0</v>
      </c>
      <c r="F454" s="182">
        <f t="shared" ca="1" si="69"/>
        <v>0</v>
      </c>
      <c r="G454" s="182">
        <f t="shared" ca="1" si="77"/>
        <v>0</v>
      </c>
      <c r="H454" s="182">
        <f t="shared" ca="1" si="78"/>
        <v>36916.68529796369</v>
      </c>
      <c r="I454" s="183">
        <v>0</v>
      </c>
      <c r="J454" s="263">
        <f t="shared" ca="1" si="68"/>
        <v>36916.68529796369</v>
      </c>
      <c r="K454" s="182">
        <f t="shared" ca="1" si="70"/>
        <v>70</v>
      </c>
      <c r="L454" s="182">
        <f t="shared" ca="1" si="71"/>
        <v>10316.685297963675</v>
      </c>
      <c r="M454" s="182">
        <f t="shared" ca="1" si="72"/>
        <v>8400</v>
      </c>
      <c r="N454" s="182">
        <f t="shared" ca="1" si="73"/>
        <v>41116.685297963573</v>
      </c>
      <c r="O454" s="182"/>
    </row>
    <row r="455" spans="1:15" x14ac:dyDescent="0.25">
      <c r="A455" s="180">
        <f t="shared" ca="1" si="74"/>
        <v>46545</v>
      </c>
      <c r="B455" s="181">
        <v>441</v>
      </c>
      <c r="C455" s="182">
        <f t="shared" ca="1" si="75"/>
        <v>36916.68529796369</v>
      </c>
      <c r="D455" s="182">
        <f t="shared" ca="1" si="76"/>
        <v>24.611123531975792</v>
      </c>
      <c r="E455" s="182">
        <v>0</v>
      </c>
      <c r="F455" s="182">
        <f t="shared" ca="1" si="69"/>
        <v>0</v>
      </c>
      <c r="G455" s="182">
        <f t="shared" ca="1" si="77"/>
        <v>0</v>
      </c>
      <c r="H455" s="182">
        <f t="shared" ca="1" si="78"/>
        <v>36941.296421495666</v>
      </c>
      <c r="I455" s="183">
        <v>0</v>
      </c>
      <c r="J455" s="263">
        <f t="shared" ca="1" si="68"/>
        <v>36941.296421495666</v>
      </c>
      <c r="K455" s="182">
        <f t="shared" ca="1" si="70"/>
        <v>70</v>
      </c>
      <c r="L455" s="182">
        <f t="shared" ca="1" si="71"/>
        <v>10341.29642149565</v>
      </c>
      <c r="M455" s="182">
        <f t="shared" ca="1" si="72"/>
        <v>8400</v>
      </c>
      <c r="N455" s="182">
        <f t="shared" ca="1" si="73"/>
        <v>41211.29642149555</v>
      </c>
      <c r="O455" s="182"/>
    </row>
    <row r="456" spans="1:15" x14ac:dyDescent="0.25">
      <c r="A456" s="180">
        <f t="shared" ca="1" si="74"/>
        <v>46546</v>
      </c>
      <c r="B456" s="181">
        <v>442</v>
      </c>
      <c r="C456" s="182">
        <f t="shared" ca="1" si="75"/>
        <v>36941.296421495666</v>
      </c>
      <c r="D456" s="182">
        <f t="shared" ca="1" si="76"/>
        <v>24.627530947663775</v>
      </c>
      <c r="E456" s="182">
        <v>0</v>
      </c>
      <c r="F456" s="182">
        <f t="shared" ca="1" si="69"/>
        <v>0</v>
      </c>
      <c r="G456" s="182">
        <f t="shared" ca="1" si="77"/>
        <v>0</v>
      </c>
      <c r="H456" s="182">
        <f t="shared" ca="1" si="78"/>
        <v>36965.923952443329</v>
      </c>
      <c r="I456" s="183">
        <v>0</v>
      </c>
      <c r="J456" s="263">
        <f t="shared" ca="1" si="68"/>
        <v>36965.923952443329</v>
      </c>
      <c r="K456" s="182">
        <f t="shared" ca="1" si="70"/>
        <v>70</v>
      </c>
      <c r="L456" s="182">
        <f t="shared" ca="1" si="71"/>
        <v>10365.923952443314</v>
      </c>
      <c r="M456" s="182">
        <f t="shared" ca="1" si="72"/>
        <v>8400</v>
      </c>
      <c r="N456" s="182">
        <f t="shared" ca="1" si="73"/>
        <v>41305.923952443212</v>
      </c>
      <c r="O456" s="182"/>
    </row>
    <row r="457" spans="1:15" x14ac:dyDescent="0.25">
      <c r="A457" s="180">
        <f t="shared" ca="1" si="74"/>
        <v>46547</v>
      </c>
      <c r="B457" s="181">
        <v>443</v>
      </c>
      <c r="C457" s="182">
        <f t="shared" ca="1" si="75"/>
        <v>36965.923952443329</v>
      </c>
      <c r="D457" s="182">
        <f t="shared" ca="1" si="76"/>
        <v>24.643949301628886</v>
      </c>
      <c r="E457" s="182">
        <v>0</v>
      </c>
      <c r="F457" s="182">
        <f t="shared" ca="1" si="69"/>
        <v>0</v>
      </c>
      <c r="G457" s="182">
        <f t="shared" ca="1" si="77"/>
        <v>0</v>
      </c>
      <c r="H457" s="182">
        <f t="shared" ca="1" si="78"/>
        <v>36990.567901744958</v>
      </c>
      <c r="I457" s="183">
        <v>0</v>
      </c>
      <c r="J457" s="263">
        <f t="shared" ca="1" si="68"/>
        <v>36990.567901744958</v>
      </c>
      <c r="K457" s="182">
        <f t="shared" ca="1" si="70"/>
        <v>70</v>
      </c>
      <c r="L457" s="182">
        <f t="shared" ca="1" si="71"/>
        <v>10390.567901744944</v>
      </c>
      <c r="M457" s="182">
        <f t="shared" ca="1" si="72"/>
        <v>8400</v>
      </c>
      <c r="N457" s="182">
        <f t="shared" ca="1" si="73"/>
        <v>41400.567901744842</v>
      </c>
      <c r="O457" s="182"/>
    </row>
    <row r="458" spans="1:15" x14ac:dyDescent="0.25">
      <c r="A458" s="180">
        <f t="shared" ca="1" si="74"/>
        <v>46548</v>
      </c>
      <c r="B458" s="181">
        <v>444</v>
      </c>
      <c r="C458" s="182">
        <f t="shared" ca="1" si="75"/>
        <v>36990.567901744958</v>
      </c>
      <c r="D458" s="182">
        <f t="shared" ca="1" si="76"/>
        <v>24.660378601163305</v>
      </c>
      <c r="E458" s="182">
        <v>0</v>
      </c>
      <c r="F458" s="182">
        <f t="shared" ca="1" si="69"/>
        <v>0</v>
      </c>
      <c r="G458" s="182">
        <f t="shared" ca="1" si="77"/>
        <v>0</v>
      </c>
      <c r="H458" s="182">
        <f t="shared" ca="1" si="78"/>
        <v>37015.22828034612</v>
      </c>
      <c r="I458" s="183">
        <v>0</v>
      </c>
      <c r="J458" s="263">
        <f t="shared" ca="1" si="68"/>
        <v>37015.22828034612</v>
      </c>
      <c r="K458" s="182">
        <f t="shared" ca="1" si="70"/>
        <v>70</v>
      </c>
      <c r="L458" s="182">
        <f t="shared" ca="1" si="71"/>
        <v>10415.228280346108</v>
      </c>
      <c r="M458" s="182">
        <f t="shared" ca="1" si="72"/>
        <v>8400</v>
      </c>
      <c r="N458" s="182">
        <f t="shared" ca="1" si="73"/>
        <v>41495.228280346004</v>
      </c>
      <c r="O458" s="182"/>
    </row>
    <row r="459" spans="1:15" x14ac:dyDescent="0.25">
      <c r="A459" s="180">
        <f t="shared" ca="1" si="74"/>
        <v>46549</v>
      </c>
      <c r="B459" s="181">
        <v>445</v>
      </c>
      <c r="C459" s="182">
        <f t="shared" ca="1" si="75"/>
        <v>37015.22828034612</v>
      </c>
      <c r="D459" s="182">
        <f t="shared" ca="1" si="76"/>
        <v>24.676818853564079</v>
      </c>
      <c r="E459" s="182">
        <v>0</v>
      </c>
      <c r="F459" s="182">
        <f t="shared" ca="1" si="69"/>
        <v>0</v>
      </c>
      <c r="G459" s="182">
        <f t="shared" ca="1" si="77"/>
        <v>0</v>
      </c>
      <c r="H459" s="182">
        <f t="shared" ca="1" si="78"/>
        <v>37039.905099199685</v>
      </c>
      <c r="I459" s="183">
        <v>0</v>
      </c>
      <c r="J459" s="263">
        <f t="shared" ca="1" si="68"/>
        <v>37039.905099199685</v>
      </c>
      <c r="K459" s="182">
        <f t="shared" ca="1" si="70"/>
        <v>70</v>
      </c>
      <c r="L459" s="182">
        <f t="shared" ca="1" si="71"/>
        <v>10439.905099199672</v>
      </c>
      <c r="M459" s="182">
        <f t="shared" ca="1" si="72"/>
        <v>8400</v>
      </c>
      <c r="N459" s="182">
        <f t="shared" ca="1" si="73"/>
        <v>41589.905099199568</v>
      </c>
      <c r="O459" s="182"/>
    </row>
    <row r="460" spans="1:15" x14ac:dyDescent="0.25">
      <c r="A460" s="180">
        <f t="shared" ca="1" si="74"/>
        <v>46550</v>
      </c>
      <c r="B460" s="181">
        <v>446</v>
      </c>
      <c r="C460" s="182">
        <f t="shared" ca="1" si="75"/>
        <v>37039.905099199685</v>
      </c>
      <c r="D460" s="182">
        <f t="shared" ca="1" si="76"/>
        <v>24.693270066133124</v>
      </c>
      <c r="E460" s="182">
        <v>0</v>
      </c>
      <c r="F460" s="182">
        <f t="shared" ca="1" si="69"/>
        <v>0</v>
      </c>
      <c r="G460" s="182">
        <f t="shared" ca="1" si="77"/>
        <v>0</v>
      </c>
      <c r="H460" s="182">
        <f t="shared" ca="1" si="78"/>
        <v>37064.598369265819</v>
      </c>
      <c r="I460" s="183">
        <v>0</v>
      </c>
      <c r="J460" s="263">
        <f t="shared" ca="1" si="68"/>
        <v>37064.598369265819</v>
      </c>
      <c r="K460" s="182">
        <f t="shared" ca="1" si="70"/>
        <v>70</v>
      </c>
      <c r="L460" s="182">
        <f t="shared" ca="1" si="71"/>
        <v>10464.598369265805</v>
      </c>
      <c r="M460" s="182">
        <f t="shared" ca="1" si="72"/>
        <v>8400</v>
      </c>
      <c r="N460" s="182">
        <f t="shared" ca="1" si="73"/>
        <v>41684.598369265703</v>
      </c>
      <c r="O460" s="182"/>
    </row>
    <row r="461" spans="1:15" x14ac:dyDescent="0.25">
      <c r="A461" s="180">
        <f t="shared" ca="1" si="74"/>
        <v>46551</v>
      </c>
      <c r="B461" s="181">
        <v>447</v>
      </c>
      <c r="C461" s="182">
        <f t="shared" ca="1" si="75"/>
        <v>37064.598369265819</v>
      </c>
      <c r="D461" s="182">
        <f t="shared" ca="1" si="76"/>
        <v>24.709732246177211</v>
      </c>
      <c r="E461" s="182">
        <v>0</v>
      </c>
      <c r="F461" s="182">
        <f t="shared" ca="1" si="69"/>
        <v>0</v>
      </c>
      <c r="G461" s="182">
        <f t="shared" ca="1" si="77"/>
        <v>0</v>
      </c>
      <c r="H461" s="182">
        <f t="shared" ca="1" si="78"/>
        <v>37089.308101511997</v>
      </c>
      <c r="I461" s="183">
        <v>0</v>
      </c>
      <c r="J461" s="263">
        <f t="shared" ca="1" si="68"/>
        <v>37089.308101511997</v>
      </c>
      <c r="K461" s="182">
        <f t="shared" ca="1" si="70"/>
        <v>70</v>
      </c>
      <c r="L461" s="182">
        <f t="shared" ca="1" si="71"/>
        <v>10489.308101511982</v>
      </c>
      <c r="M461" s="182">
        <f t="shared" ca="1" si="72"/>
        <v>8400</v>
      </c>
      <c r="N461" s="182">
        <f t="shared" ca="1" si="73"/>
        <v>41779.308101511881</v>
      </c>
      <c r="O461" s="182"/>
    </row>
    <row r="462" spans="1:15" x14ac:dyDescent="0.25">
      <c r="A462" s="180">
        <f t="shared" ca="1" si="74"/>
        <v>46552</v>
      </c>
      <c r="B462" s="181">
        <v>448</v>
      </c>
      <c r="C462" s="182">
        <f t="shared" ca="1" si="75"/>
        <v>37089.308101511997</v>
      </c>
      <c r="D462" s="182">
        <f t="shared" ca="1" si="76"/>
        <v>24.726205401007999</v>
      </c>
      <c r="E462" s="182">
        <v>0</v>
      </c>
      <c r="F462" s="182">
        <f t="shared" ca="1" si="69"/>
        <v>0</v>
      </c>
      <c r="G462" s="182">
        <f t="shared" ca="1" si="77"/>
        <v>0</v>
      </c>
      <c r="H462" s="182">
        <f t="shared" ca="1" si="78"/>
        <v>37114.034306913003</v>
      </c>
      <c r="I462" s="183">
        <v>0</v>
      </c>
      <c r="J462" s="263">
        <f t="shared" ca="1" si="68"/>
        <v>37114.034306913003</v>
      </c>
      <c r="K462" s="182">
        <f t="shared" ca="1" si="70"/>
        <v>70</v>
      </c>
      <c r="L462" s="182">
        <f t="shared" ca="1" si="71"/>
        <v>10514.03430691299</v>
      </c>
      <c r="M462" s="182">
        <f t="shared" ca="1" si="72"/>
        <v>8400</v>
      </c>
      <c r="N462" s="182">
        <f t="shared" ca="1" si="73"/>
        <v>41874.034306912887</v>
      </c>
      <c r="O462" s="182"/>
    </row>
    <row r="463" spans="1:15" x14ac:dyDescent="0.25">
      <c r="A463" s="180">
        <f t="shared" ca="1" si="74"/>
        <v>46553</v>
      </c>
      <c r="B463" s="181">
        <v>449</v>
      </c>
      <c r="C463" s="182">
        <f t="shared" ca="1" si="75"/>
        <v>37114.034306913003</v>
      </c>
      <c r="D463" s="182">
        <f t="shared" ca="1" si="76"/>
        <v>24.742689537942002</v>
      </c>
      <c r="E463" s="182">
        <v>0</v>
      </c>
      <c r="F463" s="182">
        <f t="shared" ca="1" si="69"/>
        <v>0</v>
      </c>
      <c r="G463" s="182">
        <f t="shared" ca="1" si="77"/>
        <v>0</v>
      </c>
      <c r="H463" s="182">
        <f t="shared" ca="1" si="78"/>
        <v>37138.776996450943</v>
      </c>
      <c r="I463" s="183">
        <v>0</v>
      </c>
      <c r="J463" s="263">
        <f t="shared" ref="J463:J526" ca="1" si="79">H463-IF(I$8-G463&lt;Q$42,I$8-Q$42,G463)</f>
        <v>37138.776996450943</v>
      </c>
      <c r="K463" s="182">
        <f t="shared" ca="1" si="70"/>
        <v>70</v>
      </c>
      <c r="L463" s="182">
        <f t="shared" ca="1" si="71"/>
        <v>10538.776996450932</v>
      </c>
      <c r="M463" s="182">
        <f t="shared" ca="1" si="72"/>
        <v>8400</v>
      </c>
      <c r="N463" s="182">
        <f t="shared" ca="1" si="73"/>
        <v>41968.776996450826</v>
      </c>
      <c r="O463" s="182"/>
    </row>
    <row r="464" spans="1:15" x14ac:dyDescent="0.25">
      <c r="A464" s="180">
        <f t="shared" ca="1" si="74"/>
        <v>46554</v>
      </c>
      <c r="B464" s="181">
        <v>450</v>
      </c>
      <c r="C464" s="182">
        <f t="shared" ca="1" si="75"/>
        <v>37138.776996450943</v>
      </c>
      <c r="D464" s="182">
        <f t="shared" ca="1" si="76"/>
        <v>24.759184664300626</v>
      </c>
      <c r="E464" s="182">
        <v>0</v>
      </c>
      <c r="F464" s="182">
        <f t="shared" ref="F464:F491" ca="1" si="80">IFERROR(-VLOOKUP(A464,$P$4:$R$12,2,FALSE),0)</f>
        <v>0</v>
      </c>
      <c r="G464" s="182">
        <f t="shared" ca="1" si="77"/>
        <v>0</v>
      </c>
      <c r="H464" s="182">
        <f t="shared" ca="1" si="78"/>
        <v>37163.53618111524</v>
      </c>
      <c r="I464" s="183">
        <v>0</v>
      </c>
      <c r="J464" s="263">
        <f t="shared" ca="1" si="79"/>
        <v>37163.53618111524</v>
      </c>
      <c r="K464" s="182">
        <f t="shared" ref="K464:K527" ca="1" si="81">$L$3/($C$11-$C$8)</f>
        <v>70</v>
      </c>
      <c r="L464" s="182">
        <f t="shared" ref="L464:L527" ca="1" si="82">L463+D464</f>
        <v>10563.536181115232</v>
      </c>
      <c r="M464" s="182">
        <f t="shared" ref="M464:M527" ca="1" si="83">IF($I$8&gt;L464,L464,$I$8)</f>
        <v>8400</v>
      </c>
      <c r="N464" s="182">
        <f t="shared" ref="N464:N527" ca="1" si="84">N463+D464+K464+I464</f>
        <v>42063.536181115123</v>
      </c>
      <c r="O464" s="182"/>
    </row>
    <row r="465" spans="1:15" x14ac:dyDescent="0.25">
      <c r="A465" s="180">
        <f t="shared" ref="A465:A528" ca="1" si="85">A464+1</f>
        <v>46555</v>
      </c>
      <c r="B465" s="181">
        <v>451</v>
      </c>
      <c r="C465" s="182">
        <f t="shared" ref="C465:C528" ca="1" si="86">H464</f>
        <v>37163.53618111524</v>
      </c>
      <c r="D465" s="182">
        <f t="shared" ref="D465:D528" ca="1" si="87">(($C$6/360))*C465</f>
        <v>24.775690787410159</v>
      </c>
      <c r="E465" s="182">
        <v>0</v>
      </c>
      <c r="F465" s="182">
        <f t="shared" ca="1" si="80"/>
        <v>0</v>
      </c>
      <c r="G465" s="182">
        <f t="shared" ref="G465:G528" ca="1" si="88">IF(G464-D465-E465&gt;0,G464-D465-E465,0)</f>
        <v>0</v>
      </c>
      <c r="H465" s="182">
        <f t="shared" ca="1" si="78"/>
        <v>37188.311871902653</v>
      </c>
      <c r="I465" s="183">
        <v>0</v>
      </c>
      <c r="J465" s="263">
        <f t="shared" ca="1" si="79"/>
        <v>37188.311871902653</v>
      </c>
      <c r="K465" s="182">
        <f t="shared" ca="1" si="81"/>
        <v>70</v>
      </c>
      <c r="L465" s="182">
        <f t="shared" ca="1" si="82"/>
        <v>10588.311871902642</v>
      </c>
      <c r="M465" s="182">
        <f t="shared" ca="1" si="83"/>
        <v>8400</v>
      </c>
      <c r="N465" s="182">
        <f t="shared" ca="1" si="84"/>
        <v>42158.311871902537</v>
      </c>
      <c r="O465" s="182"/>
    </row>
    <row r="466" spans="1:15" x14ac:dyDescent="0.25">
      <c r="A466" s="180">
        <f t="shared" ca="1" si="85"/>
        <v>46556</v>
      </c>
      <c r="B466" s="181">
        <v>452</v>
      </c>
      <c r="C466" s="182">
        <f t="shared" ca="1" si="86"/>
        <v>37188.311871902653</v>
      </c>
      <c r="D466" s="182">
        <f t="shared" ca="1" si="87"/>
        <v>24.792207914601768</v>
      </c>
      <c r="E466" s="182">
        <v>0</v>
      </c>
      <c r="F466" s="182">
        <f t="shared" ca="1" si="80"/>
        <v>0</v>
      </c>
      <c r="G466" s="182">
        <f t="shared" ca="1" si="88"/>
        <v>0</v>
      </c>
      <c r="H466" s="182">
        <f t="shared" ca="1" si="78"/>
        <v>37213.104079817254</v>
      </c>
      <c r="I466" s="183">
        <v>0</v>
      </c>
      <c r="J466" s="263">
        <f t="shared" ca="1" si="79"/>
        <v>37213.104079817254</v>
      </c>
      <c r="K466" s="182">
        <f t="shared" ca="1" si="81"/>
        <v>70</v>
      </c>
      <c r="L466" s="182">
        <f t="shared" ca="1" si="82"/>
        <v>10613.104079817243</v>
      </c>
      <c r="M466" s="182">
        <f t="shared" ca="1" si="83"/>
        <v>8400</v>
      </c>
      <c r="N466" s="182">
        <f t="shared" ca="1" si="84"/>
        <v>42253.104079817138</v>
      </c>
      <c r="O466" s="182"/>
    </row>
    <row r="467" spans="1:15" x14ac:dyDescent="0.25">
      <c r="A467" s="180">
        <f t="shared" ca="1" si="85"/>
        <v>46557</v>
      </c>
      <c r="B467" s="181">
        <v>453</v>
      </c>
      <c r="C467" s="182">
        <f t="shared" ca="1" si="86"/>
        <v>37213.104079817254</v>
      </c>
      <c r="D467" s="182">
        <f t="shared" ca="1" si="87"/>
        <v>24.808736053211501</v>
      </c>
      <c r="E467" s="182">
        <v>0</v>
      </c>
      <c r="F467" s="182">
        <f t="shared" ca="1" si="80"/>
        <v>0</v>
      </c>
      <c r="G467" s="182">
        <f t="shared" ca="1" si="88"/>
        <v>0</v>
      </c>
      <c r="H467" s="182">
        <f t="shared" ca="1" si="78"/>
        <v>37237.912815870463</v>
      </c>
      <c r="I467" s="183">
        <v>0</v>
      </c>
      <c r="J467" s="263">
        <f t="shared" ca="1" si="79"/>
        <v>37237.912815870463</v>
      </c>
      <c r="K467" s="182">
        <f t="shared" ca="1" si="81"/>
        <v>70</v>
      </c>
      <c r="L467" s="182">
        <f t="shared" ca="1" si="82"/>
        <v>10637.912815870455</v>
      </c>
      <c r="M467" s="182">
        <f t="shared" ca="1" si="83"/>
        <v>8400</v>
      </c>
      <c r="N467" s="182">
        <f t="shared" ca="1" si="84"/>
        <v>42347.912815870346</v>
      </c>
      <c r="O467" s="182"/>
    </row>
    <row r="468" spans="1:15" x14ac:dyDescent="0.25">
      <c r="A468" s="180">
        <f t="shared" ca="1" si="85"/>
        <v>46558</v>
      </c>
      <c r="B468" s="181">
        <v>454</v>
      </c>
      <c r="C468" s="182">
        <f t="shared" ca="1" si="86"/>
        <v>37237.912815870463</v>
      </c>
      <c r="D468" s="182">
        <f t="shared" ca="1" si="87"/>
        <v>24.825275210580308</v>
      </c>
      <c r="E468" s="182">
        <v>0</v>
      </c>
      <c r="F468" s="182">
        <f t="shared" ca="1" si="80"/>
        <v>0</v>
      </c>
      <c r="G468" s="182">
        <f t="shared" ca="1" si="88"/>
        <v>0</v>
      </c>
      <c r="H468" s="182">
        <f t="shared" ca="1" si="78"/>
        <v>37262.738091081046</v>
      </c>
      <c r="I468" s="183">
        <v>0</v>
      </c>
      <c r="J468" s="263">
        <f t="shared" ca="1" si="79"/>
        <v>37262.738091081046</v>
      </c>
      <c r="K468" s="182">
        <f t="shared" ca="1" si="81"/>
        <v>70</v>
      </c>
      <c r="L468" s="182">
        <f t="shared" ca="1" si="82"/>
        <v>10662.738091081035</v>
      </c>
      <c r="M468" s="182">
        <f t="shared" ca="1" si="83"/>
        <v>8400</v>
      </c>
      <c r="N468" s="182">
        <f t="shared" ca="1" si="84"/>
        <v>42442.73809108093</v>
      </c>
      <c r="O468" s="182"/>
    </row>
    <row r="469" spans="1:15" x14ac:dyDescent="0.25">
      <c r="A469" s="180">
        <f t="shared" ca="1" si="85"/>
        <v>46559</v>
      </c>
      <c r="B469" s="181">
        <v>455</v>
      </c>
      <c r="C469" s="182">
        <f t="shared" ca="1" si="86"/>
        <v>37262.738091081046</v>
      </c>
      <c r="D469" s="182">
        <f t="shared" ca="1" si="87"/>
        <v>24.84182539405403</v>
      </c>
      <c r="E469" s="182">
        <v>0</v>
      </c>
      <c r="F469" s="182">
        <f t="shared" ca="1" si="80"/>
        <v>0</v>
      </c>
      <c r="G469" s="182">
        <f t="shared" ca="1" si="88"/>
        <v>0</v>
      </c>
      <c r="H469" s="182">
        <f t="shared" ca="1" si="78"/>
        <v>37287.579916475101</v>
      </c>
      <c r="I469" s="183">
        <v>0</v>
      </c>
      <c r="J469" s="263">
        <f t="shared" ca="1" si="79"/>
        <v>37287.579916475101</v>
      </c>
      <c r="K469" s="182">
        <f t="shared" ca="1" si="81"/>
        <v>70</v>
      </c>
      <c r="L469" s="182">
        <f t="shared" ca="1" si="82"/>
        <v>10687.57991647509</v>
      </c>
      <c r="M469" s="182">
        <f t="shared" ca="1" si="83"/>
        <v>8400</v>
      </c>
      <c r="N469" s="182">
        <f t="shared" ca="1" si="84"/>
        <v>42537.579916474984</v>
      </c>
      <c r="O469" s="182"/>
    </row>
    <row r="470" spans="1:15" x14ac:dyDescent="0.25">
      <c r="A470" s="180">
        <f t="shared" ca="1" si="85"/>
        <v>46560</v>
      </c>
      <c r="B470" s="181">
        <v>456</v>
      </c>
      <c r="C470" s="182">
        <f t="shared" ca="1" si="86"/>
        <v>37287.579916475101</v>
      </c>
      <c r="D470" s="182">
        <f t="shared" ca="1" si="87"/>
        <v>24.858386610983398</v>
      </c>
      <c r="E470" s="182">
        <v>0</v>
      </c>
      <c r="F470" s="182">
        <f t="shared" ca="1" si="80"/>
        <v>0</v>
      </c>
      <c r="G470" s="182">
        <f t="shared" ca="1" si="88"/>
        <v>0</v>
      </c>
      <c r="H470" s="182">
        <f t="shared" ca="1" si="78"/>
        <v>37312.438303086084</v>
      </c>
      <c r="I470" s="183">
        <v>0</v>
      </c>
      <c r="J470" s="263">
        <f t="shared" ca="1" si="79"/>
        <v>37312.438303086084</v>
      </c>
      <c r="K470" s="182">
        <f t="shared" ca="1" si="81"/>
        <v>70</v>
      </c>
      <c r="L470" s="182">
        <f t="shared" ca="1" si="82"/>
        <v>10712.438303086074</v>
      </c>
      <c r="M470" s="182">
        <f t="shared" ca="1" si="83"/>
        <v>8400</v>
      </c>
      <c r="N470" s="182">
        <f t="shared" ca="1" si="84"/>
        <v>42632.438303085968</v>
      </c>
      <c r="O470" s="182"/>
    </row>
    <row r="471" spans="1:15" x14ac:dyDescent="0.25">
      <c r="A471" s="180">
        <f t="shared" ca="1" si="85"/>
        <v>46561</v>
      </c>
      <c r="B471" s="181">
        <v>457</v>
      </c>
      <c r="C471" s="182">
        <f t="shared" ca="1" si="86"/>
        <v>37312.438303086084</v>
      </c>
      <c r="D471" s="182">
        <f t="shared" ca="1" si="87"/>
        <v>24.874958868724054</v>
      </c>
      <c r="E471" s="182">
        <v>0</v>
      </c>
      <c r="F471" s="182">
        <f t="shared" ca="1" si="80"/>
        <v>0</v>
      </c>
      <c r="G471" s="182">
        <f t="shared" ca="1" si="88"/>
        <v>0</v>
      </c>
      <c r="H471" s="182">
        <f t="shared" ca="1" si="78"/>
        <v>37337.313261954805</v>
      </c>
      <c r="I471" s="183">
        <v>0</v>
      </c>
      <c r="J471" s="263">
        <f t="shared" ca="1" si="79"/>
        <v>37337.313261954805</v>
      </c>
      <c r="K471" s="182">
        <f t="shared" ca="1" si="81"/>
        <v>70</v>
      </c>
      <c r="L471" s="182">
        <f t="shared" ca="1" si="82"/>
        <v>10737.313261954798</v>
      </c>
      <c r="M471" s="182">
        <f t="shared" ca="1" si="83"/>
        <v>8400</v>
      </c>
      <c r="N471" s="182">
        <f t="shared" ca="1" si="84"/>
        <v>42727.313261954689</v>
      </c>
      <c r="O471" s="182"/>
    </row>
    <row r="472" spans="1:15" x14ac:dyDescent="0.25">
      <c r="A472" s="180">
        <f t="shared" ca="1" si="85"/>
        <v>46562</v>
      </c>
      <c r="B472" s="181">
        <v>458</v>
      </c>
      <c r="C472" s="182">
        <f t="shared" ca="1" si="86"/>
        <v>37337.313261954805</v>
      </c>
      <c r="D472" s="182">
        <f t="shared" ca="1" si="87"/>
        <v>24.891542174636538</v>
      </c>
      <c r="E472" s="182">
        <v>0</v>
      </c>
      <c r="F472" s="182">
        <f t="shared" ca="1" si="80"/>
        <v>0</v>
      </c>
      <c r="G472" s="182">
        <f t="shared" ca="1" si="88"/>
        <v>0</v>
      </c>
      <c r="H472" s="182">
        <f t="shared" ca="1" si="78"/>
        <v>37362.20480412944</v>
      </c>
      <c r="I472" s="183">
        <v>0</v>
      </c>
      <c r="J472" s="263">
        <f t="shared" ca="1" si="79"/>
        <v>37362.20480412944</v>
      </c>
      <c r="K472" s="182">
        <f t="shared" ca="1" si="81"/>
        <v>70</v>
      </c>
      <c r="L472" s="182">
        <f t="shared" ca="1" si="82"/>
        <v>10762.204804129435</v>
      </c>
      <c r="M472" s="182">
        <f t="shared" ca="1" si="83"/>
        <v>8400</v>
      </c>
      <c r="N472" s="182">
        <f t="shared" ca="1" si="84"/>
        <v>42822.204804129324</v>
      </c>
      <c r="O472" s="182"/>
    </row>
    <row r="473" spans="1:15" x14ac:dyDescent="0.25">
      <c r="A473" s="180">
        <f t="shared" ca="1" si="85"/>
        <v>46563</v>
      </c>
      <c r="B473" s="181">
        <v>459</v>
      </c>
      <c r="C473" s="182">
        <f t="shared" ca="1" si="86"/>
        <v>37362.20480412944</v>
      </c>
      <c r="D473" s="182">
        <f t="shared" ca="1" si="87"/>
        <v>24.908136536086293</v>
      </c>
      <c r="E473" s="182">
        <v>0</v>
      </c>
      <c r="F473" s="182">
        <f t="shared" ca="1" si="80"/>
        <v>0</v>
      </c>
      <c r="G473" s="182">
        <f t="shared" ca="1" si="88"/>
        <v>0</v>
      </c>
      <c r="H473" s="182">
        <f t="shared" ca="1" si="78"/>
        <v>37387.112940665524</v>
      </c>
      <c r="I473" s="183">
        <v>0</v>
      </c>
      <c r="J473" s="263">
        <f t="shared" ca="1" si="79"/>
        <v>37387.112940665524</v>
      </c>
      <c r="K473" s="182">
        <f t="shared" ca="1" si="81"/>
        <v>70</v>
      </c>
      <c r="L473" s="182">
        <f t="shared" ca="1" si="82"/>
        <v>10787.112940665522</v>
      </c>
      <c r="M473" s="182">
        <f t="shared" ca="1" si="83"/>
        <v>8400</v>
      </c>
      <c r="N473" s="182">
        <f t="shared" ca="1" si="84"/>
        <v>42917.112940665407</v>
      </c>
      <c r="O473" s="182"/>
    </row>
    <row r="474" spans="1:15" x14ac:dyDescent="0.25">
      <c r="A474" s="180">
        <f t="shared" ca="1" si="85"/>
        <v>46564</v>
      </c>
      <c r="B474" s="181">
        <v>460</v>
      </c>
      <c r="C474" s="182">
        <f t="shared" ca="1" si="86"/>
        <v>37387.112940665524</v>
      </c>
      <c r="D474" s="182">
        <f t="shared" ca="1" si="87"/>
        <v>24.924741960443683</v>
      </c>
      <c r="E474" s="182">
        <v>0</v>
      </c>
      <c r="F474" s="182">
        <f t="shared" ca="1" si="80"/>
        <v>0</v>
      </c>
      <c r="G474" s="182">
        <f t="shared" ca="1" si="88"/>
        <v>0</v>
      </c>
      <c r="H474" s="182">
        <f t="shared" ca="1" si="78"/>
        <v>37412.037682625967</v>
      </c>
      <c r="I474" s="183">
        <v>0</v>
      </c>
      <c r="J474" s="263">
        <f t="shared" ca="1" si="79"/>
        <v>37412.037682625967</v>
      </c>
      <c r="K474" s="182">
        <f t="shared" ca="1" si="81"/>
        <v>70</v>
      </c>
      <c r="L474" s="182">
        <f t="shared" ca="1" si="82"/>
        <v>10812.037682625965</v>
      </c>
      <c r="M474" s="182">
        <f t="shared" ca="1" si="83"/>
        <v>8400</v>
      </c>
      <c r="N474" s="182">
        <f t="shared" ca="1" si="84"/>
        <v>43012.037682625851</v>
      </c>
      <c r="O474" s="182"/>
    </row>
    <row r="475" spans="1:15" x14ac:dyDescent="0.25">
      <c r="A475" s="180">
        <f t="shared" ca="1" si="85"/>
        <v>46565</v>
      </c>
      <c r="B475" s="181">
        <v>461</v>
      </c>
      <c r="C475" s="182">
        <f t="shared" ca="1" si="86"/>
        <v>37412.037682625967</v>
      </c>
      <c r="D475" s="182">
        <f t="shared" ca="1" si="87"/>
        <v>24.941358455083979</v>
      </c>
      <c r="E475" s="182">
        <v>0</v>
      </c>
      <c r="F475" s="182">
        <f t="shared" ca="1" si="80"/>
        <v>0</v>
      </c>
      <c r="G475" s="182">
        <f t="shared" ca="1" si="88"/>
        <v>0</v>
      </c>
      <c r="H475" s="182">
        <f t="shared" ca="1" si="78"/>
        <v>37436.979041081053</v>
      </c>
      <c r="I475" s="183">
        <v>0</v>
      </c>
      <c r="J475" s="263">
        <f t="shared" ca="1" si="79"/>
        <v>37436.979041081053</v>
      </c>
      <c r="K475" s="182">
        <f t="shared" ca="1" si="81"/>
        <v>70</v>
      </c>
      <c r="L475" s="182">
        <f t="shared" ca="1" si="82"/>
        <v>10836.979041081049</v>
      </c>
      <c r="M475" s="182">
        <f t="shared" ca="1" si="83"/>
        <v>8400</v>
      </c>
      <c r="N475" s="182">
        <f t="shared" ca="1" si="84"/>
        <v>43106.979041080936</v>
      </c>
      <c r="O475" s="182"/>
    </row>
    <row r="476" spans="1:15" x14ac:dyDescent="0.25">
      <c r="A476" s="180">
        <f t="shared" ca="1" si="85"/>
        <v>46566</v>
      </c>
      <c r="B476" s="181">
        <v>462</v>
      </c>
      <c r="C476" s="182">
        <f t="shared" ca="1" si="86"/>
        <v>37436.979041081053</v>
      </c>
      <c r="D476" s="182">
        <f t="shared" ca="1" si="87"/>
        <v>24.957986027387367</v>
      </c>
      <c r="E476" s="182">
        <v>0</v>
      </c>
      <c r="F476" s="182">
        <f t="shared" ca="1" si="80"/>
        <v>0</v>
      </c>
      <c r="G476" s="182">
        <f t="shared" ca="1" si="88"/>
        <v>0</v>
      </c>
      <c r="H476" s="182">
        <f t="shared" ca="1" si="78"/>
        <v>37461.937027108441</v>
      </c>
      <c r="I476" s="183">
        <v>0</v>
      </c>
      <c r="J476" s="263">
        <f t="shared" ca="1" si="79"/>
        <v>37461.937027108441</v>
      </c>
      <c r="K476" s="182">
        <f t="shared" ca="1" si="81"/>
        <v>70</v>
      </c>
      <c r="L476" s="182">
        <f t="shared" ca="1" si="82"/>
        <v>10861.937027108437</v>
      </c>
      <c r="M476" s="182">
        <f t="shared" ca="1" si="83"/>
        <v>8400</v>
      </c>
      <c r="N476" s="182">
        <f t="shared" ca="1" si="84"/>
        <v>43201.937027108324</v>
      </c>
      <c r="O476" s="182"/>
    </row>
    <row r="477" spans="1:15" x14ac:dyDescent="0.25">
      <c r="A477" s="180">
        <f t="shared" ca="1" si="85"/>
        <v>46567</v>
      </c>
      <c r="B477" s="181">
        <v>463</v>
      </c>
      <c r="C477" s="182">
        <f t="shared" ca="1" si="86"/>
        <v>37461.937027108441</v>
      </c>
      <c r="D477" s="182">
        <f t="shared" ca="1" si="87"/>
        <v>24.974624684738959</v>
      </c>
      <c r="E477" s="182">
        <v>0</v>
      </c>
      <c r="F477" s="182">
        <f t="shared" ca="1" si="80"/>
        <v>0</v>
      </c>
      <c r="G477" s="182">
        <f t="shared" ca="1" si="88"/>
        <v>0</v>
      </c>
      <c r="H477" s="182">
        <f t="shared" ca="1" si="78"/>
        <v>37486.911651793183</v>
      </c>
      <c r="I477" s="183">
        <v>0</v>
      </c>
      <c r="J477" s="263">
        <f t="shared" ca="1" si="79"/>
        <v>37486.911651793183</v>
      </c>
      <c r="K477" s="182">
        <f t="shared" ca="1" si="81"/>
        <v>70</v>
      </c>
      <c r="L477" s="182">
        <f t="shared" ca="1" si="82"/>
        <v>10886.911651793176</v>
      </c>
      <c r="M477" s="182">
        <f t="shared" ca="1" si="83"/>
        <v>8400</v>
      </c>
      <c r="N477" s="182">
        <f t="shared" ca="1" si="84"/>
        <v>43296.911651793067</v>
      </c>
      <c r="O477" s="182"/>
    </row>
    <row r="478" spans="1:15" x14ac:dyDescent="0.25">
      <c r="A478" s="180">
        <f t="shared" ca="1" si="85"/>
        <v>46568</v>
      </c>
      <c r="B478" s="181">
        <v>464</v>
      </c>
      <c r="C478" s="182">
        <f t="shared" ca="1" si="86"/>
        <v>37486.911651793183</v>
      </c>
      <c r="D478" s="182">
        <f t="shared" ca="1" si="87"/>
        <v>24.991274434528787</v>
      </c>
      <c r="E478" s="182">
        <v>0</v>
      </c>
      <c r="F478" s="182">
        <f t="shared" ca="1" si="80"/>
        <v>0</v>
      </c>
      <c r="G478" s="182">
        <f t="shared" ca="1" si="88"/>
        <v>0</v>
      </c>
      <c r="H478" s="182">
        <f t="shared" ca="1" si="78"/>
        <v>37511.902926227711</v>
      </c>
      <c r="I478" s="183">
        <v>0</v>
      </c>
      <c r="J478" s="263">
        <f t="shared" ca="1" si="79"/>
        <v>37511.902926227711</v>
      </c>
      <c r="K478" s="182">
        <f t="shared" ca="1" si="81"/>
        <v>70</v>
      </c>
      <c r="L478" s="182">
        <f t="shared" ca="1" si="82"/>
        <v>10911.902926227705</v>
      </c>
      <c r="M478" s="182">
        <f t="shared" ca="1" si="83"/>
        <v>8400</v>
      </c>
      <c r="N478" s="182">
        <f t="shared" ca="1" si="84"/>
        <v>43391.902926227594</v>
      </c>
      <c r="O478" s="182"/>
    </row>
    <row r="479" spans="1:15" x14ac:dyDescent="0.25">
      <c r="A479" s="180">
        <f t="shared" ca="1" si="85"/>
        <v>46569</v>
      </c>
      <c r="B479" s="181">
        <v>465</v>
      </c>
      <c r="C479" s="182">
        <f t="shared" ca="1" si="86"/>
        <v>37511.902926227711</v>
      </c>
      <c r="D479" s="182">
        <f t="shared" ca="1" si="87"/>
        <v>25.007935284151806</v>
      </c>
      <c r="E479" s="182">
        <v>0</v>
      </c>
      <c r="F479" s="182">
        <f t="shared" ca="1" si="80"/>
        <v>0</v>
      </c>
      <c r="G479" s="182">
        <f t="shared" ca="1" si="88"/>
        <v>0</v>
      </c>
      <c r="H479" s="182">
        <f t="shared" ca="1" si="78"/>
        <v>37536.91086151186</v>
      </c>
      <c r="I479" s="183">
        <v>0</v>
      </c>
      <c r="J479" s="263">
        <f t="shared" ca="1" si="79"/>
        <v>37536.91086151186</v>
      </c>
      <c r="K479" s="182">
        <f t="shared" ca="1" si="81"/>
        <v>70</v>
      </c>
      <c r="L479" s="182">
        <f t="shared" ca="1" si="82"/>
        <v>10936.910861511857</v>
      </c>
      <c r="M479" s="182">
        <f t="shared" ca="1" si="83"/>
        <v>8400</v>
      </c>
      <c r="N479" s="182">
        <f t="shared" ca="1" si="84"/>
        <v>43486.910861511744</v>
      </c>
      <c r="O479" s="182"/>
    </row>
    <row r="480" spans="1:15" x14ac:dyDescent="0.25">
      <c r="A480" s="180">
        <f t="shared" ca="1" si="85"/>
        <v>46570</v>
      </c>
      <c r="B480" s="181">
        <v>466</v>
      </c>
      <c r="C480" s="182">
        <f t="shared" ca="1" si="86"/>
        <v>37536.91086151186</v>
      </c>
      <c r="D480" s="182">
        <f t="shared" ca="1" si="87"/>
        <v>25.024607241007907</v>
      </c>
      <c r="E480" s="182">
        <v>0</v>
      </c>
      <c r="F480" s="182">
        <f t="shared" ca="1" si="80"/>
        <v>0</v>
      </c>
      <c r="G480" s="182">
        <f t="shared" ca="1" si="88"/>
        <v>0</v>
      </c>
      <c r="H480" s="182">
        <f t="shared" ca="1" si="78"/>
        <v>37561.935468752868</v>
      </c>
      <c r="I480" s="183">
        <v>0</v>
      </c>
      <c r="J480" s="263">
        <f t="shared" ca="1" si="79"/>
        <v>37561.935468752868</v>
      </c>
      <c r="K480" s="182">
        <f t="shared" ca="1" si="81"/>
        <v>70</v>
      </c>
      <c r="L480" s="182">
        <f t="shared" ca="1" si="82"/>
        <v>10961.935468752865</v>
      </c>
      <c r="M480" s="182">
        <f t="shared" ca="1" si="83"/>
        <v>8400</v>
      </c>
      <c r="N480" s="182">
        <f t="shared" ca="1" si="84"/>
        <v>43581.935468752752</v>
      </c>
      <c r="O480" s="182"/>
    </row>
    <row r="481" spans="1:15" x14ac:dyDescent="0.25">
      <c r="A481" s="180">
        <f t="shared" ca="1" si="85"/>
        <v>46571</v>
      </c>
      <c r="B481" s="181">
        <v>467</v>
      </c>
      <c r="C481" s="182">
        <f t="shared" ca="1" si="86"/>
        <v>37561.935468752868</v>
      </c>
      <c r="D481" s="182">
        <f t="shared" ca="1" si="87"/>
        <v>25.041290312501911</v>
      </c>
      <c r="E481" s="182">
        <v>0</v>
      </c>
      <c r="F481" s="182">
        <f t="shared" ca="1" si="80"/>
        <v>0</v>
      </c>
      <c r="G481" s="182">
        <f t="shared" ca="1" si="88"/>
        <v>0</v>
      </c>
      <c r="H481" s="182">
        <f t="shared" ca="1" si="78"/>
        <v>37586.976759065372</v>
      </c>
      <c r="I481" s="183">
        <v>0</v>
      </c>
      <c r="J481" s="263">
        <f t="shared" ca="1" si="79"/>
        <v>37586.976759065372</v>
      </c>
      <c r="K481" s="182">
        <f t="shared" ca="1" si="81"/>
        <v>70</v>
      </c>
      <c r="L481" s="182">
        <f t="shared" ca="1" si="82"/>
        <v>10986.976759065366</v>
      </c>
      <c r="M481" s="182">
        <f t="shared" ca="1" si="83"/>
        <v>8400</v>
      </c>
      <c r="N481" s="182">
        <f t="shared" ca="1" si="84"/>
        <v>43676.976759065255</v>
      </c>
      <c r="O481" s="182"/>
    </row>
    <row r="482" spans="1:15" x14ac:dyDescent="0.25">
      <c r="A482" s="180">
        <f t="shared" ca="1" si="85"/>
        <v>46572</v>
      </c>
      <c r="B482" s="181">
        <v>468</v>
      </c>
      <c r="C482" s="182">
        <f t="shared" ca="1" si="86"/>
        <v>37586.976759065372</v>
      </c>
      <c r="D482" s="182">
        <f t="shared" ca="1" si="87"/>
        <v>25.057984506043582</v>
      </c>
      <c r="E482" s="182">
        <v>0</v>
      </c>
      <c r="F482" s="182">
        <f t="shared" ca="1" si="80"/>
        <v>0</v>
      </c>
      <c r="G482" s="182">
        <f t="shared" ca="1" si="88"/>
        <v>0</v>
      </c>
      <c r="H482" s="182">
        <f t="shared" ca="1" si="78"/>
        <v>37612.034743571414</v>
      </c>
      <c r="I482" s="183">
        <v>0</v>
      </c>
      <c r="J482" s="263">
        <f t="shared" ca="1" si="79"/>
        <v>37612.034743571414</v>
      </c>
      <c r="K482" s="182">
        <f t="shared" ca="1" si="81"/>
        <v>70</v>
      </c>
      <c r="L482" s="182">
        <f t="shared" ca="1" si="82"/>
        <v>11012.03474357141</v>
      </c>
      <c r="M482" s="182">
        <f t="shared" ca="1" si="83"/>
        <v>8400</v>
      </c>
      <c r="N482" s="182">
        <f t="shared" ca="1" si="84"/>
        <v>43772.034743571297</v>
      </c>
      <c r="O482" s="182"/>
    </row>
    <row r="483" spans="1:15" x14ac:dyDescent="0.25">
      <c r="A483" s="180">
        <f t="shared" ca="1" si="85"/>
        <v>46573</v>
      </c>
      <c r="B483" s="181">
        <v>469</v>
      </c>
      <c r="C483" s="182">
        <f t="shared" ca="1" si="86"/>
        <v>37612.034743571414</v>
      </c>
      <c r="D483" s="182">
        <f t="shared" ca="1" si="87"/>
        <v>25.074689829047607</v>
      </c>
      <c r="E483" s="182">
        <v>0</v>
      </c>
      <c r="F483" s="182">
        <f t="shared" ca="1" si="80"/>
        <v>0</v>
      </c>
      <c r="G483" s="182">
        <f t="shared" ca="1" si="88"/>
        <v>0</v>
      </c>
      <c r="H483" s="182">
        <f t="shared" ref="H483:H546" ca="1" si="89">IF(G483&gt;0,C483+F483+I483,SUM(C483:F483)-G482)</f>
        <v>37637.109433400459</v>
      </c>
      <c r="I483" s="183">
        <v>0</v>
      </c>
      <c r="J483" s="263">
        <f t="shared" ca="1" si="79"/>
        <v>37637.109433400459</v>
      </c>
      <c r="K483" s="182">
        <f t="shared" ca="1" si="81"/>
        <v>70</v>
      </c>
      <c r="L483" s="182">
        <f t="shared" ca="1" si="82"/>
        <v>11037.109433400457</v>
      </c>
      <c r="M483" s="182">
        <f t="shared" ca="1" si="83"/>
        <v>8400</v>
      </c>
      <c r="N483" s="182">
        <f t="shared" ca="1" si="84"/>
        <v>43867.109433400343</v>
      </c>
      <c r="O483" s="182"/>
    </row>
    <row r="484" spans="1:15" x14ac:dyDescent="0.25">
      <c r="A484" s="180">
        <f t="shared" ca="1" si="85"/>
        <v>46574</v>
      </c>
      <c r="B484" s="181">
        <v>470</v>
      </c>
      <c r="C484" s="182">
        <f t="shared" ca="1" si="86"/>
        <v>37637.109433400459</v>
      </c>
      <c r="D484" s="182">
        <f t="shared" ca="1" si="87"/>
        <v>25.091406288933637</v>
      </c>
      <c r="E484" s="182">
        <v>0</v>
      </c>
      <c r="F484" s="182">
        <f t="shared" ca="1" si="80"/>
        <v>0</v>
      </c>
      <c r="G484" s="182">
        <f t="shared" ca="1" si="88"/>
        <v>0</v>
      </c>
      <c r="H484" s="182">
        <f t="shared" ca="1" si="89"/>
        <v>37662.200839689394</v>
      </c>
      <c r="I484" s="183">
        <v>0</v>
      </c>
      <c r="J484" s="263">
        <f t="shared" ca="1" si="79"/>
        <v>37662.200839689394</v>
      </c>
      <c r="K484" s="182">
        <f t="shared" ca="1" si="81"/>
        <v>70</v>
      </c>
      <c r="L484" s="182">
        <f t="shared" ca="1" si="82"/>
        <v>11062.200839689391</v>
      </c>
      <c r="M484" s="182">
        <f t="shared" ca="1" si="83"/>
        <v>8400</v>
      </c>
      <c r="N484" s="182">
        <f t="shared" ca="1" si="84"/>
        <v>43962.200839689278</v>
      </c>
      <c r="O484" s="182"/>
    </row>
    <row r="485" spans="1:15" x14ac:dyDescent="0.25">
      <c r="A485" s="180">
        <f t="shared" ca="1" si="85"/>
        <v>46575</v>
      </c>
      <c r="B485" s="181">
        <v>471</v>
      </c>
      <c r="C485" s="182">
        <f t="shared" ca="1" si="86"/>
        <v>37662.200839689394</v>
      </c>
      <c r="D485" s="182">
        <f t="shared" ca="1" si="87"/>
        <v>25.108133893126261</v>
      </c>
      <c r="E485" s="182">
        <v>0</v>
      </c>
      <c r="F485" s="182">
        <f t="shared" ca="1" si="80"/>
        <v>0</v>
      </c>
      <c r="G485" s="182">
        <f t="shared" ca="1" si="88"/>
        <v>0</v>
      </c>
      <c r="H485" s="182">
        <f t="shared" ca="1" si="89"/>
        <v>37687.30897358252</v>
      </c>
      <c r="I485" s="183">
        <v>0</v>
      </c>
      <c r="J485" s="263">
        <f t="shared" ca="1" si="79"/>
        <v>37687.30897358252</v>
      </c>
      <c r="K485" s="182">
        <f t="shared" ca="1" si="81"/>
        <v>70</v>
      </c>
      <c r="L485" s="182">
        <f t="shared" ca="1" si="82"/>
        <v>11087.308973582518</v>
      </c>
      <c r="M485" s="182">
        <f t="shared" ca="1" si="83"/>
        <v>8400</v>
      </c>
      <c r="N485" s="182">
        <f t="shared" ca="1" si="84"/>
        <v>44057.308973582403</v>
      </c>
      <c r="O485" s="182"/>
    </row>
    <row r="486" spans="1:15" x14ac:dyDescent="0.25">
      <c r="A486" s="180">
        <f t="shared" ca="1" si="85"/>
        <v>46576</v>
      </c>
      <c r="B486" s="181">
        <v>472</v>
      </c>
      <c r="C486" s="182">
        <f t="shared" ca="1" si="86"/>
        <v>37687.30897358252</v>
      </c>
      <c r="D486" s="182">
        <f t="shared" ca="1" si="87"/>
        <v>25.124872649055014</v>
      </c>
      <c r="E486" s="182">
        <v>0</v>
      </c>
      <c r="F486" s="182">
        <f t="shared" ca="1" si="80"/>
        <v>0</v>
      </c>
      <c r="G486" s="182">
        <f t="shared" ca="1" si="88"/>
        <v>0</v>
      </c>
      <c r="H486" s="182">
        <f t="shared" ca="1" si="89"/>
        <v>37712.433846231572</v>
      </c>
      <c r="I486" s="183">
        <v>0</v>
      </c>
      <c r="J486" s="263">
        <f t="shared" ca="1" si="79"/>
        <v>37712.433846231572</v>
      </c>
      <c r="K486" s="182">
        <f t="shared" ca="1" si="81"/>
        <v>70</v>
      </c>
      <c r="L486" s="182">
        <f t="shared" ca="1" si="82"/>
        <v>11112.433846231574</v>
      </c>
      <c r="M486" s="182">
        <f t="shared" ca="1" si="83"/>
        <v>8400</v>
      </c>
      <c r="N486" s="182">
        <f t="shared" ca="1" si="84"/>
        <v>44152.433846231455</v>
      </c>
      <c r="O486" s="182"/>
    </row>
    <row r="487" spans="1:15" x14ac:dyDescent="0.25">
      <c r="A487" s="180">
        <f t="shared" ca="1" si="85"/>
        <v>46577</v>
      </c>
      <c r="B487" s="181">
        <v>473</v>
      </c>
      <c r="C487" s="182">
        <f t="shared" ca="1" si="86"/>
        <v>37712.433846231572</v>
      </c>
      <c r="D487" s="182">
        <f t="shared" ca="1" si="87"/>
        <v>25.141622564154382</v>
      </c>
      <c r="E487" s="182">
        <v>0</v>
      </c>
      <c r="F487" s="182">
        <f t="shared" ca="1" si="80"/>
        <v>0</v>
      </c>
      <c r="G487" s="182">
        <f t="shared" ca="1" si="88"/>
        <v>0</v>
      </c>
      <c r="H487" s="182">
        <f t="shared" ca="1" si="89"/>
        <v>37737.575468795723</v>
      </c>
      <c r="I487" s="183">
        <v>0</v>
      </c>
      <c r="J487" s="263">
        <f t="shared" ca="1" si="79"/>
        <v>37737.575468795723</v>
      </c>
      <c r="K487" s="182">
        <f t="shared" ca="1" si="81"/>
        <v>70</v>
      </c>
      <c r="L487" s="182">
        <f t="shared" ca="1" si="82"/>
        <v>11137.575468795729</v>
      </c>
      <c r="M487" s="182">
        <f t="shared" ca="1" si="83"/>
        <v>8400</v>
      </c>
      <c r="N487" s="182">
        <f t="shared" ca="1" si="84"/>
        <v>44247.575468795607</v>
      </c>
      <c r="O487" s="182"/>
    </row>
    <row r="488" spans="1:15" x14ac:dyDescent="0.25">
      <c r="A488" s="180">
        <f t="shared" ca="1" si="85"/>
        <v>46578</v>
      </c>
      <c r="B488" s="181">
        <v>474</v>
      </c>
      <c r="C488" s="182">
        <f t="shared" ca="1" si="86"/>
        <v>37737.575468795723</v>
      </c>
      <c r="D488" s="182">
        <f t="shared" ca="1" si="87"/>
        <v>25.158383645863815</v>
      </c>
      <c r="E488" s="182">
        <v>0</v>
      </c>
      <c r="F488" s="182">
        <f t="shared" ca="1" si="80"/>
        <v>0</v>
      </c>
      <c r="G488" s="182">
        <f t="shared" ca="1" si="88"/>
        <v>0</v>
      </c>
      <c r="H488" s="182">
        <f t="shared" ca="1" si="89"/>
        <v>37762.73385244159</v>
      </c>
      <c r="I488" s="183">
        <v>0</v>
      </c>
      <c r="J488" s="263">
        <f t="shared" ca="1" si="79"/>
        <v>37762.73385244159</v>
      </c>
      <c r="K488" s="182">
        <f t="shared" ca="1" si="81"/>
        <v>70</v>
      </c>
      <c r="L488" s="182">
        <f t="shared" ca="1" si="82"/>
        <v>11162.733852441592</v>
      </c>
      <c r="M488" s="182">
        <f t="shared" ca="1" si="83"/>
        <v>8400</v>
      </c>
      <c r="N488" s="182">
        <f t="shared" ca="1" si="84"/>
        <v>44342.733852441474</v>
      </c>
      <c r="O488" s="182"/>
    </row>
    <row r="489" spans="1:15" x14ac:dyDescent="0.25">
      <c r="A489" s="180">
        <f t="shared" ca="1" si="85"/>
        <v>46579</v>
      </c>
      <c r="B489" s="181">
        <v>475</v>
      </c>
      <c r="C489" s="182">
        <f t="shared" ca="1" si="86"/>
        <v>37762.73385244159</v>
      </c>
      <c r="D489" s="182">
        <f t="shared" ca="1" si="87"/>
        <v>25.175155901627726</v>
      </c>
      <c r="E489" s="182">
        <v>0</v>
      </c>
      <c r="F489" s="182">
        <f t="shared" ca="1" si="80"/>
        <v>0</v>
      </c>
      <c r="G489" s="182">
        <f t="shared" ca="1" si="88"/>
        <v>0</v>
      </c>
      <c r="H489" s="182">
        <f t="shared" ca="1" si="89"/>
        <v>37787.909008343217</v>
      </c>
      <c r="I489" s="183">
        <v>0</v>
      </c>
      <c r="J489" s="263">
        <f t="shared" ca="1" si="79"/>
        <v>37787.909008343217</v>
      </c>
      <c r="K489" s="182">
        <f t="shared" ca="1" si="81"/>
        <v>70</v>
      </c>
      <c r="L489" s="182">
        <f t="shared" ca="1" si="82"/>
        <v>11187.90900834322</v>
      </c>
      <c r="M489" s="182">
        <f t="shared" ca="1" si="83"/>
        <v>8400</v>
      </c>
      <c r="N489" s="182">
        <f t="shared" ca="1" si="84"/>
        <v>44437.9090083431</v>
      </c>
      <c r="O489" s="182"/>
    </row>
    <row r="490" spans="1:15" x14ac:dyDescent="0.25">
      <c r="A490" s="180">
        <f t="shared" ca="1" si="85"/>
        <v>46580</v>
      </c>
      <c r="B490" s="181">
        <v>476</v>
      </c>
      <c r="C490" s="182">
        <f t="shared" ca="1" si="86"/>
        <v>37787.909008343217</v>
      </c>
      <c r="D490" s="182">
        <f t="shared" ca="1" si="87"/>
        <v>25.191939338895477</v>
      </c>
      <c r="E490" s="182">
        <v>0</v>
      </c>
      <c r="F490" s="182">
        <f t="shared" ca="1" si="80"/>
        <v>0</v>
      </c>
      <c r="G490" s="182">
        <f t="shared" ca="1" si="88"/>
        <v>0</v>
      </c>
      <c r="H490" s="182">
        <f t="shared" ca="1" si="89"/>
        <v>37813.100947682113</v>
      </c>
      <c r="I490" s="183">
        <v>0</v>
      </c>
      <c r="J490" s="263">
        <f t="shared" ca="1" si="79"/>
        <v>37813.100947682113</v>
      </c>
      <c r="K490" s="182">
        <f t="shared" ca="1" si="81"/>
        <v>70</v>
      </c>
      <c r="L490" s="182">
        <f t="shared" ca="1" si="82"/>
        <v>11213.100947682116</v>
      </c>
      <c r="M490" s="182">
        <f t="shared" ca="1" si="83"/>
        <v>8400</v>
      </c>
      <c r="N490" s="182">
        <f t="shared" ca="1" si="84"/>
        <v>44533.100947681996</v>
      </c>
      <c r="O490" s="182"/>
    </row>
    <row r="491" spans="1:15" x14ac:dyDescent="0.25">
      <c r="A491" s="180">
        <f t="shared" ca="1" si="85"/>
        <v>46581</v>
      </c>
      <c r="B491" s="181">
        <v>477</v>
      </c>
      <c r="C491" s="182">
        <f t="shared" ca="1" si="86"/>
        <v>37813.100947682113</v>
      </c>
      <c r="D491" s="182">
        <f t="shared" ca="1" si="87"/>
        <v>25.208733965121407</v>
      </c>
      <c r="E491" s="182">
        <v>0</v>
      </c>
      <c r="F491" s="182">
        <f t="shared" ca="1" si="80"/>
        <v>0</v>
      </c>
      <c r="G491" s="182">
        <f t="shared" ca="1" si="88"/>
        <v>0</v>
      </c>
      <c r="H491" s="182">
        <f t="shared" ca="1" si="89"/>
        <v>37838.309681647232</v>
      </c>
      <c r="I491" s="183">
        <v>0</v>
      </c>
      <c r="J491" s="263">
        <f t="shared" ca="1" si="79"/>
        <v>37838.309681647232</v>
      </c>
      <c r="K491" s="182">
        <f t="shared" ca="1" si="81"/>
        <v>70</v>
      </c>
      <c r="L491" s="182">
        <f t="shared" ca="1" si="82"/>
        <v>11238.309681647237</v>
      </c>
      <c r="M491" s="182">
        <f t="shared" ca="1" si="83"/>
        <v>8400</v>
      </c>
      <c r="N491" s="182">
        <f t="shared" ca="1" si="84"/>
        <v>44628.309681647115</v>
      </c>
      <c r="O491" s="182"/>
    </row>
    <row r="492" spans="1:15" x14ac:dyDescent="0.25">
      <c r="A492" s="180">
        <f t="shared" ca="1" si="85"/>
        <v>46582</v>
      </c>
      <c r="B492" s="181">
        <v>478</v>
      </c>
      <c r="C492" s="182">
        <f t="shared" ca="1" si="86"/>
        <v>37838.309681647232</v>
      </c>
      <c r="D492" s="182">
        <f t="shared" ca="1" si="87"/>
        <v>25.22553978776482</v>
      </c>
      <c r="E492" s="182">
        <v>0</v>
      </c>
      <c r="F492" s="182">
        <f t="shared" ref="F492:F555" ca="1" si="90">IFERROR(-VLOOKUP(A492,$P$4:$R$31,2,FALSE),0)</f>
        <v>0</v>
      </c>
      <c r="G492" s="182">
        <f t="shared" ca="1" si="88"/>
        <v>0</v>
      </c>
      <c r="H492" s="182">
        <f t="shared" ca="1" si="89"/>
        <v>37863.535221434999</v>
      </c>
      <c r="I492" s="183">
        <v>0</v>
      </c>
      <c r="J492" s="263">
        <f t="shared" ca="1" si="79"/>
        <v>37863.535221434999</v>
      </c>
      <c r="K492" s="182">
        <f t="shared" ca="1" si="81"/>
        <v>70</v>
      </c>
      <c r="L492" s="182">
        <f t="shared" ca="1" si="82"/>
        <v>11263.535221435002</v>
      </c>
      <c r="M492" s="182">
        <f t="shared" ca="1" si="83"/>
        <v>8400</v>
      </c>
      <c r="N492" s="182">
        <f t="shared" ca="1" si="84"/>
        <v>44723.535221434882</v>
      </c>
      <c r="O492" s="182"/>
    </row>
    <row r="493" spans="1:15" x14ac:dyDescent="0.25">
      <c r="A493" s="180">
        <f t="shared" ca="1" si="85"/>
        <v>46583</v>
      </c>
      <c r="B493" s="181">
        <v>479</v>
      </c>
      <c r="C493" s="182">
        <f t="shared" ca="1" si="86"/>
        <v>37863.535221434999</v>
      </c>
      <c r="D493" s="182">
        <f t="shared" ca="1" si="87"/>
        <v>25.242356814289998</v>
      </c>
      <c r="E493" s="182">
        <v>0</v>
      </c>
      <c r="F493" s="182">
        <f t="shared" ca="1" si="90"/>
        <v>0</v>
      </c>
      <c r="G493" s="182">
        <f t="shared" ca="1" si="88"/>
        <v>0</v>
      </c>
      <c r="H493" s="182">
        <f t="shared" ca="1" si="89"/>
        <v>37888.77757824929</v>
      </c>
      <c r="I493" s="183">
        <v>0</v>
      </c>
      <c r="J493" s="263">
        <f t="shared" ca="1" si="79"/>
        <v>37888.77757824929</v>
      </c>
      <c r="K493" s="182">
        <f t="shared" ca="1" si="81"/>
        <v>70</v>
      </c>
      <c r="L493" s="182">
        <f t="shared" ca="1" si="82"/>
        <v>11288.777578249292</v>
      </c>
      <c r="M493" s="182">
        <f t="shared" ca="1" si="83"/>
        <v>8400</v>
      </c>
      <c r="N493" s="182">
        <f t="shared" ca="1" si="84"/>
        <v>44818.777578249174</v>
      </c>
      <c r="O493" s="182"/>
    </row>
    <row r="494" spans="1:15" x14ac:dyDescent="0.25">
      <c r="A494" s="180">
        <f t="shared" ca="1" si="85"/>
        <v>46584</v>
      </c>
      <c r="B494" s="181">
        <v>480</v>
      </c>
      <c r="C494" s="182">
        <f t="shared" ca="1" si="86"/>
        <v>37888.77757824929</v>
      </c>
      <c r="D494" s="182">
        <f t="shared" ca="1" si="87"/>
        <v>25.259185052166192</v>
      </c>
      <c r="E494" s="182">
        <v>0</v>
      </c>
      <c r="F494" s="182">
        <f t="shared" ca="1" si="90"/>
        <v>0</v>
      </c>
      <c r="G494" s="182">
        <f t="shared" ca="1" si="88"/>
        <v>0</v>
      </c>
      <c r="H494" s="182">
        <f t="shared" ca="1" si="89"/>
        <v>37914.036763301454</v>
      </c>
      <c r="I494" s="183">
        <v>0</v>
      </c>
      <c r="J494" s="263">
        <f t="shared" ca="1" si="79"/>
        <v>37914.036763301454</v>
      </c>
      <c r="K494" s="182">
        <f t="shared" ca="1" si="81"/>
        <v>70</v>
      </c>
      <c r="L494" s="182">
        <f t="shared" ca="1" si="82"/>
        <v>11314.036763301458</v>
      </c>
      <c r="M494" s="182">
        <f t="shared" ca="1" si="83"/>
        <v>8400</v>
      </c>
      <c r="N494" s="182">
        <f t="shared" ca="1" si="84"/>
        <v>44914.036763301337</v>
      </c>
      <c r="O494" s="182"/>
    </row>
    <row r="495" spans="1:15" x14ac:dyDescent="0.25">
      <c r="A495" s="180">
        <f t="shared" ca="1" si="85"/>
        <v>46585</v>
      </c>
      <c r="B495" s="181">
        <v>481</v>
      </c>
      <c r="C495" s="182">
        <f t="shared" ca="1" si="86"/>
        <v>37914.036763301454</v>
      </c>
      <c r="D495" s="182">
        <f t="shared" ca="1" si="87"/>
        <v>25.276024508867636</v>
      </c>
      <c r="E495" s="182">
        <v>0</v>
      </c>
      <c r="F495" s="182">
        <f t="shared" ca="1" si="90"/>
        <v>0</v>
      </c>
      <c r="G495" s="182">
        <f t="shared" ca="1" si="88"/>
        <v>0</v>
      </c>
      <c r="H495" s="182">
        <f t="shared" ca="1" si="89"/>
        <v>37939.312787810319</v>
      </c>
      <c r="I495" s="183">
        <v>0</v>
      </c>
      <c r="J495" s="263">
        <f t="shared" ca="1" si="79"/>
        <v>37939.312787810319</v>
      </c>
      <c r="K495" s="182">
        <f t="shared" ca="1" si="81"/>
        <v>70</v>
      </c>
      <c r="L495" s="182">
        <f t="shared" ca="1" si="82"/>
        <v>11339.312787810326</v>
      </c>
      <c r="M495" s="182">
        <f t="shared" ca="1" si="83"/>
        <v>8400</v>
      </c>
      <c r="N495" s="182">
        <f t="shared" ca="1" si="84"/>
        <v>45009.312787810202</v>
      </c>
      <c r="O495" s="182"/>
    </row>
    <row r="496" spans="1:15" x14ac:dyDescent="0.25">
      <c r="A496" s="180">
        <f t="shared" ca="1" si="85"/>
        <v>46586</v>
      </c>
      <c r="B496" s="181">
        <v>482</v>
      </c>
      <c r="C496" s="182">
        <f t="shared" ca="1" si="86"/>
        <v>37939.312787810319</v>
      </c>
      <c r="D496" s="182">
        <f t="shared" ca="1" si="87"/>
        <v>25.292875191873545</v>
      </c>
      <c r="E496" s="182">
        <v>0</v>
      </c>
      <c r="F496" s="182">
        <f t="shared" ca="1" si="90"/>
        <v>0</v>
      </c>
      <c r="G496" s="182">
        <f t="shared" ca="1" si="88"/>
        <v>0</v>
      </c>
      <c r="H496" s="182">
        <f t="shared" ca="1" si="89"/>
        <v>37964.605663002192</v>
      </c>
      <c r="I496" s="183">
        <v>0</v>
      </c>
      <c r="J496" s="263">
        <f t="shared" ca="1" si="79"/>
        <v>37964.605663002192</v>
      </c>
      <c r="K496" s="182">
        <f t="shared" ca="1" si="81"/>
        <v>70</v>
      </c>
      <c r="L496" s="182">
        <f t="shared" ca="1" si="82"/>
        <v>11364.605663002199</v>
      </c>
      <c r="M496" s="182">
        <f t="shared" ca="1" si="83"/>
        <v>8400</v>
      </c>
      <c r="N496" s="182">
        <f t="shared" ca="1" si="84"/>
        <v>45104.605663002076</v>
      </c>
      <c r="O496" s="182"/>
    </row>
    <row r="497" spans="1:15" x14ac:dyDescent="0.25">
      <c r="A497" s="180">
        <f t="shared" ca="1" si="85"/>
        <v>46587</v>
      </c>
      <c r="B497" s="181">
        <v>483</v>
      </c>
      <c r="C497" s="182">
        <f t="shared" ca="1" si="86"/>
        <v>37964.605663002192</v>
      </c>
      <c r="D497" s="182">
        <f t="shared" ca="1" si="87"/>
        <v>25.309737108668127</v>
      </c>
      <c r="E497" s="182">
        <v>0</v>
      </c>
      <c r="F497" s="182">
        <f t="shared" ca="1" si="90"/>
        <v>0</v>
      </c>
      <c r="G497" s="182">
        <f t="shared" ca="1" si="88"/>
        <v>0</v>
      </c>
      <c r="H497" s="182">
        <f t="shared" ca="1" si="89"/>
        <v>37989.915400110862</v>
      </c>
      <c r="I497" s="183">
        <v>0</v>
      </c>
      <c r="J497" s="263">
        <f t="shared" ca="1" si="79"/>
        <v>37989.915400110862</v>
      </c>
      <c r="K497" s="182">
        <f t="shared" ca="1" si="81"/>
        <v>70</v>
      </c>
      <c r="L497" s="182">
        <f t="shared" ca="1" si="82"/>
        <v>11389.915400110867</v>
      </c>
      <c r="M497" s="182">
        <f t="shared" ca="1" si="83"/>
        <v>8400</v>
      </c>
      <c r="N497" s="182">
        <f t="shared" ca="1" si="84"/>
        <v>45199.915400110745</v>
      </c>
      <c r="O497" s="182"/>
    </row>
    <row r="498" spans="1:15" x14ac:dyDescent="0.25">
      <c r="A498" s="180">
        <f t="shared" ca="1" si="85"/>
        <v>46588</v>
      </c>
      <c r="B498" s="181">
        <v>484</v>
      </c>
      <c r="C498" s="182">
        <f t="shared" ca="1" si="86"/>
        <v>37989.915400110862</v>
      </c>
      <c r="D498" s="182">
        <f t="shared" ca="1" si="87"/>
        <v>25.326610266740573</v>
      </c>
      <c r="E498" s="182">
        <v>0</v>
      </c>
      <c r="F498" s="182">
        <f t="shared" ca="1" si="90"/>
        <v>0</v>
      </c>
      <c r="G498" s="182">
        <f t="shared" ca="1" si="88"/>
        <v>0</v>
      </c>
      <c r="H498" s="182">
        <f t="shared" ca="1" si="89"/>
        <v>38015.242010377602</v>
      </c>
      <c r="I498" s="183">
        <v>0</v>
      </c>
      <c r="J498" s="263">
        <f t="shared" ca="1" si="79"/>
        <v>38015.242010377602</v>
      </c>
      <c r="K498" s="182">
        <f t="shared" ca="1" si="81"/>
        <v>70</v>
      </c>
      <c r="L498" s="182">
        <f t="shared" ca="1" si="82"/>
        <v>11415.242010377608</v>
      </c>
      <c r="M498" s="182">
        <f t="shared" ca="1" si="83"/>
        <v>8400</v>
      </c>
      <c r="N498" s="182">
        <f t="shared" ca="1" si="84"/>
        <v>45295.242010377486</v>
      </c>
      <c r="O498" s="182"/>
    </row>
    <row r="499" spans="1:15" x14ac:dyDescent="0.25">
      <c r="A499" s="180">
        <f t="shared" ca="1" si="85"/>
        <v>46589</v>
      </c>
      <c r="B499" s="181">
        <v>485</v>
      </c>
      <c r="C499" s="182">
        <f t="shared" ca="1" si="86"/>
        <v>38015.242010377602</v>
      </c>
      <c r="D499" s="182">
        <f t="shared" ca="1" si="87"/>
        <v>25.343494673585067</v>
      </c>
      <c r="E499" s="182">
        <v>0</v>
      </c>
      <c r="F499" s="182">
        <f t="shared" ca="1" si="90"/>
        <v>0</v>
      </c>
      <c r="G499" s="182">
        <f t="shared" ca="1" si="88"/>
        <v>0</v>
      </c>
      <c r="H499" s="182">
        <f t="shared" ca="1" si="89"/>
        <v>38040.585505051189</v>
      </c>
      <c r="I499" s="183">
        <v>0</v>
      </c>
      <c r="J499" s="263">
        <f t="shared" ca="1" si="79"/>
        <v>38040.585505051189</v>
      </c>
      <c r="K499" s="182">
        <f t="shared" ca="1" si="81"/>
        <v>70</v>
      </c>
      <c r="L499" s="182">
        <f t="shared" ca="1" si="82"/>
        <v>11440.585505051193</v>
      </c>
      <c r="M499" s="182">
        <f t="shared" ca="1" si="83"/>
        <v>8400</v>
      </c>
      <c r="N499" s="182">
        <f t="shared" ca="1" si="84"/>
        <v>45390.585505051073</v>
      </c>
      <c r="O499" s="182"/>
    </row>
    <row r="500" spans="1:15" x14ac:dyDescent="0.25">
      <c r="A500" s="180">
        <f t="shared" ca="1" si="85"/>
        <v>46590</v>
      </c>
      <c r="B500" s="181">
        <v>486</v>
      </c>
      <c r="C500" s="182">
        <f t="shared" ca="1" si="86"/>
        <v>38040.585505051189</v>
      </c>
      <c r="D500" s="182">
        <f t="shared" ca="1" si="87"/>
        <v>25.360390336700792</v>
      </c>
      <c r="E500" s="182">
        <v>0</v>
      </c>
      <c r="F500" s="182">
        <f t="shared" ca="1" si="90"/>
        <v>0</v>
      </c>
      <c r="G500" s="182">
        <f t="shared" ca="1" si="88"/>
        <v>0</v>
      </c>
      <c r="H500" s="182">
        <f t="shared" ca="1" si="89"/>
        <v>38065.945895387893</v>
      </c>
      <c r="I500" s="183">
        <v>0</v>
      </c>
      <c r="J500" s="263">
        <f t="shared" ca="1" si="79"/>
        <v>38065.945895387893</v>
      </c>
      <c r="K500" s="182">
        <f t="shared" ca="1" si="81"/>
        <v>70</v>
      </c>
      <c r="L500" s="182">
        <f t="shared" ca="1" si="82"/>
        <v>11465.945895387893</v>
      </c>
      <c r="M500" s="182">
        <f t="shared" ca="1" si="83"/>
        <v>8400</v>
      </c>
      <c r="N500" s="182">
        <f t="shared" ca="1" si="84"/>
        <v>45485.945895387777</v>
      </c>
      <c r="O500" s="182"/>
    </row>
    <row r="501" spans="1:15" x14ac:dyDescent="0.25">
      <c r="A501" s="180">
        <f t="shared" ca="1" si="85"/>
        <v>46591</v>
      </c>
      <c r="B501" s="181">
        <v>487</v>
      </c>
      <c r="C501" s="182">
        <f t="shared" ca="1" si="86"/>
        <v>38065.945895387893</v>
      </c>
      <c r="D501" s="182">
        <f t="shared" ca="1" si="87"/>
        <v>25.377297263591927</v>
      </c>
      <c r="E501" s="182">
        <v>0</v>
      </c>
      <c r="F501" s="182">
        <f t="shared" ca="1" si="90"/>
        <v>0</v>
      </c>
      <c r="G501" s="182">
        <f t="shared" ca="1" si="88"/>
        <v>0</v>
      </c>
      <c r="H501" s="182">
        <f t="shared" ca="1" si="89"/>
        <v>38091.323192651485</v>
      </c>
      <c r="I501" s="183">
        <v>0</v>
      </c>
      <c r="J501" s="263">
        <f t="shared" ca="1" si="79"/>
        <v>38091.323192651485</v>
      </c>
      <c r="K501" s="182">
        <f t="shared" ca="1" si="81"/>
        <v>70</v>
      </c>
      <c r="L501" s="182">
        <f t="shared" ca="1" si="82"/>
        <v>11491.323192651485</v>
      </c>
      <c r="M501" s="182">
        <f t="shared" ca="1" si="83"/>
        <v>8400</v>
      </c>
      <c r="N501" s="182">
        <f t="shared" ca="1" si="84"/>
        <v>45581.323192651369</v>
      </c>
      <c r="O501" s="182"/>
    </row>
    <row r="502" spans="1:15" x14ac:dyDescent="0.25">
      <c r="A502" s="180">
        <f t="shared" ca="1" si="85"/>
        <v>46592</v>
      </c>
      <c r="B502" s="181">
        <v>488</v>
      </c>
      <c r="C502" s="182">
        <f t="shared" ca="1" si="86"/>
        <v>38091.323192651485</v>
      </c>
      <c r="D502" s="182">
        <f t="shared" ca="1" si="87"/>
        <v>25.394215461767658</v>
      </c>
      <c r="E502" s="182">
        <v>0</v>
      </c>
      <c r="F502" s="182">
        <f t="shared" ca="1" si="90"/>
        <v>0</v>
      </c>
      <c r="G502" s="182">
        <f t="shared" ca="1" si="88"/>
        <v>0</v>
      </c>
      <c r="H502" s="182">
        <f t="shared" ca="1" si="89"/>
        <v>38116.717408113254</v>
      </c>
      <c r="I502" s="183">
        <v>0</v>
      </c>
      <c r="J502" s="263">
        <f t="shared" ca="1" si="79"/>
        <v>38116.717408113254</v>
      </c>
      <c r="K502" s="182">
        <f t="shared" ca="1" si="81"/>
        <v>70</v>
      </c>
      <c r="L502" s="182">
        <f t="shared" ca="1" si="82"/>
        <v>11516.717408113253</v>
      </c>
      <c r="M502" s="182">
        <f t="shared" ca="1" si="83"/>
        <v>8400</v>
      </c>
      <c r="N502" s="182">
        <f t="shared" ca="1" si="84"/>
        <v>45676.717408113138</v>
      </c>
      <c r="O502" s="182"/>
    </row>
    <row r="503" spans="1:15" x14ac:dyDescent="0.25">
      <c r="A503" s="180">
        <f t="shared" ca="1" si="85"/>
        <v>46593</v>
      </c>
      <c r="B503" s="181">
        <v>489</v>
      </c>
      <c r="C503" s="182">
        <f t="shared" ca="1" si="86"/>
        <v>38116.717408113254</v>
      </c>
      <c r="D503" s="182">
        <f t="shared" ca="1" si="87"/>
        <v>25.411144938742169</v>
      </c>
      <c r="E503" s="182">
        <v>0</v>
      </c>
      <c r="F503" s="182">
        <f t="shared" ca="1" si="90"/>
        <v>0</v>
      </c>
      <c r="G503" s="182">
        <f t="shared" ca="1" si="88"/>
        <v>0</v>
      </c>
      <c r="H503" s="182">
        <f t="shared" ca="1" si="89"/>
        <v>38142.128553051996</v>
      </c>
      <c r="I503" s="183">
        <v>0</v>
      </c>
      <c r="J503" s="263">
        <f t="shared" ca="1" si="79"/>
        <v>38142.128553051996</v>
      </c>
      <c r="K503" s="182">
        <f t="shared" ca="1" si="81"/>
        <v>70</v>
      </c>
      <c r="L503" s="182">
        <f t="shared" ca="1" si="82"/>
        <v>11542.128553051994</v>
      </c>
      <c r="M503" s="182">
        <f t="shared" ca="1" si="83"/>
        <v>8400</v>
      </c>
      <c r="N503" s="182">
        <f t="shared" ca="1" si="84"/>
        <v>45772.12855305188</v>
      </c>
      <c r="O503" s="182"/>
    </row>
    <row r="504" spans="1:15" x14ac:dyDescent="0.25">
      <c r="A504" s="180">
        <f t="shared" ca="1" si="85"/>
        <v>46594</v>
      </c>
      <c r="B504" s="181">
        <v>490</v>
      </c>
      <c r="C504" s="182">
        <f t="shared" ca="1" si="86"/>
        <v>38142.128553051996</v>
      </c>
      <c r="D504" s="182">
        <f t="shared" ca="1" si="87"/>
        <v>25.428085702034664</v>
      </c>
      <c r="E504" s="182">
        <v>0</v>
      </c>
      <c r="F504" s="182">
        <f t="shared" ca="1" si="90"/>
        <v>0</v>
      </c>
      <c r="G504" s="182">
        <f t="shared" ca="1" si="88"/>
        <v>0</v>
      </c>
      <c r="H504" s="182">
        <f t="shared" ca="1" si="89"/>
        <v>38167.556638754031</v>
      </c>
      <c r="I504" s="183">
        <v>0</v>
      </c>
      <c r="J504" s="263">
        <f t="shared" ca="1" si="79"/>
        <v>38167.556638754031</v>
      </c>
      <c r="K504" s="182">
        <f t="shared" ca="1" si="81"/>
        <v>70</v>
      </c>
      <c r="L504" s="182">
        <f t="shared" ca="1" si="82"/>
        <v>11567.556638754029</v>
      </c>
      <c r="M504" s="182">
        <f t="shared" ca="1" si="83"/>
        <v>8400</v>
      </c>
      <c r="N504" s="182">
        <f t="shared" ca="1" si="84"/>
        <v>45867.556638753915</v>
      </c>
      <c r="O504" s="182"/>
    </row>
    <row r="505" spans="1:15" x14ac:dyDescent="0.25">
      <c r="A505" s="180">
        <f t="shared" ca="1" si="85"/>
        <v>46595</v>
      </c>
      <c r="B505" s="181">
        <v>491</v>
      </c>
      <c r="C505" s="182">
        <f t="shared" ca="1" si="86"/>
        <v>38167.556638754031</v>
      </c>
      <c r="D505" s="182">
        <f t="shared" ca="1" si="87"/>
        <v>25.445037759169352</v>
      </c>
      <c r="E505" s="182">
        <v>0</v>
      </c>
      <c r="F505" s="182">
        <f t="shared" ca="1" si="90"/>
        <v>0</v>
      </c>
      <c r="G505" s="182">
        <f t="shared" ca="1" si="88"/>
        <v>0</v>
      </c>
      <c r="H505" s="182">
        <f t="shared" ca="1" si="89"/>
        <v>38193.001676513202</v>
      </c>
      <c r="I505" s="183">
        <v>0</v>
      </c>
      <c r="J505" s="263">
        <f t="shared" ca="1" si="79"/>
        <v>38193.001676513202</v>
      </c>
      <c r="K505" s="182">
        <f t="shared" ca="1" si="81"/>
        <v>70</v>
      </c>
      <c r="L505" s="182">
        <f t="shared" ca="1" si="82"/>
        <v>11593.001676513199</v>
      </c>
      <c r="M505" s="182">
        <f t="shared" ca="1" si="83"/>
        <v>8400</v>
      </c>
      <c r="N505" s="182">
        <f t="shared" ca="1" si="84"/>
        <v>45963.001676513086</v>
      </c>
      <c r="O505" s="182"/>
    </row>
    <row r="506" spans="1:15" x14ac:dyDescent="0.25">
      <c r="A506" s="180">
        <f t="shared" ca="1" si="85"/>
        <v>46596</v>
      </c>
      <c r="B506" s="181">
        <v>492</v>
      </c>
      <c r="C506" s="182">
        <f t="shared" ca="1" si="86"/>
        <v>38193.001676513202</v>
      </c>
      <c r="D506" s="182">
        <f t="shared" ca="1" si="87"/>
        <v>25.462001117675467</v>
      </c>
      <c r="E506" s="182">
        <v>0</v>
      </c>
      <c r="F506" s="182">
        <f t="shared" ca="1" si="90"/>
        <v>0</v>
      </c>
      <c r="G506" s="182">
        <f t="shared" ca="1" si="88"/>
        <v>0</v>
      </c>
      <c r="H506" s="182">
        <f t="shared" ca="1" si="89"/>
        <v>38218.463677630876</v>
      </c>
      <c r="I506" s="183">
        <v>0</v>
      </c>
      <c r="J506" s="263">
        <f t="shared" ca="1" si="79"/>
        <v>38218.463677630876</v>
      </c>
      <c r="K506" s="182">
        <f t="shared" ca="1" si="81"/>
        <v>70</v>
      </c>
      <c r="L506" s="182">
        <f t="shared" ca="1" si="82"/>
        <v>11618.463677630874</v>
      </c>
      <c r="M506" s="182">
        <f t="shared" ca="1" si="83"/>
        <v>8400</v>
      </c>
      <c r="N506" s="182">
        <f t="shared" ca="1" si="84"/>
        <v>46058.46367763076</v>
      </c>
      <c r="O506" s="182"/>
    </row>
    <row r="507" spans="1:15" x14ac:dyDescent="0.25">
      <c r="A507" s="180">
        <f t="shared" ca="1" si="85"/>
        <v>46597</v>
      </c>
      <c r="B507" s="181">
        <v>493</v>
      </c>
      <c r="C507" s="182">
        <f t="shared" ca="1" si="86"/>
        <v>38218.463677630876</v>
      </c>
      <c r="D507" s="182">
        <f t="shared" ca="1" si="87"/>
        <v>25.47897578508725</v>
      </c>
      <c r="E507" s="182">
        <v>0</v>
      </c>
      <c r="F507" s="182">
        <f t="shared" ca="1" si="90"/>
        <v>0</v>
      </c>
      <c r="G507" s="182">
        <f t="shared" ca="1" si="88"/>
        <v>0</v>
      </c>
      <c r="H507" s="182">
        <f t="shared" ca="1" si="89"/>
        <v>38243.942653415965</v>
      </c>
      <c r="I507" s="183">
        <v>0</v>
      </c>
      <c r="J507" s="263">
        <f t="shared" ca="1" si="79"/>
        <v>38243.942653415965</v>
      </c>
      <c r="K507" s="182">
        <f t="shared" ca="1" si="81"/>
        <v>70</v>
      </c>
      <c r="L507" s="182">
        <f t="shared" ca="1" si="82"/>
        <v>11643.942653415961</v>
      </c>
      <c r="M507" s="182">
        <f t="shared" ca="1" si="83"/>
        <v>8400</v>
      </c>
      <c r="N507" s="182">
        <f t="shared" ca="1" si="84"/>
        <v>46153.942653415848</v>
      </c>
      <c r="O507" s="182"/>
    </row>
    <row r="508" spans="1:15" x14ac:dyDescent="0.25">
      <c r="A508" s="180">
        <f t="shared" ca="1" si="85"/>
        <v>46598</v>
      </c>
      <c r="B508" s="181">
        <v>494</v>
      </c>
      <c r="C508" s="182">
        <f t="shared" ca="1" si="86"/>
        <v>38243.942653415965</v>
      </c>
      <c r="D508" s="182">
        <f t="shared" ca="1" si="87"/>
        <v>25.495961768943975</v>
      </c>
      <c r="E508" s="182">
        <v>0</v>
      </c>
      <c r="F508" s="182">
        <f t="shared" ca="1" si="90"/>
        <v>0</v>
      </c>
      <c r="G508" s="182">
        <f t="shared" ca="1" si="88"/>
        <v>0</v>
      </c>
      <c r="H508" s="182">
        <f t="shared" ca="1" si="89"/>
        <v>38269.43861518491</v>
      </c>
      <c r="I508" s="183">
        <v>0</v>
      </c>
      <c r="J508" s="263">
        <f t="shared" ca="1" si="79"/>
        <v>38269.43861518491</v>
      </c>
      <c r="K508" s="182">
        <f t="shared" ca="1" si="81"/>
        <v>70</v>
      </c>
      <c r="L508" s="182">
        <f t="shared" ca="1" si="82"/>
        <v>11669.438615184905</v>
      </c>
      <c r="M508" s="182">
        <f t="shared" ca="1" si="83"/>
        <v>8400</v>
      </c>
      <c r="N508" s="182">
        <f t="shared" ca="1" si="84"/>
        <v>46249.438615184794</v>
      </c>
      <c r="O508" s="182"/>
    </row>
    <row r="509" spans="1:15" x14ac:dyDescent="0.25">
      <c r="A509" s="180">
        <f t="shared" ca="1" si="85"/>
        <v>46599</v>
      </c>
      <c r="B509" s="181">
        <v>495</v>
      </c>
      <c r="C509" s="182">
        <f t="shared" ca="1" si="86"/>
        <v>38269.43861518491</v>
      </c>
      <c r="D509" s="182">
        <f t="shared" ca="1" si="87"/>
        <v>25.51295907678994</v>
      </c>
      <c r="E509" s="182">
        <v>0</v>
      </c>
      <c r="F509" s="182">
        <f t="shared" ca="1" si="90"/>
        <v>0</v>
      </c>
      <c r="G509" s="182">
        <f t="shared" ca="1" si="88"/>
        <v>0</v>
      </c>
      <c r="H509" s="182">
        <f t="shared" ca="1" si="89"/>
        <v>38294.9515742617</v>
      </c>
      <c r="I509" s="183">
        <v>0</v>
      </c>
      <c r="J509" s="263">
        <f t="shared" ca="1" si="79"/>
        <v>38294.9515742617</v>
      </c>
      <c r="K509" s="182">
        <f t="shared" ca="1" si="81"/>
        <v>70</v>
      </c>
      <c r="L509" s="182">
        <f t="shared" ca="1" si="82"/>
        <v>11694.951574261695</v>
      </c>
      <c r="M509" s="182">
        <f t="shared" ca="1" si="83"/>
        <v>8400</v>
      </c>
      <c r="N509" s="182">
        <f t="shared" ca="1" si="84"/>
        <v>46344.951574261584</v>
      </c>
      <c r="O509" s="182"/>
    </row>
    <row r="510" spans="1:15" x14ac:dyDescent="0.25">
      <c r="A510" s="180">
        <f t="shared" ca="1" si="85"/>
        <v>46600</v>
      </c>
      <c r="B510" s="181">
        <v>496</v>
      </c>
      <c r="C510" s="182">
        <f t="shared" ca="1" si="86"/>
        <v>38294.9515742617</v>
      </c>
      <c r="D510" s="182">
        <f t="shared" ca="1" si="87"/>
        <v>25.529967716174465</v>
      </c>
      <c r="E510" s="182">
        <v>0</v>
      </c>
      <c r="F510" s="182">
        <f t="shared" ca="1" si="90"/>
        <v>0</v>
      </c>
      <c r="G510" s="182">
        <f t="shared" ca="1" si="88"/>
        <v>0</v>
      </c>
      <c r="H510" s="182">
        <f t="shared" ca="1" si="89"/>
        <v>38320.481541977875</v>
      </c>
      <c r="I510" s="183">
        <v>0</v>
      </c>
      <c r="J510" s="263">
        <f t="shared" ca="1" si="79"/>
        <v>38320.481541977875</v>
      </c>
      <c r="K510" s="182">
        <f t="shared" ca="1" si="81"/>
        <v>70</v>
      </c>
      <c r="L510" s="182">
        <f t="shared" ca="1" si="82"/>
        <v>11720.48154197787</v>
      </c>
      <c r="M510" s="182">
        <f t="shared" ca="1" si="83"/>
        <v>8400</v>
      </c>
      <c r="N510" s="182">
        <f t="shared" ca="1" si="84"/>
        <v>46440.481541977759</v>
      </c>
      <c r="O510" s="182"/>
    </row>
    <row r="511" spans="1:15" x14ac:dyDescent="0.25">
      <c r="A511" s="180">
        <f t="shared" ca="1" si="85"/>
        <v>46601</v>
      </c>
      <c r="B511" s="181">
        <v>497</v>
      </c>
      <c r="C511" s="182">
        <f t="shared" ca="1" si="86"/>
        <v>38320.481541977875</v>
      </c>
      <c r="D511" s="182">
        <f t="shared" ca="1" si="87"/>
        <v>25.546987694651914</v>
      </c>
      <c r="E511" s="182">
        <v>0</v>
      </c>
      <c r="F511" s="182">
        <f t="shared" ca="1" si="90"/>
        <v>0</v>
      </c>
      <c r="G511" s="182">
        <f t="shared" ca="1" si="88"/>
        <v>0</v>
      </c>
      <c r="H511" s="182">
        <f t="shared" ca="1" si="89"/>
        <v>38346.028529672527</v>
      </c>
      <c r="I511" s="183">
        <v>0</v>
      </c>
      <c r="J511" s="263">
        <f t="shared" ca="1" si="79"/>
        <v>38346.028529672527</v>
      </c>
      <c r="K511" s="182">
        <f t="shared" ca="1" si="81"/>
        <v>70</v>
      </c>
      <c r="L511" s="182">
        <f t="shared" ca="1" si="82"/>
        <v>11746.028529672521</v>
      </c>
      <c r="M511" s="182">
        <f t="shared" ca="1" si="83"/>
        <v>8400</v>
      </c>
      <c r="N511" s="182">
        <f t="shared" ca="1" si="84"/>
        <v>46536.028529672411</v>
      </c>
      <c r="O511" s="182"/>
    </row>
    <row r="512" spans="1:15" x14ac:dyDescent="0.25">
      <c r="A512" s="180">
        <f t="shared" ca="1" si="85"/>
        <v>46602</v>
      </c>
      <c r="B512" s="181">
        <v>498</v>
      </c>
      <c r="C512" s="182">
        <f t="shared" ca="1" si="86"/>
        <v>38346.028529672527</v>
      </c>
      <c r="D512" s="182">
        <f t="shared" ca="1" si="87"/>
        <v>25.564019019781682</v>
      </c>
      <c r="E512" s="182">
        <v>0</v>
      </c>
      <c r="F512" s="182">
        <f t="shared" ca="1" si="90"/>
        <v>0</v>
      </c>
      <c r="G512" s="182">
        <f t="shared" ca="1" si="88"/>
        <v>0</v>
      </c>
      <c r="H512" s="182">
        <f t="shared" ca="1" si="89"/>
        <v>38371.592548692308</v>
      </c>
      <c r="I512" s="183">
        <v>0</v>
      </c>
      <c r="J512" s="263">
        <f t="shared" ca="1" si="79"/>
        <v>38371.592548692308</v>
      </c>
      <c r="K512" s="182">
        <f t="shared" ca="1" si="81"/>
        <v>70</v>
      </c>
      <c r="L512" s="182">
        <f t="shared" ca="1" si="82"/>
        <v>11771.592548692302</v>
      </c>
      <c r="M512" s="182">
        <f t="shared" ca="1" si="83"/>
        <v>8400</v>
      </c>
      <c r="N512" s="182">
        <f t="shared" ca="1" si="84"/>
        <v>46631.592548692191</v>
      </c>
      <c r="O512" s="182"/>
    </row>
    <row r="513" spans="1:15" x14ac:dyDescent="0.25">
      <c r="A513" s="180">
        <f t="shared" ca="1" si="85"/>
        <v>46603</v>
      </c>
      <c r="B513" s="181">
        <v>499</v>
      </c>
      <c r="C513" s="182">
        <f t="shared" ca="1" si="86"/>
        <v>38371.592548692308</v>
      </c>
      <c r="D513" s="182">
        <f t="shared" ca="1" si="87"/>
        <v>25.581061699128206</v>
      </c>
      <c r="E513" s="182">
        <v>0</v>
      </c>
      <c r="F513" s="182">
        <f t="shared" ca="1" si="90"/>
        <v>0</v>
      </c>
      <c r="G513" s="182">
        <f t="shared" ca="1" si="88"/>
        <v>0</v>
      </c>
      <c r="H513" s="182">
        <f t="shared" ca="1" si="89"/>
        <v>38397.173610391437</v>
      </c>
      <c r="I513" s="183">
        <v>0</v>
      </c>
      <c r="J513" s="263">
        <f t="shared" ca="1" si="79"/>
        <v>38397.173610391437</v>
      </c>
      <c r="K513" s="182">
        <f t="shared" ca="1" si="81"/>
        <v>70</v>
      </c>
      <c r="L513" s="182">
        <f t="shared" ca="1" si="82"/>
        <v>11797.17361039143</v>
      </c>
      <c r="M513" s="182">
        <f t="shared" ca="1" si="83"/>
        <v>8400</v>
      </c>
      <c r="N513" s="182">
        <f t="shared" ca="1" si="84"/>
        <v>46727.173610391321</v>
      </c>
      <c r="O513" s="182"/>
    </row>
    <row r="514" spans="1:15" x14ac:dyDescent="0.25">
      <c r="A514" s="180">
        <f t="shared" ca="1" si="85"/>
        <v>46604</v>
      </c>
      <c r="B514" s="181">
        <v>500</v>
      </c>
      <c r="C514" s="182">
        <f t="shared" ca="1" si="86"/>
        <v>38397.173610391437</v>
      </c>
      <c r="D514" s="182">
        <f t="shared" ca="1" si="87"/>
        <v>25.598115740260958</v>
      </c>
      <c r="E514" s="182">
        <v>0</v>
      </c>
      <c r="F514" s="182">
        <f t="shared" ca="1" si="90"/>
        <v>0</v>
      </c>
      <c r="G514" s="182">
        <f t="shared" ca="1" si="88"/>
        <v>0</v>
      </c>
      <c r="H514" s="182">
        <f t="shared" ca="1" si="89"/>
        <v>38422.771726131701</v>
      </c>
      <c r="I514" s="183">
        <v>0</v>
      </c>
      <c r="J514" s="263">
        <f t="shared" ca="1" si="79"/>
        <v>38422.771726131701</v>
      </c>
      <c r="K514" s="182">
        <f t="shared" ca="1" si="81"/>
        <v>70</v>
      </c>
      <c r="L514" s="182">
        <f t="shared" ca="1" si="82"/>
        <v>11822.77172613169</v>
      </c>
      <c r="M514" s="182">
        <f t="shared" ca="1" si="83"/>
        <v>8400</v>
      </c>
      <c r="N514" s="182">
        <f t="shared" ca="1" si="84"/>
        <v>46822.771726131585</v>
      </c>
      <c r="O514" s="182"/>
    </row>
    <row r="515" spans="1:15" x14ac:dyDescent="0.25">
      <c r="A515" s="180">
        <f t="shared" ca="1" si="85"/>
        <v>46605</v>
      </c>
      <c r="B515" s="181">
        <v>501</v>
      </c>
      <c r="C515" s="182">
        <f t="shared" ca="1" si="86"/>
        <v>38422.771726131701</v>
      </c>
      <c r="D515" s="182">
        <f t="shared" ca="1" si="87"/>
        <v>25.615181150754466</v>
      </c>
      <c r="E515" s="182">
        <v>0</v>
      </c>
      <c r="F515" s="182">
        <f t="shared" ca="1" si="90"/>
        <v>0</v>
      </c>
      <c r="G515" s="182">
        <f t="shared" ca="1" si="88"/>
        <v>0</v>
      </c>
      <c r="H515" s="182">
        <f t="shared" ca="1" si="89"/>
        <v>38448.386907282453</v>
      </c>
      <c r="I515" s="183">
        <v>0</v>
      </c>
      <c r="J515" s="263">
        <f t="shared" ca="1" si="79"/>
        <v>38448.386907282453</v>
      </c>
      <c r="K515" s="182">
        <f t="shared" ca="1" si="81"/>
        <v>70</v>
      </c>
      <c r="L515" s="182">
        <f t="shared" ca="1" si="82"/>
        <v>11848.386907282445</v>
      </c>
      <c r="M515" s="182">
        <f t="shared" ca="1" si="83"/>
        <v>8400</v>
      </c>
      <c r="N515" s="182">
        <f t="shared" ca="1" si="84"/>
        <v>46918.386907282336</v>
      </c>
      <c r="O515" s="182"/>
    </row>
    <row r="516" spans="1:15" x14ac:dyDescent="0.25">
      <c r="A516" s="180">
        <f t="shared" ca="1" si="85"/>
        <v>46606</v>
      </c>
      <c r="B516" s="181">
        <v>502</v>
      </c>
      <c r="C516" s="182">
        <f t="shared" ca="1" si="86"/>
        <v>38448.386907282453</v>
      </c>
      <c r="D516" s="182">
        <f t="shared" ca="1" si="87"/>
        <v>25.6322579381883</v>
      </c>
      <c r="E516" s="182">
        <v>0</v>
      </c>
      <c r="F516" s="182">
        <f t="shared" ca="1" si="90"/>
        <v>0</v>
      </c>
      <c r="G516" s="182">
        <f t="shared" ca="1" si="88"/>
        <v>0</v>
      </c>
      <c r="H516" s="182">
        <f t="shared" ca="1" si="89"/>
        <v>38474.019165220641</v>
      </c>
      <c r="I516" s="183">
        <v>0</v>
      </c>
      <c r="J516" s="263">
        <f t="shared" ca="1" si="79"/>
        <v>38474.019165220641</v>
      </c>
      <c r="K516" s="182">
        <f t="shared" ca="1" si="81"/>
        <v>70</v>
      </c>
      <c r="L516" s="182">
        <f t="shared" ca="1" si="82"/>
        <v>11874.019165220634</v>
      </c>
      <c r="M516" s="182">
        <f t="shared" ca="1" si="83"/>
        <v>8400</v>
      </c>
      <c r="N516" s="182">
        <f t="shared" ca="1" si="84"/>
        <v>47014.019165220525</v>
      </c>
      <c r="O516" s="182"/>
    </row>
    <row r="517" spans="1:15" x14ac:dyDescent="0.25">
      <c r="A517" s="180">
        <f t="shared" ca="1" si="85"/>
        <v>46607</v>
      </c>
      <c r="B517" s="181">
        <v>503</v>
      </c>
      <c r="C517" s="182">
        <f t="shared" ca="1" si="86"/>
        <v>38474.019165220641</v>
      </c>
      <c r="D517" s="182">
        <f t="shared" ca="1" si="87"/>
        <v>25.649346110147093</v>
      </c>
      <c r="E517" s="182">
        <v>0</v>
      </c>
      <c r="F517" s="182">
        <f t="shared" ca="1" si="90"/>
        <v>0</v>
      </c>
      <c r="G517" s="182">
        <f t="shared" ca="1" si="88"/>
        <v>0</v>
      </c>
      <c r="H517" s="182">
        <f t="shared" ca="1" si="89"/>
        <v>38499.66851133079</v>
      </c>
      <c r="I517" s="183">
        <v>0</v>
      </c>
      <c r="J517" s="263">
        <f t="shared" ca="1" si="79"/>
        <v>38499.66851133079</v>
      </c>
      <c r="K517" s="182">
        <f t="shared" ca="1" si="81"/>
        <v>70</v>
      </c>
      <c r="L517" s="182">
        <f t="shared" ca="1" si="82"/>
        <v>11899.668511330781</v>
      </c>
      <c r="M517" s="182">
        <f t="shared" ca="1" si="83"/>
        <v>8400</v>
      </c>
      <c r="N517" s="182">
        <f t="shared" ca="1" si="84"/>
        <v>47109.668511330674</v>
      </c>
      <c r="O517" s="182"/>
    </row>
    <row r="518" spans="1:15" x14ac:dyDescent="0.25">
      <c r="A518" s="180">
        <f t="shared" ca="1" si="85"/>
        <v>46608</v>
      </c>
      <c r="B518" s="181">
        <v>504</v>
      </c>
      <c r="C518" s="182">
        <f t="shared" ca="1" si="86"/>
        <v>38499.66851133079</v>
      </c>
      <c r="D518" s="182">
        <f t="shared" ca="1" si="87"/>
        <v>25.666445674220526</v>
      </c>
      <c r="E518" s="182">
        <v>0</v>
      </c>
      <c r="F518" s="182">
        <f t="shared" ca="1" si="90"/>
        <v>0</v>
      </c>
      <c r="G518" s="182">
        <f t="shared" ca="1" si="88"/>
        <v>0</v>
      </c>
      <c r="H518" s="182">
        <f t="shared" ca="1" si="89"/>
        <v>38525.334957005012</v>
      </c>
      <c r="I518" s="183">
        <v>0</v>
      </c>
      <c r="J518" s="263">
        <f t="shared" ca="1" si="79"/>
        <v>38525.334957005012</v>
      </c>
      <c r="K518" s="182">
        <f t="shared" ca="1" si="81"/>
        <v>70</v>
      </c>
      <c r="L518" s="182">
        <f t="shared" ca="1" si="82"/>
        <v>11925.334957005001</v>
      </c>
      <c r="M518" s="182">
        <f t="shared" ca="1" si="83"/>
        <v>8400</v>
      </c>
      <c r="N518" s="182">
        <f t="shared" ca="1" si="84"/>
        <v>47205.334957004896</v>
      </c>
      <c r="O518" s="182"/>
    </row>
    <row r="519" spans="1:15" x14ac:dyDescent="0.25">
      <c r="A519" s="180">
        <f t="shared" ca="1" si="85"/>
        <v>46609</v>
      </c>
      <c r="B519" s="181">
        <v>505</v>
      </c>
      <c r="C519" s="182">
        <f t="shared" ca="1" si="86"/>
        <v>38525.334957005012</v>
      </c>
      <c r="D519" s="182">
        <f t="shared" ca="1" si="87"/>
        <v>25.683556638003342</v>
      </c>
      <c r="E519" s="182">
        <v>0</v>
      </c>
      <c r="F519" s="182">
        <f t="shared" ca="1" si="90"/>
        <v>0</v>
      </c>
      <c r="G519" s="182">
        <f t="shared" ca="1" si="88"/>
        <v>0</v>
      </c>
      <c r="H519" s="182">
        <f t="shared" ca="1" si="89"/>
        <v>38551.018513643015</v>
      </c>
      <c r="I519" s="183">
        <v>0</v>
      </c>
      <c r="J519" s="263">
        <f t="shared" ca="1" si="79"/>
        <v>38551.018513643015</v>
      </c>
      <c r="K519" s="182">
        <f t="shared" ca="1" si="81"/>
        <v>70</v>
      </c>
      <c r="L519" s="182">
        <f t="shared" ca="1" si="82"/>
        <v>11951.018513643005</v>
      </c>
      <c r="M519" s="182">
        <f t="shared" ca="1" si="83"/>
        <v>8400</v>
      </c>
      <c r="N519" s="182">
        <f t="shared" ca="1" si="84"/>
        <v>47301.018513642899</v>
      </c>
      <c r="O519" s="182"/>
    </row>
    <row r="520" spans="1:15" x14ac:dyDescent="0.25">
      <c r="A520" s="180">
        <f t="shared" ca="1" si="85"/>
        <v>46610</v>
      </c>
      <c r="B520" s="181">
        <v>506</v>
      </c>
      <c r="C520" s="182">
        <f t="shared" ca="1" si="86"/>
        <v>38551.018513643015</v>
      </c>
      <c r="D520" s="182">
        <f t="shared" ca="1" si="87"/>
        <v>25.700679009095342</v>
      </c>
      <c r="E520" s="182">
        <v>0</v>
      </c>
      <c r="F520" s="182">
        <f t="shared" ca="1" si="90"/>
        <v>0</v>
      </c>
      <c r="G520" s="182">
        <f t="shared" ca="1" si="88"/>
        <v>0</v>
      </c>
      <c r="H520" s="182">
        <f t="shared" ca="1" si="89"/>
        <v>38576.719192652112</v>
      </c>
      <c r="I520" s="183">
        <v>0</v>
      </c>
      <c r="J520" s="263">
        <f t="shared" ca="1" si="79"/>
        <v>38576.719192652112</v>
      </c>
      <c r="K520" s="182">
        <f t="shared" ca="1" si="81"/>
        <v>70</v>
      </c>
      <c r="L520" s="182">
        <f t="shared" ca="1" si="82"/>
        <v>11976.719192652099</v>
      </c>
      <c r="M520" s="182">
        <f t="shared" ca="1" si="83"/>
        <v>8400</v>
      </c>
      <c r="N520" s="182">
        <f t="shared" ca="1" si="84"/>
        <v>47396.719192651995</v>
      </c>
      <c r="O520" s="182"/>
    </row>
    <row r="521" spans="1:15" x14ac:dyDescent="0.25">
      <c r="A521" s="180">
        <f t="shared" ca="1" si="85"/>
        <v>46611</v>
      </c>
      <c r="B521" s="181">
        <v>507</v>
      </c>
      <c r="C521" s="182">
        <f t="shared" ca="1" si="86"/>
        <v>38576.719192652112</v>
      </c>
      <c r="D521" s="182">
        <f t="shared" ca="1" si="87"/>
        <v>25.717812795101405</v>
      </c>
      <c r="E521" s="182">
        <v>0</v>
      </c>
      <c r="F521" s="182">
        <f t="shared" ca="1" si="90"/>
        <v>0</v>
      </c>
      <c r="G521" s="182">
        <f t="shared" ca="1" si="88"/>
        <v>0</v>
      </c>
      <c r="H521" s="182">
        <f t="shared" ca="1" si="89"/>
        <v>38602.437005447217</v>
      </c>
      <c r="I521" s="183">
        <v>0</v>
      </c>
      <c r="J521" s="263">
        <f t="shared" ca="1" si="79"/>
        <v>38602.437005447217</v>
      </c>
      <c r="K521" s="182">
        <f t="shared" ca="1" si="81"/>
        <v>70</v>
      </c>
      <c r="L521" s="182">
        <f t="shared" ca="1" si="82"/>
        <v>12002.4370054472</v>
      </c>
      <c r="M521" s="182">
        <f t="shared" ca="1" si="83"/>
        <v>8400</v>
      </c>
      <c r="N521" s="182">
        <f t="shared" ca="1" si="84"/>
        <v>47492.4370054471</v>
      </c>
      <c r="O521" s="182"/>
    </row>
    <row r="522" spans="1:15" x14ac:dyDescent="0.25">
      <c r="A522" s="180">
        <f t="shared" ca="1" si="85"/>
        <v>46612</v>
      </c>
      <c r="B522" s="181">
        <v>508</v>
      </c>
      <c r="C522" s="182">
        <f t="shared" ca="1" si="86"/>
        <v>38602.437005447217</v>
      </c>
      <c r="D522" s="182">
        <f t="shared" ca="1" si="87"/>
        <v>25.734958003631476</v>
      </c>
      <c r="E522" s="182">
        <v>0</v>
      </c>
      <c r="F522" s="182">
        <f t="shared" ca="1" si="90"/>
        <v>0</v>
      </c>
      <c r="G522" s="182">
        <f t="shared" ca="1" si="88"/>
        <v>0</v>
      </c>
      <c r="H522" s="182">
        <f t="shared" ca="1" si="89"/>
        <v>38628.171963450848</v>
      </c>
      <c r="I522" s="183">
        <v>0</v>
      </c>
      <c r="J522" s="263">
        <f t="shared" ca="1" si="79"/>
        <v>38628.171963450848</v>
      </c>
      <c r="K522" s="182">
        <f t="shared" ca="1" si="81"/>
        <v>70</v>
      </c>
      <c r="L522" s="182">
        <f t="shared" ca="1" si="82"/>
        <v>12028.171963450832</v>
      </c>
      <c r="M522" s="182">
        <f t="shared" ca="1" si="83"/>
        <v>8400</v>
      </c>
      <c r="N522" s="182">
        <f t="shared" ca="1" si="84"/>
        <v>47588.171963450732</v>
      </c>
      <c r="O522" s="182"/>
    </row>
    <row r="523" spans="1:15" x14ac:dyDescent="0.25">
      <c r="A523" s="180">
        <f t="shared" ca="1" si="85"/>
        <v>46613</v>
      </c>
      <c r="B523" s="181">
        <v>509</v>
      </c>
      <c r="C523" s="182">
        <f t="shared" ca="1" si="86"/>
        <v>38628.171963450848</v>
      </c>
      <c r="D523" s="182">
        <f t="shared" ca="1" si="87"/>
        <v>25.752114642300565</v>
      </c>
      <c r="E523" s="182">
        <v>0</v>
      </c>
      <c r="F523" s="182">
        <f t="shared" ca="1" si="90"/>
        <v>0</v>
      </c>
      <c r="G523" s="182">
        <f t="shared" ca="1" si="88"/>
        <v>0</v>
      </c>
      <c r="H523" s="182">
        <f t="shared" ca="1" si="89"/>
        <v>38653.92407809315</v>
      </c>
      <c r="I523" s="183">
        <v>0</v>
      </c>
      <c r="J523" s="263">
        <f t="shared" ca="1" si="79"/>
        <v>38653.92407809315</v>
      </c>
      <c r="K523" s="182">
        <f t="shared" ca="1" si="81"/>
        <v>70</v>
      </c>
      <c r="L523" s="182">
        <f t="shared" ca="1" si="82"/>
        <v>12053.924078093132</v>
      </c>
      <c r="M523" s="182">
        <f t="shared" ca="1" si="83"/>
        <v>8400</v>
      </c>
      <c r="N523" s="182">
        <f t="shared" ca="1" si="84"/>
        <v>47683.924078093034</v>
      </c>
      <c r="O523" s="182"/>
    </row>
    <row r="524" spans="1:15" x14ac:dyDescent="0.25">
      <c r="A524" s="180">
        <f t="shared" ca="1" si="85"/>
        <v>46614</v>
      </c>
      <c r="B524" s="181">
        <v>510</v>
      </c>
      <c r="C524" s="182">
        <f t="shared" ca="1" si="86"/>
        <v>38653.92407809315</v>
      </c>
      <c r="D524" s="182">
        <f t="shared" ca="1" si="87"/>
        <v>25.769282718728768</v>
      </c>
      <c r="E524" s="182">
        <v>0</v>
      </c>
      <c r="F524" s="182">
        <f t="shared" ca="1" si="90"/>
        <v>0</v>
      </c>
      <c r="G524" s="182">
        <f t="shared" ca="1" si="88"/>
        <v>0</v>
      </c>
      <c r="H524" s="182">
        <f t="shared" ca="1" si="89"/>
        <v>38679.693360811878</v>
      </c>
      <c r="I524" s="183">
        <v>0</v>
      </c>
      <c r="J524" s="263">
        <f t="shared" ca="1" si="79"/>
        <v>38679.693360811878</v>
      </c>
      <c r="K524" s="182">
        <f t="shared" ca="1" si="81"/>
        <v>70</v>
      </c>
      <c r="L524" s="182">
        <f t="shared" ca="1" si="82"/>
        <v>12079.693360811862</v>
      </c>
      <c r="M524" s="182">
        <f t="shared" ca="1" si="83"/>
        <v>8400</v>
      </c>
      <c r="N524" s="182">
        <f t="shared" ca="1" si="84"/>
        <v>47779.693360811762</v>
      </c>
      <c r="O524" s="182"/>
    </row>
    <row r="525" spans="1:15" x14ac:dyDescent="0.25">
      <c r="A525" s="180">
        <f t="shared" ca="1" si="85"/>
        <v>46615</v>
      </c>
      <c r="B525" s="181">
        <v>511</v>
      </c>
      <c r="C525" s="182">
        <f t="shared" ca="1" si="86"/>
        <v>38679.693360811878</v>
      </c>
      <c r="D525" s="182">
        <f t="shared" ca="1" si="87"/>
        <v>25.786462240541251</v>
      </c>
      <c r="E525" s="182">
        <v>0</v>
      </c>
      <c r="F525" s="182">
        <f t="shared" ca="1" si="90"/>
        <v>0</v>
      </c>
      <c r="G525" s="182">
        <f t="shared" ca="1" si="88"/>
        <v>0</v>
      </c>
      <c r="H525" s="182">
        <f t="shared" ca="1" si="89"/>
        <v>38705.479823052417</v>
      </c>
      <c r="I525" s="183">
        <v>0</v>
      </c>
      <c r="J525" s="263">
        <f t="shared" ca="1" si="79"/>
        <v>38705.479823052417</v>
      </c>
      <c r="K525" s="182">
        <f t="shared" ca="1" si="81"/>
        <v>70</v>
      </c>
      <c r="L525" s="182">
        <f t="shared" ca="1" si="82"/>
        <v>12105.479823052403</v>
      </c>
      <c r="M525" s="182">
        <f t="shared" ca="1" si="83"/>
        <v>8400</v>
      </c>
      <c r="N525" s="182">
        <f t="shared" ca="1" si="84"/>
        <v>47875.479823052301</v>
      </c>
      <c r="O525" s="182"/>
    </row>
    <row r="526" spans="1:15" x14ac:dyDescent="0.25">
      <c r="A526" s="180">
        <f t="shared" ca="1" si="85"/>
        <v>46616</v>
      </c>
      <c r="B526" s="181">
        <v>512</v>
      </c>
      <c r="C526" s="182">
        <f t="shared" ca="1" si="86"/>
        <v>38705.479823052417</v>
      </c>
      <c r="D526" s="182">
        <f t="shared" ca="1" si="87"/>
        <v>25.803653215368278</v>
      </c>
      <c r="E526" s="182">
        <v>0</v>
      </c>
      <c r="F526" s="182">
        <f t="shared" ca="1" si="90"/>
        <v>0</v>
      </c>
      <c r="G526" s="182">
        <f t="shared" ca="1" si="88"/>
        <v>0</v>
      </c>
      <c r="H526" s="182">
        <f t="shared" ca="1" si="89"/>
        <v>38731.283476267789</v>
      </c>
      <c r="I526" s="183">
        <v>0</v>
      </c>
      <c r="J526" s="263">
        <f t="shared" ca="1" si="79"/>
        <v>38731.283476267789</v>
      </c>
      <c r="K526" s="182">
        <f t="shared" ca="1" si="81"/>
        <v>70</v>
      </c>
      <c r="L526" s="182">
        <f t="shared" ca="1" si="82"/>
        <v>12131.28347626777</v>
      </c>
      <c r="M526" s="182">
        <f t="shared" ca="1" si="83"/>
        <v>8400</v>
      </c>
      <c r="N526" s="182">
        <f t="shared" ca="1" si="84"/>
        <v>47971.283476267672</v>
      </c>
      <c r="O526" s="182"/>
    </row>
    <row r="527" spans="1:15" x14ac:dyDescent="0.25">
      <c r="A527" s="180">
        <f t="shared" ca="1" si="85"/>
        <v>46617</v>
      </c>
      <c r="B527" s="181">
        <v>513</v>
      </c>
      <c r="C527" s="182">
        <f t="shared" ca="1" si="86"/>
        <v>38731.283476267789</v>
      </c>
      <c r="D527" s="182">
        <f t="shared" ca="1" si="87"/>
        <v>25.820855650845193</v>
      </c>
      <c r="E527" s="182">
        <v>0</v>
      </c>
      <c r="F527" s="182">
        <f t="shared" ca="1" si="90"/>
        <v>0</v>
      </c>
      <c r="G527" s="182">
        <f t="shared" ca="1" si="88"/>
        <v>0</v>
      </c>
      <c r="H527" s="182">
        <f t="shared" ca="1" si="89"/>
        <v>38757.104331918636</v>
      </c>
      <c r="I527" s="183">
        <v>0</v>
      </c>
      <c r="J527" s="263">
        <f t="shared" ref="J527:J590" ca="1" si="91">H527-IF(I$8-G527&lt;Q$42,I$8-Q$42,G527)</f>
        <v>38757.104331918636</v>
      </c>
      <c r="K527" s="182">
        <f t="shared" ca="1" si="81"/>
        <v>70</v>
      </c>
      <c r="L527" s="182">
        <f t="shared" ca="1" si="82"/>
        <v>12157.104331918616</v>
      </c>
      <c r="M527" s="182">
        <f t="shared" ca="1" si="83"/>
        <v>8400</v>
      </c>
      <c r="N527" s="182">
        <f t="shared" ca="1" si="84"/>
        <v>48067.104331918519</v>
      </c>
      <c r="O527" s="182"/>
    </row>
    <row r="528" spans="1:15" x14ac:dyDescent="0.25">
      <c r="A528" s="180">
        <f t="shared" ca="1" si="85"/>
        <v>46618</v>
      </c>
      <c r="B528" s="181">
        <v>514</v>
      </c>
      <c r="C528" s="182">
        <f t="shared" ca="1" si="86"/>
        <v>38757.104331918636</v>
      </c>
      <c r="D528" s="182">
        <f t="shared" ca="1" si="87"/>
        <v>25.838069554612424</v>
      </c>
      <c r="E528" s="182">
        <v>0</v>
      </c>
      <c r="F528" s="182">
        <f t="shared" ca="1" si="90"/>
        <v>0</v>
      </c>
      <c r="G528" s="182">
        <f t="shared" ca="1" si="88"/>
        <v>0</v>
      </c>
      <c r="H528" s="182">
        <f t="shared" ca="1" si="89"/>
        <v>38782.94240147325</v>
      </c>
      <c r="I528" s="183">
        <v>0</v>
      </c>
      <c r="J528" s="263">
        <f t="shared" ca="1" si="91"/>
        <v>38782.94240147325</v>
      </c>
      <c r="K528" s="182">
        <f t="shared" ref="K528:K591" ca="1" si="92">$L$3/($C$11-$C$8)</f>
        <v>70</v>
      </c>
      <c r="L528" s="182">
        <f t="shared" ref="L528:L591" ca="1" si="93">L527+D528</f>
        <v>12182.942401473229</v>
      </c>
      <c r="M528" s="182">
        <f t="shared" ref="M528:M591" ca="1" si="94">IF($I$8&gt;L528,L528,$I$8)</f>
        <v>8400</v>
      </c>
      <c r="N528" s="182">
        <f t="shared" ref="N528:N591" ca="1" si="95">N527+D528+K528+I528</f>
        <v>48162.942401473134</v>
      </c>
      <c r="O528" s="182"/>
    </row>
    <row r="529" spans="1:15" x14ac:dyDescent="0.25">
      <c r="A529" s="180">
        <f t="shared" ref="A529:A592" ca="1" si="96">A528+1</f>
        <v>46619</v>
      </c>
      <c r="B529" s="181">
        <v>515</v>
      </c>
      <c r="C529" s="182">
        <f t="shared" ref="C529:C592" ca="1" si="97">H528</f>
        <v>38782.94240147325</v>
      </c>
      <c r="D529" s="182">
        <f t="shared" ref="D529:D592" ca="1" si="98">(($C$6/360))*C529</f>
        <v>25.855294934315499</v>
      </c>
      <c r="E529" s="182">
        <v>0</v>
      </c>
      <c r="F529" s="182">
        <f t="shared" ca="1" si="90"/>
        <v>0</v>
      </c>
      <c r="G529" s="182">
        <f t="shared" ref="G529:G592" ca="1" si="99">IF(G528-D529-E529&gt;0,G528-D529-E529,0)</f>
        <v>0</v>
      </c>
      <c r="H529" s="182">
        <f t="shared" ca="1" si="89"/>
        <v>38808.797696407564</v>
      </c>
      <c r="I529" s="183">
        <v>0</v>
      </c>
      <c r="J529" s="263">
        <f t="shared" ca="1" si="91"/>
        <v>38808.797696407564</v>
      </c>
      <c r="K529" s="182">
        <f t="shared" ca="1" si="92"/>
        <v>70</v>
      </c>
      <c r="L529" s="182">
        <f t="shared" ca="1" si="93"/>
        <v>12208.797696407544</v>
      </c>
      <c r="M529" s="182">
        <f t="shared" ca="1" si="94"/>
        <v>8400</v>
      </c>
      <c r="N529" s="182">
        <f t="shared" ca="1" si="95"/>
        <v>48258.797696407448</v>
      </c>
      <c r="O529" s="182"/>
    </row>
    <row r="530" spans="1:15" x14ac:dyDescent="0.25">
      <c r="A530" s="180">
        <f t="shared" ca="1" si="96"/>
        <v>46620</v>
      </c>
      <c r="B530" s="181">
        <v>516</v>
      </c>
      <c r="C530" s="182">
        <f t="shared" ca="1" si="97"/>
        <v>38808.797696407564</v>
      </c>
      <c r="D530" s="182">
        <f t="shared" ca="1" si="98"/>
        <v>25.872531797605042</v>
      </c>
      <c r="E530" s="182">
        <v>0</v>
      </c>
      <c r="F530" s="182">
        <f t="shared" ca="1" si="90"/>
        <v>0</v>
      </c>
      <c r="G530" s="182">
        <f t="shared" ca="1" si="99"/>
        <v>0</v>
      </c>
      <c r="H530" s="182">
        <f t="shared" ca="1" si="89"/>
        <v>38834.67022820517</v>
      </c>
      <c r="I530" s="183">
        <v>0</v>
      </c>
      <c r="J530" s="263">
        <f t="shared" ca="1" si="91"/>
        <v>38834.67022820517</v>
      </c>
      <c r="K530" s="182">
        <f t="shared" ca="1" si="92"/>
        <v>70</v>
      </c>
      <c r="L530" s="182">
        <f t="shared" ca="1" si="93"/>
        <v>12234.67022820515</v>
      </c>
      <c r="M530" s="182">
        <f t="shared" ca="1" si="94"/>
        <v>8400</v>
      </c>
      <c r="N530" s="182">
        <f t="shared" ca="1" si="95"/>
        <v>48354.670228205054</v>
      </c>
      <c r="O530" s="182"/>
    </row>
    <row r="531" spans="1:15" x14ac:dyDescent="0.25">
      <c r="A531" s="180">
        <f t="shared" ca="1" si="96"/>
        <v>46621</v>
      </c>
      <c r="B531" s="181">
        <v>517</v>
      </c>
      <c r="C531" s="182">
        <f t="shared" ca="1" si="97"/>
        <v>38834.67022820517</v>
      </c>
      <c r="D531" s="182">
        <f t="shared" ca="1" si="98"/>
        <v>25.88978015213678</v>
      </c>
      <c r="E531" s="182">
        <v>0</v>
      </c>
      <c r="F531" s="182">
        <f t="shared" ca="1" si="90"/>
        <v>0</v>
      </c>
      <c r="G531" s="182">
        <f t="shared" ca="1" si="99"/>
        <v>0</v>
      </c>
      <c r="H531" s="182">
        <f t="shared" ca="1" si="89"/>
        <v>38860.560008357308</v>
      </c>
      <c r="I531" s="183">
        <v>0</v>
      </c>
      <c r="J531" s="263">
        <f t="shared" ca="1" si="91"/>
        <v>38860.560008357308</v>
      </c>
      <c r="K531" s="182">
        <f t="shared" ca="1" si="92"/>
        <v>70</v>
      </c>
      <c r="L531" s="182">
        <f t="shared" ca="1" si="93"/>
        <v>12260.560008357286</v>
      </c>
      <c r="M531" s="182">
        <f t="shared" ca="1" si="94"/>
        <v>8400</v>
      </c>
      <c r="N531" s="182">
        <f t="shared" ca="1" si="95"/>
        <v>48450.560008357192</v>
      </c>
      <c r="O531" s="182"/>
    </row>
    <row r="532" spans="1:15" x14ac:dyDescent="0.25">
      <c r="A532" s="180">
        <f t="shared" ca="1" si="96"/>
        <v>46622</v>
      </c>
      <c r="B532" s="181">
        <v>518</v>
      </c>
      <c r="C532" s="182">
        <f t="shared" ca="1" si="97"/>
        <v>38860.560008357308</v>
      </c>
      <c r="D532" s="182">
        <f t="shared" ca="1" si="98"/>
        <v>25.907040005571538</v>
      </c>
      <c r="E532" s="182">
        <v>0</v>
      </c>
      <c r="F532" s="182">
        <f t="shared" ca="1" si="90"/>
        <v>0</v>
      </c>
      <c r="G532" s="182">
        <f t="shared" ca="1" si="99"/>
        <v>0</v>
      </c>
      <c r="H532" s="182">
        <f t="shared" ca="1" si="89"/>
        <v>38886.46704836288</v>
      </c>
      <c r="I532" s="183">
        <v>0</v>
      </c>
      <c r="J532" s="263">
        <f t="shared" ca="1" si="91"/>
        <v>38886.46704836288</v>
      </c>
      <c r="K532" s="182">
        <f t="shared" ca="1" si="92"/>
        <v>70</v>
      </c>
      <c r="L532" s="182">
        <f t="shared" ca="1" si="93"/>
        <v>12286.467048362858</v>
      </c>
      <c r="M532" s="182">
        <f t="shared" ca="1" si="94"/>
        <v>8400</v>
      </c>
      <c r="N532" s="182">
        <f t="shared" ca="1" si="95"/>
        <v>48546.467048362763</v>
      </c>
      <c r="O532" s="182"/>
    </row>
    <row r="533" spans="1:15" x14ac:dyDescent="0.25">
      <c r="A533" s="180">
        <f t="shared" ca="1" si="96"/>
        <v>46623</v>
      </c>
      <c r="B533" s="181">
        <v>519</v>
      </c>
      <c r="C533" s="182">
        <f t="shared" ca="1" si="97"/>
        <v>38886.46704836288</v>
      </c>
      <c r="D533" s="182">
        <f t="shared" ca="1" si="98"/>
        <v>25.924311365575253</v>
      </c>
      <c r="E533" s="182">
        <v>0</v>
      </c>
      <c r="F533" s="182">
        <f t="shared" ca="1" si="90"/>
        <v>0</v>
      </c>
      <c r="G533" s="182">
        <f t="shared" ca="1" si="99"/>
        <v>0</v>
      </c>
      <c r="H533" s="182">
        <f t="shared" ca="1" si="89"/>
        <v>38912.391359728455</v>
      </c>
      <c r="I533" s="183">
        <v>0</v>
      </c>
      <c r="J533" s="263">
        <f t="shared" ca="1" si="91"/>
        <v>38912.391359728455</v>
      </c>
      <c r="K533" s="182">
        <f t="shared" ca="1" si="92"/>
        <v>70</v>
      </c>
      <c r="L533" s="182">
        <f t="shared" ca="1" si="93"/>
        <v>12312.391359728434</v>
      </c>
      <c r="M533" s="182">
        <f t="shared" ca="1" si="94"/>
        <v>8400</v>
      </c>
      <c r="N533" s="182">
        <f t="shared" ca="1" si="95"/>
        <v>48642.391359728339</v>
      </c>
      <c r="O533" s="182"/>
    </row>
    <row r="534" spans="1:15" x14ac:dyDescent="0.25">
      <c r="A534" s="180">
        <f t="shared" ca="1" si="96"/>
        <v>46624</v>
      </c>
      <c r="B534" s="181">
        <v>520</v>
      </c>
      <c r="C534" s="182">
        <f t="shared" ca="1" si="97"/>
        <v>38912.391359728455</v>
      </c>
      <c r="D534" s="182">
        <f t="shared" ca="1" si="98"/>
        <v>25.941594239818969</v>
      </c>
      <c r="E534" s="182">
        <v>0</v>
      </c>
      <c r="F534" s="182">
        <f t="shared" ca="1" si="90"/>
        <v>0</v>
      </c>
      <c r="G534" s="182">
        <f t="shared" ca="1" si="99"/>
        <v>0</v>
      </c>
      <c r="H534" s="182">
        <f t="shared" ca="1" si="89"/>
        <v>38938.332953968275</v>
      </c>
      <c r="I534" s="183">
        <v>0</v>
      </c>
      <c r="J534" s="263">
        <f t="shared" ca="1" si="91"/>
        <v>38938.332953968275</v>
      </c>
      <c r="K534" s="182">
        <f t="shared" ca="1" si="92"/>
        <v>70</v>
      </c>
      <c r="L534" s="182">
        <f t="shared" ca="1" si="93"/>
        <v>12338.332953968253</v>
      </c>
      <c r="M534" s="182">
        <f t="shared" ca="1" si="94"/>
        <v>8400</v>
      </c>
      <c r="N534" s="182">
        <f t="shared" ca="1" si="95"/>
        <v>48738.332953968158</v>
      </c>
      <c r="O534" s="182"/>
    </row>
    <row r="535" spans="1:15" x14ac:dyDescent="0.25">
      <c r="A535" s="180">
        <f t="shared" ca="1" si="96"/>
        <v>46625</v>
      </c>
      <c r="B535" s="181">
        <v>521</v>
      </c>
      <c r="C535" s="182">
        <f t="shared" ca="1" si="97"/>
        <v>38938.332953968275</v>
      </c>
      <c r="D535" s="182">
        <f t="shared" ca="1" si="98"/>
        <v>25.958888635978848</v>
      </c>
      <c r="E535" s="182">
        <v>0</v>
      </c>
      <c r="F535" s="182">
        <f t="shared" ca="1" si="90"/>
        <v>0</v>
      </c>
      <c r="G535" s="182">
        <f t="shared" ca="1" si="99"/>
        <v>0</v>
      </c>
      <c r="H535" s="182">
        <f t="shared" ca="1" si="89"/>
        <v>38964.291842604252</v>
      </c>
      <c r="I535" s="183">
        <v>0</v>
      </c>
      <c r="J535" s="263">
        <f t="shared" ca="1" si="91"/>
        <v>38964.291842604252</v>
      </c>
      <c r="K535" s="182">
        <f t="shared" ca="1" si="92"/>
        <v>70</v>
      </c>
      <c r="L535" s="182">
        <f t="shared" ca="1" si="93"/>
        <v>12364.291842604232</v>
      </c>
      <c r="M535" s="182">
        <f t="shared" ca="1" si="94"/>
        <v>8400</v>
      </c>
      <c r="N535" s="182">
        <f t="shared" ca="1" si="95"/>
        <v>48834.291842604136</v>
      </c>
      <c r="O535" s="182"/>
    </row>
    <row r="536" spans="1:15" x14ac:dyDescent="0.25">
      <c r="A536" s="180">
        <f t="shared" ca="1" si="96"/>
        <v>46626</v>
      </c>
      <c r="B536" s="181">
        <v>522</v>
      </c>
      <c r="C536" s="182">
        <f t="shared" ca="1" si="97"/>
        <v>38964.291842604252</v>
      </c>
      <c r="D536" s="182">
        <f t="shared" ca="1" si="98"/>
        <v>25.976194561736168</v>
      </c>
      <c r="E536" s="182">
        <v>0</v>
      </c>
      <c r="F536" s="182">
        <f t="shared" ca="1" si="90"/>
        <v>0</v>
      </c>
      <c r="G536" s="182">
        <f t="shared" ca="1" si="99"/>
        <v>0</v>
      </c>
      <c r="H536" s="182">
        <f t="shared" ca="1" si="89"/>
        <v>38990.268037165988</v>
      </c>
      <c r="I536" s="183">
        <v>0</v>
      </c>
      <c r="J536" s="263">
        <f t="shared" ca="1" si="91"/>
        <v>38990.268037165988</v>
      </c>
      <c r="K536" s="182">
        <f t="shared" ca="1" si="92"/>
        <v>70</v>
      </c>
      <c r="L536" s="182">
        <f t="shared" ca="1" si="93"/>
        <v>12390.268037165968</v>
      </c>
      <c r="M536" s="182">
        <f t="shared" ca="1" si="94"/>
        <v>8400</v>
      </c>
      <c r="N536" s="182">
        <f t="shared" ca="1" si="95"/>
        <v>48930.268037165872</v>
      </c>
      <c r="O536" s="182"/>
    </row>
    <row r="537" spans="1:15" x14ac:dyDescent="0.25">
      <c r="A537" s="180">
        <f t="shared" ca="1" si="96"/>
        <v>46627</v>
      </c>
      <c r="B537" s="181">
        <v>523</v>
      </c>
      <c r="C537" s="182">
        <f t="shared" ca="1" si="97"/>
        <v>38990.268037165988</v>
      </c>
      <c r="D537" s="182">
        <f t="shared" ca="1" si="98"/>
        <v>25.993512024777324</v>
      </c>
      <c r="E537" s="182">
        <v>0</v>
      </c>
      <c r="F537" s="182">
        <f t="shared" ca="1" si="90"/>
        <v>0</v>
      </c>
      <c r="G537" s="182">
        <f t="shared" ca="1" si="99"/>
        <v>0</v>
      </c>
      <c r="H537" s="182">
        <f t="shared" ca="1" si="89"/>
        <v>39016.261549190764</v>
      </c>
      <c r="I537" s="183">
        <v>0</v>
      </c>
      <c r="J537" s="263">
        <f t="shared" ca="1" si="91"/>
        <v>39016.261549190764</v>
      </c>
      <c r="K537" s="182">
        <f t="shared" ca="1" si="92"/>
        <v>70</v>
      </c>
      <c r="L537" s="182">
        <f t="shared" ca="1" si="93"/>
        <v>12416.261549190745</v>
      </c>
      <c r="M537" s="182">
        <f t="shared" ca="1" si="94"/>
        <v>8400</v>
      </c>
      <c r="N537" s="182">
        <f t="shared" ca="1" si="95"/>
        <v>49026.261549190647</v>
      </c>
      <c r="O537" s="182"/>
    </row>
    <row r="538" spans="1:15" x14ac:dyDescent="0.25">
      <c r="A538" s="180">
        <f t="shared" ca="1" si="96"/>
        <v>46628</v>
      </c>
      <c r="B538" s="181">
        <v>524</v>
      </c>
      <c r="C538" s="182">
        <f t="shared" ca="1" si="97"/>
        <v>39016.261549190764</v>
      </c>
      <c r="D538" s="182">
        <f t="shared" ca="1" si="98"/>
        <v>26.010841032793842</v>
      </c>
      <c r="E538" s="182">
        <v>0</v>
      </c>
      <c r="F538" s="182">
        <f t="shared" ca="1" si="90"/>
        <v>0</v>
      </c>
      <c r="G538" s="182">
        <f t="shared" ca="1" si="99"/>
        <v>0</v>
      </c>
      <c r="H538" s="182">
        <f t="shared" ca="1" si="89"/>
        <v>39042.272390223559</v>
      </c>
      <c r="I538" s="183">
        <v>0</v>
      </c>
      <c r="J538" s="263">
        <f t="shared" ca="1" si="91"/>
        <v>39042.272390223559</v>
      </c>
      <c r="K538" s="182">
        <f t="shared" ca="1" si="92"/>
        <v>70</v>
      </c>
      <c r="L538" s="182">
        <f t="shared" ca="1" si="93"/>
        <v>12442.272390223539</v>
      </c>
      <c r="M538" s="182">
        <f t="shared" ca="1" si="94"/>
        <v>8400</v>
      </c>
      <c r="N538" s="182">
        <f t="shared" ca="1" si="95"/>
        <v>49122.272390223443</v>
      </c>
      <c r="O538" s="182"/>
    </row>
    <row r="539" spans="1:15" x14ac:dyDescent="0.25">
      <c r="A539" s="180">
        <f t="shared" ca="1" si="96"/>
        <v>46629</v>
      </c>
      <c r="B539" s="181">
        <v>525</v>
      </c>
      <c r="C539" s="182">
        <f t="shared" ca="1" si="97"/>
        <v>39042.272390223559</v>
      </c>
      <c r="D539" s="182">
        <f t="shared" ca="1" si="98"/>
        <v>26.028181593482373</v>
      </c>
      <c r="E539" s="182">
        <v>0</v>
      </c>
      <c r="F539" s="182">
        <f t="shared" ca="1" si="90"/>
        <v>0</v>
      </c>
      <c r="G539" s="182">
        <f t="shared" ca="1" si="99"/>
        <v>0</v>
      </c>
      <c r="H539" s="182">
        <f t="shared" ca="1" si="89"/>
        <v>39068.300571817039</v>
      </c>
      <c r="I539" s="183">
        <v>0</v>
      </c>
      <c r="J539" s="263">
        <f t="shared" ca="1" si="91"/>
        <v>39068.300571817039</v>
      </c>
      <c r="K539" s="182">
        <f t="shared" ca="1" si="92"/>
        <v>70</v>
      </c>
      <c r="L539" s="182">
        <f t="shared" ca="1" si="93"/>
        <v>12468.300571817023</v>
      </c>
      <c r="M539" s="182">
        <f t="shared" ca="1" si="94"/>
        <v>8400</v>
      </c>
      <c r="N539" s="182">
        <f t="shared" ca="1" si="95"/>
        <v>49218.300571816922</v>
      </c>
      <c r="O539" s="182"/>
    </row>
    <row r="540" spans="1:15" x14ac:dyDescent="0.25">
      <c r="A540" s="180">
        <f t="shared" ca="1" si="96"/>
        <v>46630</v>
      </c>
      <c r="B540" s="181">
        <v>526</v>
      </c>
      <c r="C540" s="182">
        <f t="shared" ca="1" si="97"/>
        <v>39068.300571817039</v>
      </c>
      <c r="D540" s="182">
        <f t="shared" ca="1" si="98"/>
        <v>26.045533714544693</v>
      </c>
      <c r="E540" s="182">
        <v>0</v>
      </c>
      <c r="F540" s="182">
        <f t="shared" ca="1" si="90"/>
        <v>0</v>
      </c>
      <c r="G540" s="182">
        <f t="shared" ca="1" si="99"/>
        <v>0</v>
      </c>
      <c r="H540" s="182">
        <f t="shared" ca="1" si="89"/>
        <v>39094.346105531586</v>
      </c>
      <c r="I540" s="183">
        <v>0</v>
      </c>
      <c r="J540" s="263">
        <f t="shared" ca="1" si="91"/>
        <v>39094.346105531586</v>
      </c>
      <c r="K540" s="182">
        <f t="shared" ca="1" si="92"/>
        <v>70</v>
      </c>
      <c r="L540" s="182">
        <f t="shared" ca="1" si="93"/>
        <v>12494.346105531567</v>
      </c>
      <c r="M540" s="182">
        <f t="shared" ca="1" si="94"/>
        <v>8400</v>
      </c>
      <c r="N540" s="182">
        <f t="shared" ca="1" si="95"/>
        <v>49314.346105531469</v>
      </c>
      <c r="O540" s="182"/>
    </row>
    <row r="541" spans="1:15" x14ac:dyDescent="0.25">
      <c r="A541" s="180">
        <f t="shared" ca="1" si="96"/>
        <v>46631</v>
      </c>
      <c r="B541" s="181">
        <v>527</v>
      </c>
      <c r="C541" s="182">
        <f t="shared" ca="1" si="97"/>
        <v>39094.346105531586</v>
      </c>
      <c r="D541" s="182">
        <f t="shared" ca="1" si="98"/>
        <v>26.062897403687725</v>
      </c>
      <c r="E541" s="182">
        <v>0</v>
      </c>
      <c r="F541" s="182">
        <f t="shared" ca="1" si="90"/>
        <v>0</v>
      </c>
      <c r="G541" s="182">
        <f t="shared" ca="1" si="99"/>
        <v>0</v>
      </c>
      <c r="H541" s="182">
        <f t="shared" ca="1" si="89"/>
        <v>39120.409002935274</v>
      </c>
      <c r="I541" s="183">
        <v>0</v>
      </c>
      <c r="J541" s="263">
        <f t="shared" ca="1" si="91"/>
        <v>39120.409002935274</v>
      </c>
      <c r="K541" s="182">
        <f t="shared" ca="1" si="92"/>
        <v>70</v>
      </c>
      <c r="L541" s="182">
        <f t="shared" ca="1" si="93"/>
        <v>12520.409002935256</v>
      </c>
      <c r="M541" s="182">
        <f t="shared" ca="1" si="94"/>
        <v>8400</v>
      </c>
      <c r="N541" s="182">
        <f t="shared" ca="1" si="95"/>
        <v>49410.409002935157</v>
      </c>
      <c r="O541" s="182"/>
    </row>
    <row r="542" spans="1:15" x14ac:dyDescent="0.25">
      <c r="A542" s="180">
        <f t="shared" ca="1" si="96"/>
        <v>46632</v>
      </c>
      <c r="B542" s="181">
        <v>528</v>
      </c>
      <c r="C542" s="182">
        <f t="shared" ca="1" si="97"/>
        <v>39120.409002935274</v>
      </c>
      <c r="D542" s="182">
        <f t="shared" ca="1" si="98"/>
        <v>26.080272668623515</v>
      </c>
      <c r="E542" s="182">
        <v>0</v>
      </c>
      <c r="F542" s="182">
        <f t="shared" ca="1" si="90"/>
        <v>0</v>
      </c>
      <c r="G542" s="182">
        <f t="shared" ca="1" si="99"/>
        <v>0</v>
      </c>
      <c r="H542" s="182">
        <f t="shared" ca="1" si="89"/>
        <v>39146.489275603897</v>
      </c>
      <c r="I542" s="183">
        <v>0</v>
      </c>
      <c r="J542" s="263">
        <f t="shared" ca="1" si="91"/>
        <v>39146.489275603897</v>
      </c>
      <c r="K542" s="182">
        <f t="shared" ca="1" si="92"/>
        <v>70</v>
      </c>
      <c r="L542" s="182">
        <f t="shared" ca="1" si="93"/>
        <v>12546.489275603879</v>
      </c>
      <c r="M542" s="182">
        <f t="shared" ca="1" si="94"/>
        <v>8400</v>
      </c>
      <c r="N542" s="182">
        <f t="shared" ca="1" si="95"/>
        <v>49506.489275603781</v>
      </c>
      <c r="O542" s="182"/>
    </row>
    <row r="543" spans="1:15" x14ac:dyDescent="0.25">
      <c r="A543" s="180">
        <f t="shared" ca="1" si="96"/>
        <v>46633</v>
      </c>
      <c r="B543" s="181">
        <v>529</v>
      </c>
      <c r="C543" s="182">
        <f t="shared" ca="1" si="97"/>
        <v>39146.489275603897</v>
      </c>
      <c r="D543" s="182">
        <f t="shared" ca="1" si="98"/>
        <v>26.097659517069264</v>
      </c>
      <c r="E543" s="182">
        <v>0</v>
      </c>
      <c r="F543" s="182">
        <f t="shared" ca="1" si="90"/>
        <v>0</v>
      </c>
      <c r="G543" s="182">
        <f t="shared" ca="1" si="99"/>
        <v>0</v>
      </c>
      <c r="H543" s="182">
        <f t="shared" ca="1" si="89"/>
        <v>39172.586935120969</v>
      </c>
      <c r="I543" s="183">
        <v>0</v>
      </c>
      <c r="J543" s="263">
        <f t="shared" ca="1" si="91"/>
        <v>39172.586935120969</v>
      </c>
      <c r="K543" s="182">
        <f t="shared" ca="1" si="92"/>
        <v>70</v>
      </c>
      <c r="L543" s="182">
        <f t="shared" ca="1" si="93"/>
        <v>12572.586935120948</v>
      </c>
      <c r="M543" s="182">
        <f t="shared" ca="1" si="94"/>
        <v>8400</v>
      </c>
      <c r="N543" s="182">
        <f t="shared" ca="1" si="95"/>
        <v>49602.586935120853</v>
      </c>
      <c r="O543" s="182"/>
    </row>
    <row r="544" spans="1:15" x14ac:dyDescent="0.25">
      <c r="A544" s="180">
        <f t="shared" ca="1" si="96"/>
        <v>46634</v>
      </c>
      <c r="B544" s="181">
        <v>530</v>
      </c>
      <c r="C544" s="182">
        <f t="shared" ca="1" si="97"/>
        <v>39172.586935120969</v>
      </c>
      <c r="D544" s="182">
        <f t="shared" ca="1" si="98"/>
        <v>26.115057956747311</v>
      </c>
      <c r="E544" s="182">
        <v>0</v>
      </c>
      <c r="F544" s="182">
        <f t="shared" ca="1" si="90"/>
        <v>0</v>
      </c>
      <c r="G544" s="182">
        <f t="shared" ca="1" si="99"/>
        <v>0</v>
      </c>
      <c r="H544" s="182">
        <f t="shared" ca="1" si="89"/>
        <v>39198.701993077717</v>
      </c>
      <c r="I544" s="183">
        <v>0</v>
      </c>
      <c r="J544" s="263">
        <f t="shared" ca="1" si="91"/>
        <v>39198.701993077717</v>
      </c>
      <c r="K544" s="182">
        <f t="shared" ca="1" si="92"/>
        <v>70</v>
      </c>
      <c r="L544" s="182">
        <f t="shared" ca="1" si="93"/>
        <v>12598.701993077695</v>
      </c>
      <c r="M544" s="182">
        <f t="shared" ca="1" si="94"/>
        <v>8400</v>
      </c>
      <c r="N544" s="182">
        <f t="shared" ca="1" si="95"/>
        <v>49698.7019930776</v>
      </c>
      <c r="O544" s="182"/>
    </row>
    <row r="545" spans="1:15" x14ac:dyDescent="0.25">
      <c r="A545" s="180">
        <f t="shared" ca="1" si="96"/>
        <v>46635</v>
      </c>
      <c r="B545" s="181">
        <v>531</v>
      </c>
      <c r="C545" s="182">
        <f t="shared" ca="1" si="97"/>
        <v>39198.701993077717</v>
      </c>
      <c r="D545" s="182">
        <f t="shared" ca="1" si="98"/>
        <v>26.132467995385145</v>
      </c>
      <c r="E545" s="182">
        <v>0</v>
      </c>
      <c r="F545" s="182">
        <f t="shared" ca="1" si="90"/>
        <v>0</v>
      </c>
      <c r="G545" s="182">
        <f t="shared" ca="1" si="99"/>
        <v>0</v>
      </c>
      <c r="H545" s="182">
        <f t="shared" ca="1" si="89"/>
        <v>39224.8344610731</v>
      </c>
      <c r="I545" s="183">
        <v>0</v>
      </c>
      <c r="J545" s="263">
        <f t="shared" ca="1" si="91"/>
        <v>39224.8344610731</v>
      </c>
      <c r="K545" s="182">
        <f t="shared" ca="1" si="92"/>
        <v>70</v>
      </c>
      <c r="L545" s="182">
        <f t="shared" ca="1" si="93"/>
        <v>12624.83446107308</v>
      </c>
      <c r="M545" s="182">
        <f t="shared" ca="1" si="94"/>
        <v>8400</v>
      </c>
      <c r="N545" s="182">
        <f t="shared" ca="1" si="95"/>
        <v>49794.834461072984</v>
      </c>
      <c r="O545" s="182"/>
    </row>
    <row r="546" spans="1:15" x14ac:dyDescent="0.25">
      <c r="A546" s="180">
        <f t="shared" ca="1" si="96"/>
        <v>46636</v>
      </c>
      <c r="B546" s="181">
        <v>532</v>
      </c>
      <c r="C546" s="182">
        <f t="shared" ca="1" si="97"/>
        <v>39224.8344610731</v>
      </c>
      <c r="D546" s="182">
        <f t="shared" ca="1" si="98"/>
        <v>26.149889640715401</v>
      </c>
      <c r="E546" s="182">
        <v>0</v>
      </c>
      <c r="F546" s="182">
        <f t="shared" ca="1" si="90"/>
        <v>0</v>
      </c>
      <c r="G546" s="182">
        <f t="shared" ca="1" si="99"/>
        <v>0</v>
      </c>
      <c r="H546" s="182">
        <f t="shared" ca="1" si="89"/>
        <v>39250.984350713814</v>
      </c>
      <c r="I546" s="183">
        <v>0</v>
      </c>
      <c r="J546" s="263">
        <f t="shared" ca="1" si="91"/>
        <v>39250.984350713814</v>
      </c>
      <c r="K546" s="182">
        <f t="shared" ca="1" si="92"/>
        <v>70</v>
      </c>
      <c r="L546" s="182">
        <f t="shared" ca="1" si="93"/>
        <v>12650.984350713796</v>
      </c>
      <c r="M546" s="182">
        <f t="shared" ca="1" si="94"/>
        <v>8400</v>
      </c>
      <c r="N546" s="182">
        <f t="shared" ca="1" si="95"/>
        <v>49890.984350713697</v>
      </c>
      <c r="O546" s="182"/>
    </row>
    <row r="547" spans="1:15" x14ac:dyDescent="0.25">
      <c r="A547" s="180">
        <f t="shared" ca="1" si="96"/>
        <v>46637</v>
      </c>
      <c r="B547" s="181">
        <v>533</v>
      </c>
      <c r="C547" s="182">
        <f t="shared" ca="1" si="97"/>
        <v>39250.984350713814</v>
      </c>
      <c r="D547" s="182">
        <f t="shared" ca="1" si="98"/>
        <v>26.167322900475874</v>
      </c>
      <c r="E547" s="182">
        <v>0</v>
      </c>
      <c r="F547" s="182">
        <f t="shared" ca="1" si="90"/>
        <v>0</v>
      </c>
      <c r="G547" s="182">
        <f t="shared" ca="1" si="99"/>
        <v>0</v>
      </c>
      <c r="H547" s="182">
        <f t="shared" ref="H547:H610" ca="1" si="100">IF(G547&gt;0,C547+F547+I547,SUM(C547:F547)-G546)</f>
        <v>39277.151673614288</v>
      </c>
      <c r="I547" s="183">
        <v>0</v>
      </c>
      <c r="J547" s="263">
        <f t="shared" ca="1" si="91"/>
        <v>39277.151673614288</v>
      </c>
      <c r="K547" s="182">
        <f t="shared" ca="1" si="92"/>
        <v>70</v>
      </c>
      <c r="L547" s="182">
        <f t="shared" ca="1" si="93"/>
        <v>12677.151673614271</v>
      </c>
      <c r="M547" s="182">
        <f t="shared" ca="1" si="94"/>
        <v>8400</v>
      </c>
      <c r="N547" s="182">
        <f t="shared" ca="1" si="95"/>
        <v>49987.151673614171</v>
      </c>
      <c r="O547" s="182"/>
    </row>
    <row r="548" spans="1:15" x14ac:dyDescent="0.25">
      <c r="A548" s="180">
        <f t="shared" ca="1" si="96"/>
        <v>46638</v>
      </c>
      <c r="B548" s="181">
        <v>534</v>
      </c>
      <c r="C548" s="182">
        <f t="shared" ca="1" si="97"/>
        <v>39277.151673614288</v>
      </c>
      <c r="D548" s="182">
        <f t="shared" ca="1" si="98"/>
        <v>26.184767782409523</v>
      </c>
      <c r="E548" s="182">
        <v>0</v>
      </c>
      <c r="F548" s="182">
        <f t="shared" ca="1" si="90"/>
        <v>0</v>
      </c>
      <c r="G548" s="182">
        <f t="shared" ca="1" si="99"/>
        <v>0</v>
      </c>
      <c r="H548" s="182">
        <f t="shared" ca="1" si="100"/>
        <v>39303.336441396699</v>
      </c>
      <c r="I548" s="183">
        <v>0</v>
      </c>
      <c r="J548" s="263">
        <f t="shared" ca="1" si="91"/>
        <v>39303.336441396699</v>
      </c>
      <c r="K548" s="182">
        <f t="shared" ca="1" si="92"/>
        <v>70</v>
      </c>
      <c r="L548" s="182">
        <f t="shared" ca="1" si="93"/>
        <v>12703.336441396681</v>
      </c>
      <c r="M548" s="182">
        <f t="shared" ca="1" si="94"/>
        <v>8400</v>
      </c>
      <c r="N548" s="182">
        <f t="shared" ca="1" si="95"/>
        <v>50083.336441396583</v>
      </c>
      <c r="O548" s="182"/>
    </row>
    <row r="549" spans="1:15" x14ac:dyDescent="0.25">
      <c r="A549" s="180">
        <f t="shared" ca="1" si="96"/>
        <v>46639</v>
      </c>
      <c r="B549" s="181">
        <v>535</v>
      </c>
      <c r="C549" s="182">
        <f t="shared" ca="1" si="97"/>
        <v>39303.336441396699</v>
      </c>
      <c r="D549" s="182">
        <f t="shared" ca="1" si="98"/>
        <v>26.202224294264465</v>
      </c>
      <c r="E549" s="182">
        <v>0</v>
      </c>
      <c r="F549" s="182">
        <f t="shared" ca="1" si="90"/>
        <v>0</v>
      </c>
      <c r="G549" s="182">
        <f t="shared" ca="1" si="99"/>
        <v>0</v>
      </c>
      <c r="H549" s="182">
        <f t="shared" ca="1" si="100"/>
        <v>39329.538665690961</v>
      </c>
      <c r="I549" s="183">
        <v>0</v>
      </c>
      <c r="J549" s="263">
        <f t="shared" ca="1" si="91"/>
        <v>39329.538665690961</v>
      </c>
      <c r="K549" s="182">
        <f t="shared" ca="1" si="92"/>
        <v>70</v>
      </c>
      <c r="L549" s="182">
        <f t="shared" ca="1" si="93"/>
        <v>12729.538665690945</v>
      </c>
      <c r="M549" s="182">
        <f t="shared" ca="1" si="94"/>
        <v>8400</v>
      </c>
      <c r="N549" s="182">
        <f t="shared" ca="1" si="95"/>
        <v>50179.538665690845</v>
      </c>
      <c r="O549" s="182"/>
    </row>
    <row r="550" spans="1:15" x14ac:dyDescent="0.25">
      <c r="A550" s="180">
        <f t="shared" ca="1" si="96"/>
        <v>46640</v>
      </c>
      <c r="B550" s="181">
        <v>536</v>
      </c>
      <c r="C550" s="182">
        <f t="shared" ca="1" si="97"/>
        <v>39329.538665690961</v>
      </c>
      <c r="D550" s="182">
        <f t="shared" ca="1" si="98"/>
        <v>26.219692443793974</v>
      </c>
      <c r="E550" s="182">
        <v>0</v>
      </c>
      <c r="F550" s="182">
        <f t="shared" ca="1" si="90"/>
        <v>0</v>
      </c>
      <c r="G550" s="182">
        <f t="shared" ca="1" si="99"/>
        <v>0</v>
      </c>
      <c r="H550" s="182">
        <f t="shared" ca="1" si="100"/>
        <v>39355.758358134757</v>
      </c>
      <c r="I550" s="183">
        <v>0</v>
      </c>
      <c r="J550" s="263">
        <f t="shared" ca="1" si="91"/>
        <v>39355.758358134757</v>
      </c>
      <c r="K550" s="182">
        <f t="shared" ca="1" si="92"/>
        <v>70</v>
      </c>
      <c r="L550" s="182">
        <f t="shared" ca="1" si="93"/>
        <v>12755.758358134739</v>
      </c>
      <c r="M550" s="182">
        <f t="shared" ca="1" si="94"/>
        <v>8400</v>
      </c>
      <c r="N550" s="182">
        <f t="shared" ca="1" si="95"/>
        <v>50275.758358134641</v>
      </c>
      <c r="O550" s="182"/>
    </row>
    <row r="551" spans="1:15" x14ac:dyDescent="0.25">
      <c r="A551" s="180">
        <f t="shared" ca="1" si="96"/>
        <v>46641</v>
      </c>
      <c r="B551" s="181">
        <v>537</v>
      </c>
      <c r="C551" s="182">
        <f t="shared" ca="1" si="97"/>
        <v>39355.758358134757</v>
      </c>
      <c r="D551" s="182">
        <f t="shared" ca="1" si="98"/>
        <v>26.237172238756504</v>
      </c>
      <c r="E551" s="182">
        <v>0</v>
      </c>
      <c r="F551" s="182">
        <f t="shared" ca="1" si="90"/>
        <v>0</v>
      </c>
      <c r="G551" s="182">
        <f t="shared" ca="1" si="99"/>
        <v>0</v>
      </c>
      <c r="H551" s="182">
        <f t="shared" ca="1" si="100"/>
        <v>39381.995530373511</v>
      </c>
      <c r="I551" s="183">
        <v>0</v>
      </c>
      <c r="J551" s="263">
        <f t="shared" ca="1" si="91"/>
        <v>39381.995530373511</v>
      </c>
      <c r="K551" s="182">
        <f t="shared" ca="1" si="92"/>
        <v>70</v>
      </c>
      <c r="L551" s="182">
        <f t="shared" ca="1" si="93"/>
        <v>12781.995530373495</v>
      </c>
      <c r="M551" s="182">
        <f t="shared" ca="1" si="94"/>
        <v>8400</v>
      </c>
      <c r="N551" s="182">
        <f t="shared" ca="1" si="95"/>
        <v>50371.995530373395</v>
      </c>
      <c r="O551" s="182"/>
    </row>
    <row r="552" spans="1:15" x14ac:dyDescent="0.25">
      <c r="A552" s="180">
        <f t="shared" ca="1" si="96"/>
        <v>46642</v>
      </c>
      <c r="B552" s="181">
        <v>538</v>
      </c>
      <c r="C552" s="182">
        <f t="shared" ca="1" si="97"/>
        <v>39381.995530373511</v>
      </c>
      <c r="D552" s="182">
        <f t="shared" ca="1" si="98"/>
        <v>26.254663686915674</v>
      </c>
      <c r="E552" s="182">
        <v>0</v>
      </c>
      <c r="F552" s="182">
        <f t="shared" ca="1" si="90"/>
        <v>0</v>
      </c>
      <c r="G552" s="182">
        <f t="shared" ca="1" si="99"/>
        <v>0</v>
      </c>
      <c r="H552" s="182">
        <f t="shared" ca="1" si="100"/>
        <v>39408.250194060427</v>
      </c>
      <c r="I552" s="183">
        <v>0</v>
      </c>
      <c r="J552" s="263">
        <f t="shared" ca="1" si="91"/>
        <v>39408.250194060427</v>
      </c>
      <c r="K552" s="182">
        <f t="shared" ca="1" si="92"/>
        <v>70</v>
      </c>
      <c r="L552" s="182">
        <f t="shared" ca="1" si="93"/>
        <v>12808.250194060411</v>
      </c>
      <c r="M552" s="182">
        <f t="shared" ca="1" si="94"/>
        <v>8400</v>
      </c>
      <c r="N552" s="182">
        <f t="shared" ca="1" si="95"/>
        <v>50468.250194060311</v>
      </c>
      <c r="O552" s="182"/>
    </row>
    <row r="553" spans="1:15" x14ac:dyDescent="0.25">
      <c r="A553" s="180">
        <f t="shared" ca="1" si="96"/>
        <v>46643</v>
      </c>
      <c r="B553" s="181">
        <v>539</v>
      </c>
      <c r="C553" s="182">
        <f t="shared" ca="1" si="97"/>
        <v>39408.250194060427</v>
      </c>
      <c r="D553" s="182">
        <f t="shared" ca="1" si="98"/>
        <v>26.272166796040285</v>
      </c>
      <c r="E553" s="182">
        <v>0</v>
      </c>
      <c r="F553" s="182">
        <f t="shared" ca="1" si="90"/>
        <v>0</v>
      </c>
      <c r="G553" s="182">
        <f t="shared" ca="1" si="99"/>
        <v>0</v>
      </c>
      <c r="H553" s="182">
        <f t="shared" ca="1" si="100"/>
        <v>39434.52236085647</v>
      </c>
      <c r="I553" s="183">
        <v>0</v>
      </c>
      <c r="J553" s="263">
        <f t="shared" ca="1" si="91"/>
        <v>39434.52236085647</v>
      </c>
      <c r="K553" s="182">
        <f t="shared" ca="1" si="92"/>
        <v>70</v>
      </c>
      <c r="L553" s="182">
        <f t="shared" ca="1" si="93"/>
        <v>12834.52236085645</v>
      </c>
      <c r="M553" s="182">
        <f t="shared" ca="1" si="94"/>
        <v>8400</v>
      </c>
      <c r="N553" s="182">
        <f t="shared" ca="1" si="95"/>
        <v>50564.522360856354</v>
      </c>
      <c r="O553" s="182"/>
    </row>
    <row r="554" spans="1:15" x14ac:dyDescent="0.25">
      <c r="A554" s="180">
        <f t="shared" ca="1" si="96"/>
        <v>46644</v>
      </c>
      <c r="B554" s="181">
        <v>540</v>
      </c>
      <c r="C554" s="182">
        <f t="shared" ca="1" si="97"/>
        <v>39434.52236085647</v>
      </c>
      <c r="D554" s="182">
        <f t="shared" ca="1" si="98"/>
        <v>26.289681573904314</v>
      </c>
      <c r="E554" s="182">
        <v>0</v>
      </c>
      <c r="F554" s="182">
        <f t="shared" ca="1" si="90"/>
        <v>0</v>
      </c>
      <c r="G554" s="182">
        <f t="shared" ca="1" si="99"/>
        <v>0</v>
      </c>
      <c r="H554" s="182">
        <f t="shared" ca="1" si="100"/>
        <v>39460.812042430378</v>
      </c>
      <c r="I554" s="183">
        <v>0</v>
      </c>
      <c r="J554" s="263">
        <f t="shared" ca="1" si="91"/>
        <v>39460.812042430378</v>
      </c>
      <c r="K554" s="182">
        <f t="shared" ca="1" si="92"/>
        <v>70</v>
      </c>
      <c r="L554" s="182">
        <f t="shared" ca="1" si="93"/>
        <v>12860.812042430354</v>
      </c>
      <c r="M554" s="182">
        <f t="shared" ca="1" si="94"/>
        <v>8400</v>
      </c>
      <c r="N554" s="182">
        <f t="shared" ca="1" si="95"/>
        <v>50660.812042430261</v>
      </c>
      <c r="O554" s="182"/>
    </row>
    <row r="555" spans="1:15" x14ac:dyDescent="0.25">
      <c r="A555" s="180">
        <f t="shared" ca="1" si="96"/>
        <v>46645</v>
      </c>
      <c r="B555" s="181">
        <v>541</v>
      </c>
      <c r="C555" s="182">
        <f t="shared" ca="1" si="97"/>
        <v>39460.812042430378</v>
      </c>
      <c r="D555" s="182">
        <f t="shared" ca="1" si="98"/>
        <v>26.307208028286919</v>
      </c>
      <c r="E555" s="182">
        <v>0</v>
      </c>
      <c r="F555" s="182">
        <f t="shared" ca="1" si="90"/>
        <v>0</v>
      </c>
      <c r="G555" s="182">
        <f t="shared" ca="1" si="99"/>
        <v>0</v>
      </c>
      <c r="H555" s="182">
        <f t="shared" ca="1" si="100"/>
        <v>39487.119250458665</v>
      </c>
      <c r="I555" s="183">
        <v>0</v>
      </c>
      <c r="J555" s="263">
        <f t="shared" ca="1" si="91"/>
        <v>39487.119250458665</v>
      </c>
      <c r="K555" s="182">
        <f t="shared" ca="1" si="92"/>
        <v>70</v>
      </c>
      <c r="L555" s="182">
        <f t="shared" ca="1" si="93"/>
        <v>12887.119250458642</v>
      </c>
      <c r="M555" s="182">
        <f t="shared" ca="1" si="94"/>
        <v>8400</v>
      </c>
      <c r="N555" s="182">
        <f t="shared" ca="1" si="95"/>
        <v>50757.119250458549</v>
      </c>
      <c r="O555" s="182"/>
    </row>
    <row r="556" spans="1:15" x14ac:dyDescent="0.25">
      <c r="A556" s="180">
        <f t="shared" ca="1" si="96"/>
        <v>46646</v>
      </c>
      <c r="B556" s="181">
        <v>542</v>
      </c>
      <c r="C556" s="182">
        <f t="shared" ca="1" si="97"/>
        <v>39487.119250458665</v>
      </c>
      <c r="D556" s="182">
        <f t="shared" ca="1" si="98"/>
        <v>26.324746166972442</v>
      </c>
      <c r="E556" s="182">
        <v>0</v>
      </c>
      <c r="F556" s="182">
        <f t="shared" ref="F556:F619" ca="1" si="101">IFERROR(-VLOOKUP(A556,$P$4:$R$31,2,FALSE),0)</f>
        <v>0</v>
      </c>
      <c r="G556" s="182">
        <f t="shared" ca="1" si="99"/>
        <v>0</v>
      </c>
      <c r="H556" s="182">
        <f t="shared" ca="1" si="100"/>
        <v>39513.44399662564</v>
      </c>
      <c r="I556" s="183">
        <v>0</v>
      </c>
      <c r="J556" s="263">
        <f t="shared" ca="1" si="91"/>
        <v>39513.44399662564</v>
      </c>
      <c r="K556" s="182">
        <f t="shared" ca="1" si="92"/>
        <v>70</v>
      </c>
      <c r="L556" s="182">
        <f t="shared" ca="1" si="93"/>
        <v>12913.443996625614</v>
      </c>
      <c r="M556" s="182">
        <f t="shared" ca="1" si="94"/>
        <v>8400</v>
      </c>
      <c r="N556" s="182">
        <f t="shared" ca="1" si="95"/>
        <v>50853.443996625523</v>
      </c>
      <c r="O556" s="182"/>
    </row>
    <row r="557" spans="1:15" x14ac:dyDescent="0.25">
      <c r="A557" s="180">
        <f t="shared" ca="1" si="96"/>
        <v>46647</v>
      </c>
      <c r="B557" s="181">
        <v>543</v>
      </c>
      <c r="C557" s="182">
        <f t="shared" ca="1" si="97"/>
        <v>39513.44399662564</v>
      </c>
      <c r="D557" s="182">
        <f t="shared" ca="1" si="98"/>
        <v>26.342295997750426</v>
      </c>
      <c r="E557" s="182">
        <v>0</v>
      </c>
      <c r="F557" s="182">
        <f t="shared" ca="1" si="101"/>
        <v>0</v>
      </c>
      <c r="G557" s="182">
        <f t="shared" ca="1" si="99"/>
        <v>0</v>
      </c>
      <c r="H557" s="182">
        <f t="shared" ca="1" si="100"/>
        <v>39539.786292623387</v>
      </c>
      <c r="I557" s="183">
        <v>0</v>
      </c>
      <c r="J557" s="263">
        <f t="shared" ca="1" si="91"/>
        <v>39539.786292623387</v>
      </c>
      <c r="K557" s="182">
        <f t="shared" ca="1" si="92"/>
        <v>70</v>
      </c>
      <c r="L557" s="182">
        <f t="shared" ca="1" si="93"/>
        <v>12939.786292623365</v>
      </c>
      <c r="M557" s="182">
        <f t="shared" ca="1" si="94"/>
        <v>8400</v>
      </c>
      <c r="N557" s="182">
        <f t="shared" ca="1" si="95"/>
        <v>50949.78629262327</v>
      </c>
      <c r="O557" s="182"/>
    </row>
    <row r="558" spans="1:15" x14ac:dyDescent="0.25">
      <c r="A558" s="180">
        <f t="shared" ca="1" si="96"/>
        <v>46648</v>
      </c>
      <c r="B558" s="181">
        <v>544</v>
      </c>
      <c r="C558" s="182">
        <f t="shared" ca="1" si="97"/>
        <v>39539.786292623387</v>
      </c>
      <c r="D558" s="182">
        <f t="shared" ca="1" si="98"/>
        <v>26.359857528415588</v>
      </c>
      <c r="E558" s="182">
        <v>0</v>
      </c>
      <c r="F558" s="182">
        <f t="shared" ca="1" si="101"/>
        <v>0</v>
      </c>
      <c r="G558" s="182">
        <f t="shared" ca="1" si="99"/>
        <v>0</v>
      </c>
      <c r="H558" s="182">
        <f t="shared" ca="1" si="100"/>
        <v>39566.146150151799</v>
      </c>
      <c r="I558" s="183">
        <v>0</v>
      </c>
      <c r="J558" s="263">
        <f t="shared" ca="1" si="91"/>
        <v>39566.146150151799</v>
      </c>
      <c r="K558" s="182">
        <f t="shared" ca="1" si="92"/>
        <v>70</v>
      </c>
      <c r="L558" s="182">
        <f t="shared" ca="1" si="93"/>
        <v>12966.146150151781</v>
      </c>
      <c r="M558" s="182">
        <f t="shared" ca="1" si="94"/>
        <v>8400</v>
      </c>
      <c r="N558" s="182">
        <f t="shared" ca="1" si="95"/>
        <v>51046.146150151682</v>
      </c>
      <c r="O558" s="182"/>
    </row>
    <row r="559" spans="1:15" x14ac:dyDescent="0.25">
      <c r="A559" s="180">
        <f t="shared" ca="1" si="96"/>
        <v>46649</v>
      </c>
      <c r="B559" s="181">
        <v>545</v>
      </c>
      <c r="C559" s="182">
        <f t="shared" ca="1" si="97"/>
        <v>39566.146150151799</v>
      </c>
      <c r="D559" s="182">
        <f t="shared" ca="1" si="98"/>
        <v>26.377430766767866</v>
      </c>
      <c r="E559" s="182">
        <v>0</v>
      </c>
      <c r="F559" s="182">
        <f t="shared" ca="1" si="101"/>
        <v>0</v>
      </c>
      <c r="G559" s="182">
        <f t="shared" ca="1" si="99"/>
        <v>0</v>
      </c>
      <c r="H559" s="182">
        <f t="shared" ca="1" si="100"/>
        <v>39592.523580918569</v>
      </c>
      <c r="I559" s="183">
        <v>0</v>
      </c>
      <c r="J559" s="263">
        <f t="shared" ca="1" si="91"/>
        <v>39592.523580918569</v>
      </c>
      <c r="K559" s="182">
        <f t="shared" ca="1" si="92"/>
        <v>70</v>
      </c>
      <c r="L559" s="182">
        <f t="shared" ca="1" si="93"/>
        <v>12992.523580918549</v>
      </c>
      <c r="M559" s="182">
        <f t="shared" ca="1" si="94"/>
        <v>8400</v>
      </c>
      <c r="N559" s="182">
        <f t="shared" ca="1" si="95"/>
        <v>51142.523580918452</v>
      </c>
      <c r="O559" s="182"/>
    </row>
    <row r="560" spans="1:15" x14ac:dyDescent="0.25">
      <c r="A560" s="180">
        <f t="shared" ca="1" si="96"/>
        <v>46650</v>
      </c>
      <c r="B560" s="181">
        <v>546</v>
      </c>
      <c r="C560" s="182">
        <f t="shared" ca="1" si="97"/>
        <v>39592.523580918569</v>
      </c>
      <c r="D560" s="182">
        <f t="shared" ca="1" si="98"/>
        <v>26.395015720612378</v>
      </c>
      <c r="E560" s="182">
        <v>0</v>
      </c>
      <c r="F560" s="182">
        <f t="shared" ca="1" si="101"/>
        <v>0</v>
      </c>
      <c r="G560" s="182">
        <f t="shared" ca="1" si="99"/>
        <v>0</v>
      </c>
      <c r="H560" s="182">
        <f t="shared" ca="1" si="100"/>
        <v>39618.918596639181</v>
      </c>
      <c r="I560" s="183">
        <v>0</v>
      </c>
      <c r="J560" s="263">
        <f t="shared" ca="1" si="91"/>
        <v>39618.918596639181</v>
      </c>
      <c r="K560" s="182">
        <f t="shared" ca="1" si="92"/>
        <v>70</v>
      </c>
      <c r="L560" s="182">
        <f t="shared" ca="1" si="93"/>
        <v>13018.918596639161</v>
      </c>
      <c r="M560" s="182">
        <f t="shared" ca="1" si="94"/>
        <v>8400</v>
      </c>
      <c r="N560" s="182">
        <f t="shared" ca="1" si="95"/>
        <v>51238.918596639065</v>
      </c>
      <c r="O560" s="182"/>
    </row>
    <row r="561" spans="1:15" x14ac:dyDescent="0.25">
      <c r="A561" s="180">
        <f t="shared" ca="1" si="96"/>
        <v>46651</v>
      </c>
      <c r="B561" s="181">
        <v>547</v>
      </c>
      <c r="C561" s="182">
        <f t="shared" ca="1" si="97"/>
        <v>39618.918596639181</v>
      </c>
      <c r="D561" s="182">
        <f t="shared" ca="1" si="98"/>
        <v>26.412612397759453</v>
      </c>
      <c r="E561" s="182">
        <v>0</v>
      </c>
      <c r="F561" s="182">
        <f t="shared" ca="1" si="101"/>
        <v>0</v>
      </c>
      <c r="G561" s="182">
        <f t="shared" ca="1" si="99"/>
        <v>0</v>
      </c>
      <c r="H561" s="182">
        <f t="shared" ca="1" si="100"/>
        <v>39645.331209036944</v>
      </c>
      <c r="I561" s="183">
        <v>0</v>
      </c>
      <c r="J561" s="263">
        <f t="shared" ca="1" si="91"/>
        <v>39645.331209036944</v>
      </c>
      <c r="K561" s="182">
        <f t="shared" ca="1" si="92"/>
        <v>70</v>
      </c>
      <c r="L561" s="182">
        <f t="shared" ca="1" si="93"/>
        <v>13045.331209036922</v>
      </c>
      <c r="M561" s="182">
        <f t="shared" ca="1" si="94"/>
        <v>8400</v>
      </c>
      <c r="N561" s="182">
        <f t="shared" ca="1" si="95"/>
        <v>51335.331209036827</v>
      </c>
      <c r="O561" s="182"/>
    </row>
    <row r="562" spans="1:15" x14ac:dyDescent="0.25">
      <c r="A562" s="180">
        <f t="shared" ca="1" si="96"/>
        <v>46652</v>
      </c>
      <c r="B562" s="181">
        <v>548</v>
      </c>
      <c r="C562" s="182">
        <f t="shared" ca="1" si="97"/>
        <v>39645.331209036944</v>
      </c>
      <c r="D562" s="182">
        <f t="shared" ca="1" si="98"/>
        <v>26.430220806024629</v>
      </c>
      <c r="E562" s="182">
        <v>0</v>
      </c>
      <c r="F562" s="182">
        <f t="shared" ca="1" si="101"/>
        <v>0</v>
      </c>
      <c r="G562" s="182">
        <f t="shared" ca="1" si="99"/>
        <v>0</v>
      </c>
      <c r="H562" s="182">
        <f t="shared" ca="1" si="100"/>
        <v>39671.761429842969</v>
      </c>
      <c r="I562" s="183">
        <v>0</v>
      </c>
      <c r="J562" s="263">
        <f t="shared" ca="1" si="91"/>
        <v>39671.761429842969</v>
      </c>
      <c r="K562" s="182">
        <f t="shared" ca="1" si="92"/>
        <v>70</v>
      </c>
      <c r="L562" s="182">
        <f t="shared" ca="1" si="93"/>
        <v>13071.761429842947</v>
      </c>
      <c r="M562" s="182">
        <f t="shared" ca="1" si="94"/>
        <v>8400</v>
      </c>
      <c r="N562" s="182">
        <f t="shared" ca="1" si="95"/>
        <v>51431.761429842853</v>
      </c>
      <c r="O562" s="182"/>
    </row>
    <row r="563" spans="1:15" x14ac:dyDescent="0.25">
      <c r="A563" s="180">
        <f t="shared" ca="1" si="96"/>
        <v>46653</v>
      </c>
      <c r="B563" s="181">
        <v>549</v>
      </c>
      <c r="C563" s="182">
        <f t="shared" ca="1" si="97"/>
        <v>39671.761429842969</v>
      </c>
      <c r="D563" s="182">
        <f t="shared" ca="1" si="98"/>
        <v>26.447840953228646</v>
      </c>
      <c r="E563" s="182">
        <v>0</v>
      </c>
      <c r="F563" s="182">
        <f t="shared" ca="1" si="101"/>
        <v>0</v>
      </c>
      <c r="G563" s="182">
        <f t="shared" ca="1" si="99"/>
        <v>0</v>
      </c>
      <c r="H563" s="182">
        <f t="shared" ca="1" si="100"/>
        <v>39698.2092707962</v>
      </c>
      <c r="I563" s="183">
        <v>0</v>
      </c>
      <c r="J563" s="263">
        <f t="shared" ca="1" si="91"/>
        <v>39698.2092707962</v>
      </c>
      <c r="K563" s="182">
        <f t="shared" ca="1" si="92"/>
        <v>70</v>
      </c>
      <c r="L563" s="182">
        <f t="shared" ca="1" si="93"/>
        <v>13098.209270796176</v>
      </c>
      <c r="M563" s="182">
        <f t="shared" ca="1" si="94"/>
        <v>8400</v>
      </c>
      <c r="N563" s="182">
        <f t="shared" ca="1" si="95"/>
        <v>51528.209270796084</v>
      </c>
      <c r="O563" s="182"/>
    </row>
    <row r="564" spans="1:15" x14ac:dyDescent="0.25">
      <c r="A564" s="180">
        <f t="shared" ca="1" si="96"/>
        <v>46654</v>
      </c>
      <c r="B564" s="181">
        <v>550</v>
      </c>
      <c r="C564" s="182">
        <f t="shared" ca="1" si="97"/>
        <v>39698.2092707962</v>
      </c>
      <c r="D564" s="182">
        <f t="shared" ca="1" si="98"/>
        <v>26.465472847197464</v>
      </c>
      <c r="E564" s="182">
        <v>0</v>
      </c>
      <c r="F564" s="182">
        <f t="shared" ca="1" si="101"/>
        <v>0</v>
      </c>
      <c r="G564" s="182">
        <f t="shared" ca="1" si="99"/>
        <v>0</v>
      </c>
      <c r="H564" s="182">
        <f t="shared" ca="1" si="100"/>
        <v>39724.674743643394</v>
      </c>
      <c r="I564" s="183">
        <v>0</v>
      </c>
      <c r="J564" s="263">
        <f t="shared" ca="1" si="91"/>
        <v>39724.674743643394</v>
      </c>
      <c r="K564" s="182">
        <f t="shared" ca="1" si="92"/>
        <v>70</v>
      </c>
      <c r="L564" s="182">
        <f t="shared" ca="1" si="93"/>
        <v>13124.674743643374</v>
      </c>
      <c r="M564" s="182">
        <f t="shared" ca="1" si="94"/>
        <v>8400</v>
      </c>
      <c r="N564" s="182">
        <f t="shared" ca="1" si="95"/>
        <v>51624.674743643278</v>
      </c>
      <c r="O564" s="182"/>
    </row>
    <row r="565" spans="1:15" x14ac:dyDescent="0.25">
      <c r="A565" s="180">
        <f t="shared" ca="1" si="96"/>
        <v>46655</v>
      </c>
      <c r="B565" s="181">
        <v>551</v>
      </c>
      <c r="C565" s="182">
        <f t="shared" ca="1" si="97"/>
        <v>39724.674743643394</v>
      </c>
      <c r="D565" s="182">
        <f t="shared" ca="1" si="98"/>
        <v>26.48311649576226</v>
      </c>
      <c r="E565" s="182">
        <v>0</v>
      </c>
      <c r="F565" s="182">
        <f t="shared" ca="1" si="101"/>
        <v>0</v>
      </c>
      <c r="G565" s="182">
        <f t="shared" ca="1" si="99"/>
        <v>0</v>
      </c>
      <c r="H565" s="182">
        <f t="shared" ca="1" si="100"/>
        <v>39751.157860139159</v>
      </c>
      <c r="I565" s="183">
        <v>0</v>
      </c>
      <c r="J565" s="263">
        <f t="shared" ca="1" si="91"/>
        <v>39751.157860139159</v>
      </c>
      <c r="K565" s="182">
        <f t="shared" ca="1" si="92"/>
        <v>70</v>
      </c>
      <c r="L565" s="182">
        <f t="shared" ca="1" si="93"/>
        <v>13151.157860139137</v>
      </c>
      <c r="M565" s="182">
        <f t="shared" ca="1" si="94"/>
        <v>8400</v>
      </c>
      <c r="N565" s="182">
        <f t="shared" ca="1" si="95"/>
        <v>51721.157860139043</v>
      </c>
      <c r="O565" s="182"/>
    </row>
    <row r="566" spans="1:15" x14ac:dyDescent="0.25">
      <c r="A566" s="180">
        <f t="shared" ca="1" si="96"/>
        <v>46656</v>
      </c>
      <c r="B566" s="181">
        <v>552</v>
      </c>
      <c r="C566" s="182">
        <f t="shared" ca="1" si="97"/>
        <v>39751.157860139159</v>
      </c>
      <c r="D566" s="182">
        <f t="shared" ca="1" si="98"/>
        <v>26.500771906759439</v>
      </c>
      <c r="E566" s="182">
        <v>0</v>
      </c>
      <c r="F566" s="182">
        <f t="shared" ca="1" si="101"/>
        <v>0</v>
      </c>
      <c r="G566" s="182">
        <f t="shared" ca="1" si="99"/>
        <v>0</v>
      </c>
      <c r="H566" s="182">
        <f t="shared" ca="1" si="100"/>
        <v>39777.658632045917</v>
      </c>
      <c r="I566" s="183">
        <v>0</v>
      </c>
      <c r="J566" s="263">
        <f t="shared" ca="1" si="91"/>
        <v>39777.658632045917</v>
      </c>
      <c r="K566" s="182">
        <f t="shared" ca="1" si="92"/>
        <v>70</v>
      </c>
      <c r="L566" s="182">
        <f t="shared" ca="1" si="93"/>
        <v>13177.658632045897</v>
      </c>
      <c r="M566" s="182">
        <f t="shared" ca="1" si="94"/>
        <v>8400</v>
      </c>
      <c r="N566" s="182">
        <f t="shared" ca="1" si="95"/>
        <v>51817.658632045801</v>
      </c>
      <c r="O566" s="182"/>
    </row>
    <row r="567" spans="1:15" x14ac:dyDescent="0.25">
      <c r="A567" s="180">
        <f t="shared" ca="1" si="96"/>
        <v>46657</v>
      </c>
      <c r="B567" s="181">
        <v>553</v>
      </c>
      <c r="C567" s="182">
        <f t="shared" ca="1" si="97"/>
        <v>39777.658632045917</v>
      </c>
      <c r="D567" s="182">
        <f t="shared" ca="1" si="98"/>
        <v>26.518439088030611</v>
      </c>
      <c r="E567" s="182">
        <v>0</v>
      </c>
      <c r="F567" s="182">
        <f t="shared" ca="1" si="101"/>
        <v>0</v>
      </c>
      <c r="G567" s="182">
        <f t="shared" ca="1" si="99"/>
        <v>0</v>
      </c>
      <c r="H567" s="182">
        <f t="shared" ca="1" si="100"/>
        <v>39804.177071133949</v>
      </c>
      <c r="I567" s="183">
        <v>0</v>
      </c>
      <c r="J567" s="263">
        <f t="shared" ca="1" si="91"/>
        <v>39804.177071133949</v>
      </c>
      <c r="K567" s="182">
        <f t="shared" ca="1" si="92"/>
        <v>70</v>
      </c>
      <c r="L567" s="182">
        <f t="shared" ca="1" si="93"/>
        <v>13204.177071133929</v>
      </c>
      <c r="M567" s="182">
        <f t="shared" ca="1" si="94"/>
        <v>8400</v>
      </c>
      <c r="N567" s="182">
        <f t="shared" ca="1" si="95"/>
        <v>51914.177071133832</v>
      </c>
      <c r="O567" s="182"/>
    </row>
    <row r="568" spans="1:15" x14ac:dyDescent="0.25">
      <c r="A568" s="180">
        <f t="shared" ca="1" si="96"/>
        <v>46658</v>
      </c>
      <c r="B568" s="181">
        <v>554</v>
      </c>
      <c r="C568" s="182">
        <f t="shared" ca="1" si="97"/>
        <v>39804.177071133949</v>
      </c>
      <c r="D568" s="182">
        <f t="shared" ca="1" si="98"/>
        <v>26.536118047422633</v>
      </c>
      <c r="E568" s="182">
        <v>0</v>
      </c>
      <c r="F568" s="182">
        <f t="shared" ca="1" si="101"/>
        <v>0</v>
      </c>
      <c r="G568" s="182">
        <f t="shared" ca="1" si="99"/>
        <v>0</v>
      </c>
      <c r="H568" s="182">
        <f t="shared" ca="1" si="100"/>
        <v>39830.71318918137</v>
      </c>
      <c r="I568" s="183">
        <v>0</v>
      </c>
      <c r="J568" s="263">
        <f t="shared" ca="1" si="91"/>
        <v>39830.71318918137</v>
      </c>
      <c r="K568" s="182">
        <f t="shared" ca="1" si="92"/>
        <v>70</v>
      </c>
      <c r="L568" s="182">
        <f t="shared" ca="1" si="93"/>
        <v>13230.713189181351</v>
      </c>
      <c r="M568" s="182">
        <f t="shared" ca="1" si="94"/>
        <v>8400</v>
      </c>
      <c r="N568" s="182">
        <f t="shared" ca="1" si="95"/>
        <v>52010.713189181253</v>
      </c>
      <c r="O568" s="182"/>
    </row>
    <row r="569" spans="1:15" x14ac:dyDescent="0.25">
      <c r="A569" s="180">
        <f t="shared" ca="1" si="96"/>
        <v>46659</v>
      </c>
      <c r="B569" s="181">
        <v>555</v>
      </c>
      <c r="C569" s="182">
        <f t="shared" ca="1" si="97"/>
        <v>39830.71318918137</v>
      </c>
      <c r="D569" s="182">
        <f t="shared" ca="1" si="98"/>
        <v>26.553808792787578</v>
      </c>
      <c r="E569" s="182">
        <v>0</v>
      </c>
      <c r="F569" s="182">
        <f t="shared" ca="1" si="101"/>
        <v>0</v>
      </c>
      <c r="G569" s="182">
        <f t="shared" ca="1" si="99"/>
        <v>0</v>
      </c>
      <c r="H569" s="182">
        <f t="shared" ca="1" si="100"/>
        <v>39857.266997974155</v>
      </c>
      <c r="I569" s="183">
        <v>0</v>
      </c>
      <c r="J569" s="263">
        <f t="shared" ca="1" si="91"/>
        <v>39857.266997974155</v>
      </c>
      <c r="K569" s="182">
        <f t="shared" ca="1" si="92"/>
        <v>70</v>
      </c>
      <c r="L569" s="182">
        <f t="shared" ca="1" si="93"/>
        <v>13257.266997974139</v>
      </c>
      <c r="M569" s="182">
        <f t="shared" ca="1" si="94"/>
        <v>8400</v>
      </c>
      <c r="N569" s="182">
        <f t="shared" ca="1" si="95"/>
        <v>52107.266997974039</v>
      </c>
      <c r="O569" s="182"/>
    </row>
    <row r="570" spans="1:15" x14ac:dyDescent="0.25">
      <c r="A570" s="180">
        <f t="shared" ca="1" si="96"/>
        <v>46660</v>
      </c>
      <c r="B570" s="181">
        <v>556</v>
      </c>
      <c r="C570" s="182">
        <f t="shared" ca="1" si="97"/>
        <v>39857.266997974155</v>
      </c>
      <c r="D570" s="182">
        <f t="shared" ca="1" si="98"/>
        <v>26.571511331982769</v>
      </c>
      <c r="E570" s="182">
        <v>0</v>
      </c>
      <c r="F570" s="182">
        <f t="shared" ca="1" si="101"/>
        <v>0</v>
      </c>
      <c r="G570" s="182">
        <f t="shared" ca="1" si="99"/>
        <v>0</v>
      </c>
      <c r="H570" s="182">
        <f t="shared" ca="1" si="100"/>
        <v>39883.838509306137</v>
      </c>
      <c r="I570" s="183">
        <v>0</v>
      </c>
      <c r="J570" s="263">
        <f t="shared" ca="1" si="91"/>
        <v>39883.838509306137</v>
      </c>
      <c r="K570" s="182">
        <f t="shared" ca="1" si="92"/>
        <v>70</v>
      </c>
      <c r="L570" s="182">
        <f t="shared" ca="1" si="93"/>
        <v>13283.838509306121</v>
      </c>
      <c r="M570" s="182">
        <f t="shared" ca="1" si="94"/>
        <v>8400</v>
      </c>
      <c r="N570" s="182">
        <f t="shared" ca="1" si="95"/>
        <v>52203.838509306021</v>
      </c>
      <c r="O570" s="182"/>
    </row>
    <row r="571" spans="1:15" x14ac:dyDescent="0.25">
      <c r="A571" s="180">
        <f t="shared" ca="1" si="96"/>
        <v>46661</v>
      </c>
      <c r="B571" s="181">
        <v>557</v>
      </c>
      <c r="C571" s="182">
        <f t="shared" ca="1" si="97"/>
        <v>39883.838509306137</v>
      </c>
      <c r="D571" s="182">
        <f t="shared" ca="1" si="98"/>
        <v>26.589225672870757</v>
      </c>
      <c r="E571" s="182">
        <v>0</v>
      </c>
      <c r="F571" s="182">
        <f t="shared" ca="1" si="101"/>
        <v>0</v>
      </c>
      <c r="G571" s="182">
        <f t="shared" ca="1" si="99"/>
        <v>0</v>
      </c>
      <c r="H571" s="182">
        <f t="shared" ca="1" si="100"/>
        <v>39910.427734979006</v>
      </c>
      <c r="I571" s="183">
        <v>0</v>
      </c>
      <c r="J571" s="263">
        <f t="shared" ca="1" si="91"/>
        <v>39910.427734979006</v>
      </c>
      <c r="K571" s="182">
        <f t="shared" ca="1" si="92"/>
        <v>70</v>
      </c>
      <c r="L571" s="182">
        <f t="shared" ca="1" si="93"/>
        <v>13310.427734978992</v>
      </c>
      <c r="M571" s="182">
        <f t="shared" ca="1" si="94"/>
        <v>8400</v>
      </c>
      <c r="N571" s="182">
        <f t="shared" ca="1" si="95"/>
        <v>52300.42773497889</v>
      </c>
      <c r="O571" s="182"/>
    </row>
    <row r="572" spans="1:15" x14ac:dyDescent="0.25">
      <c r="A572" s="180">
        <f t="shared" ca="1" si="96"/>
        <v>46662</v>
      </c>
      <c r="B572" s="181">
        <v>558</v>
      </c>
      <c r="C572" s="182">
        <f t="shared" ca="1" si="97"/>
        <v>39910.427734979006</v>
      </c>
      <c r="D572" s="182">
        <f t="shared" ca="1" si="98"/>
        <v>26.606951823319335</v>
      </c>
      <c r="E572" s="182">
        <v>0</v>
      </c>
      <c r="F572" s="182">
        <f t="shared" ca="1" si="101"/>
        <v>0</v>
      </c>
      <c r="G572" s="182">
        <f t="shared" ca="1" si="99"/>
        <v>0</v>
      </c>
      <c r="H572" s="182">
        <f t="shared" ca="1" si="100"/>
        <v>39937.034686802326</v>
      </c>
      <c r="I572" s="183">
        <v>0</v>
      </c>
      <c r="J572" s="263">
        <f t="shared" ca="1" si="91"/>
        <v>39937.034686802326</v>
      </c>
      <c r="K572" s="182">
        <f t="shared" ca="1" si="92"/>
        <v>70</v>
      </c>
      <c r="L572" s="182">
        <f t="shared" ca="1" si="93"/>
        <v>13337.034686802312</v>
      </c>
      <c r="M572" s="182">
        <f t="shared" ca="1" si="94"/>
        <v>8400</v>
      </c>
      <c r="N572" s="182">
        <f t="shared" ca="1" si="95"/>
        <v>52397.03468680221</v>
      </c>
      <c r="O572" s="182"/>
    </row>
    <row r="573" spans="1:15" x14ac:dyDescent="0.25">
      <c r="A573" s="180">
        <f t="shared" ca="1" si="96"/>
        <v>46663</v>
      </c>
      <c r="B573" s="181">
        <v>559</v>
      </c>
      <c r="C573" s="182">
        <f t="shared" ca="1" si="97"/>
        <v>39937.034686802326</v>
      </c>
      <c r="D573" s="182">
        <f t="shared" ca="1" si="98"/>
        <v>26.624689791201551</v>
      </c>
      <c r="E573" s="182">
        <v>0</v>
      </c>
      <c r="F573" s="182">
        <f t="shared" ca="1" si="101"/>
        <v>0</v>
      </c>
      <c r="G573" s="182">
        <f t="shared" ca="1" si="99"/>
        <v>0</v>
      </c>
      <c r="H573" s="182">
        <f t="shared" ca="1" si="100"/>
        <v>39963.659376593525</v>
      </c>
      <c r="I573" s="183">
        <v>0</v>
      </c>
      <c r="J573" s="263">
        <f t="shared" ca="1" si="91"/>
        <v>39963.659376593525</v>
      </c>
      <c r="K573" s="182">
        <f t="shared" ca="1" si="92"/>
        <v>70</v>
      </c>
      <c r="L573" s="182">
        <f t="shared" ca="1" si="93"/>
        <v>13363.659376593514</v>
      </c>
      <c r="M573" s="182">
        <f t="shared" ca="1" si="94"/>
        <v>8400</v>
      </c>
      <c r="N573" s="182">
        <f t="shared" ca="1" si="95"/>
        <v>52493.659376593409</v>
      </c>
      <c r="O573" s="182"/>
    </row>
    <row r="574" spans="1:15" x14ac:dyDescent="0.25">
      <c r="A574" s="180">
        <f t="shared" ca="1" si="96"/>
        <v>46664</v>
      </c>
      <c r="B574" s="181">
        <v>560</v>
      </c>
      <c r="C574" s="182">
        <f t="shared" ca="1" si="97"/>
        <v>39963.659376593525</v>
      </c>
      <c r="D574" s="182">
        <f t="shared" ca="1" si="98"/>
        <v>26.642439584395682</v>
      </c>
      <c r="E574" s="182">
        <v>0</v>
      </c>
      <c r="F574" s="182">
        <f t="shared" ca="1" si="101"/>
        <v>0</v>
      </c>
      <c r="G574" s="182">
        <f t="shared" ca="1" si="99"/>
        <v>0</v>
      </c>
      <c r="H574" s="182">
        <f t="shared" ca="1" si="100"/>
        <v>39990.301816177918</v>
      </c>
      <c r="I574" s="183">
        <v>0</v>
      </c>
      <c r="J574" s="263">
        <f t="shared" ca="1" si="91"/>
        <v>39990.301816177918</v>
      </c>
      <c r="K574" s="182">
        <f t="shared" ca="1" si="92"/>
        <v>70</v>
      </c>
      <c r="L574" s="182">
        <f t="shared" ca="1" si="93"/>
        <v>13390.301816177909</v>
      </c>
      <c r="M574" s="182">
        <f t="shared" ca="1" si="94"/>
        <v>8400</v>
      </c>
      <c r="N574" s="182">
        <f t="shared" ca="1" si="95"/>
        <v>52590.301816177802</v>
      </c>
      <c r="O574" s="182"/>
    </row>
    <row r="575" spans="1:15" x14ac:dyDescent="0.25">
      <c r="A575" s="180">
        <f t="shared" ca="1" si="96"/>
        <v>46665</v>
      </c>
      <c r="B575" s="181">
        <v>561</v>
      </c>
      <c r="C575" s="182">
        <f t="shared" ca="1" si="97"/>
        <v>39990.301816177918</v>
      </c>
      <c r="D575" s="182">
        <f t="shared" ca="1" si="98"/>
        <v>26.660201210785278</v>
      </c>
      <c r="E575" s="182">
        <v>0</v>
      </c>
      <c r="F575" s="182">
        <f t="shared" ca="1" si="101"/>
        <v>0</v>
      </c>
      <c r="G575" s="182">
        <f t="shared" ca="1" si="99"/>
        <v>0</v>
      </c>
      <c r="H575" s="182">
        <f t="shared" ca="1" si="100"/>
        <v>40016.962017388701</v>
      </c>
      <c r="I575" s="183">
        <v>0</v>
      </c>
      <c r="J575" s="263">
        <f t="shared" ca="1" si="91"/>
        <v>40016.962017388701</v>
      </c>
      <c r="K575" s="182">
        <f t="shared" ca="1" si="92"/>
        <v>70</v>
      </c>
      <c r="L575" s="182">
        <f t="shared" ca="1" si="93"/>
        <v>13416.962017388694</v>
      </c>
      <c r="M575" s="182">
        <f t="shared" ca="1" si="94"/>
        <v>8400</v>
      </c>
      <c r="N575" s="182">
        <f t="shared" ca="1" si="95"/>
        <v>52686.962017388585</v>
      </c>
      <c r="O575" s="182"/>
    </row>
    <row r="576" spans="1:15" x14ac:dyDescent="0.25">
      <c r="A576" s="180">
        <f t="shared" ca="1" si="96"/>
        <v>46666</v>
      </c>
      <c r="B576" s="181">
        <v>562</v>
      </c>
      <c r="C576" s="182">
        <f t="shared" ca="1" si="97"/>
        <v>40016.962017388701</v>
      </c>
      <c r="D576" s="182">
        <f t="shared" ca="1" si="98"/>
        <v>26.677974678259133</v>
      </c>
      <c r="E576" s="182">
        <v>0</v>
      </c>
      <c r="F576" s="182">
        <f t="shared" ca="1" si="101"/>
        <v>0</v>
      </c>
      <c r="G576" s="182">
        <f t="shared" ca="1" si="99"/>
        <v>0</v>
      </c>
      <c r="H576" s="182">
        <f t="shared" ca="1" si="100"/>
        <v>40043.639992066957</v>
      </c>
      <c r="I576" s="183">
        <v>0</v>
      </c>
      <c r="J576" s="263">
        <f t="shared" ca="1" si="91"/>
        <v>40043.639992066957</v>
      </c>
      <c r="K576" s="182">
        <f t="shared" ca="1" si="92"/>
        <v>70</v>
      </c>
      <c r="L576" s="182">
        <f t="shared" ca="1" si="93"/>
        <v>13443.639992066954</v>
      </c>
      <c r="M576" s="182">
        <f t="shared" ca="1" si="94"/>
        <v>8400</v>
      </c>
      <c r="N576" s="182">
        <f t="shared" ca="1" si="95"/>
        <v>52783.639992066841</v>
      </c>
      <c r="O576" s="182"/>
    </row>
    <row r="577" spans="1:15" x14ac:dyDescent="0.25">
      <c r="A577" s="180">
        <f t="shared" ca="1" si="96"/>
        <v>46667</v>
      </c>
      <c r="B577" s="181">
        <v>563</v>
      </c>
      <c r="C577" s="182">
        <f t="shared" ca="1" si="97"/>
        <v>40043.639992066957</v>
      </c>
      <c r="D577" s="182">
        <f t="shared" ca="1" si="98"/>
        <v>26.695759994711302</v>
      </c>
      <c r="E577" s="182">
        <v>0</v>
      </c>
      <c r="F577" s="182">
        <f t="shared" ca="1" si="101"/>
        <v>0</v>
      </c>
      <c r="G577" s="182">
        <f t="shared" ca="1" si="99"/>
        <v>0</v>
      </c>
      <c r="H577" s="182">
        <f t="shared" ca="1" si="100"/>
        <v>40070.33575206167</v>
      </c>
      <c r="I577" s="183">
        <v>0</v>
      </c>
      <c r="J577" s="263">
        <f t="shared" ca="1" si="91"/>
        <v>40070.33575206167</v>
      </c>
      <c r="K577" s="182">
        <f t="shared" ca="1" si="92"/>
        <v>70</v>
      </c>
      <c r="L577" s="182">
        <f t="shared" ca="1" si="93"/>
        <v>13470.335752061665</v>
      </c>
      <c r="M577" s="182">
        <f t="shared" ca="1" si="94"/>
        <v>8400</v>
      </c>
      <c r="N577" s="182">
        <f t="shared" ca="1" si="95"/>
        <v>52880.335752061554</v>
      </c>
      <c r="O577" s="182"/>
    </row>
    <row r="578" spans="1:15" x14ac:dyDescent="0.25">
      <c r="A578" s="180">
        <f t="shared" ca="1" si="96"/>
        <v>46668</v>
      </c>
      <c r="B578" s="181">
        <v>564</v>
      </c>
      <c r="C578" s="182">
        <f t="shared" ca="1" si="97"/>
        <v>40070.33575206167</v>
      </c>
      <c r="D578" s="182">
        <f t="shared" ca="1" si="98"/>
        <v>26.713557168041113</v>
      </c>
      <c r="E578" s="182">
        <v>0</v>
      </c>
      <c r="F578" s="182">
        <f t="shared" ca="1" si="101"/>
        <v>0</v>
      </c>
      <c r="G578" s="182">
        <f t="shared" ca="1" si="99"/>
        <v>0</v>
      </c>
      <c r="H578" s="182">
        <f t="shared" ca="1" si="100"/>
        <v>40097.049309229711</v>
      </c>
      <c r="I578" s="183">
        <v>0</v>
      </c>
      <c r="J578" s="263">
        <f t="shared" ca="1" si="91"/>
        <v>40097.049309229711</v>
      </c>
      <c r="K578" s="182">
        <f t="shared" ca="1" si="92"/>
        <v>70</v>
      </c>
      <c r="L578" s="182">
        <f t="shared" ca="1" si="93"/>
        <v>13497.049309229706</v>
      </c>
      <c r="M578" s="182">
        <f t="shared" ca="1" si="94"/>
        <v>8400</v>
      </c>
      <c r="N578" s="182">
        <f t="shared" ca="1" si="95"/>
        <v>52977.049309229595</v>
      </c>
      <c r="O578" s="182"/>
    </row>
    <row r="579" spans="1:15" x14ac:dyDescent="0.25">
      <c r="A579" s="180">
        <f t="shared" ca="1" si="96"/>
        <v>46669</v>
      </c>
      <c r="B579" s="181">
        <v>565</v>
      </c>
      <c r="C579" s="182">
        <f t="shared" ca="1" si="97"/>
        <v>40097.049309229711</v>
      </c>
      <c r="D579" s="182">
        <f t="shared" ca="1" si="98"/>
        <v>26.73136620615314</v>
      </c>
      <c r="E579" s="182">
        <v>0</v>
      </c>
      <c r="F579" s="182">
        <f t="shared" ca="1" si="101"/>
        <v>0</v>
      </c>
      <c r="G579" s="182">
        <f t="shared" ca="1" si="99"/>
        <v>0</v>
      </c>
      <c r="H579" s="182">
        <f t="shared" ca="1" si="100"/>
        <v>40123.780675435861</v>
      </c>
      <c r="I579" s="183">
        <v>0</v>
      </c>
      <c r="J579" s="263">
        <f t="shared" ca="1" si="91"/>
        <v>40123.780675435861</v>
      </c>
      <c r="K579" s="182">
        <f t="shared" ca="1" si="92"/>
        <v>70</v>
      </c>
      <c r="L579" s="182">
        <f t="shared" ca="1" si="93"/>
        <v>13523.780675435859</v>
      </c>
      <c r="M579" s="182">
        <f t="shared" ca="1" si="94"/>
        <v>8400</v>
      </c>
      <c r="N579" s="182">
        <f t="shared" ca="1" si="95"/>
        <v>53073.780675435744</v>
      </c>
      <c r="O579" s="182"/>
    </row>
    <row r="580" spans="1:15" x14ac:dyDescent="0.25">
      <c r="A580" s="180">
        <f t="shared" ca="1" si="96"/>
        <v>46670</v>
      </c>
      <c r="B580" s="181">
        <v>566</v>
      </c>
      <c r="C580" s="182">
        <f t="shared" ca="1" si="97"/>
        <v>40123.780675435861</v>
      </c>
      <c r="D580" s="182">
        <f t="shared" ca="1" si="98"/>
        <v>26.749187116957241</v>
      </c>
      <c r="E580" s="182">
        <v>0</v>
      </c>
      <c r="F580" s="182">
        <f t="shared" ca="1" si="101"/>
        <v>0</v>
      </c>
      <c r="G580" s="182">
        <f t="shared" ca="1" si="99"/>
        <v>0</v>
      </c>
      <c r="H580" s="182">
        <f t="shared" ca="1" si="100"/>
        <v>40150.529862552816</v>
      </c>
      <c r="I580" s="183">
        <v>0</v>
      </c>
      <c r="J580" s="263">
        <f t="shared" ca="1" si="91"/>
        <v>40150.529862552816</v>
      </c>
      <c r="K580" s="182">
        <f t="shared" ca="1" si="92"/>
        <v>70</v>
      </c>
      <c r="L580" s="182">
        <f t="shared" ca="1" si="93"/>
        <v>13550.529862552816</v>
      </c>
      <c r="M580" s="182">
        <f t="shared" ca="1" si="94"/>
        <v>8400</v>
      </c>
      <c r="N580" s="182">
        <f t="shared" ca="1" si="95"/>
        <v>53170.529862552699</v>
      </c>
      <c r="O580" s="182"/>
    </row>
    <row r="581" spans="1:15" x14ac:dyDescent="0.25">
      <c r="A581" s="180">
        <f t="shared" ca="1" si="96"/>
        <v>46671</v>
      </c>
      <c r="B581" s="181">
        <v>567</v>
      </c>
      <c r="C581" s="182">
        <f t="shared" ca="1" si="97"/>
        <v>40150.529862552816</v>
      </c>
      <c r="D581" s="182">
        <f t="shared" ca="1" si="98"/>
        <v>26.767019908368543</v>
      </c>
      <c r="E581" s="182">
        <v>0</v>
      </c>
      <c r="F581" s="182">
        <f t="shared" ca="1" si="101"/>
        <v>0</v>
      </c>
      <c r="G581" s="182">
        <f t="shared" ca="1" si="99"/>
        <v>0</v>
      </c>
      <c r="H581" s="182">
        <f t="shared" ca="1" si="100"/>
        <v>40177.296882461182</v>
      </c>
      <c r="I581" s="183">
        <v>0</v>
      </c>
      <c r="J581" s="263">
        <f t="shared" ca="1" si="91"/>
        <v>40177.296882461182</v>
      </c>
      <c r="K581" s="182">
        <f t="shared" ca="1" si="92"/>
        <v>70</v>
      </c>
      <c r="L581" s="182">
        <f t="shared" ca="1" si="93"/>
        <v>13577.296882461183</v>
      </c>
      <c r="M581" s="182">
        <f t="shared" ca="1" si="94"/>
        <v>8400</v>
      </c>
      <c r="N581" s="182">
        <f t="shared" ca="1" si="95"/>
        <v>53267.296882461065</v>
      </c>
      <c r="O581" s="182"/>
    </row>
    <row r="582" spans="1:15" x14ac:dyDescent="0.25">
      <c r="A582" s="180">
        <f t="shared" ca="1" si="96"/>
        <v>46672</v>
      </c>
      <c r="B582" s="181">
        <v>568</v>
      </c>
      <c r="C582" s="182">
        <f t="shared" ca="1" si="97"/>
        <v>40177.296882461182</v>
      </c>
      <c r="D582" s="182">
        <f t="shared" ca="1" si="98"/>
        <v>26.784864588307453</v>
      </c>
      <c r="E582" s="182">
        <v>0</v>
      </c>
      <c r="F582" s="182">
        <f t="shared" ca="1" si="101"/>
        <v>0</v>
      </c>
      <c r="G582" s="182">
        <f t="shared" ca="1" si="99"/>
        <v>0</v>
      </c>
      <c r="H582" s="182">
        <f t="shared" ca="1" si="100"/>
        <v>40204.081747049488</v>
      </c>
      <c r="I582" s="183">
        <v>0</v>
      </c>
      <c r="J582" s="263">
        <f t="shared" ca="1" si="91"/>
        <v>40204.081747049488</v>
      </c>
      <c r="K582" s="182">
        <f t="shared" ca="1" si="92"/>
        <v>70</v>
      </c>
      <c r="L582" s="182">
        <f t="shared" ca="1" si="93"/>
        <v>13604.081747049491</v>
      </c>
      <c r="M582" s="182">
        <f t="shared" ca="1" si="94"/>
        <v>8400</v>
      </c>
      <c r="N582" s="182">
        <f t="shared" ca="1" si="95"/>
        <v>53364.081747049371</v>
      </c>
      <c r="O582" s="182"/>
    </row>
    <row r="583" spans="1:15" x14ac:dyDescent="0.25">
      <c r="A583" s="180">
        <f t="shared" ca="1" si="96"/>
        <v>46673</v>
      </c>
      <c r="B583" s="181">
        <v>569</v>
      </c>
      <c r="C583" s="182">
        <f t="shared" ca="1" si="97"/>
        <v>40204.081747049488</v>
      </c>
      <c r="D583" s="182">
        <f t="shared" ca="1" si="98"/>
        <v>26.802721164699658</v>
      </c>
      <c r="E583" s="182">
        <v>0</v>
      </c>
      <c r="F583" s="182">
        <f t="shared" ca="1" si="101"/>
        <v>0</v>
      </c>
      <c r="G583" s="182">
        <f t="shared" ca="1" si="99"/>
        <v>0</v>
      </c>
      <c r="H583" s="182">
        <f t="shared" ca="1" si="100"/>
        <v>40230.884468214186</v>
      </c>
      <c r="I583" s="183">
        <v>0</v>
      </c>
      <c r="J583" s="263">
        <f t="shared" ca="1" si="91"/>
        <v>40230.884468214186</v>
      </c>
      <c r="K583" s="182">
        <f t="shared" ca="1" si="92"/>
        <v>70</v>
      </c>
      <c r="L583" s="182">
        <f t="shared" ca="1" si="93"/>
        <v>13630.884468214192</v>
      </c>
      <c r="M583" s="182">
        <f t="shared" ca="1" si="94"/>
        <v>8400</v>
      </c>
      <c r="N583" s="182">
        <f t="shared" ca="1" si="95"/>
        <v>53460.88446821407</v>
      </c>
      <c r="O583" s="182"/>
    </row>
    <row r="584" spans="1:15" x14ac:dyDescent="0.25">
      <c r="A584" s="180">
        <f t="shared" ca="1" si="96"/>
        <v>46674</v>
      </c>
      <c r="B584" s="181">
        <v>570</v>
      </c>
      <c r="C584" s="182">
        <f t="shared" ca="1" si="97"/>
        <v>40230.884468214186</v>
      </c>
      <c r="D584" s="182">
        <f t="shared" ca="1" si="98"/>
        <v>26.820589645476122</v>
      </c>
      <c r="E584" s="182">
        <v>0</v>
      </c>
      <c r="F584" s="182">
        <f t="shared" ca="1" si="101"/>
        <v>0</v>
      </c>
      <c r="G584" s="182">
        <f t="shared" ca="1" si="99"/>
        <v>0</v>
      </c>
      <c r="H584" s="182">
        <f t="shared" ca="1" si="100"/>
        <v>40257.705057859661</v>
      </c>
      <c r="I584" s="183">
        <v>0</v>
      </c>
      <c r="J584" s="263">
        <f t="shared" ca="1" si="91"/>
        <v>40257.705057859661</v>
      </c>
      <c r="K584" s="182">
        <f t="shared" ca="1" si="92"/>
        <v>70</v>
      </c>
      <c r="L584" s="182">
        <f t="shared" ca="1" si="93"/>
        <v>13657.705057859668</v>
      </c>
      <c r="M584" s="182">
        <f t="shared" ca="1" si="94"/>
        <v>8400</v>
      </c>
      <c r="N584" s="182">
        <f t="shared" ca="1" si="95"/>
        <v>53557.705057859544</v>
      </c>
      <c r="O584" s="182"/>
    </row>
    <row r="585" spans="1:15" x14ac:dyDescent="0.25">
      <c r="A585" s="180">
        <f t="shared" ca="1" si="96"/>
        <v>46675</v>
      </c>
      <c r="B585" s="181">
        <v>571</v>
      </c>
      <c r="C585" s="182">
        <f t="shared" ca="1" si="97"/>
        <v>40257.705057859661</v>
      </c>
      <c r="D585" s="182">
        <f t="shared" ca="1" si="98"/>
        <v>26.838470038573107</v>
      </c>
      <c r="E585" s="182">
        <v>0</v>
      </c>
      <c r="F585" s="182">
        <f t="shared" ca="1" si="101"/>
        <v>0</v>
      </c>
      <c r="G585" s="182">
        <f t="shared" ca="1" si="99"/>
        <v>0</v>
      </c>
      <c r="H585" s="182">
        <f t="shared" ca="1" si="100"/>
        <v>40284.543527898233</v>
      </c>
      <c r="I585" s="183">
        <v>0</v>
      </c>
      <c r="J585" s="263">
        <f t="shared" ca="1" si="91"/>
        <v>40284.543527898233</v>
      </c>
      <c r="K585" s="182">
        <f t="shared" ca="1" si="92"/>
        <v>70</v>
      </c>
      <c r="L585" s="182">
        <f t="shared" ca="1" si="93"/>
        <v>13684.54352789824</v>
      </c>
      <c r="M585" s="182">
        <f t="shared" ca="1" si="94"/>
        <v>8400</v>
      </c>
      <c r="N585" s="182">
        <f t="shared" ca="1" si="95"/>
        <v>53654.543527898117</v>
      </c>
      <c r="O585" s="182"/>
    </row>
    <row r="586" spans="1:15" x14ac:dyDescent="0.25">
      <c r="A586" s="180">
        <f t="shared" ca="1" si="96"/>
        <v>46676</v>
      </c>
      <c r="B586" s="181">
        <v>572</v>
      </c>
      <c r="C586" s="182">
        <f t="shared" ca="1" si="97"/>
        <v>40284.543527898233</v>
      </c>
      <c r="D586" s="182">
        <f t="shared" ca="1" si="98"/>
        <v>26.856362351932155</v>
      </c>
      <c r="E586" s="182">
        <v>0</v>
      </c>
      <c r="F586" s="182">
        <f t="shared" ca="1" si="101"/>
        <v>0</v>
      </c>
      <c r="G586" s="182">
        <f t="shared" ca="1" si="99"/>
        <v>0</v>
      </c>
      <c r="H586" s="182">
        <f t="shared" ca="1" si="100"/>
        <v>40311.399890250163</v>
      </c>
      <c r="I586" s="183">
        <v>0</v>
      </c>
      <c r="J586" s="263">
        <f t="shared" ca="1" si="91"/>
        <v>40311.399890250163</v>
      </c>
      <c r="K586" s="182">
        <f t="shared" ca="1" si="92"/>
        <v>70</v>
      </c>
      <c r="L586" s="182">
        <f t="shared" ca="1" si="93"/>
        <v>13711.399890250173</v>
      </c>
      <c r="M586" s="182">
        <f t="shared" ca="1" si="94"/>
        <v>8400</v>
      </c>
      <c r="N586" s="182">
        <f t="shared" ca="1" si="95"/>
        <v>53751.399890250046</v>
      </c>
      <c r="O586" s="182"/>
    </row>
    <row r="587" spans="1:15" x14ac:dyDescent="0.25">
      <c r="A587" s="180">
        <f t="shared" ca="1" si="96"/>
        <v>46677</v>
      </c>
      <c r="B587" s="181">
        <v>573</v>
      </c>
      <c r="C587" s="182">
        <f t="shared" ca="1" si="97"/>
        <v>40311.399890250163</v>
      </c>
      <c r="D587" s="182">
        <f t="shared" ca="1" si="98"/>
        <v>26.874266593500106</v>
      </c>
      <c r="E587" s="182">
        <v>0</v>
      </c>
      <c r="F587" s="182">
        <f t="shared" ca="1" si="101"/>
        <v>0</v>
      </c>
      <c r="G587" s="182">
        <f t="shared" ca="1" si="99"/>
        <v>0</v>
      </c>
      <c r="H587" s="182">
        <f t="shared" ca="1" si="100"/>
        <v>40338.274156843661</v>
      </c>
      <c r="I587" s="183">
        <v>0</v>
      </c>
      <c r="J587" s="263">
        <f t="shared" ca="1" si="91"/>
        <v>40338.274156843661</v>
      </c>
      <c r="K587" s="182">
        <f t="shared" ca="1" si="92"/>
        <v>70</v>
      </c>
      <c r="L587" s="182">
        <f t="shared" ca="1" si="93"/>
        <v>13738.274156843674</v>
      </c>
      <c r="M587" s="182">
        <f t="shared" ca="1" si="94"/>
        <v>8400</v>
      </c>
      <c r="N587" s="182">
        <f t="shared" ca="1" si="95"/>
        <v>53848.274156843545</v>
      </c>
      <c r="O587" s="182"/>
    </row>
    <row r="588" spans="1:15" x14ac:dyDescent="0.25">
      <c r="A588" s="180">
        <f t="shared" ca="1" si="96"/>
        <v>46678</v>
      </c>
      <c r="B588" s="181">
        <v>574</v>
      </c>
      <c r="C588" s="182">
        <f t="shared" ca="1" si="97"/>
        <v>40338.274156843661</v>
      </c>
      <c r="D588" s="182">
        <f t="shared" ca="1" si="98"/>
        <v>26.892182771229105</v>
      </c>
      <c r="E588" s="182">
        <v>0</v>
      </c>
      <c r="F588" s="182">
        <f t="shared" ca="1" si="101"/>
        <v>0</v>
      </c>
      <c r="G588" s="182">
        <f t="shared" ca="1" si="99"/>
        <v>0</v>
      </c>
      <c r="H588" s="182">
        <f t="shared" ca="1" si="100"/>
        <v>40365.166339614887</v>
      </c>
      <c r="I588" s="183">
        <v>0</v>
      </c>
      <c r="J588" s="263">
        <f t="shared" ca="1" si="91"/>
        <v>40365.166339614887</v>
      </c>
      <c r="K588" s="182">
        <f t="shared" ca="1" si="92"/>
        <v>70</v>
      </c>
      <c r="L588" s="182">
        <f t="shared" ca="1" si="93"/>
        <v>13765.166339614903</v>
      </c>
      <c r="M588" s="182">
        <f t="shared" ca="1" si="94"/>
        <v>8400</v>
      </c>
      <c r="N588" s="182">
        <f t="shared" ca="1" si="95"/>
        <v>53945.166339614771</v>
      </c>
      <c r="O588" s="182"/>
    </row>
    <row r="589" spans="1:15" x14ac:dyDescent="0.25">
      <c r="A589" s="180">
        <f t="shared" ca="1" si="96"/>
        <v>46679</v>
      </c>
      <c r="B589" s="181">
        <v>575</v>
      </c>
      <c r="C589" s="182">
        <f t="shared" ca="1" si="97"/>
        <v>40365.166339614887</v>
      </c>
      <c r="D589" s="182">
        <f t="shared" ca="1" si="98"/>
        <v>26.910110893076592</v>
      </c>
      <c r="E589" s="182">
        <v>0</v>
      </c>
      <c r="F589" s="182">
        <f t="shared" ca="1" si="101"/>
        <v>0</v>
      </c>
      <c r="G589" s="182">
        <f t="shared" ca="1" si="99"/>
        <v>0</v>
      </c>
      <c r="H589" s="182">
        <f t="shared" ca="1" si="100"/>
        <v>40392.076450507964</v>
      </c>
      <c r="I589" s="183">
        <v>0</v>
      </c>
      <c r="J589" s="263">
        <f t="shared" ca="1" si="91"/>
        <v>40392.076450507964</v>
      </c>
      <c r="K589" s="182">
        <f t="shared" ca="1" si="92"/>
        <v>70</v>
      </c>
      <c r="L589" s="182">
        <f t="shared" ca="1" si="93"/>
        <v>13792.076450507981</v>
      </c>
      <c r="M589" s="182">
        <f t="shared" ca="1" si="94"/>
        <v>8400</v>
      </c>
      <c r="N589" s="182">
        <f t="shared" ca="1" si="95"/>
        <v>54042.076450507848</v>
      </c>
      <c r="O589" s="182"/>
    </row>
    <row r="590" spans="1:15" x14ac:dyDescent="0.25">
      <c r="A590" s="180">
        <f t="shared" ca="1" si="96"/>
        <v>46680</v>
      </c>
      <c r="B590" s="181">
        <v>576</v>
      </c>
      <c r="C590" s="182">
        <f t="shared" ca="1" si="97"/>
        <v>40392.076450507964</v>
      </c>
      <c r="D590" s="182">
        <f t="shared" ca="1" si="98"/>
        <v>26.928050967005309</v>
      </c>
      <c r="E590" s="182">
        <v>0</v>
      </c>
      <c r="F590" s="182">
        <f t="shared" ca="1" si="101"/>
        <v>0</v>
      </c>
      <c r="G590" s="182">
        <f t="shared" ca="1" si="99"/>
        <v>0</v>
      </c>
      <c r="H590" s="182">
        <f t="shared" ca="1" si="100"/>
        <v>40419.00450147497</v>
      </c>
      <c r="I590" s="183">
        <v>0</v>
      </c>
      <c r="J590" s="263">
        <f t="shared" ca="1" si="91"/>
        <v>40419.00450147497</v>
      </c>
      <c r="K590" s="182">
        <f t="shared" ca="1" si="92"/>
        <v>70</v>
      </c>
      <c r="L590" s="182">
        <f t="shared" ca="1" si="93"/>
        <v>13819.004501474987</v>
      </c>
      <c r="M590" s="182">
        <f t="shared" ca="1" si="94"/>
        <v>8400</v>
      </c>
      <c r="N590" s="182">
        <f t="shared" ca="1" si="95"/>
        <v>54139.004501474854</v>
      </c>
      <c r="O590" s="182"/>
    </row>
    <row r="591" spans="1:15" x14ac:dyDescent="0.25">
      <c r="A591" s="180">
        <f t="shared" ca="1" si="96"/>
        <v>46681</v>
      </c>
      <c r="B591" s="181">
        <v>577</v>
      </c>
      <c r="C591" s="182">
        <f t="shared" ca="1" si="97"/>
        <v>40419.00450147497</v>
      </c>
      <c r="D591" s="182">
        <f t="shared" ca="1" si="98"/>
        <v>26.946003000983314</v>
      </c>
      <c r="E591" s="182">
        <v>0</v>
      </c>
      <c r="F591" s="182">
        <f t="shared" ca="1" si="101"/>
        <v>0</v>
      </c>
      <c r="G591" s="182">
        <f t="shared" ca="1" si="99"/>
        <v>0</v>
      </c>
      <c r="H591" s="182">
        <f t="shared" ca="1" si="100"/>
        <v>40445.950504475957</v>
      </c>
      <c r="I591" s="183">
        <v>0</v>
      </c>
      <c r="J591" s="263">
        <f t="shared" ref="J591:J654" ca="1" si="102">H591-IF(I$8-G591&lt;Q$42,I$8-Q$42,G591)</f>
        <v>40445.950504475957</v>
      </c>
      <c r="K591" s="182">
        <f t="shared" ca="1" si="92"/>
        <v>70</v>
      </c>
      <c r="L591" s="182">
        <f t="shared" ca="1" si="93"/>
        <v>13845.95050447597</v>
      </c>
      <c r="M591" s="182">
        <f t="shared" ca="1" si="94"/>
        <v>8400</v>
      </c>
      <c r="N591" s="182">
        <f t="shared" ca="1" si="95"/>
        <v>54235.950504475841</v>
      </c>
      <c r="O591" s="182"/>
    </row>
    <row r="592" spans="1:15" x14ac:dyDescent="0.25">
      <c r="A592" s="180">
        <f t="shared" ca="1" si="96"/>
        <v>46682</v>
      </c>
      <c r="B592" s="181">
        <v>578</v>
      </c>
      <c r="C592" s="182">
        <f t="shared" ca="1" si="97"/>
        <v>40445.950504475957</v>
      </c>
      <c r="D592" s="182">
        <f t="shared" ca="1" si="98"/>
        <v>26.963967002983971</v>
      </c>
      <c r="E592" s="182">
        <v>0</v>
      </c>
      <c r="F592" s="182">
        <f t="shared" ca="1" si="101"/>
        <v>0</v>
      </c>
      <c r="G592" s="182">
        <f t="shared" ca="1" si="99"/>
        <v>0</v>
      </c>
      <c r="H592" s="182">
        <f t="shared" ca="1" si="100"/>
        <v>40472.914471478944</v>
      </c>
      <c r="I592" s="183">
        <v>0</v>
      </c>
      <c r="J592" s="263">
        <f t="shared" ca="1" si="102"/>
        <v>40472.914471478944</v>
      </c>
      <c r="K592" s="182">
        <f t="shared" ref="K592:K655" ca="1" si="103">$L$3/($C$11-$C$8)</f>
        <v>70</v>
      </c>
      <c r="L592" s="182">
        <f t="shared" ref="L592:L655" ca="1" si="104">L591+D592</f>
        <v>13872.914471478955</v>
      </c>
      <c r="M592" s="182">
        <f t="shared" ref="M592:M655" ca="1" si="105">IF($I$8&gt;L592,L592,$I$8)</f>
        <v>8400</v>
      </c>
      <c r="N592" s="182">
        <f t="shared" ref="N592:N655" ca="1" si="106">N591+D592+K592+I592</f>
        <v>54332.914471478827</v>
      </c>
      <c r="O592" s="182"/>
    </row>
    <row r="593" spans="1:15" x14ac:dyDescent="0.25">
      <c r="A593" s="180">
        <f t="shared" ref="A593:A656" ca="1" si="107">A592+1</f>
        <v>46683</v>
      </c>
      <c r="B593" s="181">
        <v>579</v>
      </c>
      <c r="C593" s="182">
        <f t="shared" ref="C593:C656" ca="1" si="108">H592</f>
        <v>40472.914471478944</v>
      </c>
      <c r="D593" s="182">
        <f t="shared" ref="D593:D656" ca="1" si="109">(($C$6/360))*C593</f>
        <v>26.981942980985963</v>
      </c>
      <c r="E593" s="182">
        <v>0</v>
      </c>
      <c r="F593" s="182">
        <f t="shared" ca="1" si="101"/>
        <v>0</v>
      </c>
      <c r="G593" s="182">
        <f t="shared" ref="G593:G656" ca="1" si="110">IF(G592-D593-E593&gt;0,G592-D593-E593,0)</f>
        <v>0</v>
      </c>
      <c r="H593" s="182">
        <f t="shared" ca="1" si="100"/>
        <v>40499.89641445993</v>
      </c>
      <c r="I593" s="183">
        <v>0</v>
      </c>
      <c r="J593" s="263">
        <f t="shared" ca="1" si="102"/>
        <v>40499.89641445993</v>
      </c>
      <c r="K593" s="182">
        <f t="shared" ca="1" si="103"/>
        <v>70</v>
      </c>
      <c r="L593" s="182">
        <f t="shared" ca="1" si="104"/>
        <v>13899.896414459941</v>
      </c>
      <c r="M593" s="182">
        <f t="shared" ca="1" si="105"/>
        <v>8400</v>
      </c>
      <c r="N593" s="182">
        <f t="shared" ca="1" si="106"/>
        <v>54429.896414459814</v>
      </c>
      <c r="O593" s="182"/>
    </row>
    <row r="594" spans="1:15" x14ac:dyDescent="0.25">
      <c r="A594" s="180">
        <f t="shared" ca="1" si="107"/>
        <v>46684</v>
      </c>
      <c r="B594" s="181">
        <v>580</v>
      </c>
      <c r="C594" s="182">
        <f t="shared" ca="1" si="108"/>
        <v>40499.89641445993</v>
      </c>
      <c r="D594" s="182">
        <f t="shared" ca="1" si="109"/>
        <v>26.999930942973286</v>
      </c>
      <c r="E594" s="182">
        <v>0</v>
      </c>
      <c r="F594" s="182">
        <f t="shared" ca="1" si="101"/>
        <v>0</v>
      </c>
      <c r="G594" s="182">
        <f t="shared" ca="1" si="110"/>
        <v>0</v>
      </c>
      <c r="H594" s="182">
        <f t="shared" ca="1" si="100"/>
        <v>40526.896345402907</v>
      </c>
      <c r="I594" s="183">
        <v>0</v>
      </c>
      <c r="J594" s="263">
        <f t="shared" ca="1" si="102"/>
        <v>40526.896345402907</v>
      </c>
      <c r="K594" s="182">
        <f t="shared" ca="1" si="103"/>
        <v>70</v>
      </c>
      <c r="L594" s="182">
        <f t="shared" ca="1" si="104"/>
        <v>13926.896345402914</v>
      </c>
      <c r="M594" s="182">
        <f t="shared" ca="1" si="105"/>
        <v>8400</v>
      </c>
      <c r="N594" s="182">
        <f t="shared" ca="1" si="106"/>
        <v>54526.896345402791</v>
      </c>
      <c r="O594" s="182"/>
    </row>
    <row r="595" spans="1:15" x14ac:dyDescent="0.25">
      <c r="A595" s="180">
        <f t="shared" ca="1" si="107"/>
        <v>46685</v>
      </c>
      <c r="B595" s="181">
        <v>581</v>
      </c>
      <c r="C595" s="182">
        <f t="shared" ca="1" si="108"/>
        <v>40526.896345402907</v>
      </c>
      <c r="D595" s="182">
        <f t="shared" ca="1" si="109"/>
        <v>27.017930896935269</v>
      </c>
      <c r="E595" s="182">
        <v>0</v>
      </c>
      <c r="F595" s="182">
        <f t="shared" ca="1" si="101"/>
        <v>0</v>
      </c>
      <c r="G595" s="182">
        <f t="shared" ca="1" si="110"/>
        <v>0</v>
      </c>
      <c r="H595" s="182">
        <f t="shared" ca="1" si="100"/>
        <v>40553.914276299845</v>
      </c>
      <c r="I595" s="183">
        <v>0</v>
      </c>
      <c r="J595" s="263">
        <f t="shared" ca="1" si="102"/>
        <v>40553.914276299845</v>
      </c>
      <c r="K595" s="182">
        <f t="shared" ca="1" si="103"/>
        <v>70</v>
      </c>
      <c r="L595" s="182">
        <f t="shared" ca="1" si="104"/>
        <v>13953.914276299849</v>
      </c>
      <c r="M595" s="182">
        <f t="shared" ca="1" si="105"/>
        <v>8400</v>
      </c>
      <c r="N595" s="182">
        <f t="shared" ca="1" si="106"/>
        <v>54623.914276299729</v>
      </c>
      <c r="O595" s="182"/>
    </row>
    <row r="596" spans="1:15" x14ac:dyDescent="0.25">
      <c r="A596" s="180">
        <f t="shared" ca="1" si="107"/>
        <v>46686</v>
      </c>
      <c r="B596" s="181">
        <v>582</v>
      </c>
      <c r="C596" s="182">
        <f t="shared" ca="1" si="108"/>
        <v>40553.914276299845</v>
      </c>
      <c r="D596" s="182">
        <f t="shared" ca="1" si="109"/>
        <v>27.035942850866562</v>
      </c>
      <c r="E596" s="182">
        <v>0</v>
      </c>
      <c r="F596" s="182">
        <f t="shared" ca="1" si="101"/>
        <v>0</v>
      </c>
      <c r="G596" s="182">
        <f t="shared" ca="1" si="110"/>
        <v>0</v>
      </c>
      <c r="H596" s="182">
        <f t="shared" ca="1" si="100"/>
        <v>40580.950219150713</v>
      </c>
      <c r="I596" s="183">
        <v>0</v>
      </c>
      <c r="J596" s="263">
        <f t="shared" ca="1" si="102"/>
        <v>40580.950219150713</v>
      </c>
      <c r="K596" s="182">
        <f t="shared" ca="1" si="103"/>
        <v>70</v>
      </c>
      <c r="L596" s="182">
        <f t="shared" ca="1" si="104"/>
        <v>13980.950219150716</v>
      </c>
      <c r="M596" s="182">
        <f t="shared" ca="1" si="105"/>
        <v>8400</v>
      </c>
      <c r="N596" s="182">
        <f t="shared" ca="1" si="106"/>
        <v>54720.950219150596</v>
      </c>
      <c r="O596" s="182"/>
    </row>
    <row r="597" spans="1:15" x14ac:dyDescent="0.25">
      <c r="A597" s="180">
        <f t="shared" ca="1" si="107"/>
        <v>46687</v>
      </c>
      <c r="B597" s="181">
        <v>583</v>
      </c>
      <c r="C597" s="182">
        <f t="shared" ca="1" si="108"/>
        <v>40580.950219150713</v>
      </c>
      <c r="D597" s="182">
        <f t="shared" ca="1" si="109"/>
        <v>27.05396681276714</v>
      </c>
      <c r="E597" s="182">
        <v>0</v>
      </c>
      <c r="F597" s="182">
        <f t="shared" ca="1" si="101"/>
        <v>0</v>
      </c>
      <c r="G597" s="182">
        <f t="shared" ca="1" si="110"/>
        <v>0</v>
      </c>
      <c r="H597" s="182">
        <f t="shared" ca="1" si="100"/>
        <v>40608.00418596348</v>
      </c>
      <c r="I597" s="183">
        <v>0</v>
      </c>
      <c r="J597" s="263">
        <f t="shared" ca="1" si="102"/>
        <v>40608.00418596348</v>
      </c>
      <c r="K597" s="182">
        <f t="shared" ca="1" si="103"/>
        <v>70</v>
      </c>
      <c r="L597" s="182">
        <f t="shared" ca="1" si="104"/>
        <v>14008.004185963484</v>
      </c>
      <c r="M597" s="182">
        <f t="shared" ca="1" si="105"/>
        <v>8400</v>
      </c>
      <c r="N597" s="182">
        <f t="shared" ca="1" si="106"/>
        <v>54818.004185963364</v>
      </c>
      <c r="O597" s="182"/>
    </row>
    <row r="598" spans="1:15" x14ac:dyDescent="0.25">
      <c r="A598" s="180">
        <f t="shared" ca="1" si="107"/>
        <v>46688</v>
      </c>
      <c r="B598" s="181">
        <v>584</v>
      </c>
      <c r="C598" s="182">
        <f t="shared" ca="1" si="108"/>
        <v>40608.00418596348</v>
      </c>
      <c r="D598" s="182">
        <f t="shared" ca="1" si="109"/>
        <v>27.072002790642319</v>
      </c>
      <c r="E598" s="182">
        <v>0</v>
      </c>
      <c r="F598" s="182">
        <f t="shared" ca="1" si="101"/>
        <v>0</v>
      </c>
      <c r="G598" s="182">
        <f t="shared" ca="1" si="110"/>
        <v>0</v>
      </c>
      <c r="H598" s="182">
        <f t="shared" ca="1" si="100"/>
        <v>40635.076188754123</v>
      </c>
      <c r="I598" s="183">
        <v>0</v>
      </c>
      <c r="J598" s="263">
        <f t="shared" ca="1" si="102"/>
        <v>40635.076188754123</v>
      </c>
      <c r="K598" s="182">
        <f t="shared" ca="1" si="103"/>
        <v>70</v>
      </c>
      <c r="L598" s="182">
        <f t="shared" ca="1" si="104"/>
        <v>14035.076188754127</v>
      </c>
      <c r="M598" s="182">
        <f t="shared" ca="1" si="105"/>
        <v>8400</v>
      </c>
      <c r="N598" s="182">
        <f t="shared" ca="1" si="106"/>
        <v>54915.076188754007</v>
      </c>
      <c r="O598" s="182"/>
    </row>
    <row r="599" spans="1:15" x14ac:dyDescent="0.25">
      <c r="A599" s="180">
        <f t="shared" ca="1" si="107"/>
        <v>46689</v>
      </c>
      <c r="B599" s="181">
        <v>585</v>
      </c>
      <c r="C599" s="182">
        <f t="shared" ca="1" si="108"/>
        <v>40635.076188754123</v>
      </c>
      <c r="D599" s="182">
        <f t="shared" ca="1" si="109"/>
        <v>27.090050792502748</v>
      </c>
      <c r="E599" s="182">
        <v>0</v>
      </c>
      <c r="F599" s="182">
        <f t="shared" ca="1" si="101"/>
        <v>0</v>
      </c>
      <c r="G599" s="182">
        <f t="shared" ca="1" si="110"/>
        <v>0</v>
      </c>
      <c r="H599" s="182">
        <f t="shared" ca="1" si="100"/>
        <v>40662.166239546626</v>
      </c>
      <c r="I599" s="183">
        <v>0</v>
      </c>
      <c r="J599" s="263">
        <f t="shared" ca="1" si="102"/>
        <v>40662.166239546626</v>
      </c>
      <c r="K599" s="182">
        <f t="shared" ca="1" si="103"/>
        <v>70</v>
      </c>
      <c r="L599" s="182">
        <f t="shared" ca="1" si="104"/>
        <v>14062.16623954663</v>
      </c>
      <c r="M599" s="182">
        <f t="shared" ca="1" si="105"/>
        <v>8400</v>
      </c>
      <c r="N599" s="182">
        <f t="shared" ca="1" si="106"/>
        <v>55012.16623954651</v>
      </c>
      <c r="O599" s="182"/>
    </row>
    <row r="600" spans="1:15" x14ac:dyDescent="0.25">
      <c r="A600" s="180">
        <f t="shared" ca="1" si="107"/>
        <v>46690</v>
      </c>
      <c r="B600" s="181">
        <v>586</v>
      </c>
      <c r="C600" s="182">
        <f t="shared" ca="1" si="108"/>
        <v>40662.166239546626</v>
      </c>
      <c r="D600" s="182">
        <f t="shared" ca="1" si="109"/>
        <v>27.108110826364417</v>
      </c>
      <c r="E600" s="182">
        <v>0</v>
      </c>
      <c r="F600" s="182">
        <f t="shared" ca="1" si="101"/>
        <v>0</v>
      </c>
      <c r="G600" s="182">
        <f t="shared" ca="1" si="110"/>
        <v>0</v>
      </c>
      <c r="H600" s="182">
        <f t="shared" ca="1" si="100"/>
        <v>40689.274350372994</v>
      </c>
      <c r="I600" s="183">
        <v>0</v>
      </c>
      <c r="J600" s="263">
        <f t="shared" ca="1" si="102"/>
        <v>40689.274350372994</v>
      </c>
      <c r="K600" s="182">
        <f t="shared" ca="1" si="103"/>
        <v>70</v>
      </c>
      <c r="L600" s="182">
        <f t="shared" ca="1" si="104"/>
        <v>14089.274350372994</v>
      </c>
      <c r="M600" s="182">
        <f t="shared" ca="1" si="105"/>
        <v>8400</v>
      </c>
      <c r="N600" s="182">
        <f t="shared" ca="1" si="106"/>
        <v>55109.274350372878</v>
      </c>
      <c r="O600" s="182"/>
    </row>
    <row r="601" spans="1:15" x14ac:dyDescent="0.25">
      <c r="A601" s="180">
        <f t="shared" ca="1" si="107"/>
        <v>46691</v>
      </c>
      <c r="B601" s="181">
        <v>587</v>
      </c>
      <c r="C601" s="182">
        <f t="shared" ca="1" si="108"/>
        <v>40689.274350372994</v>
      </c>
      <c r="D601" s="182">
        <f t="shared" ca="1" si="109"/>
        <v>27.126182900248661</v>
      </c>
      <c r="E601" s="182">
        <v>0</v>
      </c>
      <c r="F601" s="182">
        <f t="shared" ca="1" si="101"/>
        <v>0</v>
      </c>
      <c r="G601" s="182">
        <f t="shared" ca="1" si="110"/>
        <v>0</v>
      </c>
      <c r="H601" s="182">
        <f t="shared" ca="1" si="100"/>
        <v>40716.400533273241</v>
      </c>
      <c r="I601" s="183">
        <v>0</v>
      </c>
      <c r="J601" s="263">
        <f t="shared" ca="1" si="102"/>
        <v>40716.400533273241</v>
      </c>
      <c r="K601" s="182">
        <f t="shared" ca="1" si="103"/>
        <v>70</v>
      </c>
      <c r="L601" s="182">
        <f t="shared" ca="1" si="104"/>
        <v>14116.400533273243</v>
      </c>
      <c r="M601" s="182">
        <f t="shared" ca="1" si="105"/>
        <v>8400</v>
      </c>
      <c r="N601" s="182">
        <f t="shared" ca="1" si="106"/>
        <v>55206.400533273125</v>
      </c>
      <c r="O601" s="182"/>
    </row>
    <row r="602" spans="1:15" x14ac:dyDescent="0.25">
      <c r="A602" s="180">
        <f t="shared" ca="1" si="107"/>
        <v>46692</v>
      </c>
      <c r="B602" s="181">
        <v>588</v>
      </c>
      <c r="C602" s="182">
        <f t="shared" ca="1" si="108"/>
        <v>40716.400533273241</v>
      </c>
      <c r="D602" s="182">
        <f t="shared" ca="1" si="109"/>
        <v>27.144267022182159</v>
      </c>
      <c r="E602" s="182">
        <v>0</v>
      </c>
      <c r="F602" s="182">
        <f t="shared" ca="1" si="101"/>
        <v>0</v>
      </c>
      <c r="G602" s="182">
        <f t="shared" ca="1" si="110"/>
        <v>0</v>
      </c>
      <c r="H602" s="182">
        <f t="shared" ca="1" si="100"/>
        <v>40743.544800295422</v>
      </c>
      <c r="I602" s="183">
        <v>0</v>
      </c>
      <c r="J602" s="263">
        <f t="shared" ca="1" si="102"/>
        <v>40743.544800295422</v>
      </c>
      <c r="K602" s="182">
        <f t="shared" ca="1" si="103"/>
        <v>70</v>
      </c>
      <c r="L602" s="182">
        <f t="shared" ca="1" si="104"/>
        <v>14143.544800295425</v>
      </c>
      <c r="M602" s="182">
        <f t="shared" ca="1" si="105"/>
        <v>8400</v>
      </c>
      <c r="N602" s="182">
        <f t="shared" ca="1" si="106"/>
        <v>55303.544800295305</v>
      </c>
      <c r="O602" s="182"/>
    </row>
    <row r="603" spans="1:15" x14ac:dyDescent="0.25">
      <c r="A603" s="180">
        <f t="shared" ca="1" si="107"/>
        <v>46693</v>
      </c>
      <c r="B603" s="181">
        <v>589</v>
      </c>
      <c r="C603" s="182">
        <f t="shared" ca="1" si="108"/>
        <v>40743.544800295422</v>
      </c>
      <c r="D603" s="182">
        <f t="shared" ca="1" si="109"/>
        <v>27.162363200196946</v>
      </c>
      <c r="E603" s="182">
        <v>0</v>
      </c>
      <c r="F603" s="182">
        <f t="shared" ca="1" si="101"/>
        <v>0</v>
      </c>
      <c r="G603" s="182">
        <f t="shared" ca="1" si="110"/>
        <v>0</v>
      </c>
      <c r="H603" s="182">
        <f t="shared" ca="1" si="100"/>
        <v>40770.707163495616</v>
      </c>
      <c r="I603" s="183">
        <v>0</v>
      </c>
      <c r="J603" s="263">
        <f t="shared" ca="1" si="102"/>
        <v>40770.707163495616</v>
      </c>
      <c r="K603" s="182">
        <f t="shared" ca="1" si="103"/>
        <v>70</v>
      </c>
      <c r="L603" s="182">
        <f t="shared" ca="1" si="104"/>
        <v>14170.707163495623</v>
      </c>
      <c r="M603" s="182">
        <f t="shared" ca="1" si="105"/>
        <v>8400</v>
      </c>
      <c r="N603" s="182">
        <f t="shared" ca="1" si="106"/>
        <v>55400.707163495499</v>
      </c>
      <c r="O603" s="182"/>
    </row>
    <row r="604" spans="1:15" x14ac:dyDescent="0.25">
      <c r="A604" s="180">
        <f t="shared" ca="1" si="107"/>
        <v>46694</v>
      </c>
      <c r="B604" s="181">
        <v>590</v>
      </c>
      <c r="C604" s="182">
        <f t="shared" ca="1" si="108"/>
        <v>40770.707163495616</v>
      </c>
      <c r="D604" s="182">
        <f t="shared" ca="1" si="109"/>
        <v>27.180471442330408</v>
      </c>
      <c r="E604" s="182">
        <v>0</v>
      </c>
      <c r="F604" s="182">
        <f t="shared" ca="1" si="101"/>
        <v>0</v>
      </c>
      <c r="G604" s="182">
        <f t="shared" ca="1" si="110"/>
        <v>0</v>
      </c>
      <c r="H604" s="182">
        <f t="shared" ca="1" si="100"/>
        <v>40797.887634937942</v>
      </c>
      <c r="I604" s="183">
        <v>0</v>
      </c>
      <c r="J604" s="263">
        <f t="shared" ca="1" si="102"/>
        <v>40797.887634937942</v>
      </c>
      <c r="K604" s="182">
        <f t="shared" ca="1" si="103"/>
        <v>70</v>
      </c>
      <c r="L604" s="182">
        <f t="shared" ca="1" si="104"/>
        <v>14197.887634937953</v>
      </c>
      <c r="M604" s="182">
        <f t="shared" ca="1" si="105"/>
        <v>8400</v>
      </c>
      <c r="N604" s="182">
        <f t="shared" ca="1" si="106"/>
        <v>55497.887634937826</v>
      </c>
      <c r="O604" s="182"/>
    </row>
    <row r="605" spans="1:15" x14ac:dyDescent="0.25">
      <c r="A605" s="180">
        <f t="shared" ca="1" si="107"/>
        <v>46695</v>
      </c>
      <c r="B605" s="181">
        <v>591</v>
      </c>
      <c r="C605" s="182">
        <f t="shared" ca="1" si="108"/>
        <v>40797.887634937942</v>
      </c>
      <c r="D605" s="182">
        <f t="shared" ca="1" si="109"/>
        <v>27.198591756625294</v>
      </c>
      <c r="E605" s="182">
        <v>0</v>
      </c>
      <c r="F605" s="182">
        <f t="shared" ca="1" si="101"/>
        <v>0</v>
      </c>
      <c r="G605" s="182">
        <f t="shared" ca="1" si="110"/>
        <v>0</v>
      </c>
      <c r="H605" s="182">
        <f t="shared" ca="1" si="100"/>
        <v>40825.08622669457</v>
      </c>
      <c r="I605" s="183">
        <v>0</v>
      </c>
      <c r="J605" s="263">
        <f t="shared" ca="1" si="102"/>
        <v>40825.08622669457</v>
      </c>
      <c r="K605" s="182">
        <f t="shared" ca="1" si="103"/>
        <v>70</v>
      </c>
      <c r="L605" s="182">
        <f t="shared" ca="1" si="104"/>
        <v>14225.086226694579</v>
      </c>
      <c r="M605" s="182">
        <f t="shared" ca="1" si="105"/>
        <v>8400</v>
      </c>
      <c r="N605" s="182">
        <f t="shared" ca="1" si="106"/>
        <v>55595.086226694453</v>
      </c>
      <c r="O605" s="182"/>
    </row>
    <row r="606" spans="1:15" x14ac:dyDescent="0.25">
      <c r="A606" s="180">
        <f t="shared" ca="1" si="107"/>
        <v>46696</v>
      </c>
      <c r="B606" s="181">
        <v>592</v>
      </c>
      <c r="C606" s="182">
        <f t="shared" ca="1" si="108"/>
        <v>40825.08622669457</v>
      </c>
      <c r="D606" s="182">
        <f t="shared" ca="1" si="109"/>
        <v>27.216724151129711</v>
      </c>
      <c r="E606" s="182">
        <v>0</v>
      </c>
      <c r="F606" s="182">
        <f t="shared" ca="1" si="101"/>
        <v>0</v>
      </c>
      <c r="G606" s="182">
        <f t="shared" ca="1" si="110"/>
        <v>0</v>
      </c>
      <c r="H606" s="182">
        <f t="shared" ca="1" si="100"/>
        <v>40852.302950845697</v>
      </c>
      <c r="I606" s="183">
        <v>0</v>
      </c>
      <c r="J606" s="263">
        <f t="shared" ca="1" si="102"/>
        <v>40852.302950845697</v>
      </c>
      <c r="K606" s="182">
        <f t="shared" ca="1" si="103"/>
        <v>70</v>
      </c>
      <c r="L606" s="182">
        <f t="shared" ca="1" si="104"/>
        <v>14252.302950845708</v>
      </c>
      <c r="M606" s="182">
        <f t="shared" ca="1" si="105"/>
        <v>8400</v>
      </c>
      <c r="N606" s="182">
        <f t="shared" ca="1" si="106"/>
        <v>55692.30295084558</v>
      </c>
      <c r="O606" s="182"/>
    </row>
    <row r="607" spans="1:15" x14ac:dyDescent="0.25">
      <c r="A607" s="180">
        <f t="shared" ca="1" si="107"/>
        <v>46697</v>
      </c>
      <c r="B607" s="181">
        <v>593</v>
      </c>
      <c r="C607" s="182">
        <f t="shared" ca="1" si="108"/>
        <v>40852.302950845697</v>
      </c>
      <c r="D607" s="182">
        <f t="shared" ca="1" si="109"/>
        <v>27.234868633897129</v>
      </c>
      <c r="E607" s="182">
        <v>0</v>
      </c>
      <c r="F607" s="182">
        <f t="shared" ca="1" si="101"/>
        <v>0</v>
      </c>
      <c r="G607" s="182">
        <f t="shared" ca="1" si="110"/>
        <v>0</v>
      </c>
      <c r="H607" s="182">
        <f t="shared" ca="1" si="100"/>
        <v>40879.537819479592</v>
      </c>
      <c r="I607" s="183">
        <v>0</v>
      </c>
      <c r="J607" s="263">
        <f t="shared" ca="1" si="102"/>
        <v>40879.537819479592</v>
      </c>
      <c r="K607" s="182">
        <f t="shared" ca="1" si="103"/>
        <v>70</v>
      </c>
      <c r="L607" s="182">
        <f t="shared" ca="1" si="104"/>
        <v>14279.537819479605</v>
      </c>
      <c r="M607" s="182">
        <f t="shared" ca="1" si="105"/>
        <v>8400</v>
      </c>
      <c r="N607" s="182">
        <f t="shared" ca="1" si="106"/>
        <v>55789.537819479476</v>
      </c>
      <c r="O607" s="182"/>
    </row>
    <row r="608" spans="1:15" x14ac:dyDescent="0.25">
      <c r="A608" s="180">
        <f t="shared" ca="1" si="107"/>
        <v>46698</v>
      </c>
      <c r="B608" s="181">
        <v>594</v>
      </c>
      <c r="C608" s="182">
        <f t="shared" ca="1" si="108"/>
        <v>40879.537819479592</v>
      </c>
      <c r="D608" s="182">
        <f t="shared" ca="1" si="109"/>
        <v>27.253025212986394</v>
      </c>
      <c r="E608" s="182">
        <v>0</v>
      </c>
      <c r="F608" s="182">
        <f t="shared" ca="1" si="101"/>
        <v>0</v>
      </c>
      <c r="G608" s="182">
        <f t="shared" ca="1" si="110"/>
        <v>0</v>
      </c>
      <c r="H608" s="182">
        <f t="shared" ca="1" si="100"/>
        <v>40906.790844692579</v>
      </c>
      <c r="I608" s="183">
        <v>0</v>
      </c>
      <c r="J608" s="263">
        <f t="shared" ca="1" si="102"/>
        <v>40906.790844692579</v>
      </c>
      <c r="K608" s="182">
        <f t="shared" ca="1" si="103"/>
        <v>70</v>
      </c>
      <c r="L608" s="182">
        <f t="shared" ca="1" si="104"/>
        <v>14306.790844692592</v>
      </c>
      <c r="M608" s="182">
        <f t="shared" ca="1" si="105"/>
        <v>8400</v>
      </c>
      <c r="N608" s="182">
        <f t="shared" ca="1" si="106"/>
        <v>55886.790844692463</v>
      </c>
      <c r="O608" s="182"/>
    </row>
    <row r="609" spans="1:15" x14ac:dyDescent="0.25">
      <c r="A609" s="180">
        <f t="shared" ca="1" si="107"/>
        <v>46699</v>
      </c>
      <c r="B609" s="181">
        <v>595</v>
      </c>
      <c r="C609" s="182">
        <f t="shared" ca="1" si="108"/>
        <v>40906.790844692579</v>
      </c>
      <c r="D609" s="182">
        <f t="shared" ca="1" si="109"/>
        <v>27.271193896461718</v>
      </c>
      <c r="E609" s="182">
        <v>0</v>
      </c>
      <c r="F609" s="182">
        <f t="shared" ca="1" si="101"/>
        <v>0</v>
      </c>
      <c r="G609" s="182">
        <f t="shared" ca="1" si="110"/>
        <v>0</v>
      </c>
      <c r="H609" s="182">
        <f t="shared" ca="1" si="100"/>
        <v>40934.062038589043</v>
      </c>
      <c r="I609" s="183">
        <v>0</v>
      </c>
      <c r="J609" s="263">
        <f t="shared" ca="1" si="102"/>
        <v>40934.062038589043</v>
      </c>
      <c r="K609" s="182">
        <f t="shared" ca="1" si="103"/>
        <v>70</v>
      </c>
      <c r="L609" s="182">
        <f t="shared" ca="1" si="104"/>
        <v>14334.062038589054</v>
      </c>
      <c r="M609" s="182">
        <f t="shared" ca="1" si="105"/>
        <v>8400</v>
      </c>
      <c r="N609" s="182">
        <f t="shared" ca="1" si="106"/>
        <v>55984.062038588927</v>
      </c>
      <c r="O609" s="182"/>
    </row>
    <row r="610" spans="1:15" x14ac:dyDescent="0.25">
      <c r="A610" s="180">
        <f t="shared" ca="1" si="107"/>
        <v>46700</v>
      </c>
      <c r="B610" s="181">
        <v>596</v>
      </c>
      <c r="C610" s="182">
        <f t="shared" ca="1" si="108"/>
        <v>40934.062038589043</v>
      </c>
      <c r="D610" s="182">
        <f t="shared" ca="1" si="109"/>
        <v>27.289374692392695</v>
      </c>
      <c r="E610" s="182">
        <v>0</v>
      </c>
      <c r="F610" s="182">
        <f t="shared" ca="1" si="101"/>
        <v>0</v>
      </c>
      <c r="G610" s="182">
        <f t="shared" ca="1" si="110"/>
        <v>0</v>
      </c>
      <c r="H610" s="182">
        <f t="shared" ca="1" si="100"/>
        <v>40961.351413281438</v>
      </c>
      <c r="I610" s="183">
        <v>0</v>
      </c>
      <c r="J610" s="263">
        <f t="shared" ca="1" si="102"/>
        <v>40961.351413281438</v>
      </c>
      <c r="K610" s="182">
        <f t="shared" ca="1" si="103"/>
        <v>70</v>
      </c>
      <c r="L610" s="182">
        <f t="shared" ca="1" si="104"/>
        <v>14361.351413281447</v>
      </c>
      <c r="M610" s="182">
        <f t="shared" ca="1" si="105"/>
        <v>8400</v>
      </c>
      <c r="N610" s="182">
        <f t="shared" ca="1" si="106"/>
        <v>56081.351413281322</v>
      </c>
      <c r="O610" s="182"/>
    </row>
    <row r="611" spans="1:15" x14ac:dyDescent="0.25">
      <c r="A611" s="180">
        <f t="shared" ca="1" si="107"/>
        <v>46701</v>
      </c>
      <c r="B611" s="181">
        <v>597</v>
      </c>
      <c r="C611" s="182">
        <f t="shared" ca="1" si="108"/>
        <v>40961.351413281438</v>
      </c>
      <c r="D611" s="182">
        <f t="shared" ca="1" si="109"/>
        <v>27.307567608854292</v>
      </c>
      <c r="E611" s="182">
        <v>0</v>
      </c>
      <c r="F611" s="182">
        <f t="shared" ca="1" si="101"/>
        <v>0</v>
      </c>
      <c r="G611" s="182">
        <f t="shared" ca="1" si="110"/>
        <v>0</v>
      </c>
      <c r="H611" s="182">
        <f t="shared" ref="H611:H674" ca="1" si="111">IF(G611&gt;0,C611+F611+I611,SUM(C611:F611)-G610)</f>
        <v>40988.658980890294</v>
      </c>
      <c r="I611" s="183">
        <v>0</v>
      </c>
      <c r="J611" s="263">
        <f t="shared" ca="1" si="102"/>
        <v>40988.658980890294</v>
      </c>
      <c r="K611" s="182">
        <f t="shared" ca="1" si="103"/>
        <v>70</v>
      </c>
      <c r="L611" s="182">
        <f t="shared" ca="1" si="104"/>
        <v>14388.658980890301</v>
      </c>
      <c r="M611" s="182">
        <f t="shared" ca="1" si="105"/>
        <v>8400</v>
      </c>
      <c r="N611" s="182">
        <f t="shared" ca="1" si="106"/>
        <v>56178.658980890177</v>
      </c>
      <c r="O611" s="182"/>
    </row>
    <row r="612" spans="1:15" x14ac:dyDescent="0.25">
      <c r="A612" s="180">
        <f t="shared" ca="1" si="107"/>
        <v>46702</v>
      </c>
      <c r="B612" s="181">
        <v>598</v>
      </c>
      <c r="C612" s="182">
        <f t="shared" ca="1" si="108"/>
        <v>40988.658980890294</v>
      </c>
      <c r="D612" s="182">
        <f t="shared" ca="1" si="109"/>
        <v>27.325772653926862</v>
      </c>
      <c r="E612" s="182">
        <v>0</v>
      </c>
      <c r="F612" s="182">
        <f t="shared" ca="1" si="101"/>
        <v>0</v>
      </c>
      <c r="G612" s="182">
        <f t="shared" ca="1" si="110"/>
        <v>0</v>
      </c>
      <c r="H612" s="182">
        <f t="shared" ca="1" si="111"/>
        <v>41015.984753544224</v>
      </c>
      <c r="I612" s="183">
        <v>0</v>
      </c>
      <c r="J612" s="263">
        <f t="shared" ca="1" si="102"/>
        <v>41015.984753544224</v>
      </c>
      <c r="K612" s="182">
        <f t="shared" ca="1" si="103"/>
        <v>70</v>
      </c>
      <c r="L612" s="182">
        <f t="shared" ca="1" si="104"/>
        <v>14415.984753544228</v>
      </c>
      <c r="M612" s="182">
        <f t="shared" ca="1" si="105"/>
        <v>8400</v>
      </c>
      <c r="N612" s="182">
        <f t="shared" ca="1" si="106"/>
        <v>56275.984753544108</v>
      </c>
      <c r="O612" s="182"/>
    </row>
    <row r="613" spans="1:15" x14ac:dyDescent="0.25">
      <c r="A613" s="180">
        <f t="shared" ca="1" si="107"/>
        <v>46703</v>
      </c>
      <c r="B613" s="181">
        <v>599</v>
      </c>
      <c r="C613" s="182">
        <f t="shared" ca="1" si="108"/>
        <v>41015.984753544224</v>
      </c>
      <c r="D613" s="182">
        <f t="shared" ca="1" si="109"/>
        <v>27.343989835696149</v>
      </c>
      <c r="E613" s="182">
        <v>0</v>
      </c>
      <c r="F613" s="182">
        <f t="shared" ca="1" si="101"/>
        <v>0</v>
      </c>
      <c r="G613" s="182">
        <f t="shared" ca="1" si="110"/>
        <v>0</v>
      </c>
      <c r="H613" s="182">
        <f t="shared" ca="1" si="111"/>
        <v>41043.32874337992</v>
      </c>
      <c r="I613" s="183">
        <v>0</v>
      </c>
      <c r="J613" s="263">
        <f t="shared" ca="1" si="102"/>
        <v>41043.32874337992</v>
      </c>
      <c r="K613" s="182">
        <f t="shared" ca="1" si="103"/>
        <v>70</v>
      </c>
      <c r="L613" s="182">
        <f t="shared" ca="1" si="104"/>
        <v>14443.328743379923</v>
      </c>
      <c r="M613" s="182">
        <f t="shared" ca="1" si="105"/>
        <v>8400</v>
      </c>
      <c r="N613" s="182">
        <f t="shared" ca="1" si="106"/>
        <v>56373.328743379803</v>
      </c>
      <c r="O613" s="182"/>
    </row>
    <row r="614" spans="1:15" x14ac:dyDescent="0.25">
      <c r="A614" s="180">
        <f t="shared" ca="1" si="107"/>
        <v>46704</v>
      </c>
      <c r="B614" s="181">
        <v>600</v>
      </c>
      <c r="C614" s="182">
        <f t="shared" ca="1" si="108"/>
        <v>41043.32874337992</v>
      </c>
      <c r="D614" s="182">
        <f t="shared" ca="1" si="109"/>
        <v>27.362219162253279</v>
      </c>
      <c r="E614" s="182">
        <v>0</v>
      </c>
      <c r="F614" s="182">
        <f t="shared" ca="1" si="101"/>
        <v>0</v>
      </c>
      <c r="G614" s="182">
        <f t="shared" ca="1" si="110"/>
        <v>0</v>
      </c>
      <c r="H614" s="182">
        <f t="shared" ca="1" si="111"/>
        <v>41070.690962542176</v>
      </c>
      <c r="I614" s="183">
        <v>0</v>
      </c>
      <c r="J614" s="263">
        <f t="shared" ca="1" si="102"/>
        <v>41070.690962542176</v>
      </c>
      <c r="K614" s="182">
        <f t="shared" ca="1" si="103"/>
        <v>70</v>
      </c>
      <c r="L614" s="182">
        <f t="shared" ca="1" si="104"/>
        <v>14470.690962542176</v>
      </c>
      <c r="M614" s="182">
        <f t="shared" ca="1" si="105"/>
        <v>8400</v>
      </c>
      <c r="N614" s="182">
        <f t="shared" ca="1" si="106"/>
        <v>56470.690962542059</v>
      </c>
      <c r="O614" s="182"/>
    </row>
    <row r="615" spans="1:15" x14ac:dyDescent="0.25">
      <c r="A615" s="180">
        <f t="shared" ca="1" si="107"/>
        <v>46705</v>
      </c>
      <c r="B615" s="181">
        <v>601</v>
      </c>
      <c r="C615" s="182">
        <f t="shared" ca="1" si="108"/>
        <v>41070.690962542176</v>
      </c>
      <c r="D615" s="182">
        <f t="shared" ca="1" si="109"/>
        <v>27.380460641694782</v>
      </c>
      <c r="E615" s="182">
        <v>0</v>
      </c>
      <c r="F615" s="182">
        <f t="shared" ca="1" si="101"/>
        <v>0</v>
      </c>
      <c r="G615" s="182">
        <f t="shared" ca="1" si="110"/>
        <v>0</v>
      </c>
      <c r="H615" s="182">
        <f t="shared" ca="1" si="111"/>
        <v>41098.071423183872</v>
      </c>
      <c r="I615" s="183">
        <v>0</v>
      </c>
      <c r="J615" s="263">
        <f t="shared" ca="1" si="102"/>
        <v>41098.071423183872</v>
      </c>
      <c r="K615" s="182">
        <f t="shared" ca="1" si="103"/>
        <v>70</v>
      </c>
      <c r="L615" s="182">
        <f t="shared" ca="1" si="104"/>
        <v>14498.07142318387</v>
      </c>
      <c r="M615" s="182">
        <f t="shared" ca="1" si="105"/>
        <v>8400</v>
      </c>
      <c r="N615" s="182">
        <f t="shared" ca="1" si="106"/>
        <v>56568.071423183756</v>
      </c>
      <c r="O615" s="182"/>
    </row>
    <row r="616" spans="1:15" x14ac:dyDescent="0.25">
      <c r="A616" s="180">
        <f t="shared" ca="1" si="107"/>
        <v>46706</v>
      </c>
      <c r="B616" s="181">
        <v>602</v>
      </c>
      <c r="C616" s="182">
        <f t="shared" ca="1" si="108"/>
        <v>41098.071423183872</v>
      </c>
      <c r="D616" s="182">
        <f t="shared" ca="1" si="109"/>
        <v>27.39871428212258</v>
      </c>
      <c r="E616" s="182">
        <v>0</v>
      </c>
      <c r="F616" s="182">
        <f t="shared" ca="1" si="101"/>
        <v>0</v>
      </c>
      <c r="G616" s="182">
        <f t="shared" ca="1" si="110"/>
        <v>0</v>
      </c>
      <c r="H616" s="182">
        <f t="shared" ca="1" si="111"/>
        <v>41125.470137465993</v>
      </c>
      <c r="I616" s="183">
        <v>0</v>
      </c>
      <c r="J616" s="263">
        <f t="shared" ca="1" si="102"/>
        <v>41125.470137465993</v>
      </c>
      <c r="K616" s="182">
        <f t="shared" ca="1" si="103"/>
        <v>70</v>
      </c>
      <c r="L616" s="182">
        <f t="shared" ca="1" si="104"/>
        <v>14525.470137465993</v>
      </c>
      <c r="M616" s="182">
        <f t="shared" ca="1" si="105"/>
        <v>8400</v>
      </c>
      <c r="N616" s="182">
        <f t="shared" ca="1" si="106"/>
        <v>56665.470137465876</v>
      </c>
      <c r="O616" s="182"/>
    </row>
    <row r="617" spans="1:15" x14ac:dyDescent="0.25">
      <c r="A617" s="180">
        <f t="shared" ca="1" si="107"/>
        <v>46707</v>
      </c>
      <c r="B617" s="181">
        <v>603</v>
      </c>
      <c r="C617" s="182">
        <f t="shared" ca="1" si="108"/>
        <v>41125.470137465993</v>
      </c>
      <c r="D617" s="182">
        <f t="shared" ca="1" si="109"/>
        <v>27.416980091643993</v>
      </c>
      <c r="E617" s="182">
        <v>0</v>
      </c>
      <c r="F617" s="182">
        <f t="shared" ca="1" si="101"/>
        <v>0</v>
      </c>
      <c r="G617" s="182">
        <f t="shared" ca="1" si="110"/>
        <v>0</v>
      </c>
      <c r="H617" s="182">
        <f t="shared" ca="1" si="111"/>
        <v>41152.887117557635</v>
      </c>
      <c r="I617" s="183">
        <v>0</v>
      </c>
      <c r="J617" s="263">
        <f t="shared" ca="1" si="102"/>
        <v>41152.887117557635</v>
      </c>
      <c r="K617" s="182">
        <f t="shared" ca="1" si="103"/>
        <v>70</v>
      </c>
      <c r="L617" s="182">
        <f t="shared" ca="1" si="104"/>
        <v>14552.887117557637</v>
      </c>
      <c r="M617" s="182">
        <f t="shared" ca="1" si="105"/>
        <v>8400</v>
      </c>
      <c r="N617" s="182">
        <f t="shared" ca="1" si="106"/>
        <v>56762.887117557519</v>
      </c>
      <c r="O617" s="182"/>
    </row>
    <row r="618" spans="1:15" x14ac:dyDescent="0.25">
      <c r="A618" s="180">
        <f t="shared" ca="1" si="107"/>
        <v>46708</v>
      </c>
      <c r="B618" s="181">
        <v>604</v>
      </c>
      <c r="C618" s="182">
        <f t="shared" ca="1" si="108"/>
        <v>41152.887117557635</v>
      </c>
      <c r="D618" s="182">
        <f t="shared" ca="1" si="109"/>
        <v>27.435258078371756</v>
      </c>
      <c r="E618" s="182">
        <v>0</v>
      </c>
      <c r="F618" s="182">
        <f t="shared" ca="1" si="101"/>
        <v>0</v>
      </c>
      <c r="G618" s="182">
        <f t="shared" ca="1" si="110"/>
        <v>0</v>
      </c>
      <c r="H618" s="182">
        <f t="shared" ca="1" si="111"/>
        <v>41180.322375636009</v>
      </c>
      <c r="I618" s="183">
        <v>0</v>
      </c>
      <c r="J618" s="263">
        <f t="shared" ca="1" si="102"/>
        <v>41180.322375636009</v>
      </c>
      <c r="K618" s="182">
        <f t="shared" ca="1" si="103"/>
        <v>70</v>
      </c>
      <c r="L618" s="182">
        <f t="shared" ca="1" si="104"/>
        <v>14580.322375636009</v>
      </c>
      <c r="M618" s="182">
        <f t="shared" ca="1" si="105"/>
        <v>8400</v>
      </c>
      <c r="N618" s="182">
        <f t="shared" ca="1" si="106"/>
        <v>56860.322375635893</v>
      </c>
      <c r="O618" s="182"/>
    </row>
    <row r="619" spans="1:15" x14ac:dyDescent="0.25">
      <c r="A619" s="180">
        <f t="shared" ca="1" si="107"/>
        <v>46709</v>
      </c>
      <c r="B619" s="181">
        <v>605</v>
      </c>
      <c r="C619" s="182">
        <f t="shared" ca="1" si="108"/>
        <v>41180.322375636009</v>
      </c>
      <c r="D619" s="182">
        <f t="shared" ca="1" si="109"/>
        <v>27.453548250424006</v>
      </c>
      <c r="E619" s="182">
        <v>0</v>
      </c>
      <c r="F619" s="182">
        <f t="shared" ca="1" si="101"/>
        <v>0</v>
      </c>
      <c r="G619" s="182">
        <f t="shared" ca="1" si="110"/>
        <v>0</v>
      </c>
      <c r="H619" s="182">
        <f t="shared" ca="1" si="111"/>
        <v>41207.775923886431</v>
      </c>
      <c r="I619" s="183">
        <v>0</v>
      </c>
      <c r="J619" s="263">
        <f t="shared" ca="1" si="102"/>
        <v>41207.775923886431</v>
      </c>
      <c r="K619" s="182">
        <f t="shared" ca="1" si="103"/>
        <v>70</v>
      </c>
      <c r="L619" s="182">
        <f t="shared" ca="1" si="104"/>
        <v>14607.775923886433</v>
      </c>
      <c r="M619" s="182">
        <f t="shared" ca="1" si="105"/>
        <v>8400</v>
      </c>
      <c r="N619" s="182">
        <f t="shared" ca="1" si="106"/>
        <v>56957.775923886315</v>
      </c>
      <c r="O619" s="182"/>
    </row>
    <row r="620" spans="1:15" x14ac:dyDescent="0.25">
      <c r="A620" s="180">
        <f t="shared" ca="1" si="107"/>
        <v>46710</v>
      </c>
      <c r="B620" s="181">
        <v>606</v>
      </c>
      <c r="C620" s="182">
        <f t="shared" ca="1" si="108"/>
        <v>41207.775923886431</v>
      </c>
      <c r="D620" s="182">
        <f t="shared" ca="1" si="109"/>
        <v>27.471850615924286</v>
      </c>
      <c r="E620" s="182">
        <v>0</v>
      </c>
      <c r="F620" s="182">
        <f t="shared" ref="F620:F683" ca="1" si="112">IFERROR(-VLOOKUP(A620,$P$4:$R$31,2,FALSE),0)</f>
        <v>0</v>
      </c>
      <c r="G620" s="182">
        <f t="shared" ca="1" si="110"/>
        <v>0</v>
      </c>
      <c r="H620" s="182">
        <f t="shared" ca="1" si="111"/>
        <v>41235.247774502357</v>
      </c>
      <c r="I620" s="183">
        <v>0</v>
      </c>
      <c r="J620" s="263">
        <f t="shared" ca="1" si="102"/>
        <v>41235.247774502357</v>
      </c>
      <c r="K620" s="182">
        <f t="shared" ca="1" si="103"/>
        <v>70</v>
      </c>
      <c r="L620" s="182">
        <f t="shared" ca="1" si="104"/>
        <v>14635.247774502357</v>
      </c>
      <c r="M620" s="182">
        <f t="shared" ca="1" si="105"/>
        <v>8400</v>
      </c>
      <c r="N620" s="182">
        <f t="shared" ca="1" si="106"/>
        <v>57055.247774502241</v>
      </c>
      <c r="O620" s="182"/>
    </row>
    <row r="621" spans="1:15" x14ac:dyDescent="0.25">
      <c r="A621" s="180">
        <f t="shared" ca="1" si="107"/>
        <v>46711</v>
      </c>
      <c r="B621" s="181">
        <v>607</v>
      </c>
      <c r="C621" s="182">
        <f t="shared" ca="1" si="108"/>
        <v>41235.247774502357</v>
      </c>
      <c r="D621" s="182">
        <f t="shared" ca="1" si="109"/>
        <v>27.490165183001569</v>
      </c>
      <c r="E621" s="182">
        <v>0</v>
      </c>
      <c r="F621" s="182">
        <f t="shared" ca="1" si="112"/>
        <v>0</v>
      </c>
      <c r="G621" s="182">
        <f t="shared" ca="1" si="110"/>
        <v>0</v>
      </c>
      <c r="H621" s="182">
        <f t="shared" ca="1" si="111"/>
        <v>41262.737939685358</v>
      </c>
      <c r="I621" s="183">
        <v>0</v>
      </c>
      <c r="J621" s="263">
        <f t="shared" ca="1" si="102"/>
        <v>41262.737939685358</v>
      </c>
      <c r="K621" s="182">
        <f t="shared" ca="1" si="103"/>
        <v>70</v>
      </c>
      <c r="L621" s="182">
        <f t="shared" ca="1" si="104"/>
        <v>14662.737939685359</v>
      </c>
      <c r="M621" s="182">
        <f t="shared" ca="1" si="105"/>
        <v>8400</v>
      </c>
      <c r="N621" s="182">
        <f t="shared" ca="1" si="106"/>
        <v>57152.737939685241</v>
      </c>
      <c r="O621" s="182"/>
    </row>
    <row r="622" spans="1:15" x14ac:dyDescent="0.25">
      <c r="A622" s="180">
        <f t="shared" ca="1" si="107"/>
        <v>46712</v>
      </c>
      <c r="B622" s="181">
        <v>608</v>
      </c>
      <c r="C622" s="182">
        <f t="shared" ca="1" si="108"/>
        <v>41262.737939685358</v>
      </c>
      <c r="D622" s="182">
        <f t="shared" ca="1" si="109"/>
        <v>27.508491959790238</v>
      </c>
      <c r="E622" s="182">
        <v>0</v>
      </c>
      <c r="F622" s="182">
        <f t="shared" ca="1" si="112"/>
        <v>0</v>
      </c>
      <c r="G622" s="182">
        <f t="shared" ca="1" si="110"/>
        <v>0</v>
      </c>
      <c r="H622" s="182">
        <f t="shared" ca="1" si="111"/>
        <v>41290.246431645144</v>
      </c>
      <c r="I622" s="183">
        <v>0</v>
      </c>
      <c r="J622" s="263">
        <f t="shared" ca="1" si="102"/>
        <v>41290.246431645144</v>
      </c>
      <c r="K622" s="182">
        <f t="shared" ca="1" si="103"/>
        <v>70</v>
      </c>
      <c r="L622" s="182">
        <f t="shared" ca="1" si="104"/>
        <v>14690.24643164515</v>
      </c>
      <c r="M622" s="182">
        <f t="shared" ca="1" si="105"/>
        <v>8400</v>
      </c>
      <c r="N622" s="182">
        <f t="shared" ca="1" si="106"/>
        <v>57250.246431645028</v>
      </c>
      <c r="O622" s="182"/>
    </row>
    <row r="623" spans="1:15" x14ac:dyDescent="0.25">
      <c r="A623" s="180">
        <f t="shared" ca="1" si="107"/>
        <v>46713</v>
      </c>
      <c r="B623" s="181">
        <v>609</v>
      </c>
      <c r="C623" s="182">
        <f t="shared" ca="1" si="108"/>
        <v>41290.246431645144</v>
      </c>
      <c r="D623" s="182">
        <f t="shared" ca="1" si="109"/>
        <v>27.526830954430096</v>
      </c>
      <c r="E623" s="182">
        <v>0</v>
      </c>
      <c r="F623" s="182">
        <f t="shared" ca="1" si="112"/>
        <v>0</v>
      </c>
      <c r="G623" s="182">
        <f t="shared" ca="1" si="110"/>
        <v>0</v>
      </c>
      <c r="H623" s="182">
        <f t="shared" ca="1" si="111"/>
        <v>41317.773262599578</v>
      </c>
      <c r="I623" s="183">
        <v>0</v>
      </c>
      <c r="J623" s="263">
        <f t="shared" ca="1" si="102"/>
        <v>41317.773262599578</v>
      </c>
      <c r="K623" s="182">
        <f t="shared" ca="1" si="103"/>
        <v>70</v>
      </c>
      <c r="L623" s="182">
        <f t="shared" ca="1" si="104"/>
        <v>14717.77326259958</v>
      </c>
      <c r="M623" s="182">
        <f t="shared" ca="1" si="105"/>
        <v>8400</v>
      </c>
      <c r="N623" s="182">
        <f t="shared" ca="1" si="106"/>
        <v>57347.773262599461</v>
      </c>
      <c r="O623" s="182"/>
    </row>
    <row r="624" spans="1:15" x14ac:dyDescent="0.25">
      <c r="A624" s="180">
        <f t="shared" ca="1" si="107"/>
        <v>46714</v>
      </c>
      <c r="B624" s="181">
        <v>610</v>
      </c>
      <c r="C624" s="182">
        <f t="shared" ca="1" si="108"/>
        <v>41317.773262599578</v>
      </c>
      <c r="D624" s="182">
        <f t="shared" ca="1" si="109"/>
        <v>27.545182175066383</v>
      </c>
      <c r="E624" s="182">
        <v>0</v>
      </c>
      <c r="F624" s="182">
        <f t="shared" ca="1" si="112"/>
        <v>0</v>
      </c>
      <c r="G624" s="182">
        <f t="shared" ca="1" si="110"/>
        <v>0</v>
      </c>
      <c r="H624" s="182">
        <f t="shared" ca="1" si="111"/>
        <v>41345.318444774646</v>
      </c>
      <c r="I624" s="183">
        <v>0</v>
      </c>
      <c r="J624" s="263">
        <f t="shared" ca="1" si="102"/>
        <v>41345.318444774646</v>
      </c>
      <c r="K624" s="182">
        <f t="shared" ca="1" si="103"/>
        <v>70</v>
      </c>
      <c r="L624" s="182">
        <f t="shared" ca="1" si="104"/>
        <v>14745.318444774646</v>
      </c>
      <c r="M624" s="182">
        <f t="shared" ca="1" si="105"/>
        <v>8400</v>
      </c>
      <c r="N624" s="182">
        <f t="shared" ca="1" si="106"/>
        <v>57445.31844477453</v>
      </c>
      <c r="O624" s="182"/>
    </row>
    <row r="625" spans="1:15" x14ac:dyDescent="0.25">
      <c r="A625" s="180">
        <f t="shared" ca="1" si="107"/>
        <v>46715</v>
      </c>
      <c r="B625" s="181">
        <v>611</v>
      </c>
      <c r="C625" s="182">
        <f t="shared" ca="1" si="108"/>
        <v>41345.318444774646</v>
      </c>
      <c r="D625" s="182">
        <f t="shared" ca="1" si="109"/>
        <v>27.563545629849763</v>
      </c>
      <c r="E625" s="182">
        <v>0</v>
      </c>
      <c r="F625" s="182">
        <f t="shared" ca="1" si="112"/>
        <v>0</v>
      </c>
      <c r="G625" s="182">
        <f t="shared" ca="1" si="110"/>
        <v>0</v>
      </c>
      <c r="H625" s="182">
        <f t="shared" ca="1" si="111"/>
        <v>41372.881990404494</v>
      </c>
      <c r="I625" s="183">
        <v>0</v>
      </c>
      <c r="J625" s="263">
        <f t="shared" ca="1" si="102"/>
        <v>41372.881990404494</v>
      </c>
      <c r="K625" s="182">
        <f t="shared" ca="1" si="103"/>
        <v>70</v>
      </c>
      <c r="L625" s="182">
        <f t="shared" ca="1" si="104"/>
        <v>14772.881990404496</v>
      </c>
      <c r="M625" s="182">
        <f t="shared" ca="1" si="105"/>
        <v>8400</v>
      </c>
      <c r="N625" s="182">
        <f t="shared" ca="1" si="106"/>
        <v>57542.881990404378</v>
      </c>
      <c r="O625" s="182"/>
    </row>
    <row r="626" spans="1:15" x14ac:dyDescent="0.25">
      <c r="A626" s="180">
        <f t="shared" ca="1" si="107"/>
        <v>46716</v>
      </c>
      <c r="B626" s="181">
        <v>612</v>
      </c>
      <c r="C626" s="182">
        <f t="shared" ca="1" si="108"/>
        <v>41372.881990404494</v>
      </c>
      <c r="D626" s="182">
        <f t="shared" ca="1" si="109"/>
        <v>27.581921326936328</v>
      </c>
      <c r="E626" s="182">
        <v>0</v>
      </c>
      <c r="F626" s="182">
        <f t="shared" ca="1" si="112"/>
        <v>0</v>
      </c>
      <c r="G626" s="182">
        <f t="shared" ca="1" si="110"/>
        <v>0</v>
      </c>
      <c r="H626" s="182">
        <f t="shared" ca="1" si="111"/>
        <v>41400.463911731429</v>
      </c>
      <c r="I626" s="183">
        <v>0</v>
      </c>
      <c r="J626" s="263">
        <f t="shared" ca="1" si="102"/>
        <v>41400.463911731429</v>
      </c>
      <c r="K626" s="182">
        <f t="shared" ca="1" si="103"/>
        <v>70</v>
      </c>
      <c r="L626" s="182">
        <f t="shared" ca="1" si="104"/>
        <v>14800.463911731433</v>
      </c>
      <c r="M626" s="182">
        <f t="shared" ca="1" si="105"/>
        <v>8400</v>
      </c>
      <c r="N626" s="182">
        <f t="shared" ca="1" si="106"/>
        <v>57640.463911731313</v>
      </c>
      <c r="O626" s="182"/>
    </row>
    <row r="627" spans="1:15" x14ac:dyDescent="0.25">
      <c r="A627" s="180">
        <f t="shared" ca="1" si="107"/>
        <v>46717</v>
      </c>
      <c r="B627" s="181">
        <v>613</v>
      </c>
      <c r="C627" s="182">
        <f t="shared" ca="1" si="108"/>
        <v>41400.463911731429</v>
      </c>
      <c r="D627" s="182">
        <f t="shared" ca="1" si="109"/>
        <v>27.600309274487618</v>
      </c>
      <c r="E627" s="182">
        <v>0</v>
      </c>
      <c r="F627" s="182">
        <f t="shared" ca="1" si="112"/>
        <v>0</v>
      </c>
      <c r="G627" s="182">
        <f t="shared" ca="1" si="110"/>
        <v>0</v>
      </c>
      <c r="H627" s="182">
        <f t="shared" ca="1" si="111"/>
        <v>41428.064221005916</v>
      </c>
      <c r="I627" s="183">
        <v>0</v>
      </c>
      <c r="J627" s="263">
        <f t="shared" ca="1" si="102"/>
        <v>41428.064221005916</v>
      </c>
      <c r="K627" s="182">
        <f t="shared" ca="1" si="103"/>
        <v>70</v>
      </c>
      <c r="L627" s="182">
        <f t="shared" ca="1" si="104"/>
        <v>14828.06422100592</v>
      </c>
      <c r="M627" s="182">
        <f t="shared" ca="1" si="105"/>
        <v>8400</v>
      </c>
      <c r="N627" s="182">
        <f t="shared" ca="1" si="106"/>
        <v>57738.064221005799</v>
      </c>
      <c r="O627" s="182"/>
    </row>
    <row r="628" spans="1:15" x14ac:dyDescent="0.25">
      <c r="A628" s="180">
        <f t="shared" ca="1" si="107"/>
        <v>46718</v>
      </c>
      <c r="B628" s="181">
        <v>614</v>
      </c>
      <c r="C628" s="182">
        <f t="shared" ca="1" si="108"/>
        <v>41428.064221005916</v>
      </c>
      <c r="D628" s="182">
        <f t="shared" ca="1" si="109"/>
        <v>27.61870948067061</v>
      </c>
      <c r="E628" s="182">
        <v>0</v>
      </c>
      <c r="F628" s="182">
        <f t="shared" ca="1" si="112"/>
        <v>0</v>
      </c>
      <c r="G628" s="182">
        <f t="shared" ca="1" si="110"/>
        <v>0</v>
      </c>
      <c r="H628" s="182">
        <f t="shared" ca="1" si="111"/>
        <v>41455.68293048659</v>
      </c>
      <c r="I628" s="183">
        <v>0</v>
      </c>
      <c r="J628" s="263">
        <f t="shared" ca="1" si="102"/>
        <v>41455.68293048659</v>
      </c>
      <c r="K628" s="182">
        <f t="shared" ca="1" si="103"/>
        <v>70</v>
      </c>
      <c r="L628" s="182">
        <f t="shared" ca="1" si="104"/>
        <v>14855.68293048659</v>
      </c>
      <c r="M628" s="182">
        <f t="shared" ca="1" si="105"/>
        <v>8400</v>
      </c>
      <c r="N628" s="182">
        <f t="shared" ca="1" si="106"/>
        <v>57835.682930486473</v>
      </c>
      <c r="O628" s="182"/>
    </row>
    <row r="629" spans="1:15" x14ac:dyDescent="0.25">
      <c r="A629" s="180">
        <f t="shared" ca="1" si="107"/>
        <v>46719</v>
      </c>
      <c r="B629" s="181">
        <v>615</v>
      </c>
      <c r="C629" s="182">
        <f t="shared" ca="1" si="108"/>
        <v>41455.68293048659</v>
      </c>
      <c r="D629" s="182">
        <f t="shared" ca="1" si="109"/>
        <v>27.637121953657726</v>
      </c>
      <c r="E629" s="182">
        <v>0</v>
      </c>
      <c r="F629" s="182">
        <f t="shared" ca="1" si="112"/>
        <v>0</v>
      </c>
      <c r="G629" s="182">
        <f t="shared" ca="1" si="110"/>
        <v>0</v>
      </c>
      <c r="H629" s="182">
        <f t="shared" ca="1" si="111"/>
        <v>41483.320052440249</v>
      </c>
      <c r="I629" s="183">
        <v>0</v>
      </c>
      <c r="J629" s="263">
        <f t="shared" ca="1" si="102"/>
        <v>41483.320052440249</v>
      </c>
      <c r="K629" s="182">
        <f t="shared" ca="1" si="103"/>
        <v>70</v>
      </c>
      <c r="L629" s="182">
        <f t="shared" ca="1" si="104"/>
        <v>14883.320052440247</v>
      </c>
      <c r="M629" s="182">
        <f t="shared" ca="1" si="105"/>
        <v>8400</v>
      </c>
      <c r="N629" s="182">
        <f t="shared" ca="1" si="106"/>
        <v>57933.320052440133</v>
      </c>
      <c r="O629" s="182"/>
    </row>
    <row r="630" spans="1:15" x14ac:dyDescent="0.25">
      <c r="A630" s="180">
        <f t="shared" ca="1" si="107"/>
        <v>46720</v>
      </c>
      <c r="B630" s="181">
        <v>616</v>
      </c>
      <c r="C630" s="182">
        <f t="shared" ca="1" si="108"/>
        <v>41483.320052440249</v>
      </c>
      <c r="D630" s="182">
        <f t="shared" ca="1" si="109"/>
        <v>27.655546701626832</v>
      </c>
      <c r="E630" s="182">
        <v>0</v>
      </c>
      <c r="F630" s="182">
        <f t="shared" ca="1" si="112"/>
        <v>0</v>
      </c>
      <c r="G630" s="182">
        <f t="shared" ca="1" si="110"/>
        <v>0</v>
      </c>
      <c r="H630" s="182">
        <f t="shared" ca="1" si="111"/>
        <v>41510.975599141879</v>
      </c>
      <c r="I630" s="183">
        <v>0</v>
      </c>
      <c r="J630" s="263">
        <f t="shared" ca="1" si="102"/>
        <v>41510.975599141879</v>
      </c>
      <c r="K630" s="182">
        <f t="shared" ca="1" si="103"/>
        <v>70</v>
      </c>
      <c r="L630" s="182">
        <f t="shared" ca="1" si="104"/>
        <v>14910.975599141873</v>
      </c>
      <c r="M630" s="182">
        <f t="shared" ca="1" si="105"/>
        <v>8400</v>
      </c>
      <c r="N630" s="182">
        <f t="shared" ca="1" si="106"/>
        <v>58030.975599141762</v>
      </c>
      <c r="O630" s="182"/>
    </row>
    <row r="631" spans="1:15" x14ac:dyDescent="0.25">
      <c r="A631" s="180">
        <f t="shared" ca="1" si="107"/>
        <v>46721</v>
      </c>
      <c r="B631" s="181">
        <v>617</v>
      </c>
      <c r="C631" s="182">
        <f t="shared" ca="1" si="108"/>
        <v>41510.975599141879</v>
      </c>
      <c r="D631" s="182">
        <f t="shared" ca="1" si="109"/>
        <v>27.673983732761251</v>
      </c>
      <c r="E631" s="182">
        <v>0</v>
      </c>
      <c r="F631" s="182">
        <f t="shared" ca="1" si="112"/>
        <v>0</v>
      </c>
      <c r="G631" s="182">
        <f t="shared" ca="1" si="110"/>
        <v>0</v>
      </c>
      <c r="H631" s="182">
        <f t="shared" ca="1" si="111"/>
        <v>41538.649582874641</v>
      </c>
      <c r="I631" s="183">
        <v>0</v>
      </c>
      <c r="J631" s="263">
        <f t="shared" ca="1" si="102"/>
        <v>41538.649582874641</v>
      </c>
      <c r="K631" s="182">
        <f t="shared" ca="1" si="103"/>
        <v>70</v>
      </c>
      <c r="L631" s="182">
        <f t="shared" ca="1" si="104"/>
        <v>14938.649582874634</v>
      </c>
      <c r="M631" s="182">
        <f t="shared" ca="1" si="105"/>
        <v>8400</v>
      </c>
      <c r="N631" s="182">
        <f t="shared" ca="1" si="106"/>
        <v>58128.649582874525</v>
      </c>
      <c r="O631" s="182"/>
    </row>
    <row r="632" spans="1:15" x14ac:dyDescent="0.25">
      <c r="A632" s="180">
        <f t="shared" ca="1" si="107"/>
        <v>46722</v>
      </c>
      <c r="B632" s="181">
        <v>618</v>
      </c>
      <c r="C632" s="182">
        <f t="shared" ca="1" si="108"/>
        <v>41538.649582874641</v>
      </c>
      <c r="D632" s="182">
        <f t="shared" ca="1" si="109"/>
        <v>27.692433055249762</v>
      </c>
      <c r="E632" s="182">
        <v>0</v>
      </c>
      <c r="F632" s="182">
        <f t="shared" ca="1" si="112"/>
        <v>0</v>
      </c>
      <c r="G632" s="182">
        <f t="shared" ca="1" si="110"/>
        <v>0</v>
      </c>
      <c r="H632" s="182">
        <f t="shared" ca="1" si="111"/>
        <v>41566.342015929891</v>
      </c>
      <c r="I632" s="183">
        <v>0</v>
      </c>
      <c r="J632" s="263">
        <f t="shared" ca="1" si="102"/>
        <v>41566.342015929891</v>
      </c>
      <c r="K632" s="182">
        <f t="shared" ca="1" si="103"/>
        <v>70</v>
      </c>
      <c r="L632" s="182">
        <f t="shared" ca="1" si="104"/>
        <v>14966.342015929884</v>
      </c>
      <c r="M632" s="182">
        <f t="shared" ca="1" si="105"/>
        <v>8400</v>
      </c>
      <c r="N632" s="182">
        <f t="shared" ca="1" si="106"/>
        <v>58226.342015929775</v>
      </c>
      <c r="O632" s="182"/>
    </row>
    <row r="633" spans="1:15" x14ac:dyDescent="0.25">
      <c r="A633" s="180">
        <f t="shared" ca="1" si="107"/>
        <v>46723</v>
      </c>
      <c r="B633" s="181">
        <v>619</v>
      </c>
      <c r="C633" s="182">
        <f t="shared" ca="1" si="108"/>
        <v>41566.342015929891</v>
      </c>
      <c r="D633" s="182">
        <f t="shared" ca="1" si="109"/>
        <v>27.710894677286593</v>
      </c>
      <c r="E633" s="182">
        <v>0</v>
      </c>
      <c r="F633" s="182">
        <f t="shared" ca="1" si="112"/>
        <v>0</v>
      </c>
      <c r="G633" s="182">
        <f t="shared" ca="1" si="110"/>
        <v>0</v>
      </c>
      <c r="H633" s="182">
        <f t="shared" ca="1" si="111"/>
        <v>41594.052910607177</v>
      </c>
      <c r="I633" s="183">
        <v>0</v>
      </c>
      <c r="J633" s="263">
        <f t="shared" ca="1" si="102"/>
        <v>41594.052910607177</v>
      </c>
      <c r="K633" s="182">
        <f t="shared" ca="1" si="103"/>
        <v>70</v>
      </c>
      <c r="L633" s="182">
        <f t="shared" ca="1" si="104"/>
        <v>14994.05291060717</v>
      </c>
      <c r="M633" s="182">
        <f t="shared" ca="1" si="105"/>
        <v>8400</v>
      </c>
      <c r="N633" s="182">
        <f t="shared" ca="1" si="106"/>
        <v>58324.052910607061</v>
      </c>
      <c r="O633" s="182"/>
    </row>
    <row r="634" spans="1:15" x14ac:dyDescent="0.25">
      <c r="A634" s="180">
        <f t="shared" ca="1" si="107"/>
        <v>46724</v>
      </c>
      <c r="B634" s="181">
        <v>620</v>
      </c>
      <c r="C634" s="182">
        <f t="shared" ca="1" si="108"/>
        <v>41594.052910607177</v>
      </c>
      <c r="D634" s="182">
        <f t="shared" ca="1" si="109"/>
        <v>27.72936860707145</v>
      </c>
      <c r="E634" s="182">
        <v>0</v>
      </c>
      <c r="F634" s="182">
        <f t="shared" ca="1" si="112"/>
        <v>0</v>
      </c>
      <c r="G634" s="182">
        <f t="shared" ca="1" si="110"/>
        <v>0</v>
      </c>
      <c r="H634" s="182">
        <f t="shared" ca="1" si="111"/>
        <v>41621.782279214247</v>
      </c>
      <c r="I634" s="183">
        <v>0</v>
      </c>
      <c r="J634" s="263">
        <f t="shared" ca="1" si="102"/>
        <v>41621.782279214247</v>
      </c>
      <c r="K634" s="182">
        <f t="shared" ca="1" si="103"/>
        <v>70</v>
      </c>
      <c r="L634" s="182">
        <f t="shared" ca="1" si="104"/>
        <v>15021.782279214241</v>
      </c>
      <c r="M634" s="182">
        <f t="shared" ca="1" si="105"/>
        <v>8400</v>
      </c>
      <c r="N634" s="182">
        <f t="shared" ca="1" si="106"/>
        <v>58421.782279214131</v>
      </c>
      <c r="O634" s="182"/>
    </row>
    <row r="635" spans="1:15" x14ac:dyDescent="0.25">
      <c r="A635" s="180">
        <f t="shared" ca="1" si="107"/>
        <v>46725</v>
      </c>
      <c r="B635" s="181">
        <v>621</v>
      </c>
      <c r="C635" s="182">
        <f t="shared" ca="1" si="108"/>
        <v>41621.782279214247</v>
      </c>
      <c r="D635" s="182">
        <f t="shared" ca="1" si="109"/>
        <v>27.747854852809496</v>
      </c>
      <c r="E635" s="182">
        <v>0</v>
      </c>
      <c r="F635" s="182">
        <f t="shared" ca="1" si="112"/>
        <v>0</v>
      </c>
      <c r="G635" s="182">
        <f t="shared" ca="1" si="110"/>
        <v>0</v>
      </c>
      <c r="H635" s="182">
        <f t="shared" ca="1" si="111"/>
        <v>41649.530134067056</v>
      </c>
      <c r="I635" s="183">
        <v>0</v>
      </c>
      <c r="J635" s="263">
        <f t="shared" ca="1" si="102"/>
        <v>41649.530134067056</v>
      </c>
      <c r="K635" s="182">
        <f t="shared" ca="1" si="103"/>
        <v>70</v>
      </c>
      <c r="L635" s="182">
        <f t="shared" ca="1" si="104"/>
        <v>15049.53013406705</v>
      </c>
      <c r="M635" s="182">
        <f t="shared" ca="1" si="105"/>
        <v>8400</v>
      </c>
      <c r="N635" s="182">
        <f t="shared" ca="1" si="106"/>
        <v>58519.530134066939</v>
      </c>
      <c r="O635" s="182"/>
    </row>
    <row r="636" spans="1:15" x14ac:dyDescent="0.25">
      <c r="A636" s="180">
        <f t="shared" ca="1" si="107"/>
        <v>46726</v>
      </c>
      <c r="B636" s="181">
        <v>622</v>
      </c>
      <c r="C636" s="182">
        <f t="shared" ca="1" si="108"/>
        <v>41649.530134067056</v>
      </c>
      <c r="D636" s="182">
        <f t="shared" ca="1" si="109"/>
        <v>27.766353422711369</v>
      </c>
      <c r="E636" s="182">
        <v>0</v>
      </c>
      <c r="F636" s="182">
        <f t="shared" ca="1" si="112"/>
        <v>0</v>
      </c>
      <c r="G636" s="182">
        <f t="shared" ca="1" si="110"/>
        <v>0</v>
      </c>
      <c r="H636" s="182">
        <f t="shared" ca="1" si="111"/>
        <v>41677.296487489766</v>
      </c>
      <c r="I636" s="183">
        <v>0</v>
      </c>
      <c r="J636" s="263">
        <f t="shared" ca="1" si="102"/>
        <v>41677.296487489766</v>
      </c>
      <c r="K636" s="182">
        <f t="shared" ca="1" si="103"/>
        <v>70</v>
      </c>
      <c r="L636" s="182">
        <f t="shared" ca="1" si="104"/>
        <v>15077.296487489763</v>
      </c>
      <c r="M636" s="182">
        <f t="shared" ca="1" si="105"/>
        <v>8400</v>
      </c>
      <c r="N636" s="182">
        <f t="shared" ca="1" si="106"/>
        <v>58617.29648748965</v>
      </c>
      <c r="O636" s="182"/>
    </row>
    <row r="637" spans="1:15" x14ac:dyDescent="0.25">
      <c r="A637" s="180">
        <f t="shared" ca="1" si="107"/>
        <v>46727</v>
      </c>
      <c r="B637" s="181">
        <v>623</v>
      </c>
      <c r="C637" s="182">
        <f t="shared" ca="1" si="108"/>
        <v>41677.296487489766</v>
      </c>
      <c r="D637" s="182">
        <f t="shared" ca="1" si="109"/>
        <v>27.784864324993176</v>
      </c>
      <c r="E637" s="182">
        <v>0</v>
      </c>
      <c r="F637" s="182">
        <f t="shared" ca="1" si="112"/>
        <v>0</v>
      </c>
      <c r="G637" s="182">
        <f t="shared" ca="1" si="110"/>
        <v>0</v>
      </c>
      <c r="H637" s="182">
        <f t="shared" ca="1" si="111"/>
        <v>41705.081351814762</v>
      </c>
      <c r="I637" s="183">
        <v>0</v>
      </c>
      <c r="J637" s="263">
        <f t="shared" ca="1" si="102"/>
        <v>41705.081351814762</v>
      </c>
      <c r="K637" s="182">
        <f t="shared" ca="1" si="103"/>
        <v>70</v>
      </c>
      <c r="L637" s="182">
        <f t="shared" ca="1" si="104"/>
        <v>15105.081351814755</v>
      </c>
      <c r="M637" s="182">
        <f t="shared" ca="1" si="105"/>
        <v>8400</v>
      </c>
      <c r="N637" s="182">
        <f t="shared" ca="1" si="106"/>
        <v>58715.081351814646</v>
      </c>
      <c r="O637" s="182"/>
    </row>
    <row r="638" spans="1:15" x14ac:dyDescent="0.25">
      <c r="A638" s="180">
        <f t="shared" ca="1" si="107"/>
        <v>46728</v>
      </c>
      <c r="B638" s="181">
        <v>624</v>
      </c>
      <c r="C638" s="182">
        <f t="shared" ca="1" si="108"/>
        <v>41705.081351814762</v>
      </c>
      <c r="D638" s="182">
        <f t="shared" ca="1" si="109"/>
        <v>27.803387567876506</v>
      </c>
      <c r="E638" s="182">
        <v>0</v>
      </c>
      <c r="F638" s="182">
        <f t="shared" ca="1" si="112"/>
        <v>0</v>
      </c>
      <c r="G638" s="182">
        <f t="shared" ca="1" si="110"/>
        <v>0</v>
      </c>
      <c r="H638" s="182">
        <f t="shared" ca="1" si="111"/>
        <v>41732.884739382636</v>
      </c>
      <c r="I638" s="183">
        <v>0</v>
      </c>
      <c r="J638" s="263">
        <f t="shared" ca="1" si="102"/>
        <v>41732.884739382636</v>
      </c>
      <c r="K638" s="182">
        <f t="shared" ca="1" si="103"/>
        <v>70</v>
      </c>
      <c r="L638" s="182">
        <f t="shared" ca="1" si="104"/>
        <v>15132.884739382631</v>
      </c>
      <c r="M638" s="182">
        <f t="shared" ca="1" si="105"/>
        <v>8400</v>
      </c>
      <c r="N638" s="182">
        <f t="shared" ca="1" si="106"/>
        <v>58812.88473938252</v>
      </c>
      <c r="O638" s="182"/>
    </row>
    <row r="639" spans="1:15" x14ac:dyDescent="0.25">
      <c r="A639" s="180">
        <f t="shared" ca="1" si="107"/>
        <v>46729</v>
      </c>
      <c r="B639" s="181">
        <v>625</v>
      </c>
      <c r="C639" s="182">
        <f t="shared" ca="1" si="108"/>
        <v>41732.884739382636</v>
      </c>
      <c r="D639" s="182">
        <f t="shared" ca="1" si="109"/>
        <v>27.821923159588422</v>
      </c>
      <c r="E639" s="182">
        <v>0</v>
      </c>
      <c r="F639" s="182">
        <f t="shared" ca="1" si="112"/>
        <v>0</v>
      </c>
      <c r="G639" s="182">
        <f t="shared" ca="1" si="110"/>
        <v>0</v>
      </c>
      <c r="H639" s="182">
        <f t="shared" ca="1" si="111"/>
        <v>41760.706662542223</v>
      </c>
      <c r="I639" s="183">
        <v>0</v>
      </c>
      <c r="J639" s="263">
        <f t="shared" ca="1" si="102"/>
        <v>41760.706662542223</v>
      </c>
      <c r="K639" s="182">
        <f t="shared" ca="1" si="103"/>
        <v>70</v>
      </c>
      <c r="L639" s="182">
        <f t="shared" ca="1" si="104"/>
        <v>15160.706662542219</v>
      </c>
      <c r="M639" s="182">
        <f t="shared" ca="1" si="105"/>
        <v>8400</v>
      </c>
      <c r="N639" s="182">
        <f t="shared" ca="1" si="106"/>
        <v>58910.706662542107</v>
      </c>
      <c r="O639" s="182"/>
    </row>
    <row r="640" spans="1:15" x14ac:dyDescent="0.25">
      <c r="A640" s="180">
        <f t="shared" ca="1" si="107"/>
        <v>46730</v>
      </c>
      <c r="B640" s="181">
        <v>626</v>
      </c>
      <c r="C640" s="182">
        <f t="shared" ca="1" si="108"/>
        <v>41760.706662542223</v>
      </c>
      <c r="D640" s="182">
        <f t="shared" ca="1" si="109"/>
        <v>27.840471108361481</v>
      </c>
      <c r="E640" s="182">
        <v>0</v>
      </c>
      <c r="F640" s="182">
        <f t="shared" ca="1" si="112"/>
        <v>0</v>
      </c>
      <c r="G640" s="182">
        <f t="shared" ca="1" si="110"/>
        <v>0</v>
      </c>
      <c r="H640" s="182">
        <f t="shared" ca="1" si="111"/>
        <v>41788.547133650587</v>
      </c>
      <c r="I640" s="183">
        <v>0</v>
      </c>
      <c r="J640" s="263">
        <f t="shared" ca="1" si="102"/>
        <v>41788.547133650587</v>
      </c>
      <c r="K640" s="182">
        <f t="shared" ca="1" si="103"/>
        <v>70</v>
      </c>
      <c r="L640" s="182">
        <f t="shared" ca="1" si="104"/>
        <v>15188.547133650582</v>
      </c>
      <c r="M640" s="182">
        <f t="shared" ca="1" si="105"/>
        <v>8400</v>
      </c>
      <c r="N640" s="182">
        <f t="shared" ca="1" si="106"/>
        <v>59008.547133650471</v>
      </c>
      <c r="O640" s="182"/>
    </row>
    <row r="641" spans="1:15" x14ac:dyDescent="0.25">
      <c r="A641" s="180">
        <f t="shared" ca="1" si="107"/>
        <v>46731</v>
      </c>
      <c r="B641" s="181">
        <v>627</v>
      </c>
      <c r="C641" s="182">
        <f t="shared" ca="1" si="108"/>
        <v>41788.547133650587</v>
      </c>
      <c r="D641" s="182">
        <f t="shared" ca="1" si="109"/>
        <v>27.859031422433723</v>
      </c>
      <c r="E641" s="182">
        <v>0</v>
      </c>
      <c r="F641" s="182">
        <f t="shared" ca="1" si="112"/>
        <v>0</v>
      </c>
      <c r="G641" s="182">
        <f t="shared" ca="1" si="110"/>
        <v>0</v>
      </c>
      <c r="H641" s="182">
        <f t="shared" ca="1" si="111"/>
        <v>41816.406165073022</v>
      </c>
      <c r="I641" s="183">
        <v>0</v>
      </c>
      <c r="J641" s="263">
        <f t="shared" ca="1" si="102"/>
        <v>41816.406165073022</v>
      </c>
      <c r="K641" s="182">
        <f t="shared" ca="1" si="103"/>
        <v>70</v>
      </c>
      <c r="L641" s="182">
        <f t="shared" ca="1" si="104"/>
        <v>15216.406165073015</v>
      </c>
      <c r="M641" s="182">
        <f t="shared" ca="1" si="105"/>
        <v>8400</v>
      </c>
      <c r="N641" s="182">
        <f t="shared" ca="1" si="106"/>
        <v>59106.406165072905</v>
      </c>
      <c r="O641" s="182"/>
    </row>
    <row r="642" spans="1:15" x14ac:dyDescent="0.25">
      <c r="A642" s="180">
        <f t="shared" ca="1" si="107"/>
        <v>46732</v>
      </c>
      <c r="B642" s="181">
        <v>628</v>
      </c>
      <c r="C642" s="182">
        <f t="shared" ca="1" si="108"/>
        <v>41816.406165073022</v>
      </c>
      <c r="D642" s="182">
        <f t="shared" ca="1" si="109"/>
        <v>27.877604110048679</v>
      </c>
      <c r="E642" s="182">
        <v>0</v>
      </c>
      <c r="F642" s="182">
        <f t="shared" ca="1" si="112"/>
        <v>0</v>
      </c>
      <c r="G642" s="182">
        <f t="shared" ca="1" si="110"/>
        <v>0</v>
      </c>
      <c r="H642" s="182">
        <f t="shared" ca="1" si="111"/>
        <v>41844.283769183072</v>
      </c>
      <c r="I642" s="183">
        <v>0</v>
      </c>
      <c r="J642" s="263">
        <f t="shared" ca="1" si="102"/>
        <v>41844.283769183072</v>
      </c>
      <c r="K642" s="182">
        <f t="shared" ca="1" si="103"/>
        <v>70</v>
      </c>
      <c r="L642" s="182">
        <f t="shared" ca="1" si="104"/>
        <v>15244.283769183063</v>
      </c>
      <c r="M642" s="182">
        <f t="shared" ca="1" si="105"/>
        <v>8400</v>
      </c>
      <c r="N642" s="182">
        <f t="shared" ca="1" si="106"/>
        <v>59204.283769182955</v>
      </c>
      <c r="O642" s="182"/>
    </row>
    <row r="643" spans="1:15" x14ac:dyDescent="0.25">
      <c r="A643" s="180">
        <f t="shared" ca="1" si="107"/>
        <v>46733</v>
      </c>
      <c r="B643" s="181">
        <v>629</v>
      </c>
      <c r="C643" s="182">
        <f t="shared" ca="1" si="108"/>
        <v>41844.283769183072</v>
      </c>
      <c r="D643" s="182">
        <f t="shared" ca="1" si="109"/>
        <v>27.89618917945538</v>
      </c>
      <c r="E643" s="182">
        <v>0</v>
      </c>
      <c r="F643" s="182">
        <f t="shared" ca="1" si="112"/>
        <v>0</v>
      </c>
      <c r="G643" s="182">
        <f t="shared" ca="1" si="110"/>
        <v>0</v>
      </c>
      <c r="H643" s="182">
        <f t="shared" ca="1" si="111"/>
        <v>41872.179958362525</v>
      </c>
      <c r="I643" s="183">
        <v>0</v>
      </c>
      <c r="J643" s="263">
        <f t="shared" ca="1" si="102"/>
        <v>41872.179958362525</v>
      </c>
      <c r="K643" s="182">
        <f t="shared" ca="1" si="103"/>
        <v>70</v>
      </c>
      <c r="L643" s="182">
        <f t="shared" ca="1" si="104"/>
        <v>15272.179958362518</v>
      </c>
      <c r="M643" s="182">
        <f t="shared" ca="1" si="105"/>
        <v>8400</v>
      </c>
      <c r="N643" s="182">
        <f t="shared" ca="1" si="106"/>
        <v>59302.179958362409</v>
      </c>
      <c r="O643" s="182"/>
    </row>
    <row r="644" spans="1:15" x14ac:dyDescent="0.25">
      <c r="A644" s="180">
        <f t="shared" ca="1" si="107"/>
        <v>46734</v>
      </c>
      <c r="B644" s="181">
        <v>630</v>
      </c>
      <c r="C644" s="182">
        <f t="shared" ca="1" si="108"/>
        <v>41872.179958362525</v>
      </c>
      <c r="D644" s="182">
        <f t="shared" ca="1" si="109"/>
        <v>27.91478663890835</v>
      </c>
      <c r="E644" s="182">
        <v>0</v>
      </c>
      <c r="F644" s="182">
        <f t="shared" ca="1" si="112"/>
        <v>0</v>
      </c>
      <c r="G644" s="182">
        <f t="shared" ca="1" si="110"/>
        <v>0</v>
      </c>
      <c r="H644" s="182">
        <f t="shared" ca="1" si="111"/>
        <v>41900.094745001436</v>
      </c>
      <c r="I644" s="183">
        <v>0</v>
      </c>
      <c r="J644" s="263">
        <f t="shared" ca="1" si="102"/>
        <v>41900.094745001436</v>
      </c>
      <c r="K644" s="182">
        <f t="shared" ca="1" si="103"/>
        <v>70</v>
      </c>
      <c r="L644" s="182">
        <f t="shared" ca="1" si="104"/>
        <v>15300.094745001426</v>
      </c>
      <c r="M644" s="182">
        <f t="shared" ca="1" si="105"/>
        <v>8400</v>
      </c>
      <c r="N644" s="182">
        <f t="shared" ca="1" si="106"/>
        <v>59400.094745001319</v>
      </c>
      <c r="O644" s="182"/>
    </row>
    <row r="645" spans="1:15" x14ac:dyDescent="0.25">
      <c r="A645" s="180">
        <f t="shared" ca="1" si="107"/>
        <v>46735</v>
      </c>
      <c r="B645" s="181">
        <v>631</v>
      </c>
      <c r="C645" s="182">
        <f t="shared" ca="1" si="108"/>
        <v>41900.094745001436</v>
      </c>
      <c r="D645" s="182">
        <f t="shared" ca="1" si="109"/>
        <v>27.933396496667623</v>
      </c>
      <c r="E645" s="182">
        <v>0</v>
      </c>
      <c r="F645" s="182">
        <f t="shared" ca="1" si="112"/>
        <v>0</v>
      </c>
      <c r="G645" s="182">
        <f t="shared" ca="1" si="110"/>
        <v>0</v>
      </c>
      <c r="H645" s="182">
        <f t="shared" ca="1" si="111"/>
        <v>41928.0281414981</v>
      </c>
      <c r="I645" s="183">
        <v>0</v>
      </c>
      <c r="J645" s="263">
        <f t="shared" ca="1" si="102"/>
        <v>41928.0281414981</v>
      </c>
      <c r="K645" s="182">
        <f t="shared" ca="1" si="103"/>
        <v>70</v>
      </c>
      <c r="L645" s="182">
        <f t="shared" ca="1" si="104"/>
        <v>15328.028141498095</v>
      </c>
      <c r="M645" s="182">
        <f t="shared" ca="1" si="105"/>
        <v>8400</v>
      </c>
      <c r="N645" s="182">
        <f t="shared" ca="1" si="106"/>
        <v>59498.028141497984</v>
      </c>
      <c r="O645" s="182"/>
    </row>
    <row r="646" spans="1:15" x14ac:dyDescent="0.25">
      <c r="A646" s="180">
        <f t="shared" ca="1" si="107"/>
        <v>46736</v>
      </c>
      <c r="B646" s="181">
        <v>632</v>
      </c>
      <c r="C646" s="182">
        <f t="shared" ca="1" si="108"/>
        <v>41928.0281414981</v>
      </c>
      <c r="D646" s="182">
        <f t="shared" ca="1" si="109"/>
        <v>27.952018760998733</v>
      </c>
      <c r="E646" s="182">
        <v>0</v>
      </c>
      <c r="F646" s="182">
        <f t="shared" ca="1" si="112"/>
        <v>0</v>
      </c>
      <c r="G646" s="182">
        <f t="shared" ca="1" si="110"/>
        <v>0</v>
      </c>
      <c r="H646" s="182">
        <f t="shared" ca="1" si="111"/>
        <v>41955.980160259096</v>
      </c>
      <c r="I646" s="183">
        <v>0</v>
      </c>
      <c r="J646" s="263">
        <f t="shared" ca="1" si="102"/>
        <v>41955.980160259096</v>
      </c>
      <c r="K646" s="182">
        <f t="shared" ca="1" si="103"/>
        <v>70</v>
      </c>
      <c r="L646" s="182">
        <f t="shared" ca="1" si="104"/>
        <v>15355.980160259094</v>
      </c>
      <c r="M646" s="182">
        <f t="shared" ca="1" si="105"/>
        <v>8400</v>
      </c>
      <c r="N646" s="182">
        <f t="shared" ca="1" si="106"/>
        <v>59595.98016025898</v>
      </c>
      <c r="O646" s="182"/>
    </row>
    <row r="647" spans="1:15" x14ac:dyDescent="0.25">
      <c r="A647" s="180">
        <f t="shared" ca="1" si="107"/>
        <v>46737</v>
      </c>
      <c r="B647" s="181">
        <v>633</v>
      </c>
      <c r="C647" s="182">
        <f t="shared" ca="1" si="108"/>
        <v>41955.980160259096</v>
      </c>
      <c r="D647" s="182">
        <f t="shared" ca="1" si="109"/>
        <v>27.970653440172729</v>
      </c>
      <c r="E647" s="182">
        <v>0</v>
      </c>
      <c r="F647" s="182">
        <f t="shared" ca="1" si="112"/>
        <v>0</v>
      </c>
      <c r="G647" s="182">
        <f t="shared" ca="1" si="110"/>
        <v>0</v>
      </c>
      <c r="H647" s="182">
        <f t="shared" ca="1" si="111"/>
        <v>41983.950813699266</v>
      </c>
      <c r="I647" s="183">
        <v>0</v>
      </c>
      <c r="J647" s="263">
        <f t="shared" ca="1" si="102"/>
        <v>41983.950813699266</v>
      </c>
      <c r="K647" s="182">
        <f t="shared" ca="1" si="103"/>
        <v>70</v>
      </c>
      <c r="L647" s="182">
        <f t="shared" ca="1" si="104"/>
        <v>15383.950813699266</v>
      </c>
      <c r="M647" s="182">
        <f t="shared" ca="1" si="105"/>
        <v>8400</v>
      </c>
      <c r="N647" s="182">
        <f t="shared" ca="1" si="106"/>
        <v>59693.95081369915</v>
      </c>
      <c r="O647" s="182"/>
    </row>
    <row r="648" spans="1:15" x14ac:dyDescent="0.25">
      <c r="A648" s="180">
        <f t="shared" ca="1" si="107"/>
        <v>46738</v>
      </c>
      <c r="B648" s="181">
        <v>634</v>
      </c>
      <c r="C648" s="182">
        <f t="shared" ca="1" si="108"/>
        <v>41983.950813699266</v>
      </c>
      <c r="D648" s="182">
        <f t="shared" ca="1" si="109"/>
        <v>27.989300542466175</v>
      </c>
      <c r="E648" s="182">
        <v>0</v>
      </c>
      <c r="F648" s="182">
        <f t="shared" ca="1" si="112"/>
        <v>0</v>
      </c>
      <c r="G648" s="182">
        <f t="shared" ca="1" si="110"/>
        <v>0</v>
      </c>
      <c r="H648" s="182">
        <f t="shared" ca="1" si="111"/>
        <v>42011.940114241734</v>
      </c>
      <c r="I648" s="183">
        <v>0</v>
      </c>
      <c r="J648" s="263">
        <f t="shared" ca="1" si="102"/>
        <v>42011.940114241734</v>
      </c>
      <c r="K648" s="182">
        <f t="shared" ca="1" si="103"/>
        <v>70</v>
      </c>
      <c r="L648" s="182">
        <f t="shared" ca="1" si="104"/>
        <v>15411.940114241732</v>
      </c>
      <c r="M648" s="182">
        <f t="shared" ca="1" si="105"/>
        <v>8400</v>
      </c>
      <c r="N648" s="182">
        <f t="shared" ca="1" si="106"/>
        <v>59791.940114241617</v>
      </c>
      <c r="O648" s="182"/>
    </row>
    <row r="649" spans="1:15" x14ac:dyDescent="0.25">
      <c r="A649" s="180">
        <f t="shared" ca="1" si="107"/>
        <v>46739</v>
      </c>
      <c r="B649" s="181">
        <v>635</v>
      </c>
      <c r="C649" s="182">
        <f t="shared" ca="1" si="108"/>
        <v>42011.940114241734</v>
      </c>
      <c r="D649" s="182">
        <f t="shared" ca="1" si="109"/>
        <v>28.007960076161154</v>
      </c>
      <c r="E649" s="182">
        <v>0</v>
      </c>
      <c r="F649" s="182">
        <f t="shared" ca="1" si="112"/>
        <v>0</v>
      </c>
      <c r="G649" s="182">
        <f t="shared" ca="1" si="110"/>
        <v>0</v>
      </c>
      <c r="H649" s="182">
        <f t="shared" ca="1" si="111"/>
        <v>42039.948074317894</v>
      </c>
      <c r="I649" s="183">
        <v>0</v>
      </c>
      <c r="J649" s="263">
        <f t="shared" ca="1" si="102"/>
        <v>42039.948074317894</v>
      </c>
      <c r="K649" s="182">
        <f t="shared" ca="1" si="103"/>
        <v>70</v>
      </c>
      <c r="L649" s="182">
        <f t="shared" ca="1" si="104"/>
        <v>15439.948074317894</v>
      </c>
      <c r="M649" s="182">
        <f t="shared" ca="1" si="105"/>
        <v>8400</v>
      </c>
      <c r="N649" s="182">
        <f t="shared" ca="1" si="106"/>
        <v>59889.948074317777</v>
      </c>
      <c r="O649" s="182"/>
    </row>
    <row r="650" spans="1:15" x14ac:dyDescent="0.25">
      <c r="A650" s="180">
        <f t="shared" ca="1" si="107"/>
        <v>46740</v>
      </c>
      <c r="B650" s="181">
        <v>636</v>
      </c>
      <c r="C650" s="182">
        <f t="shared" ca="1" si="108"/>
        <v>42039.948074317894</v>
      </c>
      <c r="D650" s="182">
        <f t="shared" ca="1" si="109"/>
        <v>28.026632049545263</v>
      </c>
      <c r="E650" s="182">
        <v>0</v>
      </c>
      <c r="F650" s="182">
        <f t="shared" ca="1" si="112"/>
        <v>0</v>
      </c>
      <c r="G650" s="182">
        <f t="shared" ca="1" si="110"/>
        <v>0</v>
      </c>
      <c r="H650" s="182">
        <f t="shared" ca="1" si="111"/>
        <v>42067.974706367437</v>
      </c>
      <c r="I650" s="183">
        <v>0</v>
      </c>
      <c r="J650" s="263">
        <f t="shared" ca="1" si="102"/>
        <v>42067.974706367437</v>
      </c>
      <c r="K650" s="182">
        <f t="shared" ca="1" si="103"/>
        <v>70</v>
      </c>
      <c r="L650" s="182">
        <f t="shared" ca="1" si="104"/>
        <v>15467.974706367439</v>
      </c>
      <c r="M650" s="182">
        <f t="shared" ca="1" si="105"/>
        <v>8400</v>
      </c>
      <c r="N650" s="182">
        <f t="shared" ca="1" si="106"/>
        <v>59987.97470636732</v>
      </c>
      <c r="O650" s="182"/>
    </row>
    <row r="651" spans="1:15" x14ac:dyDescent="0.25">
      <c r="A651" s="180">
        <f t="shared" ca="1" si="107"/>
        <v>46741</v>
      </c>
      <c r="B651" s="181">
        <v>637</v>
      </c>
      <c r="C651" s="182">
        <f t="shared" ca="1" si="108"/>
        <v>42067.974706367437</v>
      </c>
      <c r="D651" s="182">
        <f t="shared" ca="1" si="109"/>
        <v>28.045316470911622</v>
      </c>
      <c r="E651" s="182">
        <v>0</v>
      </c>
      <c r="F651" s="182">
        <f t="shared" ca="1" si="112"/>
        <v>0</v>
      </c>
      <c r="G651" s="182">
        <f t="shared" ca="1" si="110"/>
        <v>0</v>
      </c>
      <c r="H651" s="182">
        <f t="shared" ca="1" si="111"/>
        <v>42096.020022838347</v>
      </c>
      <c r="I651" s="183">
        <v>0</v>
      </c>
      <c r="J651" s="263">
        <f t="shared" ca="1" si="102"/>
        <v>42096.020022838347</v>
      </c>
      <c r="K651" s="182">
        <f t="shared" ca="1" si="103"/>
        <v>70</v>
      </c>
      <c r="L651" s="182">
        <f t="shared" ca="1" si="104"/>
        <v>15496.020022838351</v>
      </c>
      <c r="M651" s="182">
        <f t="shared" ca="1" si="105"/>
        <v>8400</v>
      </c>
      <c r="N651" s="182">
        <f t="shared" ca="1" si="106"/>
        <v>60086.020022838231</v>
      </c>
      <c r="O651" s="182"/>
    </row>
    <row r="652" spans="1:15" x14ac:dyDescent="0.25">
      <c r="A652" s="180">
        <f t="shared" ca="1" si="107"/>
        <v>46742</v>
      </c>
      <c r="B652" s="181">
        <v>638</v>
      </c>
      <c r="C652" s="182">
        <f t="shared" ca="1" si="108"/>
        <v>42096.020022838347</v>
      </c>
      <c r="D652" s="182">
        <f t="shared" ca="1" si="109"/>
        <v>28.064013348558898</v>
      </c>
      <c r="E652" s="182">
        <v>0</v>
      </c>
      <c r="F652" s="182">
        <f t="shared" ca="1" si="112"/>
        <v>0</v>
      </c>
      <c r="G652" s="182">
        <f t="shared" ca="1" si="110"/>
        <v>0</v>
      </c>
      <c r="H652" s="182">
        <f t="shared" ca="1" si="111"/>
        <v>42124.084036186905</v>
      </c>
      <c r="I652" s="183">
        <v>0</v>
      </c>
      <c r="J652" s="263">
        <f t="shared" ca="1" si="102"/>
        <v>42124.084036186905</v>
      </c>
      <c r="K652" s="182">
        <f t="shared" ca="1" si="103"/>
        <v>70</v>
      </c>
      <c r="L652" s="182">
        <f t="shared" ca="1" si="104"/>
        <v>15524.08403618691</v>
      </c>
      <c r="M652" s="182">
        <f t="shared" ca="1" si="105"/>
        <v>8400</v>
      </c>
      <c r="N652" s="182">
        <f t="shared" ca="1" si="106"/>
        <v>60184.084036186789</v>
      </c>
      <c r="O652" s="182"/>
    </row>
    <row r="653" spans="1:15" x14ac:dyDescent="0.25">
      <c r="A653" s="180">
        <f t="shared" ca="1" si="107"/>
        <v>46743</v>
      </c>
      <c r="B653" s="181">
        <v>639</v>
      </c>
      <c r="C653" s="182">
        <f t="shared" ca="1" si="108"/>
        <v>42124.084036186905</v>
      </c>
      <c r="D653" s="182">
        <f t="shared" ca="1" si="109"/>
        <v>28.082722690791268</v>
      </c>
      <c r="E653" s="182">
        <v>0</v>
      </c>
      <c r="F653" s="182">
        <f t="shared" ca="1" si="112"/>
        <v>0</v>
      </c>
      <c r="G653" s="182">
        <f t="shared" ca="1" si="110"/>
        <v>0</v>
      </c>
      <c r="H653" s="182">
        <f t="shared" ca="1" si="111"/>
        <v>42152.166758877698</v>
      </c>
      <c r="I653" s="183">
        <v>0</v>
      </c>
      <c r="J653" s="263">
        <f t="shared" ca="1" si="102"/>
        <v>42152.166758877698</v>
      </c>
      <c r="K653" s="182">
        <f t="shared" ca="1" si="103"/>
        <v>70</v>
      </c>
      <c r="L653" s="182">
        <f t="shared" ca="1" si="104"/>
        <v>15552.166758877702</v>
      </c>
      <c r="M653" s="182">
        <f t="shared" ca="1" si="105"/>
        <v>8400</v>
      </c>
      <c r="N653" s="182">
        <f t="shared" ca="1" si="106"/>
        <v>60282.166758877582</v>
      </c>
      <c r="O653" s="182"/>
    </row>
    <row r="654" spans="1:15" x14ac:dyDescent="0.25">
      <c r="A654" s="180">
        <f t="shared" ca="1" si="107"/>
        <v>46744</v>
      </c>
      <c r="B654" s="181">
        <v>640</v>
      </c>
      <c r="C654" s="182">
        <f t="shared" ca="1" si="108"/>
        <v>42152.166758877698</v>
      </c>
      <c r="D654" s="182">
        <f t="shared" ca="1" si="109"/>
        <v>28.101444505918465</v>
      </c>
      <c r="E654" s="182">
        <v>0</v>
      </c>
      <c r="F654" s="182">
        <f t="shared" ca="1" si="112"/>
        <v>0</v>
      </c>
      <c r="G654" s="182">
        <f t="shared" ca="1" si="110"/>
        <v>0</v>
      </c>
      <c r="H654" s="182">
        <f t="shared" ca="1" si="111"/>
        <v>42180.268203383617</v>
      </c>
      <c r="I654" s="183">
        <v>0</v>
      </c>
      <c r="J654" s="263">
        <f t="shared" ca="1" si="102"/>
        <v>42180.268203383617</v>
      </c>
      <c r="K654" s="182">
        <f t="shared" ca="1" si="103"/>
        <v>70</v>
      </c>
      <c r="L654" s="182">
        <f t="shared" ca="1" si="104"/>
        <v>15580.268203383621</v>
      </c>
      <c r="M654" s="182">
        <f t="shared" ca="1" si="105"/>
        <v>8400</v>
      </c>
      <c r="N654" s="182">
        <f t="shared" ca="1" si="106"/>
        <v>60380.268203383501</v>
      </c>
      <c r="O654" s="182"/>
    </row>
    <row r="655" spans="1:15" x14ac:dyDescent="0.25">
      <c r="A655" s="180">
        <f t="shared" ca="1" si="107"/>
        <v>46745</v>
      </c>
      <c r="B655" s="181">
        <v>641</v>
      </c>
      <c r="C655" s="182">
        <f t="shared" ca="1" si="108"/>
        <v>42180.268203383617</v>
      </c>
      <c r="D655" s="182">
        <f t="shared" ca="1" si="109"/>
        <v>28.120178802255744</v>
      </c>
      <c r="E655" s="182">
        <v>0</v>
      </c>
      <c r="F655" s="182">
        <f t="shared" ca="1" si="112"/>
        <v>0</v>
      </c>
      <c r="G655" s="182">
        <f t="shared" ca="1" si="110"/>
        <v>0</v>
      </c>
      <c r="H655" s="182">
        <f t="shared" ca="1" si="111"/>
        <v>42208.388382185876</v>
      </c>
      <c r="I655" s="183">
        <v>0</v>
      </c>
      <c r="J655" s="263">
        <f t="shared" ref="J655:J718" ca="1" si="113">H655-IF(I$8-G655&lt;Q$42,I$8-Q$42,G655)</f>
        <v>42208.388382185876</v>
      </c>
      <c r="K655" s="182">
        <f t="shared" ca="1" si="103"/>
        <v>70</v>
      </c>
      <c r="L655" s="182">
        <f t="shared" ca="1" si="104"/>
        <v>15608.388382185876</v>
      </c>
      <c r="M655" s="182">
        <f t="shared" ca="1" si="105"/>
        <v>8400</v>
      </c>
      <c r="N655" s="182">
        <f t="shared" ca="1" si="106"/>
        <v>60478.38838218576</v>
      </c>
      <c r="O655" s="182"/>
    </row>
    <row r="656" spans="1:15" x14ac:dyDescent="0.25">
      <c r="A656" s="180">
        <f t="shared" ca="1" si="107"/>
        <v>46746</v>
      </c>
      <c r="B656" s="181">
        <v>642</v>
      </c>
      <c r="C656" s="182">
        <f t="shared" ca="1" si="108"/>
        <v>42208.388382185876</v>
      </c>
      <c r="D656" s="182">
        <f t="shared" ca="1" si="109"/>
        <v>28.138925588123918</v>
      </c>
      <c r="E656" s="182">
        <v>0</v>
      </c>
      <c r="F656" s="182">
        <f t="shared" ca="1" si="112"/>
        <v>0</v>
      </c>
      <c r="G656" s="182">
        <f t="shared" ca="1" si="110"/>
        <v>0</v>
      </c>
      <c r="H656" s="182">
        <f t="shared" ca="1" si="111"/>
        <v>42236.527307773998</v>
      </c>
      <c r="I656" s="183">
        <v>0</v>
      </c>
      <c r="J656" s="263">
        <f t="shared" ca="1" si="113"/>
        <v>42236.527307773998</v>
      </c>
      <c r="K656" s="182">
        <f t="shared" ref="K656:K719" ca="1" si="114">$L$3/($C$11-$C$8)</f>
        <v>70</v>
      </c>
      <c r="L656" s="182">
        <f t="shared" ref="L656:L719" ca="1" si="115">L655+D656</f>
        <v>15636.527307774</v>
      </c>
      <c r="M656" s="182">
        <f t="shared" ref="M656:M719" ca="1" si="116">IF($I$8&gt;L656,L656,$I$8)</f>
        <v>8400</v>
      </c>
      <c r="N656" s="182">
        <f t="shared" ref="N656:N719" ca="1" si="117">N655+D656+K656+I656</f>
        <v>60576.527307773882</v>
      </c>
      <c r="O656" s="182"/>
    </row>
    <row r="657" spans="1:15" x14ac:dyDescent="0.25">
      <c r="A657" s="180">
        <f t="shared" ref="A657:A720" ca="1" si="118">A656+1</f>
        <v>46747</v>
      </c>
      <c r="B657" s="181">
        <v>643</v>
      </c>
      <c r="C657" s="182">
        <f t="shared" ref="C657:C720" ca="1" si="119">H656</f>
        <v>42236.527307773998</v>
      </c>
      <c r="D657" s="182">
        <f t="shared" ref="D657:D720" ca="1" si="120">(($C$6/360))*C657</f>
        <v>28.15768487184933</v>
      </c>
      <c r="E657" s="182">
        <v>0</v>
      </c>
      <c r="F657" s="182">
        <f t="shared" ca="1" si="112"/>
        <v>0</v>
      </c>
      <c r="G657" s="182">
        <f t="shared" ref="G657:G720" ca="1" si="121">IF(G656-D657-E657&gt;0,G656-D657-E657,0)</f>
        <v>0</v>
      </c>
      <c r="H657" s="182">
        <f t="shared" ca="1" si="111"/>
        <v>42264.684992645845</v>
      </c>
      <c r="I657" s="183">
        <v>0</v>
      </c>
      <c r="J657" s="263">
        <f t="shared" ca="1" si="113"/>
        <v>42264.684992645845</v>
      </c>
      <c r="K657" s="182">
        <f t="shared" ca="1" si="114"/>
        <v>70</v>
      </c>
      <c r="L657" s="182">
        <f t="shared" ca="1" si="115"/>
        <v>15664.684992645849</v>
      </c>
      <c r="M657" s="182">
        <f t="shared" ca="1" si="116"/>
        <v>8400</v>
      </c>
      <c r="N657" s="182">
        <f t="shared" ca="1" si="117"/>
        <v>60674.684992645729</v>
      </c>
      <c r="O657" s="182"/>
    </row>
    <row r="658" spans="1:15" x14ac:dyDescent="0.25">
      <c r="A658" s="180">
        <f t="shared" ca="1" si="118"/>
        <v>46748</v>
      </c>
      <c r="B658" s="181">
        <v>644</v>
      </c>
      <c r="C658" s="182">
        <f t="shared" ca="1" si="119"/>
        <v>42264.684992645845</v>
      </c>
      <c r="D658" s="182">
        <f t="shared" ca="1" si="120"/>
        <v>28.176456661763897</v>
      </c>
      <c r="E658" s="182">
        <v>0</v>
      </c>
      <c r="F658" s="182">
        <f t="shared" ca="1" si="112"/>
        <v>0</v>
      </c>
      <c r="G658" s="182">
        <f t="shared" ca="1" si="121"/>
        <v>0</v>
      </c>
      <c r="H658" s="182">
        <f t="shared" ca="1" si="111"/>
        <v>42292.861449307609</v>
      </c>
      <c r="I658" s="183">
        <v>0</v>
      </c>
      <c r="J658" s="263">
        <f t="shared" ca="1" si="113"/>
        <v>42292.861449307609</v>
      </c>
      <c r="K658" s="182">
        <f t="shared" ca="1" si="114"/>
        <v>70</v>
      </c>
      <c r="L658" s="182">
        <f t="shared" ca="1" si="115"/>
        <v>15692.861449307613</v>
      </c>
      <c r="M658" s="182">
        <f t="shared" ca="1" si="116"/>
        <v>8400</v>
      </c>
      <c r="N658" s="182">
        <f t="shared" ca="1" si="117"/>
        <v>60772.861449307493</v>
      </c>
      <c r="O658" s="182"/>
    </row>
    <row r="659" spans="1:15" x14ac:dyDescent="0.25">
      <c r="A659" s="180">
        <f t="shared" ca="1" si="118"/>
        <v>46749</v>
      </c>
      <c r="B659" s="181">
        <v>645</v>
      </c>
      <c r="C659" s="182">
        <f t="shared" ca="1" si="119"/>
        <v>42292.861449307609</v>
      </c>
      <c r="D659" s="182">
        <f t="shared" ca="1" si="120"/>
        <v>28.195240966205073</v>
      </c>
      <c r="E659" s="182">
        <v>0</v>
      </c>
      <c r="F659" s="182">
        <f t="shared" ca="1" si="112"/>
        <v>0</v>
      </c>
      <c r="G659" s="182">
        <f t="shared" ca="1" si="121"/>
        <v>0</v>
      </c>
      <c r="H659" s="182">
        <f t="shared" ca="1" si="111"/>
        <v>42321.056690273814</v>
      </c>
      <c r="I659" s="183">
        <v>0</v>
      </c>
      <c r="J659" s="263">
        <f t="shared" ca="1" si="113"/>
        <v>42321.056690273814</v>
      </c>
      <c r="K659" s="182">
        <f t="shared" ca="1" si="114"/>
        <v>70</v>
      </c>
      <c r="L659" s="182">
        <f t="shared" ca="1" si="115"/>
        <v>15721.056690273817</v>
      </c>
      <c r="M659" s="182">
        <f t="shared" ca="1" si="116"/>
        <v>8400</v>
      </c>
      <c r="N659" s="182">
        <f t="shared" ca="1" si="117"/>
        <v>60871.056690273697</v>
      </c>
      <c r="O659" s="182"/>
    </row>
    <row r="660" spans="1:15" x14ac:dyDescent="0.25">
      <c r="A660" s="180">
        <f t="shared" ca="1" si="118"/>
        <v>46750</v>
      </c>
      <c r="B660" s="181">
        <v>646</v>
      </c>
      <c r="C660" s="182">
        <f t="shared" ca="1" si="119"/>
        <v>42321.056690273814</v>
      </c>
      <c r="D660" s="182">
        <f t="shared" ca="1" si="120"/>
        <v>28.214037793515875</v>
      </c>
      <c r="E660" s="182">
        <v>0</v>
      </c>
      <c r="F660" s="182">
        <f t="shared" ca="1" si="112"/>
        <v>0</v>
      </c>
      <c r="G660" s="182">
        <f t="shared" ca="1" si="121"/>
        <v>0</v>
      </c>
      <c r="H660" s="182">
        <f t="shared" ca="1" si="111"/>
        <v>42349.270728067328</v>
      </c>
      <c r="I660" s="183">
        <v>0</v>
      </c>
      <c r="J660" s="263">
        <f t="shared" ca="1" si="113"/>
        <v>42349.270728067328</v>
      </c>
      <c r="K660" s="182">
        <f t="shared" ca="1" si="114"/>
        <v>70</v>
      </c>
      <c r="L660" s="182">
        <f t="shared" ca="1" si="115"/>
        <v>15749.270728067333</v>
      </c>
      <c r="M660" s="182">
        <f t="shared" ca="1" si="116"/>
        <v>8400</v>
      </c>
      <c r="N660" s="182">
        <f t="shared" ca="1" si="117"/>
        <v>60969.270728067211</v>
      </c>
      <c r="O660" s="182"/>
    </row>
    <row r="661" spans="1:15" x14ac:dyDescent="0.25">
      <c r="A661" s="180">
        <f t="shared" ca="1" si="118"/>
        <v>46751</v>
      </c>
      <c r="B661" s="181">
        <v>647</v>
      </c>
      <c r="C661" s="182">
        <f t="shared" ca="1" si="119"/>
        <v>42349.270728067328</v>
      </c>
      <c r="D661" s="182">
        <f t="shared" ca="1" si="120"/>
        <v>28.232847152044883</v>
      </c>
      <c r="E661" s="182">
        <v>0</v>
      </c>
      <c r="F661" s="182">
        <f t="shared" ca="1" si="112"/>
        <v>0</v>
      </c>
      <c r="G661" s="182">
        <f t="shared" ca="1" si="121"/>
        <v>0</v>
      </c>
      <c r="H661" s="182">
        <f t="shared" ca="1" si="111"/>
        <v>42377.503575219373</v>
      </c>
      <c r="I661" s="183">
        <v>0</v>
      </c>
      <c r="J661" s="263">
        <f t="shared" ca="1" si="113"/>
        <v>42377.503575219373</v>
      </c>
      <c r="K661" s="182">
        <f t="shared" ca="1" si="114"/>
        <v>70</v>
      </c>
      <c r="L661" s="182">
        <f t="shared" ca="1" si="115"/>
        <v>15777.503575219378</v>
      </c>
      <c r="M661" s="182">
        <f t="shared" ca="1" si="116"/>
        <v>8400</v>
      </c>
      <c r="N661" s="182">
        <f t="shared" ca="1" si="117"/>
        <v>61067.503575219256</v>
      </c>
      <c r="O661" s="182"/>
    </row>
    <row r="662" spans="1:15" x14ac:dyDescent="0.25">
      <c r="A662" s="180">
        <f t="shared" ca="1" si="118"/>
        <v>46752</v>
      </c>
      <c r="B662" s="181">
        <v>648</v>
      </c>
      <c r="C662" s="182">
        <f t="shared" ca="1" si="119"/>
        <v>42377.503575219373</v>
      </c>
      <c r="D662" s="182">
        <f t="shared" ca="1" si="120"/>
        <v>28.251669050146248</v>
      </c>
      <c r="E662" s="182">
        <v>0</v>
      </c>
      <c r="F662" s="182">
        <f t="shared" ca="1" si="112"/>
        <v>0</v>
      </c>
      <c r="G662" s="182">
        <f t="shared" ca="1" si="121"/>
        <v>0</v>
      </c>
      <c r="H662" s="182">
        <f t="shared" ca="1" si="111"/>
        <v>42405.755244269516</v>
      </c>
      <c r="I662" s="183">
        <v>0</v>
      </c>
      <c r="J662" s="263">
        <f t="shared" ca="1" si="113"/>
        <v>42405.755244269516</v>
      </c>
      <c r="K662" s="182">
        <f t="shared" ca="1" si="114"/>
        <v>70</v>
      </c>
      <c r="L662" s="182">
        <f t="shared" ca="1" si="115"/>
        <v>15805.755244269525</v>
      </c>
      <c r="M662" s="182">
        <f t="shared" ca="1" si="116"/>
        <v>8400</v>
      </c>
      <c r="N662" s="182">
        <f t="shared" ca="1" si="117"/>
        <v>61165.7552442694</v>
      </c>
      <c r="O662" s="182"/>
    </row>
    <row r="663" spans="1:15" x14ac:dyDescent="0.25">
      <c r="A663" s="180">
        <f t="shared" ca="1" si="118"/>
        <v>46753</v>
      </c>
      <c r="B663" s="181">
        <v>649</v>
      </c>
      <c r="C663" s="182">
        <f t="shared" ca="1" si="119"/>
        <v>42405.755244269516</v>
      </c>
      <c r="D663" s="182">
        <f t="shared" ca="1" si="120"/>
        <v>28.270503496179675</v>
      </c>
      <c r="E663" s="182">
        <v>0</v>
      </c>
      <c r="F663" s="182">
        <f t="shared" ca="1" si="112"/>
        <v>0</v>
      </c>
      <c r="G663" s="182">
        <f t="shared" ca="1" si="121"/>
        <v>0</v>
      </c>
      <c r="H663" s="182">
        <f t="shared" ca="1" si="111"/>
        <v>42434.025747765692</v>
      </c>
      <c r="I663" s="183">
        <v>0</v>
      </c>
      <c r="J663" s="263">
        <f t="shared" ca="1" si="113"/>
        <v>42434.025747765692</v>
      </c>
      <c r="K663" s="182">
        <f t="shared" ca="1" si="114"/>
        <v>70</v>
      </c>
      <c r="L663" s="182">
        <f t="shared" ca="1" si="115"/>
        <v>15834.025747765705</v>
      </c>
      <c r="M663" s="182">
        <f t="shared" ca="1" si="116"/>
        <v>8400</v>
      </c>
      <c r="N663" s="182">
        <f t="shared" ca="1" si="117"/>
        <v>61264.025747765576</v>
      </c>
      <c r="O663" s="182"/>
    </row>
    <row r="664" spans="1:15" x14ac:dyDescent="0.25">
      <c r="A664" s="180">
        <f t="shared" ca="1" si="118"/>
        <v>46754</v>
      </c>
      <c r="B664" s="181">
        <v>650</v>
      </c>
      <c r="C664" s="182">
        <f t="shared" ca="1" si="119"/>
        <v>42434.025747765692</v>
      </c>
      <c r="D664" s="182">
        <f t="shared" ca="1" si="120"/>
        <v>28.289350498510462</v>
      </c>
      <c r="E664" s="182">
        <v>0</v>
      </c>
      <c r="F664" s="182">
        <f t="shared" ca="1" si="112"/>
        <v>0</v>
      </c>
      <c r="G664" s="182">
        <f t="shared" ca="1" si="121"/>
        <v>0</v>
      </c>
      <c r="H664" s="182">
        <f t="shared" ca="1" si="111"/>
        <v>42462.315098264204</v>
      </c>
      <c r="I664" s="183">
        <v>0</v>
      </c>
      <c r="J664" s="263">
        <f t="shared" ca="1" si="113"/>
        <v>42462.315098264204</v>
      </c>
      <c r="K664" s="182">
        <f t="shared" ca="1" si="114"/>
        <v>70</v>
      </c>
      <c r="L664" s="182">
        <f t="shared" ca="1" si="115"/>
        <v>15862.315098264216</v>
      </c>
      <c r="M664" s="182">
        <f t="shared" ca="1" si="116"/>
        <v>8400</v>
      </c>
      <c r="N664" s="182">
        <f t="shared" ca="1" si="117"/>
        <v>61362.315098264087</v>
      </c>
      <c r="O664" s="182"/>
    </row>
    <row r="665" spans="1:15" x14ac:dyDescent="0.25">
      <c r="A665" s="180">
        <f t="shared" ca="1" si="118"/>
        <v>46755</v>
      </c>
      <c r="B665" s="181">
        <v>651</v>
      </c>
      <c r="C665" s="182">
        <f t="shared" ca="1" si="119"/>
        <v>42462.315098264204</v>
      </c>
      <c r="D665" s="182">
        <f t="shared" ca="1" si="120"/>
        <v>28.308210065509467</v>
      </c>
      <c r="E665" s="182">
        <v>0</v>
      </c>
      <c r="F665" s="182">
        <f t="shared" ca="1" si="112"/>
        <v>0</v>
      </c>
      <c r="G665" s="182">
        <f t="shared" ca="1" si="121"/>
        <v>0</v>
      </c>
      <c r="H665" s="182">
        <f t="shared" ca="1" si="111"/>
        <v>42490.623308329712</v>
      </c>
      <c r="I665" s="183">
        <v>0</v>
      </c>
      <c r="J665" s="263">
        <f t="shared" ca="1" si="113"/>
        <v>42490.623308329712</v>
      </c>
      <c r="K665" s="182">
        <f t="shared" ca="1" si="114"/>
        <v>70</v>
      </c>
      <c r="L665" s="182">
        <f t="shared" ca="1" si="115"/>
        <v>15890.623308329727</v>
      </c>
      <c r="M665" s="182">
        <f t="shared" ca="1" si="116"/>
        <v>8400</v>
      </c>
      <c r="N665" s="182">
        <f t="shared" ca="1" si="117"/>
        <v>61460.623308329596</v>
      </c>
      <c r="O665" s="182"/>
    </row>
    <row r="666" spans="1:15" x14ac:dyDescent="0.25">
      <c r="A666" s="180">
        <f t="shared" ca="1" si="118"/>
        <v>46756</v>
      </c>
      <c r="B666" s="181">
        <v>652</v>
      </c>
      <c r="C666" s="182">
        <f t="shared" ca="1" si="119"/>
        <v>42490.623308329712</v>
      </c>
      <c r="D666" s="182">
        <f t="shared" ca="1" si="120"/>
        <v>28.32708220555314</v>
      </c>
      <c r="E666" s="182">
        <v>0</v>
      </c>
      <c r="F666" s="182">
        <f t="shared" ca="1" si="112"/>
        <v>0</v>
      </c>
      <c r="G666" s="182">
        <f t="shared" ca="1" si="121"/>
        <v>0</v>
      </c>
      <c r="H666" s="182">
        <f t="shared" ca="1" si="111"/>
        <v>42518.950390535269</v>
      </c>
      <c r="I666" s="183">
        <v>0</v>
      </c>
      <c r="J666" s="263">
        <f t="shared" ca="1" si="113"/>
        <v>42518.950390535269</v>
      </c>
      <c r="K666" s="182">
        <f t="shared" ca="1" si="114"/>
        <v>70</v>
      </c>
      <c r="L666" s="182">
        <f t="shared" ca="1" si="115"/>
        <v>15918.950390535279</v>
      </c>
      <c r="M666" s="182">
        <f t="shared" ca="1" si="116"/>
        <v>8400</v>
      </c>
      <c r="N666" s="182">
        <f t="shared" ca="1" si="117"/>
        <v>61558.950390535152</v>
      </c>
      <c r="O666" s="182"/>
    </row>
    <row r="667" spans="1:15" x14ac:dyDescent="0.25">
      <c r="A667" s="180">
        <f t="shared" ca="1" si="118"/>
        <v>46757</v>
      </c>
      <c r="B667" s="181">
        <v>653</v>
      </c>
      <c r="C667" s="182">
        <f t="shared" ca="1" si="119"/>
        <v>42518.950390535269</v>
      </c>
      <c r="D667" s="182">
        <f t="shared" ca="1" si="120"/>
        <v>28.345966927023511</v>
      </c>
      <c r="E667" s="182">
        <v>0</v>
      </c>
      <c r="F667" s="182">
        <f t="shared" ca="1" si="112"/>
        <v>0</v>
      </c>
      <c r="G667" s="182">
        <f t="shared" ca="1" si="121"/>
        <v>0</v>
      </c>
      <c r="H667" s="182">
        <f t="shared" ca="1" si="111"/>
        <v>42547.296357462292</v>
      </c>
      <c r="I667" s="183">
        <v>0</v>
      </c>
      <c r="J667" s="263">
        <f t="shared" ca="1" si="113"/>
        <v>42547.296357462292</v>
      </c>
      <c r="K667" s="182">
        <f t="shared" ca="1" si="114"/>
        <v>70</v>
      </c>
      <c r="L667" s="182">
        <f t="shared" ca="1" si="115"/>
        <v>15947.296357462303</v>
      </c>
      <c r="M667" s="182">
        <f t="shared" ca="1" si="116"/>
        <v>8400</v>
      </c>
      <c r="N667" s="182">
        <f t="shared" ca="1" si="117"/>
        <v>61657.296357462175</v>
      </c>
      <c r="O667" s="182"/>
    </row>
    <row r="668" spans="1:15" x14ac:dyDescent="0.25">
      <c r="A668" s="180">
        <f t="shared" ca="1" si="118"/>
        <v>46758</v>
      </c>
      <c r="B668" s="181">
        <v>654</v>
      </c>
      <c r="C668" s="182">
        <f t="shared" ca="1" si="119"/>
        <v>42547.296357462292</v>
      </c>
      <c r="D668" s="182">
        <f t="shared" ca="1" si="120"/>
        <v>28.364864238308193</v>
      </c>
      <c r="E668" s="182">
        <v>0</v>
      </c>
      <c r="F668" s="182">
        <f t="shared" ca="1" si="112"/>
        <v>0</v>
      </c>
      <c r="G668" s="182">
        <f t="shared" ca="1" si="121"/>
        <v>0</v>
      </c>
      <c r="H668" s="182">
        <f t="shared" ca="1" si="111"/>
        <v>42575.661221700597</v>
      </c>
      <c r="I668" s="183">
        <v>0</v>
      </c>
      <c r="J668" s="263">
        <f t="shared" ca="1" si="113"/>
        <v>42575.661221700597</v>
      </c>
      <c r="K668" s="182">
        <f t="shared" ca="1" si="114"/>
        <v>70</v>
      </c>
      <c r="L668" s="182">
        <f t="shared" ca="1" si="115"/>
        <v>15975.661221700611</v>
      </c>
      <c r="M668" s="182">
        <f t="shared" ca="1" si="116"/>
        <v>8400</v>
      </c>
      <c r="N668" s="182">
        <f t="shared" ca="1" si="117"/>
        <v>61755.66122170048</v>
      </c>
      <c r="O668" s="182"/>
    </row>
    <row r="669" spans="1:15" x14ac:dyDescent="0.25">
      <c r="A669" s="180">
        <f t="shared" ca="1" si="118"/>
        <v>46759</v>
      </c>
      <c r="B669" s="181">
        <v>655</v>
      </c>
      <c r="C669" s="182">
        <f t="shared" ca="1" si="119"/>
        <v>42575.661221700597</v>
      </c>
      <c r="D669" s="182">
        <f t="shared" ca="1" si="120"/>
        <v>28.383774147800398</v>
      </c>
      <c r="E669" s="182">
        <v>0</v>
      </c>
      <c r="F669" s="182">
        <f t="shared" ca="1" si="112"/>
        <v>0</v>
      </c>
      <c r="G669" s="182">
        <f t="shared" ca="1" si="121"/>
        <v>0</v>
      </c>
      <c r="H669" s="182">
        <f t="shared" ca="1" si="111"/>
        <v>42604.044995848395</v>
      </c>
      <c r="I669" s="183">
        <v>0</v>
      </c>
      <c r="J669" s="263">
        <f t="shared" ca="1" si="113"/>
        <v>42604.044995848395</v>
      </c>
      <c r="K669" s="182">
        <f t="shared" ca="1" si="114"/>
        <v>70</v>
      </c>
      <c r="L669" s="182">
        <f t="shared" ca="1" si="115"/>
        <v>16004.044995848411</v>
      </c>
      <c r="M669" s="182">
        <f t="shared" ca="1" si="116"/>
        <v>8400</v>
      </c>
      <c r="N669" s="182">
        <f t="shared" ca="1" si="117"/>
        <v>61854.044995848279</v>
      </c>
      <c r="O669" s="182"/>
    </row>
    <row r="670" spans="1:15" x14ac:dyDescent="0.25">
      <c r="A670" s="180">
        <f t="shared" ca="1" si="118"/>
        <v>46760</v>
      </c>
      <c r="B670" s="181">
        <v>656</v>
      </c>
      <c r="C670" s="182">
        <f t="shared" ca="1" si="119"/>
        <v>42604.044995848395</v>
      </c>
      <c r="D670" s="182">
        <f t="shared" ca="1" si="120"/>
        <v>28.402696663898929</v>
      </c>
      <c r="E670" s="182">
        <v>0</v>
      </c>
      <c r="F670" s="182">
        <f t="shared" ca="1" si="112"/>
        <v>0</v>
      </c>
      <c r="G670" s="182">
        <f t="shared" ca="1" si="121"/>
        <v>0</v>
      </c>
      <c r="H670" s="182">
        <f t="shared" ca="1" si="111"/>
        <v>42632.447692512294</v>
      </c>
      <c r="I670" s="183">
        <v>0</v>
      </c>
      <c r="J670" s="263">
        <f t="shared" ca="1" si="113"/>
        <v>42632.447692512294</v>
      </c>
      <c r="K670" s="182">
        <f t="shared" ca="1" si="114"/>
        <v>70</v>
      </c>
      <c r="L670" s="182">
        <f t="shared" ca="1" si="115"/>
        <v>16032.447692512311</v>
      </c>
      <c r="M670" s="182">
        <f t="shared" ca="1" si="116"/>
        <v>8400</v>
      </c>
      <c r="N670" s="182">
        <f t="shared" ca="1" si="117"/>
        <v>61952.447692512178</v>
      </c>
      <c r="O670" s="182"/>
    </row>
    <row r="671" spans="1:15" x14ac:dyDescent="0.25">
      <c r="A671" s="180">
        <f t="shared" ca="1" si="118"/>
        <v>46761</v>
      </c>
      <c r="B671" s="181">
        <v>657</v>
      </c>
      <c r="C671" s="182">
        <f t="shared" ca="1" si="119"/>
        <v>42632.447692512294</v>
      </c>
      <c r="D671" s="182">
        <f t="shared" ca="1" si="120"/>
        <v>28.421631795008196</v>
      </c>
      <c r="E671" s="182">
        <v>0</v>
      </c>
      <c r="F671" s="182">
        <f t="shared" ca="1" si="112"/>
        <v>0</v>
      </c>
      <c r="G671" s="182">
        <f t="shared" ca="1" si="121"/>
        <v>0</v>
      </c>
      <c r="H671" s="182">
        <f t="shared" ca="1" si="111"/>
        <v>42660.869324307299</v>
      </c>
      <c r="I671" s="183">
        <v>0</v>
      </c>
      <c r="J671" s="263">
        <f t="shared" ca="1" si="113"/>
        <v>42660.869324307299</v>
      </c>
      <c r="K671" s="182">
        <f t="shared" ca="1" si="114"/>
        <v>70</v>
      </c>
      <c r="L671" s="182">
        <f t="shared" ca="1" si="115"/>
        <v>16060.869324307319</v>
      </c>
      <c r="M671" s="182">
        <f t="shared" ca="1" si="116"/>
        <v>8400</v>
      </c>
      <c r="N671" s="182">
        <f t="shared" ca="1" si="117"/>
        <v>62050.869324307183</v>
      </c>
      <c r="O671" s="182"/>
    </row>
    <row r="672" spans="1:15" x14ac:dyDescent="0.25">
      <c r="A672" s="180">
        <f t="shared" ca="1" si="118"/>
        <v>46762</v>
      </c>
      <c r="B672" s="181">
        <v>658</v>
      </c>
      <c r="C672" s="182">
        <f t="shared" ca="1" si="119"/>
        <v>42660.869324307299</v>
      </c>
      <c r="D672" s="182">
        <f t="shared" ca="1" si="120"/>
        <v>28.440579549538199</v>
      </c>
      <c r="E672" s="182">
        <v>0</v>
      </c>
      <c r="F672" s="182">
        <f t="shared" ca="1" si="112"/>
        <v>0</v>
      </c>
      <c r="G672" s="182">
        <f t="shared" ca="1" si="121"/>
        <v>0</v>
      </c>
      <c r="H672" s="182">
        <f t="shared" ca="1" si="111"/>
        <v>42689.30990385684</v>
      </c>
      <c r="I672" s="183">
        <v>0</v>
      </c>
      <c r="J672" s="263">
        <f t="shared" ca="1" si="113"/>
        <v>42689.30990385684</v>
      </c>
      <c r="K672" s="182">
        <f t="shared" ca="1" si="114"/>
        <v>70</v>
      </c>
      <c r="L672" s="182">
        <f t="shared" ca="1" si="115"/>
        <v>16089.309903856858</v>
      </c>
      <c r="M672" s="182">
        <f t="shared" ca="1" si="116"/>
        <v>8400</v>
      </c>
      <c r="N672" s="182">
        <f t="shared" ca="1" si="117"/>
        <v>62149.309903856723</v>
      </c>
      <c r="O672" s="182"/>
    </row>
    <row r="673" spans="1:15" x14ac:dyDescent="0.25">
      <c r="A673" s="180">
        <f t="shared" ca="1" si="118"/>
        <v>46763</v>
      </c>
      <c r="B673" s="181">
        <v>659</v>
      </c>
      <c r="C673" s="182">
        <f t="shared" ca="1" si="119"/>
        <v>42689.30990385684</v>
      </c>
      <c r="D673" s="182">
        <f t="shared" ca="1" si="120"/>
        <v>28.459539935904559</v>
      </c>
      <c r="E673" s="182">
        <v>0</v>
      </c>
      <c r="F673" s="182">
        <f t="shared" ca="1" si="112"/>
        <v>0</v>
      </c>
      <c r="G673" s="182">
        <f t="shared" ca="1" si="121"/>
        <v>0</v>
      </c>
      <c r="H673" s="182">
        <f t="shared" ca="1" si="111"/>
        <v>42717.769443792742</v>
      </c>
      <c r="I673" s="183">
        <v>0</v>
      </c>
      <c r="J673" s="263">
        <f t="shared" ca="1" si="113"/>
        <v>42717.769443792742</v>
      </c>
      <c r="K673" s="182">
        <f t="shared" ca="1" si="114"/>
        <v>70</v>
      </c>
      <c r="L673" s="182">
        <f t="shared" ca="1" si="115"/>
        <v>16117.769443792762</v>
      </c>
      <c r="M673" s="182">
        <f t="shared" ca="1" si="116"/>
        <v>8400</v>
      </c>
      <c r="N673" s="182">
        <f t="shared" ca="1" si="117"/>
        <v>62247.769443792626</v>
      </c>
      <c r="O673" s="182"/>
    </row>
    <row r="674" spans="1:15" x14ac:dyDescent="0.25">
      <c r="A674" s="180">
        <f t="shared" ca="1" si="118"/>
        <v>46764</v>
      </c>
      <c r="B674" s="181">
        <v>660</v>
      </c>
      <c r="C674" s="182">
        <f t="shared" ca="1" si="119"/>
        <v>42717.769443792742</v>
      </c>
      <c r="D674" s="182">
        <f t="shared" ca="1" si="120"/>
        <v>28.478512962528495</v>
      </c>
      <c r="E674" s="182">
        <v>0</v>
      </c>
      <c r="F674" s="182">
        <f t="shared" ca="1" si="112"/>
        <v>0</v>
      </c>
      <c r="G674" s="182">
        <f t="shared" ca="1" si="121"/>
        <v>0</v>
      </c>
      <c r="H674" s="182">
        <f t="shared" ca="1" si="111"/>
        <v>42746.247956755273</v>
      </c>
      <c r="I674" s="183">
        <v>0</v>
      </c>
      <c r="J674" s="263">
        <f t="shared" ca="1" si="113"/>
        <v>42746.247956755273</v>
      </c>
      <c r="K674" s="182">
        <f t="shared" ca="1" si="114"/>
        <v>70</v>
      </c>
      <c r="L674" s="182">
        <f t="shared" ca="1" si="115"/>
        <v>16146.247956755291</v>
      </c>
      <c r="M674" s="182">
        <f t="shared" ca="1" si="116"/>
        <v>8400</v>
      </c>
      <c r="N674" s="182">
        <f t="shared" ca="1" si="117"/>
        <v>62346.247956755156</v>
      </c>
      <c r="O674" s="182"/>
    </row>
    <row r="675" spans="1:15" x14ac:dyDescent="0.25">
      <c r="A675" s="180">
        <f t="shared" ca="1" si="118"/>
        <v>46765</v>
      </c>
      <c r="B675" s="181">
        <v>661</v>
      </c>
      <c r="C675" s="182">
        <f t="shared" ca="1" si="119"/>
        <v>42746.247956755273</v>
      </c>
      <c r="D675" s="182">
        <f t="shared" ca="1" si="120"/>
        <v>28.497498637836848</v>
      </c>
      <c r="E675" s="182">
        <v>0</v>
      </c>
      <c r="F675" s="182">
        <f t="shared" ca="1" si="112"/>
        <v>0</v>
      </c>
      <c r="G675" s="182">
        <f t="shared" ca="1" si="121"/>
        <v>0</v>
      </c>
      <c r="H675" s="182">
        <f t="shared" ref="H675:H738" ca="1" si="122">IF(G675&gt;0,C675+F675+I675,SUM(C675:F675)-G674)</f>
        <v>42774.745455393109</v>
      </c>
      <c r="I675" s="183">
        <v>0</v>
      </c>
      <c r="J675" s="263">
        <f t="shared" ca="1" si="113"/>
        <v>42774.745455393109</v>
      </c>
      <c r="K675" s="182">
        <f t="shared" ca="1" si="114"/>
        <v>70</v>
      </c>
      <c r="L675" s="182">
        <f t="shared" ca="1" si="115"/>
        <v>16174.745455393127</v>
      </c>
      <c r="M675" s="182">
        <f t="shared" ca="1" si="116"/>
        <v>8400</v>
      </c>
      <c r="N675" s="182">
        <f t="shared" ca="1" si="117"/>
        <v>62444.745455392993</v>
      </c>
      <c r="O675" s="182"/>
    </row>
    <row r="676" spans="1:15" x14ac:dyDescent="0.25">
      <c r="A676" s="180">
        <f t="shared" ca="1" si="118"/>
        <v>46766</v>
      </c>
      <c r="B676" s="181">
        <v>662</v>
      </c>
      <c r="C676" s="182">
        <f t="shared" ca="1" si="119"/>
        <v>42774.745455393109</v>
      </c>
      <c r="D676" s="182">
        <f t="shared" ca="1" si="120"/>
        <v>28.516496970262072</v>
      </c>
      <c r="E676" s="182">
        <v>0</v>
      </c>
      <c r="F676" s="182">
        <f t="shared" ca="1" si="112"/>
        <v>0</v>
      </c>
      <c r="G676" s="182">
        <f t="shared" ca="1" si="121"/>
        <v>0</v>
      </c>
      <c r="H676" s="182">
        <f t="shared" ca="1" si="122"/>
        <v>42803.261952363369</v>
      </c>
      <c r="I676" s="183">
        <v>0</v>
      </c>
      <c r="J676" s="263">
        <f t="shared" ca="1" si="113"/>
        <v>42803.261952363369</v>
      </c>
      <c r="K676" s="182">
        <f t="shared" ca="1" si="114"/>
        <v>70</v>
      </c>
      <c r="L676" s="182">
        <f t="shared" ca="1" si="115"/>
        <v>16203.261952363389</v>
      </c>
      <c r="M676" s="182">
        <f t="shared" ca="1" si="116"/>
        <v>8400</v>
      </c>
      <c r="N676" s="182">
        <f t="shared" ca="1" si="117"/>
        <v>62543.261952363253</v>
      </c>
      <c r="O676" s="182"/>
    </row>
    <row r="677" spans="1:15" x14ac:dyDescent="0.25">
      <c r="A677" s="180">
        <f t="shared" ca="1" si="118"/>
        <v>46767</v>
      </c>
      <c r="B677" s="181">
        <v>663</v>
      </c>
      <c r="C677" s="182">
        <f t="shared" ca="1" si="119"/>
        <v>42803.261952363369</v>
      </c>
      <c r="D677" s="182">
        <f t="shared" ca="1" si="120"/>
        <v>28.535507968242246</v>
      </c>
      <c r="E677" s="182">
        <v>0</v>
      </c>
      <c r="F677" s="182">
        <f t="shared" ca="1" si="112"/>
        <v>0</v>
      </c>
      <c r="G677" s="182">
        <f t="shared" ca="1" si="121"/>
        <v>0</v>
      </c>
      <c r="H677" s="182">
        <f t="shared" ca="1" si="122"/>
        <v>42831.797460331611</v>
      </c>
      <c r="I677" s="183">
        <v>0</v>
      </c>
      <c r="J677" s="263">
        <f t="shared" ca="1" si="113"/>
        <v>42831.797460331611</v>
      </c>
      <c r="K677" s="182">
        <f t="shared" ca="1" si="114"/>
        <v>70</v>
      </c>
      <c r="L677" s="182">
        <f t="shared" ca="1" si="115"/>
        <v>16231.797460331632</v>
      </c>
      <c r="M677" s="182">
        <f t="shared" ca="1" si="116"/>
        <v>8400</v>
      </c>
      <c r="N677" s="182">
        <f t="shared" ca="1" si="117"/>
        <v>62641.797460331494</v>
      </c>
      <c r="O677" s="182"/>
    </row>
    <row r="678" spans="1:15" x14ac:dyDescent="0.25">
      <c r="A678" s="180">
        <f t="shared" ca="1" si="118"/>
        <v>46768</v>
      </c>
      <c r="B678" s="181">
        <v>664</v>
      </c>
      <c r="C678" s="182">
        <f t="shared" ca="1" si="119"/>
        <v>42831.797460331611</v>
      </c>
      <c r="D678" s="182">
        <f t="shared" ca="1" si="120"/>
        <v>28.554531640221072</v>
      </c>
      <c r="E678" s="182">
        <v>0</v>
      </c>
      <c r="F678" s="182">
        <f t="shared" ca="1" si="112"/>
        <v>0</v>
      </c>
      <c r="G678" s="182">
        <f t="shared" ca="1" si="121"/>
        <v>0</v>
      </c>
      <c r="H678" s="182">
        <f t="shared" ca="1" si="122"/>
        <v>42860.351991971831</v>
      </c>
      <c r="I678" s="183">
        <v>0</v>
      </c>
      <c r="J678" s="263">
        <f t="shared" ca="1" si="113"/>
        <v>42860.351991971831</v>
      </c>
      <c r="K678" s="182">
        <f t="shared" ca="1" si="114"/>
        <v>70</v>
      </c>
      <c r="L678" s="182">
        <f t="shared" ca="1" si="115"/>
        <v>16260.351991971853</v>
      </c>
      <c r="M678" s="182">
        <f t="shared" ca="1" si="116"/>
        <v>8400</v>
      </c>
      <c r="N678" s="182">
        <f t="shared" ca="1" si="117"/>
        <v>62740.351991971715</v>
      </c>
      <c r="O678" s="182"/>
    </row>
    <row r="679" spans="1:15" x14ac:dyDescent="0.25">
      <c r="A679" s="180">
        <f t="shared" ca="1" si="118"/>
        <v>46769</v>
      </c>
      <c r="B679" s="181">
        <v>665</v>
      </c>
      <c r="C679" s="182">
        <f t="shared" ca="1" si="119"/>
        <v>42860.351991971831</v>
      </c>
      <c r="D679" s="182">
        <f t="shared" ca="1" si="120"/>
        <v>28.573567994647885</v>
      </c>
      <c r="E679" s="182">
        <v>0</v>
      </c>
      <c r="F679" s="182">
        <f t="shared" ca="1" si="112"/>
        <v>0</v>
      </c>
      <c r="G679" s="182">
        <f t="shared" ca="1" si="121"/>
        <v>0</v>
      </c>
      <c r="H679" s="182">
        <f t="shared" ca="1" si="122"/>
        <v>42888.925559966476</v>
      </c>
      <c r="I679" s="183">
        <v>0</v>
      </c>
      <c r="J679" s="263">
        <f t="shared" ca="1" si="113"/>
        <v>42888.925559966476</v>
      </c>
      <c r="K679" s="182">
        <f t="shared" ca="1" si="114"/>
        <v>70</v>
      </c>
      <c r="L679" s="182">
        <f t="shared" ca="1" si="115"/>
        <v>16288.925559966501</v>
      </c>
      <c r="M679" s="182">
        <f t="shared" ca="1" si="116"/>
        <v>8400</v>
      </c>
      <c r="N679" s="182">
        <f t="shared" ca="1" si="117"/>
        <v>62838.925559966359</v>
      </c>
      <c r="O679" s="182"/>
    </row>
    <row r="680" spans="1:15" x14ac:dyDescent="0.25">
      <c r="A680" s="180">
        <f t="shared" ca="1" si="118"/>
        <v>46770</v>
      </c>
      <c r="B680" s="181">
        <v>666</v>
      </c>
      <c r="C680" s="182">
        <f t="shared" ca="1" si="119"/>
        <v>42888.925559966476</v>
      </c>
      <c r="D680" s="182">
        <f t="shared" ca="1" si="120"/>
        <v>28.59261703997765</v>
      </c>
      <c r="E680" s="182">
        <v>0</v>
      </c>
      <c r="F680" s="182">
        <f t="shared" ca="1" si="112"/>
        <v>0</v>
      </c>
      <c r="G680" s="182">
        <f t="shared" ca="1" si="121"/>
        <v>0</v>
      </c>
      <c r="H680" s="182">
        <f t="shared" ca="1" si="122"/>
        <v>42917.518177006452</v>
      </c>
      <c r="I680" s="183">
        <v>0</v>
      </c>
      <c r="J680" s="263">
        <f t="shared" ca="1" si="113"/>
        <v>42917.518177006452</v>
      </c>
      <c r="K680" s="182">
        <f t="shared" ca="1" si="114"/>
        <v>70</v>
      </c>
      <c r="L680" s="182">
        <f t="shared" ca="1" si="115"/>
        <v>16317.518177006479</v>
      </c>
      <c r="M680" s="182">
        <f t="shared" ca="1" si="116"/>
        <v>8400</v>
      </c>
      <c r="N680" s="182">
        <f t="shared" ca="1" si="117"/>
        <v>62937.518177006335</v>
      </c>
      <c r="O680" s="182"/>
    </row>
    <row r="681" spans="1:15" x14ac:dyDescent="0.25">
      <c r="A681" s="180">
        <f t="shared" ca="1" si="118"/>
        <v>46771</v>
      </c>
      <c r="B681" s="181">
        <v>667</v>
      </c>
      <c r="C681" s="182">
        <f t="shared" ca="1" si="119"/>
        <v>42917.518177006452</v>
      </c>
      <c r="D681" s="182">
        <f t="shared" ca="1" si="120"/>
        <v>28.611678784670968</v>
      </c>
      <c r="E681" s="182">
        <v>0</v>
      </c>
      <c r="F681" s="182">
        <f t="shared" ca="1" si="112"/>
        <v>0</v>
      </c>
      <c r="G681" s="182">
        <f t="shared" ca="1" si="121"/>
        <v>0</v>
      </c>
      <c r="H681" s="182">
        <f t="shared" ca="1" si="122"/>
        <v>42946.129855791121</v>
      </c>
      <c r="I681" s="183">
        <v>0</v>
      </c>
      <c r="J681" s="263">
        <f t="shared" ca="1" si="113"/>
        <v>42946.129855791121</v>
      </c>
      <c r="K681" s="182">
        <f t="shared" ca="1" si="114"/>
        <v>70</v>
      </c>
      <c r="L681" s="182">
        <f t="shared" ca="1" si="115"/>
        <v>16346.12985579115</v>
      </c>
      <c r="M681" s="182">
        <f t="shared" ca="1" si="116"/>
        <v>8400</v>
      </c>
      <c r="N681" s="182">
        <f t="shared" ca="1" si="117"/>
        <v>63036.129855791005</v>
      </c>
      <c r="O681" s="182"/>
    </row>
    <row r="682" spans="1:15" x14ac:dyDescent="0.25">
      <c r="A682" s="180">
        <f t="shared" ca="1" si="118"/>
        <v>46772</v>
      </c>
      <c r="B682" s="181">
        <v>668</v>
      </c>
      <c r="C682" s="182">
        <f t="shared" ca="1" si="119"/>
        <v>42946.129855791121</v>
      </c>
      <c r="D682" s="182">
        <f t="shared" ca="1" si="120"/>
        <v>28.630753237194082</v>
      </c>
      <c r="E682" s="182">
        <v>0</v>
      </c>
      <c r="F682" s="182">
        <f t="shared" ca="1" si="112"/>
        <v>0</v>
      </c>
      <c r="G682" s="182">
        <f t="shared" ca="1" si="121"/>
        <v>0</v>
      </c>
      <c r="H682" s="182">
        <f t="shared" ca="1" si="122"/>
        <v>42974.760609028315</v>
      </c>
      <c r="I682" s="183">
        <v>0</v>
      </c>
      <c r="J682" s="263">
        <f t="shared" ca="1" si="113"/>
        <v>42974.760609028315</v>
      </c>
      <c r="K682" s="182">
        <f t="shared" ca="1" si="114"/>
        <v>70</v>
      </c>
      <c r="L682" s="182">
        <f t="shared" ca="1" si="115"/>
        <v>16374.760609028344</v>
      </c>
      <c r="M682" s="182">
        <f t="shared" ca="1" si="116"/>
        <v>8400</v>
      </c>
      <c r="N682" s="182">
        <f t="shared" ca="1" si="117"/>
        <v>63134.760609028199</v>
      </c>
      <c r="O682" s="182"/>
    </row>
    <row r="683" spans="1:15" x14ac:dyDescent="0.25">
      <c r="A683" s="180">
        <f t="shared" ca="1" si="118"/>
        <v>46773</v>
      </c>
      <c r="B683" s="181">
        <v>669</v>
      </c>
      <c r="C683" s="182">
        <f t="shared" ca="1" si="119"/>
        <v>42974.760609028315</v>
      </c>
      <c r="D683" s="182">
        <f t="shared" ca="1" si="120"/>
        <v>28.649840406018875</v>
      </c>
      <c r="E683" s="182">
        <v>0</v>
      </c>
      <c r="F683" s="182">
        <f t="shared" ca="1" si="112"/>
        <v>0</v>
      </c>
      <c r="G683" s="182">
        <f t="shared" ca="1" si="121"/>
        <v>0</v>
      </c>
      <c r="H683" s="182">
        <f t="shared" ca="1" si="122"/>
        <v>43003.410449434334</v>
      </c>
      <c r="I683" s="183">
        <v>0</v>
      </c>
      <c r="J683" s="263">
        <f t="shared" ca="1" si="113"/>
        <v>43003.410449434334</v>
      </c>
      <c r="K683" s="182">
        <f t="shared" ca="1" si="114"/>
        <v>70</v>
      </c>
      <c r="L683" s="182">
        <f t="shared" ca="1" si="115"/>
        <v>16403.410449434363</v>
      </c>
      <c r="M683" s="182">
        <f t="shared" ca="1" si="116"/>
        <v>8400</v>
      </c>
      <c r="N683" s="182">
        <f t="shared" ca="1" si="117"/>
        <v>63233.410449434217</v>
      </c>
      <c r="O683" s="182"/>
    </row>
    <row r="684" spans="1:15" x14ac:dyDescent="0.25">
      <c r="A684" s="180">
        <f t="shared" ca="1" si="118"/>
        <v>46774</v>
      </c>
      <c r="B684" s="181">
        <v>670</v>
      </c>
      <c r="C684" s="182">
        <f t="shared" ca="1" si="119"/>
        <v>43003.410449434334</v>
      </c>
      <c r="D684" s="182">
        <f t="shared" ca="1" si="120"/>
        <v>28.668940299622889</v>
      </c>
      <c r="E684" s="182">
        <v>0</v>
      </c>
      <c r="F684" s="182">
        <f t="shared" ref="F684:F747" ca="1" si="123">IFERROR(-VLOOKUP(A684,$P$4:$R$31,2,FALSE),0)</f>
        <v>0</v>
      </c>
      <c r="G684" s="182">
        <f t="shared" ca="1" si="121"/>
        <v>0</v>
      </c>
      <c r="H684" s="182">
        <f t="shared" ca="1" si="122"/>
        <v>43032.079389733954</v>
      </c>
      <c r="I684" s="183">
        <v>0</v>
      </c>
      <c r="J684" s="263">
        <f t="shared" ca="1" si="113"/>
        <v>43032.079389733954</v>
      </c>
      <c r="K684" s="182">
        <f t="shared" ca="1" si="114"/>
        <v>70</v>
      </c>
      <c r="L684" s="182">
        <f t="shared" ca="1" si="115"/>
        <v>16432.079389733986</v>
      </c>
      <c r="M684" s="182">
        <f t="shared" ca="1" si="116"/>
        <v>8400</v>
      </c>
      <c r="N684" s="182">
        <f t="shared" ca="1" si="117"/>
        <v>63332.079389733837</v>
      </c>
      <c r="O684" s="182"/>
    </row>
    <row r="685" spans="1:15" x14ac:dyDescent="0.25">
      <c r="A685" s="180">
        <f t="shared" ca="1" si="118"/>
        <v>46775</v>
      </c>
      <c r="B685" s="181">
        <v>671</v>
      </c>
      <c r="C685" s="182">
        <f t="shared" ca="1" si="119"/>
        <v>43032.079389733954</v>
      </c>
      <c r="D685" s="182">
        <f t="shared" ca="1" si="120"/>
        <v>28.688052926489302</v>
      </c>
      <c r="E685" s="182">
        <v>0</v>
      </c>
      <c r="F685" s="182">
        <f t="shared" ca="1" si="123"/>
        <v>0</v>
      </c>
      <c r="G685" s="182">
        <f t="shared" ca="1" si="121"/>
        <v>0</v>
      </c>
      <c r="H685" s="182">
        <f t="shared" ca="1" si="122"/>
        <v>43060.767442660443</v>
      </c>
      <c r="I685" s="183">
        <v>0</v>
      </c>
      <c r="J685" s="263">
        <f t="shared" ca="1" si="113"/>
        <v>43060.767442660443</v>
      </c>
      <c r="K685" s="182">
        <f t="shared" ca="1" si="114"/>
        <v>70</v>
      </c>
      <c r="L685" s="182">
        <f t="shared" ca="1" si="115"/>
        <v>16460.767442660475</v>
      </c>
      <c r="M685" s="182">
        <f t="shared" ca="1" si="116"/>
        <v>8400</v>
      </c>
      <c r="N685" s="182">
        <f t="shared" ca="1" si="117"/>
        <v>63430.767442660326</v>
      </c>
      <c r="O685" s="182"/>
    </row>
    <row r="686" spans="1:15" x14ac:dyDescent="0.25">
      <c r="A686" s="180">
        <f t="shared" ca="1" si="118"/>
        <v>46776</v>
      </c>
      <c r="B686" s="181">
        <v>672</v>
      </c>
      <c r="C686" s="182">
        <f t="shared" ca="1" si="119"/>
        <v>43060.767442660443</v>
      </c>
      <c r="D686" s="182">
        <f t="shared" ca="1" si="120"/>
        <v>28.70717829510696</v>
      </c>
      <c r="E686" s="182">
        <v>0</v>
      </c>
      <c r="F686" s="182">
        <f t="shared" ca="1" si="123"/>
        <v>0</v>
      </c>
      <c r="G686" s="182">
        <f t="shared" ca="1" si="121"/>
        <v>0</v>
      </c>
      <c r="H686" s="182">
        <f t="shared" ca="1" si="122"/>
        <v>43089.474620955552</v>
      </c>
      <c r="I686" s="183">
        <v>0</v>
      </c>
      <c r="J686" s="263">
        <f t="shared" ca="1" si="113"/>
        <v>43089.474620955552</v>
      </c>
      <c r="K686" s="182">
        <f t="shared" ca="1" si="114"/>
        <v>70</v>
      </c>
      <c r="L686" s="182">
        <f t="shared" ca="1" si="115"/>
        <v>16489.474620955581</v>
      </c>
      <c r="M686" s="182">
        <f t="shared" ca="1" si="116"/>
        <v>8400</v>
      </c>
      <c r="N686" s="182">
        <f t="shared" ca="1" si="117"/>
        <v>63529.474620955436</v>
      </c>
      <c r="O686" s="182"/>
    </row>
    <row r="687" spans="1:15" x14ac:dyDescent="0.25">
      <c r="A687" s="180">
        <f t="shared" ca="1" si="118"/>
        <v>46777</v>
      </c>
      <c r="B687" s="181">
        <v>673</v>
      </c>
      <c r="C687" s="182">
        <f t="shared" ca="1" si="119"/>
        <v>43089.474620955552</v>
      </c>
      <c r="D687" s="182">
        <f t="shared" ca="1" si="120"/>
        <v>28.726316413970366</v>
      </c>
      <c r="E687" s="182">
        <v>0</v>
      </c>
      <c r="F687" s="182">
        <f t="shared" ca="1" si="123"/>
        <v>0</v>
      </c>
      <c r="G687" s="182">
        <f t="shared" ca="1" si="121"/>
        <v>0</v>
      </c>
      <c r="H687" s="182">
        <f t="shared" ca="1" si="122"/>
        <v>43118.200937369525</v>
      </c>
      <c r="I687" s="183">
        <v>0</v>
      </c>
      <c r="J687" s="263">
        <f t="shared" ca="1" si="113"/>
        <v>43118.200937369525</v>
      </c>
      <c r="K687" s="182">
        <f t="shared" ca="1" si="114"/>
        <v>70</v>
      </c>
      <c r="L687" s="182">
        <f t="shared" ca="1" si="115"/>
        <v>16518.200937369551</v>
      </c>
      <c r="M687" s="182">
        <f t="shared" ca="1" si="116"/>
        <v>8400</v>
      </c>
      <c r="N687" s="182">
        <f t="shared" ca="1" si="117"/>
        <v>63628.200937369409</v>
      </c>
      <c r="O687" s="182"/>
    </row>
    <row r="688" spans="1:15" x14ac:dyDescent="0.25">
      <c r="A688" s="180">
        <f t="shared" ca="1" si="118"/>
        <v>46778</v>
      </c>
      <c r="B688" s="181">
        <v>674</v>
      </c>
      <c r="C688" s="182">
        <f t="shared" ca="1" si="119"/>
        <v>43118.200937369525</v>
      </c>
      <c r="D688" s="182">
        <f t="shared" ca="1" si="120"/>
        <v>28.745467291579683</v>
      </c>
      <c r="E688" s="182">
        <v>0</v>
      </c>
      <c r="F688" s="182">
        <f t="shared" ca="1" si="123"/>
        <v>0</v>
      </c>
      <c r="G688" s="182">
        <f t="shared" ca="1" si="121"/>
        <v>0</v>
      </c>
      <c r="H688" s="182">
        <f t="shared" ca="1" si="122"/>
        <v>43146.946404661103</v>
      </c>
      <c r="I688" s="183">
        <v>0</v>
      </c>
      <c r="J688" s="263">
        <f t="shared" ca="1" si="113"/>
        <v>43146.946404661103</v>
      </c>
      <c r="K688" s="182">
        <f t="shared" ca="1" si="114"/>
        <v>70</v>
      </c>
      <c r="L688" s="182">
        <f t="shared" ca="1" si="115"/>
        <v>16546.946404661132</v>
      </c>
      <c r="M688" s="182">
        <f t="shared" ca="1" si="116"/>
        <v>8400</v>
      </c>
      <c r="N688" s="182">
        <f t="shared" ca="1" si="117"/>
        <v>63726.946404660986</v>
      </c>
      <c r="O688" s="182"/>
    </row>
    <row r="689" spans="1:15" x14ac:dyDescent="0.25">
      <c r="A689" s="180">
        <f t="shared" ca="1" si="118"/>
        <v>46779</v>
      </c>
      <c r="B689" s="181">
        <v>675</v>
      </c>
      <c r="C689" s="182">
        <f t="shared" ca="1" si="119"/>
        <v>43146.946404661103</v>
      </c>
      <c r="D689" s="182">
        <f t="shared" ca="1" si="120"/>
        <v>28.764630936440735</v>
      </c>
      <c r="E689" s="182">
        <v>0</v>
      </c>
      <c r="F689" s="182">
        <f t="shared" ca="1" si="123"/>
        <v>0</v>
      </c>
      <c r="G689" s="182">
        <f t="shared" ca="1" si="121"/>
        <v>0</v>
      </c>
      <c r="H689" s="182">
        <f t="shared" ca="1" si="122"/>
        <v>43175.711035597546</v>
      </c>
      <c r="I689" s="183">
        <v>0</v>
      </c>
      <c r="J689" s="263">
        <f t="shared" ca="1" si="113"/>
        <v>43175.711035597546</v>
      </c>
      <c r="K689" s="182">
        <f t="shared" ca="1" si="114"/>
        <v>70</v>
      </c>
      <c r="L689" s="182">
        <f t="shared" ca="1" si="115"/>
        <v>16575.711035597571</v>
      </c>
      <c r="M689" s="182">
        <f t="shared" ca="1" si="116"/>
        <v>8400</v>
      </c>
      <c r="N689" s="182">
        <f t="shared" ca="1" si="117"/>
        <v>63825.711035597429</v>
      </c>
      <c r="O689" s="182"/>
    </row>
    <row r="690" spans="1:15" x14ac:dyDescent="0.25">
      <c r="A690" s="180">
        <f t="shared" ca="1" si="118"/>
        <v>46780</v>
      </c>
      <c r="B690" s="181">
        <v>676</v>
      </c>
      <c r="C690" s="182">
        <f t="shared" ca="1" si="119"/>
        <v>43175.711035597546</v>
      </c>
      <c r="D690" s="182">
        <f t="shared" ca="1" si="120"/>
        <v>28.783807357065029</v>
      </c>
      <c r="E690" s="182">
        <v>0</v>
      </c>
      <c r="F690" s="182">
        <f t="shared" ca="1" si="123"/>
        <v>0</v>
      </c>
      <c r="G690" s="182">
        <f t="shared" ca="1" si="121"/>
        <v>0</v>
      </c>
      <c r="H690" s="182">
        <f t="shared" ca="1" si="122"/>
        <v>43204.494842954613</v>
      </c>
      <c r="I690" s="183">
        <v>0</v>
      </c>
      <c r="J690" s="263">
        <f t="shared" ca="1" si="113"/>
        <v>43204.494842954613</v>
      </c>
      <c r="K690" s="182">
        <f t="shared" ca="1" si="114"/>
        <v>70</v>
      </c>
      <c r="L690" s="182">
        <f t="shared" ca="1" si="115"/>
        <v>16604.494842954635</v>
      </c>
      <c r="M690" s="182">
        <f t="shared" ca="1" si="116"/>
        <v>8400</v>
      </c>
      <c r="N690" s="182">
        <f t="shared" ca="1" si="117"/>
        <v>63924.494842954497</v>
      </c>
      <c r="O690" s="182"/>
    </row>
    <row r="691" spans="1:15" x14ac:dyDescent="0.25">
      <c r="A691" s="180">
        <f t="shared" ca="1" si="118"/>
        <v>46781</v>
      </c>
      <c r="B691" s="181">
        <v>677</v>
      </c>
      <c r="C691" s="182">
        <f t="shared" ca="1" si="119"/>
        <v>43204.494842954613</v>
      </c>
      <c r="D691" s="182">
        <f t="shared" ca="1" si="120"/>
        <v>28.802996561969742</v>
      </c>
      <c r="E691" s="182">
        <v>0</v>
      </c>
      <c r="F691" s="182">
        <f t="shared" ca="1" si="123"/>
        <v>0</v>
      </c>
      <c r="G691" s="182">
        <f t="shared" ca="1" si="121"/>
        <v>0</v>
      </c>
      <c r="H691" s="182">
        <f t="shared" ca="1" si="122"/>
        <v>43233.297839516585</v>
      </c>
      <c r="I691" s="183">
        <v>0</v>
      </c>
      <c r="J691" s="263">
        <f t="shared" ca="1" si="113"/>
        <v>43233.297839516585</v>
      </c>
      <c r="K691" s="182">
        <f t="shared" ca="1" si="114"/>
        <v>70</v>
      </c>
      <c r="L691" s="182">
        <f t="shared" ca="1" si="115"/>
        <v>16633.297839516603</v>
      </c>
      <c r="M691" s="182">
        <f t="shared" ca="1" si="116"/>
        <v>8400</v>
      </c>
      <c r="N691" s="182">
        <f t="shared" ca="1" si="117"/>
        <v>64023.297839516468</v>
      </c>
      <c r="O691" s="182"/>
    </row>
    <row r="692" spans="1:15" x14ac:dyDescent="0.25">
      <c r="A692" s="180">
        <f t="shared" ca="1" si="118"/>
        <v>46782</v>
      </c>
      <c r="B692" s="181">
        <v>678</v>
      </c>
      <c r="C692" s="182">
        <f t="shared" ca="1" si="119"/>
        <v>43233.297839516585</v>
      </c>
      <c r="D692" s="182">
        <f t="shared" ca="1" si="120"/>
        <v>28.822198559677723</v>
      </c>
      <c r="E692" s="182">
        <v>0</v>
      </c>
      <c r="F692" s="182">
        <f t="shared" ca="1" si="123"/>
        <v>0</v>
      </c>
      <c r="G692" s="182">
        <f t="shared" ca="1" si="121"/>
        <v>0</v>
      </c>
      <c r="H692" s="182">
        <f t="shared" ca="1" si="122"/>
        <v>43262.12003807626</v>
      </c>
      <c r="I692" s="183">
        <v>0</v>
      </c>
      <c r="J692" s="263">
        <f t="shared" ca="1" si="113"/>
        <v>43262.12003807626</v>
      </c>
      <c r="K692" s="182">
        <f t="shared" ca="1" si="114"/>
        <v>70</v>
      </c>
      <c r="L692" s="182">
        <f t="shared" ca="1" si="115"/>
        <v>16662.120038076282</v>
      </c>
      <c r="M692" s="182">
        <f t="shared" ca="1" si="116"/>
        <v>8400</v>
      </c>
      <c r="N692" s="182">
        <f t="shared" ca="1" si="117"/>
        <v>64122.120038076144</v>
      </c>
      <c r="O692" s="182"/>
    </row>
    <row r="693" spans="1:15" x14ac:dyDescent="0.25">
      <c r="A693" s="180">
        <f t="shared" ca="1" si="118"/>
        <v>46783</v>
      </c>
      <c r="B693" s="181">
        <v>679</v>
      </c>
      <c r="C693" s="182">
        <f t="shared" ca="1" si="119"/>
        <v>43262.12003807626</v>
      </c>
      <c r="D693" s="182">
        <f t="shared" ca="1" si="120"/>
        <v>28.841413358717507</v>
      </c>
      <c r="E693" s="182">
        <v>0</v>
      </c>
      <c r="F693" s="182">
        <f t="shared" ca="1" si="123"/>
        <v>0</v>
      </c>
      <c r="G693" s="182">
        <f t="shared" ca="1" si="121"/>
        <v>0</v>
      </c>
      <c r="H693" s="182">
        <f t="shared" ca="1" si="122"/>
        <v>43290.961451434974</v>
      </c>
      <c r="I693" s="183">
        <v>0</v>
      </c>
      <c r="J693" s="263">
        <f t="shared" ca="1" si="113"/>
        <v>43290.961451434974</v>
      </c>
      <c r="K693" s="182">
        <f t="shared" ca="1" si="114"/>
        <v>70</v>
      </c>
      <c r="L693" s="182">
        <f t="shared" ca="1" si="115"/>
        <v>16690.961451435</v>
      </c>
      <c r="M693" s="182">
        <f t="shared" ca="1" si="116"/>
        <v>8400</v>
      </c>
      <c r="N693" s="182">
        <f t="shared" ca="1" si="117"/>
        <v>64220.961451434858</v>
      </c>
      <c r="O693" s="182"/>
    </row>
    <row r="694" spans="1:15" x14ac:dyDescent="0.25">
      <c r="A694" s="180">
        <f t="shared" ca="1" si="118"/>
        <v>46784</v>
      </c>
      <c r="B694" s="181">
        <v>680</v>
      </c>
      <c r="C694" s="182">
        <f t="shared" ca="1" si="119"/>
        <v>43290.961451434974</v>
      </c>
      <c r="D694" s="182">
        <f t="shared" ca="1" si="120"/>
        <v>28.860640967623315</v>
      </c>
      <c r="E694" s="182">
        <v>0</v>
      </c>
      <c r="F694" s="182">
        <f t="shared" ca="1" si="123"/>
        <v>0</v>
      </c>
      <c r="G694" s="182">
        <f t="shared" ca="1" si="121"/>
        <v>0</v>
      </c>
      <c r="H694" s="182">
        <f t="shared" ca="1" si="122"/>
        <v>43319.822092402595</v>
      </c>
      <c r="I694" s="183">
        <v>0</v>
      </c>
      <c r="J694" s="263">
        <f t="shared" ca="1" si="113"/>
        <v>43319.822092402595</v>
      </c>
      <c r="K694" s="182">
        <f t="shared" ca="1" si="114"/>
        <v>70</v>
      </c>
      <c r="L694" s="182">
        <f t="shared" ca="1" si="115"/>
        <v>16719.822092402625</v>
      </c>
      <c r="M694" s="182">
        <f t="shared" ca="1" si="116"/>
        <v>8400</v>
      </c>
      <c r="N694" s="182">
        <f t="shared" ca="1" si="117"/>
        <v>64319.822092402479</v>
      </c>
      <c r="O694" s="182"/>
    </row>
    <row r="695" spans="1:15" x14ac:dyDescent="0.25">
      <c r="A695" s="180">
        <f t="shared" ca="1" si="118"/>
        <v>46785</v>
      </c>
      <c r="B695" s="181">
        <v>681</v>
      </c>
      <c r="C695" s="182">
        <f t="shared" ca="1" si="119"/>
        <v>43319.822092402595</v>
      </c>
      <c r="D695" s="182">
        <f t="shared" ca="1" si="120"/>
        <v>28.879881394935062</v>
      </c>
      <c r="E695" s="182">
        <v>0</v>
      </c>
      <c r="F695" s="182">
        <f t="shared" ca="1" si="123"/>
        <v>0</v>
      </c>
      <c r="G695" s="182">
        <f t="shared" ca="1" si="121"/>
        <v>0</v>
      </c>
      <c r="H695" s="182">
        <f t="shared" ca="1" si="122"/>
        <v>43348.701973797528</v>
      </c>
      <c r="I695" s="183">
        <v>0</v>
      </c>
      <c r="J695" s="263">
        <f t="shared" ca="1" si="113"/>
        <v>43348.701973797528</v>
      </c>
      <c r="K695" s="182">
        <f t="shared" ca="1" si="114"/>
        <v>70</v>
      </c>
      <c r="L695" s="182">
        <f t="shared" ca="1" si="115"/>
        <v>16748.701973797561</v>
      </c>
      <c r="M695" s="182">
        <f t="shared" ca="1" si="116"/>
        <v>8400</v>
      </c>
      <c r="N695" s="182">
        <f t="shared" ca="1" si="117"/>
        <v>64418.701973797411</v>
      </c>
      <c r="O695" s="182"/>
    </row>
    <row r="696" spans="1:15" x14ac:dyDescent="0.25">
      <c r="A696" s="180">
        <f t="shared" ca="1" si="118"/>
        <v>46786</v>
      </c>
      <c r="B696" s="181">
        <v>682</v>
      </c>
      <c r="C696" s="182">
        <f t="shared" ca="1" si="119"/>
        <v>43348.701973797528</v>
      </c>
      <c r="D696" s="182">
        <f t="shared" ca="1" si="120"/>
        <v>28.899134649198352</v>
      </c>
      <c r="E696" s="182">
        <v>0</v>
      </c>
      <c r="F696" s="182">
        <f t="shared" ca="1" si="123"/>
        <v>0</v>
      </c>
      <c r="G696" s="182">
        <f t="shared" ca="1" si="121"/>
        <v>0</v>
      </c>
      <c r="H696" s="182">
        <f t="shared" ca="1" si="122"/>
        <v>43377.601108446725</v>
      </c>
      <c r="I696" s="183">
        <v>0</v>
      </c>
      <c r="J696" s="263">
        <f t="shared" ca="1" si="113"/>
        <v>43377.601108446725</v>
      </c>
      <c r="K696" s="182">
        <f t="shared" ca="1" si="114"/>
        <v>70</v>
      </c>
      <c r="L696" s="182">
        <f t="shared" ca="1" si="115"/>
        <v>16777.601108446757</v>
      </c>
      <c r="M696" s="182">
        <f t="shared" ca="1" si="116"/>
        <v>8400</v>
      </c>
      <c r="N696" s="182">
        <f t="shared" ca="1" si="117"/>
        <v>64517.601108446608</v>
      </c>
      <c r="O696" s="182"/>
    </row>
    <row r="697" spans="1:15" x14ac:dyDescent="0.25">
      <c r="A697" s="180">
        <f t="shared" ca="1" si="118"/>
        <v>46787</v>
      </c>
      <c r="B697" s="181">
        <v>683</v>
      </c>
      <c r="C697" s="182">
        <f t="shared" ca="1" si="119"/>
        <v>43377.601108446725</v>
      </c>
      <c r="D697" s="182">
        <f t="shared" ca="1" si="120"/>
        <v>28.918400738964483</v>
      </c>
      <c r="E697" s="182">
        <v>0</v>
      </c>
      <c r="F697" s="182">
        <f t="shared" ca="1" si="123"/>
        <v>0</v>
      </c>
      <c r="G697" s="182">
        <f t="shared" ca="1" si="121"/>
        <v>0</v>
      </c>
      <c r="H697" s="182">
        <f t="shared" ca="1" si="122"/>
        <v>43406.519509185688</v>
      </c>
      <c r="I697" s="183">
        <v>0</v>
      </c>
      <c r="J697" s="263">
        <f t="shared" ca="1" si="113"/>
        <v>43406.519509185688</v>
      </c>
      <c r="K697" s="182">
        <f t="shared" ca="1" si="114"/>
        <v>70</v>
      </c>
      <c r="L697" s="182">
        <f t="shared" ca="1" si="115"/>
        <v>16806.51950918572</v>
      </c>
      <c r="M697" s="182">
        <f t="shared" ca="1" si="116"/>
        <v>8400</v>
      </c>
      <c r="N697" s="182">
        <f t="shared" ca="1" si="117"/>
        <v>64616.519509185571</v>
      </c>
      <c r="O697" s="182"/>
    </row>
    <row r="698" spans="1:15" x14ac:dyDescent="0.25">
      <c r="A698" s="180">
        <f t="shared" ca="1" si="118"/>
        <v>46788</v>
      </c>
      <c r="B698" s="181">
        <v>684</v>
      </c>
      <c r="C698" s="182">
        <f t="shared" ca="1" si="119"/>
        <v>43406.519509185688</v>
      </c>
      <c r="D698" s="182">
        <f t="shared" ca="1" si="120"/>
        <v>28.937679672790459</v>
      </c>
      <c r="E698" s="182">
        <v>0</v>
      </c>
      <c r="F698" s="182">
        <f t="shared" ca="1" si="123"/>
        <v>0</v>
      </c>
      <c r="G698" s="182">
        <f t="shared" ca="1" si="121"/>
        <v>0</v>
      </c>
      <c r="H698" s="182">
        <f t="shared" ca="1" si="122"/>
        <v>43435.457188858476</v>
      </c>
      <c r="I698" s="183">
        <v>0</v>
      </c>
      <c r="J698" s="263">
        <f t="shared" ca="1" si="113"/>
        <v>43435.457188858476</v>
      </c>
      <c r="K698" s="182">
        <f t="shared" ca="1" si="114"/>
        <v>70</v>
      </c>
      <c r="L698" s="182">
        <f t="shared" ca="1" si="115"/>
        <v>16835.457188858512</v>
      </c>
      <c r="M698" s="182">
        <f t="shared" ca="1" si="116"/>
        <v>8400</v>
      </c>
      <c r="N698" s="182">
        <f t="shared" ca="1" si="117"/>
        <v>64715.45718885836</v>
      </c>
      <c r="O698" s="182"/>
    </row>
    <row r="699" spans="1:15" x14ac:dyDescent="0.25">
      <c r="A699" s="180">
        <f t="shared" ca="1" si="118"/>
        <v>46789</v>
      </c>
      <c r="B699" s="181">
        <v>685</v>
      </c>
      <c r="C699" s="182">
        <f t="shared" ca="1" si="119"/>
        <v>43435.457188858476</v>
      </c>
      <c r="D699" s="182">
        <f t="shared" ca="1" si="120"/>
        <v>28.956971459238982</v>
      </c>
      <c r="E699" s="182">
        <v>0</v>
      </c>
      <c r="F699" s="182">
        <f t="shared" ca="1" si="123"/>
        <v>0</v>
      </c>
      <c r="G699" s="182">
        <f t="shared" ca="1" si="121"/>
        <v>0</v>
      </c>
      <c r="H699" s="182">
        <f t="shared" ca="1" si="122"/>
        <v>43464.414160317712</v>
      </c>
      <c r="I699" s="183">
        <v>0</v>
      </c>
      <c r="J699" s="263">
        <f t="shared" ca="1" si="113"/>
        <v>43464.414160317712</v>
      </c>
      <c r="K699" s="182">
        <f t="shared" ca="1" si="114"/>
        <v>70</v>
      </c>
      <c r="L699" s="182">
        <f t="shared" ca="1" si="115"/>
        <v>16864.414160317752</v>
      </c>
      <c r="M699" s="182">
        <f t="shared" ca="1" si="116"/>
        <v>8400</v>
      </c>
      <c r="N699" s="182">
        <f t="shared" ca="1" si="117"/>
        <v>64814.414160317596</v>
      </c>
      <c r="O699" s="182"/>
    </row>
    <row r="700" spans="1:15" x14ac:dyDescent="0.25">
      <c r="A700" s="180">
        <f t="shared" ca="1" si="118"/>
        <v>46790</v>
      </c>
      <c r="B700" s="181">
        <v>686</v>
      </c>
      <c r="C700" s="182">
        <f t="shared" ca="1" si="119"/>
        <v>43464.414160317712</v>
      </c>
      <c r="D700" s="182">
        <f t="shared" ca="1" si="120"/>
        <v>28.976276106878473</v>
      </c>
      <c r="E700" s="182">
        <v>0</v>
      </c>
      <c r="F700" s="182">
        <f t="shared" ca="1" si="123"/>
        <v>0</v>
      </c>
      <c r="G700" s="182">
        <f t="shared" ca="1" si="121"/>
        <v>0</v>
      </c>
      <c r="H700" s="182">
        <f t="shared" ca="1" si="122"/>
        <v>43493.39043642459</v>
      </c>
      <c r="I700" s="183">
        <v>0</v>
      </c>
      <c r="J700" s="263">
        <f t="shared" ca="1" si="113"/>
        <v>43493.39043642459</v>
      </c>
      <c r="K700" s="182">
        <f t="shared" ca="1" si="114"/>
        <v>70</v>
      </c>
      <c r="L700" s="182">
        <f t="shared" ca="1" si="115"/>
        <v>16893.39043642463</v>
      </c>
      <c r="M700" s="182">
        <f t="shared" ca="1" si="116"/>
        <v>8400</v>
      </c>
      <c r="N700" s="182">
        <f t="shared" ca="1" si="117"/>
        <v>64913.390436424474</v>
      </c>
      <c r="O700" s="182"/>
    </row>
    <row r="701" spans="1:15" x14ac:dyDescent="0.25">
      <c r="A701" s="180">
        <f t="shared" ca="1" si="118"/>
        <v>46791</v>
      </c>
      <c r="B701" s="181">
        <v>687</v>
      </c>
      <c r="C701" s="182">
        <f t="shared" ca="1" si="119"/>
        <v>43493.39043642459</v>
      </c>
      <c r="D701" s="182">
        <f t="shared" ca="1" si="120"/>
        <v>28.99559362428306</v>
      </c>
      <c r="E701" s="182">
        <v>0</v>
      </c>
      <c r="F701" s="182">
        <f t="shared" ca="1" si="123"/>
        <v>0</v>
      </c>
      <c r="G701" s="182">
        <f t="shared" ca="1" si="121"/>
        <v>0</v>
      </c>
      <c r="H701" s="182">
        <f t="shared" ca="1" si="122"/>
        <v>43522.386030048874</v>
      </c>
      <c r="I701" s="183">
        <v>0</v>
      </c>
      <c r="J701" s="263">
        <f t="shared" ca="1" si="113"/>
        <v>43522.386030048874</v>
      </c>
      <c r="K701" s="182">
        <f t="shared" ca="1" si="114"/>
        <v>70</v>
      </c>
      <c r="L701" s="182">
        <f t="shared" ca="1" si="115"/>
        <v>16922.386030048914</v>
      </c>
      <c r="M701" s="182">
        <f t="shared" ca="1" si="116"/>
        <v>8400</v>
      </c>
      <c r="N701" s="182">
        <f t="shared" ca="1" si="117"/>
        <v>65012.386030048758</v>
      </c>
      <c r="O701" s="182"/>
    </row>
    <row r="702" spans="1:15" x14ac:dyDescent="0.25">
      <c r="A702" s="180">
        <f t="shared" ca="1" si="118"/>
        <v>46792</v>
      </c>
      <c r="B702" s="181">
        <v>688</v>
      </c>
      <c r="C702" s="182">
        <f t="shared" ca="1" si="119"/>
        <v>43522.386030048874</v>
      </c>
      <c r="D702" s="182">
        <f t="shared" ca="1" si="120"/>
        <v>29.014924020032581</v>
      </c>
      <c r="E702" s="182">
        <v>0</v>
      </c>
      <c r="F702" s="182">
        <f t="shared" ca="1" si="123"/>
        <v>0</v>
      </c>
      <c r="G702" s="182">
        <f t="shared" ca="1" si="121"/>
        <v>0</v>
      </c>
      <c r="H702" s="182">
        <f t="shared" ca="1" si="122"/>
        <v>43551.400954068908</v>
      </c>
      <c r="I702" s="183">
        <v>0</v>
      </c>
      <c r="J702" s="263">
        <f t="shared" ca="1" si="113"/>
        <v>43551.400954068908</v>
      </c>
      <c r="K702" s="182">
        <f t="shared" ca="1" si="114"/>
        <v>70</v>
      </c>
      <c r="L702" s="182">
        <f t="shared" ca="1" si="115"/>
        <v>16951.400954068948</v>
      </c>
      <c r="M702" s="182">
        <f t="shared" ca="1" si="116"/>
        <v>8400</v>
      </c>
      <c r="N702" s="182">
        <f t="shared" ca="1" si="117"/>
        <v>65111.400954068791</v>
      </c>
      <c r="O702" s="182"/>
    </row>
    <row r="703" spans="1:15" x14ac:dyDescent="0.25">
      <c r="A703" s="180">
        <f t="shared" ca="1" si="118"/>
        <v>46793</v>
      </c>
      <c r="B703" s="181">
        <v>689</v>
      </c>
      <c r="C703" s="182">
        <f t="shared" ca="1" si="119"/>
        <v>43551.400954068908</v>
      </c>
      <c r="D703" s="182">
        <f t="shared" ca="1" si="120"/>
        <v>29.034267302712603</v>
      </c>
      <c r="E703" s="182">
        <v>0</v>
      </c>
      <c r="F703" s="182">
        <f t="shared" ca="1" si="123"/>
        <v>0</v>
      </c>
      <c r="G703" s="182">
        <f t="shared" ca="1" si="121"/>
        <v>0</v>
      </c>
      <c r="H703" s="182">
        <f t="shared" ca="1" si="122"/>
        <v>43580.435221371619</v>
      </c>
      <c r="I703" s="183">
        <v>0</v>
      </c>
      <c r="J703" s="263">
        <f t="shared" ca="1" si="113"/>
        <v>43580.435221371619</v>
      </c>
      <c r="K703" s="182">
        <f t="shared" ca="1" si="114"/>
        <v>70</v>
      </c>
      <c r="L703" s="182">
        <f t="shared" ca="1" si="115"/>
        <v>16980.435221371659</v>
      </c>
      <c r="M703" s="182">
        <f t="shared" ca="1" si="116"/>
        <v>8400</v>
      </c>
      <c r="N703" s="182">
        <f t="shared" ca="1" si="117"/>
        <v>65210.435221371503</v>
      </c>
      <c r="O703" s="182"/>
    </row>
    <row r="704" spans="1:15" x14ac:dyDescent="0.25">
      <c r="A704" s="180">
        <f t="shared" ca="1" si="118"/>
        <v>46794</v>
      </c>
      <c r="B704" s="181">
        <v>690</v>
      </c>
      <c r="C704" s="182">
        <f t="shared" ca="1" si="119"/>
        <v>43580.435221371619</v>
      </c>
      <c r="D704" s="182">
        <f t="shared" ca="1" si="120"/>
        <v>29.05362348091441</v>
      </c>
      <c r="E704" s="182">
        <v>0</v>
      </c>
      <c r="F704" s="182">
        <f t="shared" ca="1" si="123"/>
        <v>0</v>
      </c>
      <c r="G704" s="182">
        <f t="shared" ca="1" si="121"/>
        <v>0</v>
      </c>
      <c r="H704" s="182">
        <f t="shared" ca="1" si="122"/>
        <v>43609.488844852531</v>
      </c>
      <c r="I704" s="183">
        <v>0</v>
      </c>
      <c r="J704" s="263">
        <f t="shared" ca="1" si="113"/>
        <v>43609.488844852531</v>
      </c>
      <c r="K704" s="182">
        <f t="shared" ca="1" si="114"/>
        <v>70</v>
      </c>
      <c r="L704" s="182">
        <f t="shared" ca="1" si="115"/>
        <v>17009.488844852574</v>
      </c>
      <c r="M704" s="182">
        <f t="shared" ca="1" si="116"/>
        <v>8400</v>
      </c>
      <c r="N704" s="182">
        <f t="shared" ca="1" si="117"/>
        <v>65309.488844852414</v>
      </c>
      <c r="O704" s="182"/>
    </row>
    <row r="705" spans="1:15" x14ac:dyDescent="0.25">
      <c r="A705" s="180">
        <f t="shared" ca="1" si="118"/>
        <v>46795</v>
      </c>
      <c r="B705" s="181">
        <v>691</v>
      </c>
      <c r="C705" s="182">
        <f t="shared" ca="1" si="119"/>
        <v>43609.488844852531</v>
      </c>
      <c r="D705" s="182">
        <f t="shared" ca="1" si="120"/>
        <v>29.072992563235019</v>
      </c>
      <c r="E705" s="182">
        <v>0</v>
      </c>
      <c r="F705" s="182">
        <f t="shared" ca="1" si="123"/>
        <v>0</v>
      </c>
      <c r="G705" s="182">
        <f t="shared" ca="1" si="121"/>
        <v>0</v>
      </c>
      <c r="H705" s="182">
        <f t="shared" ca="1" si="122"/>
        <v>43638.561837415764</v>
      </c>
      <c r="I705" s="183">
        <v>0</v>
      </c>
      <c r="J705" s="263">
        <f t="shared" ca="1" si="113"/>
        <v>43638.561837415764</v>
      </c>
      <c r="K705" s="182">
        <f t="shared" ca="1" si="114"/>
        <v>70</v>
      </c>
      <c r="L705" s="182">
        <f t="shared" ca="1" si="115"/>
        <v>17038.561837415811</v>
      </c>
      <c r="M705" s="182">
        <f t="shared" ca="1" si="116"/>
        <v>8400</v>
      </c>
      <c r="N705" s="182">
        <f t="shared" ca="1" si="117"/>
        <v>65408.561837415647</v>
      </c>
      <c r="O705" s="182"/>
    </row>
    <row r="706" spans="1:15" x14ac:dyDescent="0.25">
      <c r="A706" s="180">
        <f t="shared" ca="1" si="118"/>
        <v>46796</v>
      </c>
      <c r="B706" s="181">
        <v>692</v>
      </c>
      <c r="C706" s="182">
        <f t="shared" ca="1" si="119"/>
        <v>43638.561837415764</v>
      </c>
      <c r="D706" s="182">
        <f t="shared" ca="1" si="120"/>
        <v>29.092374558277175</v>
      </c>
      <c r="E706" s="182">
        <v>0</v>
      </c>
      <c r="F706" s="182">
        <f t="shared" ca="1" si="123"/>
        <v>0</v>
      </c>
      <c r="G706" s="182">
        <f t="shared" ca="1" si="121"/>
        <v>0</v>
      </c>
      <c r="H706" s="182">
        <f t="shared" ca="1" si="122"/>
        <v>43667.654211974041</v>
      </c>
      <c r="I706" s="183">
        <v>0</v>
      </c>
      <c r="J706" s="263">
        <f t="shared" ca="1" si="113"/>
        <v>43667.654211974041</v>
      </c>
      <c r="K706" s="182">
        <f t="shared" ca="1" si="114"/>
        <v>70</v>
      </c>
      <c r="L706" s="182">
        <f t="shared" ca="1" si="115"/>
        <v>17067.654211974088</v>
      </c>
      <c r="M706" s="182">
        <f t="shared" ca="1" si="116"/>
        <v>8400</v>
      </c>
      <c r="N706" s="182">
        <f t="shared" ca="1" si="117"/>
        <v>65507.654211973924</v>
      </c>
      <c r="O706" s="182"/>
    </row>
    <row r="707" spans="1:15" x14ac:dyDescent="0.25">
      <c r="A707" s="180">
        <f t="shared" ca="1" si="118"/>
        <v>46797</v>
      </c>
      <c r="B707" s="181">
        <v>693</v>
      </c>
      <c r="C707" s="182">
        <f t="shared" ca="1" si="119"/>
        <v>43667.654211974041</v>
      </c>
      <c r="D707" s="182">
        <f t="shared" ca="1" si="120"/>
        <v>29.11176947464936</v>
      </c>
      <c r="E707" s="182">
        <v>0</v>
      </c>
      <c r="F707" s="182">
        <f t="shared" ca="1" si="123"/>
        <v>0</v>
      </c>
      <c r="G707" s="182">
        <f t="shared" ca="1" si="121"/>
        <v>0</v>
      </c>
      <c r="H707" s="182">
        <f t="shared" ca="1" si="122"/>
        <v>43696.765981448691</v>
      </c>
      <c r="I707" s="183">
        <v>0</v>
      </c>
      <c r="J707" s="263">
        <f t="shared" ca="1" si="113"/>
        <v>43696.765981448691</v>
      </c>
      <c r="K707" s="182">
        <f t="shared" ca="1" si="114"/>
        <v>70</v>
      </c>
      <c r="L707" s="182">
        <f t="shared" ca="1" si="115"/>
        <v>17096.765981448738</v>
      </c>
      <c r="M707" s="182">
        <f t="shared" ca="1" si="116"/>
        <v>8400</v>
      </c>
      <c r="N707" s="182">
        <f t="shared" ca="1" si="117"/>
        <v>65606.765981448567</v>
      </c>
      <c r="O707" s="182"/>
    </row>
    <row r="708" spans="1:15" x14ac:dyDescent="0.25">
      <c r="A708" s="180">
        <f t="shared" ca="1" si="118"/>
        <v>46798</v>
      </c>
      <c r="B708" s="181">
        <v>694</v>
      </c>
      <c r="C708" s="182">
        <f t="shared" ca="1" si="119"/>
        <v>43696.765981448691</v>
      </c>
      <c r="D708" s="182">
        <f t="shared" ca="1" si="120"/>
        <v>29.131177320965794</v>
      </c>
      <c r="E708" s="182">
        <v>0</v>
      </c>
      <c r="F708" s="182">
        <f t="shared" ca="1" si="123"/>
        <v>0</v>
      </c>
      <c r="G708" s="182">
        <f t="shared" ca="1" si="121"/>
        <v>0</v>
      </c>
      <c r="H708" s="182">
        <f t="shared" ca="1" si="122"/>
        <v>43725.897158769658</v>
      </c>
      <c r="I708" s="183">
        <v>0</v>
      </c>
      <c r="J708" s="263">
        <f t="shared" ca="1" si="113"/>
        <v>43725.897158769658</v>
      </c>
      <c r="K708" s="182">
        <f t="shared" ca="1" si="114"/>
        <v>70</v>
      </c>
      <c r="L708" s="182">
        <f t="shared" ca="1" si="115"/>
        <v>17125.897158769705</v>
      </c>
      <c r="M708" s="182">
        <f t="shared" ca="1" si="116"/>
        <v>8400</v>
      </c>
      <c r="N708" s="182">
        <f t="shared" ca="1" si="117"/>
        <v>65705.897158769527</v>
      </c>
      <c r="O708" s="182"/>
    </row>
    <row r="709" spans="1:15" x14ac:dyDescent="0.25">
      <c r="A709" s="180">
        <f t="shared" ca="1" si="118"/>
        <v>46799</v>
      </c>
      <c r="B709" s="181">
        <v>695</v>
      </c>
      <c r="C709" s="182">
        <f t="shared" ca="1" si="119"/>
        <v>43725.897158769658</v>
      </c>
      <c r="D709" s="182">
        <f t="shared" ca="1" si="120"/>
        <v>29.150598105846438</v>
      </c>
      <c r="E709" s="182">
        <v>0</v>
      </c>
      <c r="F709" s="182">
        <f t="shared" ca="1" si="123"/>
        <v>0</v>
      </c>
      <c r="G709" s="182">
        <f t="shared" ca="1" si="121"/>
        <v>0</v>
      </c>
      <c r="H709" s="182">
        <f t="shared" ca="1" si="122"/>
        <v>43755.047756875501</v>
      </c>
      <c r="I709" s="183">
        <v>0</v>
      </c>
      <c r="J709" s="263">
        <f t="shared" ca="1" si="113"/>
        <v>43755.047756875501</v>
      </c>
      <c r="K709" s="182">
        <f t="shared" ca="1" si="114"/>
        <v>70</v>
      </c>
      <c r="L709" s="182">
        <f t="shared" ca="1" si="115"/>
        <v>17155.047756875552</v>
      </c>
      <c r="M709" s="182">
        <f t="shared" ca="1" si="116"/>
        <v>8400</v>
      </c>
      <c r="N709" s="182">
        <f t="shared" ca="1" si="117"/>
        <v>65805.04775687537</v>
      </c>
      <c r="O709" s="182"/>
    </row>
    <row r="710" spans="1:15" x14ac:dyDescent="0.25">
      <c r="A710" s="180">
        <f t="shared" ca="1" si="118"/>
        <v>46800</v>
      </c>
      <c r="B710" s="181">
        <v>696</v>
      </c>
      <c r="C710" s="182">
        <f t="shared" ca="1" si="119"/>
        <v>43755.047756875501</v>
      </c>
      <c r="D710" s="182">
        <f t="shared" ca="1" si="120"/>
        <v>29.170031837917001</v>
      </c>
      <c r="E710" s="182">
        <v>0</v>
      </c>
      <c r="F710" s="182">
        <f t="shared" ca="1" si="123"/>
        <v>0</v>
      </c>
      <c r="G710" s="182">
        <f t="shared" ca="1" si="121"/>
        <v>0</v>
      </c>
      <c r="H710" s="182">
        <f t="shared" ca="1" si="122"/>
        <v>43784.217788713417</v>
      </c>
      <c r="I710" s="183">
        <v>0</v>
      </c>
      <c r="J710" s="263">
        <f t="shared" ca="1" si="113"/>
        <v>43784.217788713417</v>
      </c>
      <c r="K710" s="182">
        <f t="shared" ca="1" si="114"/>
        <v>70</v>
      </c>
      <c r="L710" s="182">
        <f t="shared" ca="1" si="115"/>
        <v>17184.217788713468</v>
      </c>
      <c r="M710" s="182">
        <f t="shared" ca="1" si="116"/>
        <v>8400</v>
      </c>
      <c r="N710" s="182">
        <f t="shared" ca="1" si="117"/>
        <v>65904.217788713286</v>
      </c>
      <c r="O710" s="182"/>
    </row>
    <row r="711" spans="1:15" x14ac:dyDescent="0.25">
      <c r="A711" s="180">
        <f t="shared" ca="1" si="118"/>
        <v>46801</v>
      </c>
      <c r="B711" s="181">
        <v>697</v>
      </c>
      <c r="C711" s="182">
        <f t="shared" ca="1" si="119"/>
        <v>43784.217788713417</v>
      </c>
      <c r="D711" s="182">
        <f t="shared" ca="1" si="120"/>
        <v>29.189478525808944</v>
      </c>
      <c r="E711" s="182">
        <v>0</v>
      </c>
      <c r="F711" s="182">
        <f t="shared" ca="1" si="123"/>
        <v>0</v>
      </c>
      <c r="G711" s="182">
        <f t="shared" ca="1" si="121"/>
        <v>0</v>
      </c>
      <c r="H711" s="182">
        <f t="shared" ca="1" si="122"/>
        <v>43813.407267239229</v>
      </c>
      <c r="I711" s="183">
        <v>0</v>
      </c>
      <c r="J711" s="263">
        <f t="shared" ca="1" si="113"/>
        <v>43813.407267239229</v>
      </c>
      <c r="K711" s="182">
        <f t="shared" ca="1" si="114"/>
        <v>70</v>
      </c>
      <c r="L711" s="182">
        <f t="shared" ca="1" si="115"/>
        <v>17213.407267239276</v>
      </c>
      <c r="M711" s="182">
        <f t="shared" ca="1" si="116"/>
        <v>8400</v>
      </c>
      <c r="N711" s="182">
        <f t="shared" ca="1" si="117"/>
        <v>66003.40726723909</v>
      </c>
      <c r="O711" s="182"/>
    </row>
    <row r="712" spans="1:15" x14ac:dyDescent="0.25">
      <c r="A712" s="180">
        <f t="shared" ca="1" si="118"/>
        <v>46802</v>
      </c>
      <c r="B712" s="181">
        <v>698</v>
      </c>
      <c r="C712" s="182">
        <f t="shared" ca="1" si="119"/>
        <v>43813.407267239229</v>
      </c>
      <c r="D712" s="182">
        <f t="shared" ca="1" si="120"/>
        <v>29.208938178159485</v>
      </c>
      <c r="E712" s="182">
        <v>0</v>
      </c>
      <c r="F712" s="182">
        <f t="shared" ca="1" si="123"/>
        <v>0</v>
      </c>
      <c r="G712" s="182">
        <f t="shared" ca="1" si="121"/>
        <v>0</v>
      </c>
      <c r="H712" s="182">
        <f t="shared" ca="1" si="122"/>
        <v>43842.616205417391</v>
      </c>
      <c r="I712" s="183">
        <v>0</v>
      </c>
      <c r="J712" s="263">
        <f t="shared" ca="1" si="113"/>
        <v>43842.616205417391</v>
      </c>
      <c r="K712" s="182">
        <f t="shared" ca="1" si="114"/>
        <v>70</v>
      </c>
      <c r="L712" s="182">
        <f t="shared" ca="1" si="115"/>
        <v>17242.616205417435</v>
      </c>
      <c r="M712" s="182">
        <f t="shared" ca="1" si="116"/>
        <v>8400</v>
      </c>
      <c r="N712" s="182">
        <f t="shared" ca="1" si="117"/>
        <v>66102.616205417246</v>
      </c>
      <c r="O712" s="182"/>
    </row>
    <row r="713" spans="1:15" x14ac:dyDescent="0.25">
      <c r="A713" s="180">
        <f t="shared" ca="1" si="118"/>
        <v>46803</v>
      </c>
      <c r="B713" s="181">
        <v>699</v>
      </c>
      <c r="C713" s="182">
        <f t="shared" ca="1" si="119"/>
        <v>43842.616205417391</v>
      </c>
      <c r="D713" s="182">
        <f t="shared" ca="1" si="120"/>
        <v>29.228410803611592</v>
      </c>
      <c r="E713" s="182">
        <v>0</v>
      </c>
      <c r="F713" s="182">
        <f t="shared" ca="1" si="123"/>
        <v>0</v>
      </c>
      <c r="G713" s="182">
        <f t="shared" ca="1" si="121"/>
        <v>0</v>
      </c>
      <c r="H713" s="182">
        <f t="shared" ca="1" si="122"/>
        <v>43871.844616221002</v>
      </c>
      <c r="I713" s="183">
        <v>0</v>
      </c>
      <c r="J713" s="263">
        <f t="shared" ca="1" si="113"/>
        <v>43871.844616221002</v>
      </c>
      <c r="K713" s="182">
        <f t="shared" ca="1" si="114"/>
        <v>70</v>
      </c>
      <c r="L713" s="182">
        <f t="shared" ca="1" si="115"/>
        <v>17271.844616221046</v>
      </c>
      <c r="M713" s="182">
        <f t="shared" ca="1" si="116"/>
        <v>8400</v>
      </c>
      <c r="N713" s="182">
        <f t="shared" ca="1" si="117"/>
        <v>66201.844616220857</v>
      </c>
      <c r="O713" s="182"/>
    </row>
    <row r="714" spans="1:15" x14ac:dyDescent="0.25">
      <c r="A714" s="180">
        <f t="shared" ca="1" si="118"/>
        <v>46804</v>
      </c>
      <c r="B714" s="181">
        <v>700</v>
      </c>
      <c r="C714" s="182">
        <f t="shared" ca="1" si="119"/>
        <v>43871.844616221002</v>
      </c>
      <c r="D714" s="182">
        <f t="shared" ca="1" si="120"/>
        <v>29.247896410814</v>
      </c>
      <c r="E714" s="182">
        <v>0</v>
      </c>
      <c r="F714" s="182">
        <f t="shared" ca="1" si="123"/>
        <v>0</v>
      </c>
      <c r="G714" s="182">
        <f t="shared" ca="1" si="121"/>
        <v>0</v>
      </c>
      <c r="H714" s="182">
        <f t="shared" ca="1" si="122"/>
        <v>43901.092512631818</v>
      </c>
      <c r="I714" s="183">
        <v>0</v>
      </c>
      <c r="J714" s="263">
        <f t="shared" ca="1" si="113"/>
        <v>43901.092512631818</v>
      </c>
      <c r="K714" s="182">
        <f t="shared" ca="1" si="114"/>
        <v>70</v>
      </c>
      <c r="L714" s="182">
        <f t="shared" ca="1" si="115"/>
        <v>17301.092512631858</v>
      </c>
      <c r="M714" s="182">
        <f t="shared" ca="1" si="116"/>
        <v>8400</v>
      </c>
      <c r="N714" s="182">
        <f t="shared" ca="1" si="117"/>
        <v>66301.092512631672</v>
      </c>
      <c r="O714" s="182"/>
    </row>
    <row r="715" spans="1:15" x14ac:dyDescent="0.25">
      <c r="A715" s="180">
        <f t="shared" ca="1" si="118"/>
        <v>46805</v>
      </c>
      <c r="B715" s="181">
        <v>701</v>
      </c>
      <c r="C715" s="182">
        <f t="shared" ca="1" si="119"/>
        <v>43901.092512631818</v>
      </c>
      <c r="D715" s="182">
        <f t="shared" ca="1" si="120"/>
        <v>29.267395008421211</v>
      </c>
      <c r="E715" s="182">
        <v>0</v>
      </c>
      <c r="F715" s="182">
        <f t="shared" ca="1" si="123"/>
        <v>0</v>
      </c>
      <c r="G715" s="182">
        <f t="shared" ca="1" si="121"/>
        <v>0</v>
      </c>
      <c r="H715" s="182">
        <f t="shared" ca="1" si="122"/>
        <v>43930.359907640239</v>
      </c>
      <c r="I715" s="183">
        <v>0</v>
      </c>
      <c r="J715" s="263">
        <f t="shared" ca="1" si="113"/>
        <v>43930.359907640239</v>
      </c>
      <c r="K715" s="182">
        <f t="shared" ca="1" si="114"/>
        <v>70</v>
      </c>
      <c r="L715" s="182">
        <f t="shared" ca="1" si="115"/>
        <v>17330.359907640279</v>
      </c>
      <c r="M715" s="182">
        <f t="shared" ca="1" si="116"/>
        <v>8400</v>
      </c>
      <c r="N715" s="182">
        <f t="shared" ca="1" si="117"/>
        <v>66400.359907640101</v>
      </c>
      <c r="O715" s="182"/>
    </row>
    <row r="716" spans="1:15" x14ac:dyDescent="0.25">
      <c r="A716" s="180">
        <f t="shared" ca="1" si="118"/>
        <v>46806</v>
      </c>
      <c r="B716" s="181">
        <v>702</v>
      </c>
      <c r="C716" s="182">
        <f t="shared" ca="1" si="119"/>
        <v>43930.359907640239</v>
      </c>
      <c r="D716" s="182">
        <f t="shared" ca="1" si="120"/>
        <v>29.286906605093492</v>
      </c>
      <c r="E716" s="182">
        <v>0</v>
      </c>
      <c r="F716" s="182">
        <f t="shared" ca="1" si="123"/>
        <v>0</v>
      </c>
      <c r="G716" s="182">
        <f t="shared" ca="1" si="121"/>
        <v>0</v>
      </c>
      <c r="H716" s="182">
        <f t="shared" ca="1" si="122"/>
        <v>43959.64681424533</v>
      </c>
      <c r="I716" s="183">
        <v>0</v>
      </c>
      <c r="J716" s="263">
        <f t="shared" ca="1" si="113"/>
        <v>43959.64681424533</v>
      </c>
      <c r="K716" s="182">
        <f t="shared" ca="1" si="114"/>
        <v>70</v>
      </c>
      <c r="L716" s="182">
        <f t="shared" ca="1" si="115"/>
        <v>17359.646814245374</v>
      </c>
      <c r="M716" s="182">
        <f t="shared" ca="1" si="116"/>
        <v>8400</v>
      </c>
      <c r="N716" s="182">
        <f t="shared" ca="1" si="117"/>
        <v>66499.646814245192</v>
      </c>
      <c r="O716" s="182"/>
    </row>
    <row r="717" spans="1:15" x14ac:dyDescent="0.25">
      <c r="A717" s="180">
        <f t="shared" ca="1" si="118"/>
        <v>46807</v>
      </c>
      <c r="B717" s="181">
        <v>703</v>
      </c>
      <c r="C717" s="182">
        <f t="shared" ca="1" si="119"/>
        <v>43959.64681424533</v>
      </c>
      <c r="D717" s="182">
        <f t="shared" ca="1" si="120"/>
        <v>29.306431209496886</v>
      </c>
      <c r="E717" s="182">
        <v>0</v>
      </c>
      <c r="F717" s="182">
        <f t="shared" ca="1" si="123"/>
        <v>0</v>
      </c>
      <c r="G717" s="182">
        <f t="shared" ca="1" si="121"/>
        <v>0</v>
      </c>
      <c r="H717" s="182">
        <f t="shared" ca="1" si="122"/>
        <v>43988.953245454824</v>
      </c>
      <c r="I717" s="183">
        <v>0</v>
      </c>
      <c r="J717" s="263">
        <f t="shared" ca="1" si="113"/>
        <v>43988.953245454824</v>
      </c>
      <c r="K717" s="182">
        <f t="shared" ca="1" si="114"/>
        <v>70</v>
      </c>
      <c r="L717" s="182">
        <f t="shared" ca="1" si="115"/>
        <v>17388.953245454872</v>
      </c>
      <c r="M717" s="182">
        <f t="shared" ca="1" si="116"/>
        <v>8400</v>
      </c>
      <c r="N717" s="182">
        <f t="shared" ca="1" si="117"/>
        <v>66598.953245454686</v>
      </c>
      <c r="O717" s="182"/>
    </row>
    <row r="718" spans="1:15" x14ac:dyDescent="0.25">
      <c r="A718" s="180">
        <f t="shared" ca="1" si="118"/>
        <v>46808</v>
      </c>
      <c r="B718" s="181">
        <v>704</v>
      </c>
      <c r="C718" s="182">
        <f t="shared" ca="1" si="119"/>
        <v>43988.953245454824</v>
      </c>
      <c r="D718" s="182">
        <f t="shared" ca="1" si="120"/>
        <v>29.325968830303214</v>
      </c>
      <c r="E718" s="182">
        <v>0</v>
      </c>
      <c r="F718" s="182">
        <f t="shared" ca="1" si="123"/>
        <v>0</v>
      </c>
      <c r="G718" s="182">
        <f t="shared" ca="1" si="121"/>
        <v>0</v>
      </c>
      <c r="H718" s="182">
        <f t="shared" ca="1" si="122"/>
        <v>44018.279214285125</v>
      </c>
      <c r="I718" s="183">
        <v>0</v>
      </c>
      <c r="J718" s="263">
        <f t="shared" ca="1" si="113"/>
        <v>44018.279214285125</v>
      </c>
      <c r="K718" s="182">
        <f t="shared" ca="1" si="114"/>
        <v>70</v>
      </c>
      <c r="L718" s="182">
        <f t="shared" ca="1" si="115"/>
        <v>17418.279214285176</v>
      </c>
      <c r="M718" s="182">
        <f t="shared" ca="1" si="116"/>
        <v>8400</v>
      </c>
      <c r="N718" s="182">
        <f t="shared" ca="1" si="117"/>
        <v>66698.279214284994</v>
      </c>
      <c r="O718" s="182"/>
    </row>
    <row r="719" spans="1:15" x14ac:dyDescent="0.25">
      <c r="A719" s="180">
        <f t="shared" ca="1" si="118"/>
        <v>46809</v>
      </c>
      <c r="B719" s="181">
        <v>705</v>
      </c>
      <c r="C719" s="182">
        <f t="shared" ca="1" si="119"/>
        <v>44018.279214285125</v>
      </c>
      <c r="D719" s="182">
        <f t="shared" ca="1" si="120"/>
        <v>29.345519476190081</v>
      </c>
      <c r="E719" s="182">
        <v>0</v>
      </c>
      <c r="F719" s="182">
        <f t="shared" ca="1" si="123"/>
        <v>0</v>
      </c>
      <c r="G719" s="182">
        <f t="shared" ca="1" si="121"/>
        <v>0</v>
      </c>
      <c r="H719" s="182">
        <f t="shared" ca="1" si="122"/>
        <v>44047.624733761317</v>
      </c>
      <c r="I719" s="183">
        <v>0</v>
      </c>
      <c r="J719" s="263">
        <f t="shared" ref="J719:J782" ca="1" si="124">H719-IF(I$8-G719&lt;Q$42,I$8-Q$42,G719)</f>
        <v>44047.624733761317</v>
      </c>
      <c r="K719" s="182">
        <f t="shared" ca="1" si="114"/>
        <v>70</v>
      </c>
      <c r="L719" s="182">
        <f t="shared" ca="1" si="115"/>
        <v>17447.624733761368</v>
      </c>
      <c r="M719" s="182">
        <f t="shared" ca="1" si="116"/>
        <v>8400</v>
      </c>
      <c r="N719" s="182">
        <f t="shared" ca="1" si="117"/>
        <v>66797.624733761186</v>
      </c>
      <c r="O719" s="182"/>
    </row>
    <row r="720" spans="1:15" x14ac:dyDescent="0.25">
      <c r="A720" s="180">
        <f t="shared" ca="1" si="118"/>
        <v>46810</v>
      </c>
      <c r="B720" s="181">
        <v>706</v>
      </c>
      <c r="C720" s="182">
        <f t="shared" ca="1" si="119"/>
        <v>44047.624733761317</v>
      </c>
      <c r="D720" s="182">
        <f t="shared" ca="1" si="120"/>
        <v>29.365083155840878</v>
      </c>
      <c r="E720" s="182">
        <v>0</v>
      </c>
      <c r="F720" s="182">
        <f t="shared" ca="1" si="123"/>
        <v>0</v>
      </c>
      <c r="G720" s="182">
        <f t="shared" ca="1" si="121"/>
        <v>0</v>
      </c>
      <c r="H720" s="182">
        <f t="shared" ca="1" si="122"/>
        <v>44076.989816917157</v>
      </c>
      <c r="I720" s="183">
        <v>0</v>
      </c>
      <c r="J720" s="263">
        <f t="shared" ca="1" si="124"/>
        <v>44076.989816917157</v>
      </c>
      <c r="K720" s="182">
        <f t="shared" ref="K720:K783" ca="1" si="125">$L$3/($C$11-$C$8)</f>
        <v>70</v>
      </c>
      <c r="L720" s="182">
        <f t="shared" ref="L720:L783" ca="1" si="126">L719+D720</f>
        <v>17476.989816917208</v>
      </c>
      <c r="M720" s="182">
        <f t="shared" ref="M720:M783" ca="1" si="127">IF($I$8&gt;L720,L720,$I$8)</f>
        <v>8400</v>
      </c>
      <c r="N720" s="182">
        <f t="shared" ref="N720:N783" ca="1" si="128">N719+D720+K720+I720</f>
        <v>66896.989816917034</v>
      </c>
      <c r="O720" s="182"/>
    </row>
    <row r="721" spans="1:15" x14ac:dyDescent="0.25">
      <c r="A721" s="180">
        <f t="shared" ref="A721:A784" ca="1" si="129">A720+1</f>
        <v>46811</v>
      </c>
      <c r="B721" s="181">
        <v>707</v>
      </c>
      <c r="C721" s="182">
        <f t="shared" ref="C721:C784" ca="1" si="130">H720</f>
        <v>44076.989816917157</v>
      </c>
      <c r="D721" s="182">
        <f t="shared" ref="D721:D784" ca="1" si="131">(($C$6/360))*C721</f>
        <v>29.38465987794477</v>
      </c>
      <c r="E721" s="182">
        <v>0</v>
      </c>
      <c r="F721" s="182">
        <f t="shared" ca="1" si="123"/>
        <v>0</v>
      </c>
      <c r="G721" s="182">
        <f t="shared" ref="G721:G784" ca="1" si="132">IF(G720-D721-E721&gt;0,G720-D721-E721,0)</f>
        <v>0</v>
      </c>
      <c r="H721" s="182">
        <f t="shared" ca="1" si="122"/>
        <v>44106.374476795099</v>
      </c>
      <c r="I721" s="183">
        <v>0</v>
      </c>
      <c r="J721" s="263">
        <f t="shared" ca="1" si="124"/>
        <v>44106.374476795099</v>
      </c>
      <c r="K721" s="182">
        <f t="shared" ca="1" si="125"/>
        <v>70</v>
      </c>
      <c r="L721" s="182">
        <f t="shared" ca="1" si="126"/>
        <v>17506.374476795154</v>
      </c>
      <c r="M721" s="182">
        <f t="shared" ca="1" si="127"/>
        <v>8400</v>
      </c>
      <c r="N721" s="182">
        <f t="shared" ca="1" si="128"/>
        <v>66996.374476794983</v>
      </c>
      <c r="O721" s="182"/>
    </row>
    <row r="722" spans="1:15" x14ac:dyDescent="0.25">
      <c r="A722" s="180">
        <f t="shared" ca="1" si="129"/>
        <v>46812</v>
      </c>
      <c r="B722" s="181">
        <v>708</v>
      </c>
      <c r="C722" s="182">
        <f t="shared" ca="1" si="130"/>
        <v>44106.374476795099</v>
      </c>
      <c r="D722" s="182">
        <f t="shared" ca="1" si="131"/>
        <v>29.404249651196732</v>
      </c>
      <c r="E722" s="182">
        <v>0</v>
      </c>
      <c r="F722" s="182">
        <f t="shared" ca="1" si="123"/>
        <v>0</v>
      </c>
      <c r="G722" s="182">
        <f t="shared" ca="1" si="132"/>
        <v>0</v>
      </c>
      <c r="H722" s="182">
        <f t="shared" ca="1" si="122"/>
        <v>44135.778726446297</v>
      </c>
      <c r="I722" s="183">
        <v>0</v>
      </c>
      <c r="J722" s="263">
        <f t="shared" ca="1" si="124"/>
        <v>44135.778726446297</v>
      </c>
      <c r="K722" s="182">
        <f t="shared" ca="1" si="125"/>
        <v>70</v>
      </c>
      <c r="L722" s="182">
        <f t="shared" ca="1" si="126"/>
        <v>17535.778726446351</v>
      </c>
      <c r="M722" s="182">
        <f t="shared" ca="1" si="127"/>
        <v>8400</v>
      </c>
      <c r="N722" s="182">
        <f t="shared" ca="1" si="128"/>
        <v>67095.77872644618</v>
      </c>
      <c r="O722" s="182"/>
    </row>
    <row r="723" spans="1:15" x14ac:dyDescent="0.25">
      <c r="A723" s="180">
        <f t="shared" ca="1" si="129"/>
        <v>46813</v>
      </c>
      <c r="B723" s="181">
        <v>709</v>
      </c>
      <c r="C723" s="182">
        <f t="shared" ca="1" si="130"/>
        <v>44135.778726446297</v>
      </c>
      <c r="D723" s="182">
        <f t="shared" ca="1" si="131"/>
        <v>29.42385248429753</v>
      </c>
      <c r="E723" s="182">
        <v>0</v>
      </c>
      <c r="F723" s="182">
        <f t="shared" ca="1" si="123"/>
        <v>0</v>
      </c>
      <c r="G723" s="182">
        <f t="shared" ca="1" si="132"/>
        <v>0</v>
      </c>
      <c r="H723" s="182">
        <f t="shared" ca="1" si="122"/>
        <v>44165.202578930592</v>
      </c>
      <c r="I723" s="183">
        <v>0</v>
      </c>
      <c r="J723" s="263">
        <f t="shared" ca="1" si="124"/>
        <v>44165.202578930592</v>
      </c>
      <c r="K723" s="182">
        <f t="shared" ca="1" si="125"/>
        <v>70</v>
      </c>
      <c r="L723" s="182">
        <f t="shared" ca="1" si="126"/>
        <v>17565.20257893065</v>
      </c>
      <c r="M723" s="182">
        <f t="shared" ca="1" si="127"/>
        <v>8400</v>
      </c>
      <c r="N723" s="182">
        <f t="shared" ca="1" si="128"/>
        <v>67195.202578930475</v>
      </c>
      <c r="O723" s="182"/>
    </row>
    <row r="724" spans="1:15" x14ac:dyDescent="0.25">
      <c r="A724" s="180">
        <f t="shared" ca="1" si="129"/>
        <v>46814</v>
      </c>
      <c r="B724" s="181">
        <v>710</v>
      </c>
      <c r="C724" s="182">
        <f t="shared" ca="1" si="130"/>
        <v>44165.202578930592</v>
      </c>
      <c r="D724" s="182">
        <f t="shared" ca="1" si="131"/>
        <v>29.443468385953725</v>
      </c>
      <c r="E724" s="182">
        <v>0</v>
      </c>
      <c r="F724" s="182">
        <f t="shared" ca="1" si="123"/>
        <v>0</v>
      </c>
      <c r="G724" s="182">
        <f t="shared" ca="1" si="132"/>
        <v>0</v>
      </c>
      <c r="H724" s="182">
        <f t="shared" ca="1" si="122"/>
        <v>44194.646047316543</v>
      </c>
      <c r="I724" s="183">
        <v>0</v>
      </c>
      <c r="J724" s="263">
        <f t="shared" ca="1" si="124"/>
        <v>44194.646047316543</v>
      </c>
      <c r="K724" s="182">
        <f t="shared" ca="1" si="125"/>
        <v>70</v>
      </c>
      <c r="L724" s="182">
        <f t="shared" ca="1" si="126"/>
        <v>17594.646047316604</v>
      </c>
      <c r="M724" s="182">
        <f t="shared" ca="1" si="127"/>
        <v>8400</v>
      </c>
      <c r="N724" s="182">
        <f t="shared" ca="1" si="128"/>
        <v>67294.646047316433</v>
      </c>
      <c r="O724" s="182"/>
    </row>
    <row r="725" spans="1:15" x14ac:dyDescent="0.25">
      <c r="A725" s="180">
        <f t="shared" ca="1" si="129"/>
        <v>46815</v>
      </c>
      <c r="B725" s="181">
        <v>711</v>
      </c>
      <c r="C725" s="182">
        <f t="shared" ca="1" si="130"/>
        <v>44194.646047316543</v>
      </c>
      <c r="D725" s="182">
        <f t="shared" ca="1" si="131"/>
        <v>29.463097364877694</v>
      </c>
      <c r="E725" s="182">
        <v>0</v>
      </c>
      <c r="F725" s="182">
        <f t="shared" ca="1" si="123"/>
        <v>0</v>
      </c>
      <c r="G725" s="182">
        <f t="shared" ca="1" si="132"/>
        <v>0</v>
      </c>
      <c r="H725" s="182">
        <f t="shared" ca="1" si="122"/>
        <v>44224.109144681417</v>
      </c>
      <c r="I725" s="183">
        <v>0</v>
      </c>
      <c r="J725" s="263">
        <f t="shared" ca="1" si="124"/>
        <v>44224.109144681417</v>
      </c>
      <c r="K725" s="182">
        <f t="shared" ca="1" si="125"/>
        <v>70</v>
      </c>
      <c r="L725" s="182">
        <f t="shared" ca="1" si="126"/>
        <v>17624.109144681483</v>
      </c>
      <c r="M725" s="182">
        <f t="shared" ca="1" si="127"/>
        <v>8400</v>
      </c>
      <c r="N725" s="182">
        <f t="shared" ca="1" si="128"/>
        <v>67394.109144681308</v>
      </c>
      <c r="O725" s="182"/>
    </row>
    <row r="726" spans="1:15" x14ac:dyDescent="0.25">
      <c r="A726" s="180">
        <f t="shared" ca="1" si="129"/>
        <v>46816</v>
      </c>
      <c r="B726" s="181">
        <v>712</v>
      </c>
      <c r="C726" s="182">
        <f t="shared" ca="1" si="130"/>
        <v>44224.109144681417</v>
      </c>
      <c r="D726" s="182">
        <f t="shared" ca="1" si="131"/>
        <v>29.48273942978761</v>
      </c>
      <c r="E726" s="182">
        <v>0</v>
      </c>
      <c r="F726" s="182">
        <f t="shared" ca="1" si="123"/>
        <v>0</v>
      </c>
      <c r="G726" s="182">
        <f t="shared" ca="1" si="132"/>
        <v>0</v>
      </c>
      <c r="H726" s="182">
        <f t="shared" ca="1" si="122"/>
        <v>44253.591884111207</v>
      </c>
      <c r="I726" s="183">
        <v>0</v>
      </c>
      <c r="J726" s="263">
        <f t="shared" ca="1" si="124"/>
        <v>44253.591884111207</v>
      </c>
      <c r="K726" s="182">
        <f t="shared" ca="1" si="125"/>
        <v>70</v>
      </c>
      <c r="L726" s="182">
        <f t="shared" ca="1" si="126"/>
        <v>17653.591884111269</v>
      </c>
      <c r="M726" s="182">
        <f t="shared" ca="1" si="127"/>
        <v>8400</v>
      </c>
      <c r="N726" s="182">
        <f t="shared" ca="1" si="128"/>
        <v>67493.591884111098</v>
      </c>
      <c r="O726" s="182"/>
    </row>
    <row r="727" spans="1:15" x14ac:dyDescent="0.25">
      <c r="A727" s="180">
        <f t="shared" ca="1" si="129"/>
        <v>46817</v>
      </c>
      <c r="B727" s="181">
        <v>713</v>
      </c>
      <c r="C727" s="182">
        <f t="shared" ca="1" si="130"/>
        <v>44253.591884111207</v>
      </c>
      <c r="D727" s="182">
        <f t="shared" ca="1" si="131"/>
        <v>29.502394589407469</v>
      </c>
      <c r="E727" s="182">
        <v>0</v>
      </c>
      <c r="F727" s="182">
        <f t="shared" ca="1" si="123"/>
        <v>0</v>
      </c>
      <c r="G727" s="182">
        <f t="shared" ca="1" si="132"/>
        <v>0</v>
      </c>
      <c r="H727" s="182">
        <f t="shared" ca="1" si="122"/>
        <v>44283.094278700613</v>
      </c>
      <c r="I727" s="183">
        <v>0</v>
      </c>
      <c r="J727" s="263">
        <f t="shared" ca="1" si="124"/>
        <v>44283.094278700613</v>
      </c>
      <c r="K727" s="182">
        <f t="shared" ca="1" si="125"/>
        <v>70</v>
      </c>
      <c r="L727" s="182">
        <f t="shared" ca="1" si="126"/>
        <v>17683.094278700675</v>
      </c>
      <c r="M727" s="182">
        <f t="shared" ca="1" si="127"/>
        <v>8400</v>
      </c>
      <c r="N727" s="182">
        <f t="shared" ca="1" si="128"/>
        <v>67593.094278700504</v>
      </c>
      <c r="O727" s="182"/>
    </row>
    <row r="728" spans="1:15" x14ac:dyDescent="0.25">
      <c r="A728" s="180">
        <f t="shared" ca="1" si="129"/>
        <v>46818</v>
      </c>
      <c r="B728" s="181">
        <v>714</v>
      </c>
      <c r="C728" s="182">
        <f t="shared" ca="1" si="130"/>
        <v>44283.094278700613</v>
      </c>
      <c r="D728" s="182">
        <f t="shared" ca="1" si="131"/>
        <v>29.522062852467073</v>
      </c>
      <c r="E728" s="182">
        <v>0</v>
      </c>
      <c r="F728" s="182">
        <f t="shared" ca="1" si="123"/>
        <v>0</v>
      </c>
      <c r="G728" s="182">
        <f t="shared" ca="1" si="132"/>
        <v>0</v>
      </c>
      <c r="H728" s="182">
        <f t="shared" ca="1" si="122"/>
        <v>44312.616341553083</v>
      </c>
      <c r="I728" s="183">
        <v>0</v>
      </c>
      <c r="J728" s="263">
        <f t="shared" ca="1" si="124"/>
        <v>44312.616341553083</v>
      </c>
      <c r="K728" s="182">
        <f t="shared" ca="1" si="125"/>
        <v>70</v>
      </c>
      <c r="L728" s="182">
        <f t="shared" ca="1" si="126"/>
        <v>17712.616341553141</v>
      </c>
      <c r="M728" s="182">
        <f t="shared" ca="1" si="127"/>
        <v>8400</v>
      </c>
      <c r="N728" s="182">
        <f t="shared" ca="1" si="128"/>
        <v>67692.616341552974</v>
      </c>
      <c r="O728" s="182"/>
    </row>
    <row r="729" spans="1:15" x14ac:dyDescent="0.25">
      <c r="A729" s="180">
        <f t="shared" ca="1" si="129"/>
        <v>46819</v>
      </c>
      <c r="B729" s="181">
        <v>715</v>
      </c>
      <c r="C729" s="182">
        <f t="shared" ca="1" si="130"/>
        <v>44312.616341553083</v>
      </c>
      <c r="D729" s="182">
        <f t="shared" ca="1" si="131"/>
        <v>29.541744227702054</v>
      </c>
      <c r="E729" s="182">
        <v>0</v>
      </c>
      <c r="F729" s="182">
        <f t="shared" ca="1" si="123"/>
        <v>0</v>
      </c>
      <c r="G729" s="182">
        <f t="shared" ca="1" si="132"/>
        <v>0</v>
      </c>
      <c r="H729" s="182">
        <f t="shared" ca="1" si="122"/>
        <v>44342.158085780786</v>
      </c>
      <c r="I729" s="183">
        <v>0</v>
      </c>
      <c r="J729" s="263">
        <f t="shared" ca="1" si="124"/>
        <v>44342.158085780786</v>
      </c>
      <c r="K729" s="182">
        <f t="shared" ca="1" si="125"/>
        <v>70</v>
      </c>
      <c r="L729" s="182">
        <f t="shared" ca="1" si="126"/>
        <v>17742.158085780844</v>
      </c>
      <c r="M729" s="182">
        <f t="shared" ca="1" si="127"/>
        <v>8400</v>
      </c>
      <c r="N729" s="182">
        <f t="shared" ca="1" si="128"/>
        <v>67792.158085780669</v>
      </c>
      <c r="O729" s="182"/>
    </row>
    <row r="730" spans="1:15" x14ac:dyDescent="0.25">
      <c r="A730" s="180">
        <f t="shared" ca="1" si="129"/>
        <v>46820</v>
      </c>
      <c r="B730" s="181">
        <v>716</v>
      </c>
      <c r="C730" s="182">
        <f t="shared" ca="1" si="130"/>
        <v>44342.158085780786</v>
      </c>
      <c r="D730" s="182">
        <f t="shared" ca="1" si="131"/>
        <v>29.561438723853858</v>
      </c>
      <c r="E730" s="182">
        <v>0</v>
      </c>
      <c r="F730" s="182">
        <f t="shared" ca="1" si="123"/>
        <v>0</v>
      </c>
      <c r="G730" s="182">
        <f t="shared" ca="1" si="132"/>
        <v>0</v>
      </c>
      <c r="H730" s="182">
        <f t="shared" ca="1" si="122"/>
        <v>44371.719524504639</v>
      </c>
      <c r="I730" s="183">
        <v>0</v>
      </c>
      <c r="J730" s="263">
        <f t="shared" ca="1" si="124"/>
        <v>44371.719524504639</v>
      </c>
      <c r="K730" s="182">
        <f t="shared" ca="1" si="125"/>
        <v>70</v>
      </c>
      <c r="L730" s="182">
        <f t="shared" ca="1" si="126"/>
        <v>17771.719524504697</v>
      </c>
      <c r="M730" s="182">
        <f t="shared" ca="1" si="127"/>
        <v>8400</v>
      </c>
      <c r="N730" s="182">
        <f t="shared" ca="1" si="128"/>
        <v>67891.71952450453</v>
      </c>
      <c r="O730" s="182"/>
    </row>
    <row r="731" spans="1:15" x14ac:dyDescent="0.25">
      <c r="A731" s="180">
        <f t="shared" ca="1" si="129"/>
        <v>46821</v>
      </c>
      <c r="B731" s="181">
        <v>717</v>
      </c>
      <c r="C731" s="182">
        <f t="shared" ca="1" si="130"/>
        <v>44371.719524504639</v>
      </c>
      <c r="D731" s="182">
        <f t="shared" ca="1" si="131"/>
        <v>29.581146349669758</v>
      </c>
      <c r="E731" s="182">
        <v>0</v>
      </c>
      <c r="F731" s="182">
        <f t="shared" ca="1" si="123"/>
        <v>0</v>
      </c>
      <c r="G731" s="182">
        <f t="shared" ca="1" si="132"/>
        <v>0</v>
      </c>
      <c r="H731" s="182">
        <f t="shared" ca="1" si="122"/>
        <v>44401.300670854311</v>
      </c>
      <c r="I731" s="183">
        <v>0</v>
      </c>
      <c r="J731" s="263">
        <f t="shared" ca="1" si="124"/>
        <v>44401.300670854311</v>
      </c>
      <c r="K731" s="182">
        <f t="shared" ca="1" si="125"/>
        <v>70</v>
      </c>
      <c r="L731" s="182">
        <f t="shared" ca="1" si="126"/>
        <v>17801.300670854365</v>
      </c>
      <c r="M731" s="182">
        <f t="shared" ca="1" si="127"/>
        <v>8400</v>
      </c>
      <c r="N731" s="182">
        <f t="shared" ca="1" si="128"/>
        <v>67991.300670854194</v>
      </c>
      <c r="O731" s="182"/>
    </row>
    <row r="732" spans="1:15" x14ac:dyDescent="0.25">
      <c r="A732" s="180">
        <f t="shared" ca="1" si="129"/>
        <v>46822</v>
      </c>
      <c r="B732" s="181">
        <v>718</v>
      </c>
      <c r="C732" s="182">
        <f t="shared" ca="1" si="130"/>
        <v>44401.300670854311</v>
      </c>
      <c r="D732" s="182">
        <f t="shared" ca="1" si="131"/>
        <v>29.600867113902872</v>
      </c>
      <c r="E732" s="182">
        <v>0</v>
      </c>
      <c r="F732" s="182">
        <f t="shared" ca="1" si="123"/>
        <v>0</v>
      </c>
      <c r="G732" s="182">
        <f t="shared" ca="1" si="132"/>
        <v>0</v>
      </c>
      <c r="H732" s="182">
        <f t="shared" ca="1" si="122"/>
        <v>44430.901537968217</v>
      </c>
      <c r="I732" s="183">
        <v>0</v>
      </c>
      <c r="J732" s="263">
        <f t="shared" ca="1" si="124"/>
        <v>44430.901537968217</v>
      </c>
      <c r="K732" s="182">
        <f t="shared" ca="1" si="125"/>
        <v>70</v>
      </c>
      <c r="L732" s="182">
        <f t="shared" ca="1" si="126"/>
        <v>17830.901537968268</v>
      </c>
      <c r="M732" s="182">
        <f t="shared" ca="1" si="127"/>
        <v>8400</v>
      </c>
      <c r="N732" s="182">
        <f t="shared" ca="1" si="128"/>
        <v>68090.901537968093</v>
      </c>
      <c r="O732" s="182"/>
    </row>
    <row r="733" spans="1:15" x14ac:dyDescent="0.25">
      <c r="A733" s="180">
        <f t="shared" ca="1" si="129"/>
        <v>46823</v>
      </c>
      <c r="B733" s="181">
        <v>719</v>
      </c>
      <c r="C733" s="182">
        <f t="shared" ca="1" si="130"/>
        <v>44430.901537968217</v>
      </c>
      <c r="D733" s="182">
        <f t="shared" ca="1" si="131"/>
        <v>29.620601025312144</v>
      </c>
      <c r="E733" s="182">
        <v>0</v>
      </c>
      <c r="F733" s="182">
        <f t="shared" ca="1" si="123"/>
        <v>0</v>
      </c>
      <c r="G733" s="182">
        <f t="shared" ca="1" si="132"/>
        <v>0</v>
      </c>
      <c r="H733" s="182">
        <f t="shared" ca="1" si="122"/>
        <v>44460.522138993532</v>
      </c>
      <c r="I733" s="183">
        <v>0</v>
      </c>
      <c r="J733" s="263">
        <f t="shared" ca="1" si="124"/>
        <v>44460.522138993532</v>
      </c>
      <c r="K733" s="182">
        <f t="shared" ca="1" si="125"/>
        <v>70</v>
      </c>
      <c r="L733" s="182">
        <f t="shared" ca="1" si="126"/>
        <v>17860.52213899358</v>
      </c>
      <c r="M733" s="182">
        <f t="shared" ca="1" si="127"/>
        <v>8400</v>
      </c>
      <c r="N733" s="182">
        <f t="shared" ca="1" si="128"/>
        <v>68190.522138993401</v>
      </c>
      <c r="O733" s="182"/>
    </row>
    <row r="734" spans="1:15" x14ac:dyDescent="0.25">
      <c r="A734" s="180">
        <f t="shared" ca="1" si="129"/>
        <v>46824</v>
      </c>
      <c r="B734" s="181">
        <v>720</v>
      </c>
      <c r="C734" s="182">
        <f t="shared" ca="1" si="130"/>
        <v>44460.522138993532</v>
      </c>
      <c r="D734" s="182">
        <f t="shared" ca="1" si="131"/>
        <v>29.640348092662354</v>
      </c>
      <c r="E734" s="182">
        <v>0</v>
      </c>
      <c r="F734" s="182">
        <f t="shared" ca="1" si="123"/>
        <v>0</v>
      </c>
      <c r="G734" s="182">
        <f t="shared" ca="1" si="132"/>
        <v>0</v>
      </c>
      <c r="H734" s="182">
        <f t="shared" ca="1" si="122"/>
        <v>44490.162487086192</v>
      </c>
      <c r="I734" s="183">
        <v>0</v>
      </c>
      <c r="J734" s="263">
        <f t="shared" ca="1" si="124"/>
        <v>44490.162487086192</v>
      </c>
      <c r="K734" s="182">
        <f t="shared" ca="1" si="125"/>
        <v>70</v>
      </c>
      <c r="L734" s="182">
        <f t="shared" ca="1" si="126"/>
        <v>17890.162487086243</v>
      </c>
      <c r="M734" s="182">
        <f t="shared" ca="1" si="127"/>
        <v>8400</v>
      </c>
      <c r="N734" s="182">
        <f t="shared" ca="1" si="128"/>
        <v>68290.162487086069</v>
      </c>
      <c r="O734" s="182"/>
    </row>
    <row r="735" spans="1:15" x14ac:dyDescent="0.25">
      <c r="A735" s="180">
        <f t="shared" ca="1" si="129"/>
        <v>46825</v>
      </c>
      <c r="B735" s="181">
        <v>721</v>
      </c>
      <c r="C735" s="182">
        <f t="shared" ca="1" si="130"/>
        <v>44490.162487086192</v>
      </c>
      <c r="D735" s="182">
        <f t="shared" ca="1" si="131"/>
        <v>29.660108324724128</v>
      </c>
      <c r="E735" s="182">
        <v>0</v>
      </c>
      <c r="F735" s="182">
        <f t="shared" ca="1" si="123"/>
        <v>0</v>
      </c>
      <c r="G735" s="182">
        <f t="shared" ca="1" si="132"/>
        <v>0</v>
      </c>
      <c r="H735" s="182">
        <f t="shared" ca="1" si="122"/>
        <v>44519.822595410915</v>
      </c>
      <c r="I735" s="183">
        <v>0</v>
      </c>
      <c r="J735" s="263">
        <f t="shared" ca="1" si="124"/>
        <v>44519.822595410915</v>
      </c>
      <c r="K735" s="182">
        <f t="shared" ca="1" si="125"/>
        <v>70</v>
      </c>
      <c r="L735" s="182">
        <f t="shared" ca="1" si="126"/>
        <v>17919.822595410966</v>
      </c>
      <c r="M735" s="182">
        <f t="shared" ca="1" si="127"/>
        <v>8400</v>
      </c>
      <c r="N735" s="182">
        <f t="shared" ca="1" si="128"/>
        <v>68389.822595410791</v>
      </c>
      <c r="O735" s="182"/>
    </row>
    <row r="736" spans="1:15" x14ac:dyDescent="0.25">
      <c r="A736" s="180">
        <f t="shared" ca="1" si="129"/>
        <v>46826</v>
      </c>
      <c r="B736" s="181">
        <v>722</v>
      </c>
      <c r="C736" s="182">
        <f t="shared" ca="1" si="130"/>
        <v>44519.822595410915</v>
      </c>
      <c r="D736" s="182">
        <f t="shared" ca="1" si="131"/>
        <v>29.679881730273941</v>
      </c>
      <c r="E736" s="182">
        <v>0</v>
      </c>
      <c r="F736" s="182">
        <f t="shared" ca="1" si="123"/>
        <v>0</v>
      </c>
      <c r="G736" s="182">
        <f t="shared" ca="1" si="132"/>
        <v>0</v>
      </c>
      <c r="H736" s="182">
        <f t="shared" ca="1" si="122"/>
        <v>44549.502477141192</v>
      </c>
      <c r="I736" s="183">
        <v>0</v>
      </c>
      <c r="J736" s="263">
        <f t="shared" ca="1" si="124"/>
        <v>44549.502477141192</v>
      </c>
      <c r="K736" s="182">
        <f t="shared" ca="1" si="125"/>
        <v>70</v>
      </c>
      <c r="L736" s="182">
        <f t="shared" ca="1" si="126"/>
        <v>17949.502477141239</v>
      </c>
      <c r="M736" s="182">
        <f t="shared" ca="1" si="127"/>
        <v>8400</v>
      </c>
      <c r="N736" s="182">
        <f t="shared" ca="1" si="128"/>
        <v>68489.502477141068</v>
      </c>
      <c r="O736" s="182"/>
    </row>
    <row r="737" spans="1:15" x14ac:dyDescent="0.25">
      <c r="A737" s="180">
        <f t="shared" ca="1" si="129"/>
        <v>46827</v>
      </c>
      <c r="B737" s="181">
        <v>723</v>
      </c>
      <c r="C737" s="182">
        <f t="shared" ca="1" si="130"/>
        <v>44549.502477141192</v>
      </c>
      <c r="D737" s="182">
        <f t="shared" ca="1" si="131"/>
        <v>29.699668318094126</v>
      </c>
      <c r="E737" s="182">
        <v>0</v>
      </c>
      <c r="F737" s="182">
        <f t="shared" ca="1" si="123"/>
        <v>0</v>
      </c>
      <c r="G737" s="182">
        <f t="shared" ca="1" si="132"/>
        <v>0</v>
      </c>
      <c r="H737" s="182">
        <f t="shared" ca="1" si="122"/>
        <v>44579.202145459283</v>
      </c>
      <c r="I737" s="183">
        <v>0</v>
      </c>
      <c r="J737" s="263">
        <f t="shared" ca="1" si="124"/>
        <v>44579.202145459283</v>
      </c>
      <c r="K737" s="182">
        <f t="shared" ca="1" si="125"/>
        <v>70</v>
      </c>
      <c r="L737" s="182">
        <f t="shared" ca="1" si="126"/>
        <v>17979.202145459334</v>
      </c>
      <c r="M737" s="182">
        <f t="shared" ca="1" si="127"/>
        <v>8400</v>
      </c>
      <c r="N737" s="182">
        <f t="shared" ca="1" si="128"/>
        <v>68589.20214545916</v>
      </c>
      <c r="O737" s="182"/>
    </row>
    <row r="738" spans="1:15" x14ac:dyDescent="0.25">
      <c r="A738" s="180">
        <f t="shared" ca="1" si="129"/>
        <v>46828</v>
      </c>
      <c r="B738" s="181">
        <v>724</v>
      </c>
      <c r="C738" s="182">
        <f t="shared" ca="1" si="130"/>
        <v>44579.202145459283</v>
      </c>
      <c r="D738" s="182">
        <f t="shared" ca="1" si="131"/>
        <v>29.719468096972854</v>
      </c>
      <c r="E738" s="182">
        <v>0</v>
      </c>
      <c r="F738" s="182">
        <f t="shared" ca="1" si="123"/>
        <v>0</v>
      </c>
      <c r="G738" s="182">
        <f t="shared" ca="1" si="132"/>
        <v>0</v>
      </c>
      <c r="H738" s="182">
        <f t="shared" ca="1" si="122"/>
        <v>44608.921613556253</v>
      </c>
      <c r="I738" s="183">
        <v>0</v>
      </c>
      <c r="J738" s="263">
        <f t="shared" ca="1" si="124"/>
        <v>44608.921613556253</v>
      </c>
      <c r="K738" s="182">
        <f t="shared" ca="1" si="125"/>
        <v>70</v>
      </c>
      <c r="L738" s="182">
        <f t="shared" ca="1" si="126"/>
        <v>18008.921613556307</v>
      </c>
      <c r="M738" s="182">
        <f t="shared" ca="1" si="127"/>
        <v>8400</v>
      </c>
      <c r="N738" s="182">
        <f t="shared" ca="1" si="128"/>
        <v>68688.921613556129</v>
      </c>
      <c r="O738" s="182"/>
    </row>
    <row r="739" spans="1:15" x14ac:dyDescent="0.25">
      <c r="A739" s="180">
        <f t="shared" ca="1" si="129"/>
        <v>46829</v>
      </c>
      <c r="B739" s="181">
        <v>725</v>
      </c>
      <c r="C739" s="182">
        <f t="shared" ca="1" si="130"/>
        <v>44608.921613556253</v>
      </c>
      <c r="D739" s="182">
        <f t="shared" ca="1" si="131"/>
        <v>29.739281075704167</v>
      </c>
      <c r="E739" s="182">
        <v>0</v>
      </c>
      <c r="F739" s="182">
        <f t="shared" ca="1" si="123"/>
        <v>0</v>
      </c>
      <c r="G739" s="182">
        <f t="shared" ca="1" si="132"/>
        <v>0</v>
      </c>
      <c r="H739" s="182">
        <f t="shared" ref="H739:H802" ca="1" si="133">IF(G739&gt;0,C739+F739+I739,SUM(C739:F739)-G738)</f>
        <v>44638.660894631954</v>
      </c>
      <c r="I739" s="183">
        <v>0</v>
      </c>
      <c r="J739" s="263">
        <f t="shared" ca="1" si="124"/>
        <v>44638.660894631954</v>
      </c>
      <c r="K739" s="182">
        <f t="shared" ca="1" si="125"/>
        <v>70</v>
      </c>
      <c r="L739" s="182">
        <f t="shared" ca="1" si="126"/>
        <v>18038.660894632012</v>
      </c>
      <c r="M739" s="182">
        <f t="shared" ca="1" si="127"/>
        <v>8400</v>
      </c>
      <c r="N739" s="182">
        <f t="shared" ca="1" si="128"/>
        <v>68788.66089463183</v>
      </c>
      <c r="O739" s="182"/>
    </row>
    <row r="740" spans="1:15" x14ac:dyDescent="0.25">
      <c r="A740" s="180">
        <f t="shared" ca="1" si="129"/>
        <v>46830</v>
      </c>
      <c r="B740" s="181">
        <v>726</v>
      </c>
      <c r="C740" s="182">
        <f t="shared" ca="1" si="130"/>
        <v>44638.660894631954</v>
      </c>
      <c r="D740" s="182">
        <f t="shared" ca="1" si="131"/>
        <v>29.759107263087969</v>
      </c>
      <c r="E740" s="182">
        <v>0</v>
      </c>
      <c r="F740" s="182">
        <f t="shared" ca="1" si="123"/>
        <v>0</v>
      </c>
      <c r="G740" s="182">
        <f t="shared" ca="1" si="132"/>
        <v>0</v>
      </c>
      <c r="H740" s="182">
        <f t="shared" ca="1" si="133"/>
        <v>44668.420001895043</v>
      </c>
      <c r="I740" s="183">
        <v>0</v>
      </c>
      <c r="J740" s="263">
        <f t="shared" ca="1" si="124"/>
        <v>44668.420001895043</v>
      </c>
      <c r="K740" s="182">
        <f t="shared" ca="1" si="125"/>
        <v>70</v>
      </c>
      <c r="L740" s="182">
        <f t="shared" ca="1" si="126"/>
        <v>18068.420001895101</v>
      </c>
      <c r="M740" s="182">
        <f t="shared" ca="1" si="127"/>
        <v>8400</v>
      </c>
      <c r="N740" s="182">
        <f t="shared" ca="1" si="128"/>
        <v>68888.42000189492</v>
      </c>
      <c r="O740" s="182"/>
    </row>
    <row r="741" spans="1:15" x14ac:dyDescent="0.25">
      <c r="A741" s="180">
        <f t="shared" ca="1" si="129"/>
        <v>46831</v>
      </c>
      <c r="B741" s="181">
        <v>727</v>
      </c>
      <c r="C741" s="182">
        <f t="shared" ca="1" si="130"/>
        <v>44668.420001895043</v>
      </c>
      <c r="D741" s="182">
        <f t="shared" ca="1" si="131"/>
        <v>29.778946667930029</v>
      </c>
      <c r="E741" s="182">
        <v>0</v>
      </c>
      <c r="F741" s="182">
        <f t="shared" ca="1" si="123"/>
        <v>0</v>
      </c>
      <c r="G741" s="182">
        <f t="shared" ca="1" si="132"/>
        <v>0</v>
      </c>
      <c r="H741" s="182">
        <f t="shared" ca="1" si="133"/>
        <v>44698.198948562975</v>
      </c>
      <c r="I741" s="183">
        <v>0</v>
      </c>
      <c r="J741" s="263">
        <f t="shared" ca="1" si="124"/>
        <v>44698.198948562975</v>
      </c>
      <c r="K741" s="182">
        <f t="shared" ca="1" si="125"/>
        <v>70</v>
      </c>
      <c r="L741" s="182">
        <f t="shared" ca="1" si="126"/>
        <v>18098.198948563033</v>
      </c>
      <c r="M741" s="182">
        <f t="shared" ca="1" si="127"/>
        <v>8400</v>
      </c>
      <c r="N741" s="182">
        <f t="shared" ca="1" si="128"/>
        <v>68988.198948562844</v>
      </c>
      <c r="O741" s="182"/>
    </row>
    <row r="742" spans="1:15" x14ac:dyDescent="0.25">
      <c r="A742" s="180">
        <f t="shared" ca="1" si="129"/>
        <v>46832</v>
      </c>
      <c r="B742" s="181">
        <v>728</v>
      </c>
      <c r="C742" s="182">
        <f t="shared" ca="1" si="130"/>
        <v>44698.198948562975</v>
      </c>
      <c r="D742" s="182">
        <f t="shared" ca="1" si="131"/>
        <v>29.798799299041981</v>
      </c>
      <c r="E742" s="182">
        <v>0</v>
      </c>
      <c r="F742" s="182">
        <f t="shared" ca="1" si="123"/>
        <v>0</v>
      </c>
      <c r="G742" s="182">
        <f t="shared" ca="1" si="132"/>
        <v>0</v>
      </c>
      <c r="H742" s="182">
        <f t="shared" ca="1" si="133"/>
        <v>44727.997747862013</v>
      </c>
      <c r="I742" s="183">
        <v>0</v>
      </c>
      <c r="J742" s="263">
        <f t="shared" ca="1" si="124"/>
        <v>44727.997747862013</v>
      </c>
      <c r="K742" s="182">
        <f t="shared" ca="1" si="125"/>
        <v>70</v>
      </c>
      <c r="L742" s="182">
        <f t="shared" ca="1" si="126"/>
        <v>18127.997747862075</v>
      </c>
      <c r="M742" s="182">
        <f t="shared" ca="1" si="127"/>
        <v>8400</v>
      </c>
      <c r="N742" s="182">
        <f t="shared" ca="1" si="128"/>
        <v>69087.997747861882</v>
      </c>
      <c r="O742" s="182"/>
    </row>
    <row r="743" spans="1:15" x14ac:dyDescent="0.25">
      <c r="A743" s="180">
        <f t="shared" ca="1" si="129"/>
        <v>46833</v>
      </c>
      <c r="B743" s="181">
        <v>729</v>
      </c>
      <c r="C743" s="182">
        <f t="shared" ca="1" si="130"/>
        <v>44727.997747862013</v>
      </c>
      <c r="D743" s="182">
        <f t="shared" ca="1" si="131"/>
        <v>29.818665165241342</v>
      </c>
      <c r="E743" s="182">
        <v>0</v>
      </c>
      <c r="F743" s="182">
        <f t="shared" ca="1" si="123"/>
        <v>0</v>
      </c>
      <c r="G743" s="182">
        <f t="shared" ca="1" si="132"/>
        <v>0</v>
      </c>
      <c r="H743" s="182">
        <f t="shared" ca="1" si="133"/>
        <v>44757.816413027256</v>
      </c>
      <c r="I743" s="183">
        <v>0</v>
      </c>
      <c r="J743" s="263">
        <f t="shared" ca="1" si="124"/>
        <v>44757.816413027256</v>
      </c>
      <c r="K743" s="182">
        <f t="shared" ca="1" si="125"/>
        <v>70</v>
      </c>
      <c r="L743" s="182">
        <f t="shared" ca="1" si="126"/>
        <v>18157.816413027318</v>
      </c>
      <c r="M743" s="182">
        <f t="shared" ca="1" si="127"/>
        <v>8400</v>
      </c>
      <c r="N743" s="182">
        <f t="shared" ca="1" si="128"/>
        <v>69187.816413027118</v>
      </c>
      <c r="O743" s="182"/>
    </row>
    <row r="744" spans="1:15" x14ac:dyDescent="0.25">
      <c r="A744" s="180">
        <f t="shared" ca="1" si="129"/>
        <v>46834</v>
      </c>
      <c r="B744" s="181">
        <v>730</v>
      </c>
      <c r="C744" s="182">
        <f t="shared" ca="1" si="130"/>
        <v>44757.816413027256</v>
      </c>
      <c r="D744" s="182">
        <f t="shared" ca="1" si="131"/>
        <v>29.838544275351502</v>
      </c>
      <c r="E744" s="182">
        <v>0</v>
      </c>
      <c r="F744" s="182">
        <f t="shared" ca="1" si="123"/>
        <v>0</v>
      </c>
      <c r="G744" s="182">
        <f t="shared" ca="1" si="132"/>
        <v>0</v>
      </c>
      <c r="H744" s="182">
        <f t="shared" ca="1" si="133"/>
        <v>44787.654957302606</v>
      </c>
      <c r="I744" s="183">
        <v>0</v>
      </c>
      <c r="J744" s="263">
        <f t="shared" ca="1" si="124"/>
        <v>44787.654957302606</v>
      </c>
      <c r="K744" s="182">
        <f t="shared" ca="1" si="125"/>
        <v>70</v>
      </c>
      <c r="L744" s="182">
        <f t="shared" ca="1" si="126"/>
        <v>18187.654957302668</v>
      </c>
      <c r="M744" s="182">
        <f t="shared" ca="1" si="127"/>
        <v>8400</v>
      </c>
      <c r="N744" s="182">
        <f t="shared" ca="1" si="128"/>
        <v>69287.654957302468</v>
      </c>
      <c r="O744" s="182"/>
    </row>
    <row r="745" spans="1:15" x14ac:dyDescent="0.25">
      <c r="A745" s="180">
        <f t="shared" ca="1" si="129"/>
        <v>46835</v>
      </c>
      <c r="B745" s="181">
        <v>731</v>
      </c>
      <c r="C745" s="182">
        <f t="shared" ca="1" si="130"/>
        <v>44787.654957302606</v>
      </c>
      <c r="D745" s="182">
        <f t="shared" ca="1" si="131"/>
        <v>29.858436638201738</v>
      </c>
      <c r="E745" s="182">
        <v>0</v>
      </c>
      <c r="F745" s="182">
        <f t="shared" ca="1" si="123"/>
        <v>0</v>
      </c>
      <c r="G745" s="182">
        <f t="shared" ca="1" si="132"/>
        <v>0</v>
      </c>
      <c r="H745" s="182">
        <f t="shared" ca="1" si="133"/>
        <v>44817.513393940804</v>
      </c>
      <c r="I745" s="183">
        <v>0</v>
      </c>
      <c r="J745" s="263">
        <f t="shared" ca="1" si="124"/>
        <v>44817.513393940804</v>
      </c>
      <c r="K745" s="182">
        <f t="shared" ca="1" si="125"/>
        <v>70</v>
      </c>
      <c r="L745" s="182">
        <f t="shared" ca="1" si="126"/>
        <v>18217.51339394087</v>
      </c>
      <c r="M745" s="182">
        <f t="shared" ca="1" si="127"/>
        <v>8400</v>
      </c>
      <c r="N745" s="182">
        <f t="shared" ca="1" si="128"/>
        <v>69387.513393940666</v>
      </c>
      <c r="O745" s="182"/>
    </row>
    <row r="746" spans="1:15" x14ac:dyDescent="0.25">
      <c r="A746" s="180">
        <f t="shared" ca="1" si="129"/>
        <v>46836</v>
      </c>
      <c r="B746" s="181">
        <v>732</v>
      </c>
      <c r="C746" s="182">
        <f t="shared" ca="1" si="130"/>
        <v>44817.513393940804</v>
      </c>
      <c r="D746" s="182">
        <f t="shared" ca="1" si="131"/>
        <v>29.878342262627203</v>
      </c>
      <c r="E746" s="182">
        <v>0</v>
      </c>
      <c r="F746" s="182">
        <f t="shared" ca="1" si="123"/>
        <v>0</v>
      </c>
      <c r="G746" s="182">
        <f t="shared" ca="1" si="132"/>
        <v>0</v>
      </c>
      <c r="H746" s="182">
        <f t="shared" ca="1" si="133"/>
        <v>44847.391736203434</v>
      </c>
      <c r="I746" s="183">
        <v>0</v>
      </c>
      <c r="J746" s="263">
        <f t="shared" ca="1" si="124"/>
        <v>44847.391736203434</v>
      </c>
      <c r="K746" s="182">
        <f t="shared" ca="1" si="125"/>
        <v>70</v>
      </c>
      <c r="L746" s="182">
        <f t="shared" ca="1" si="126"/>
        <v>18247.391736203495</v>
      </c>
      <c r="M746" s="182">
        <f t="shared" ca="1" si="127"/>
        <v>8400</v>
      </c>
      <c r="N746" s="182">
        <f t="shared" ca="1" si="128"/>
        <v>69487.391736203295</v>
      </c>
      <c r="O746" s="182"/>
    </row>
    <row r="747" spans="1:15" x14ac:dyDescent="0.25">
      <c r="A747" s="180">
        <f t="shared" ca="1" si="129"/>
        <v>46837</v>
      </c>
      <c r="B747" s="181">
        <v>733</v>
      </c>
      <c r="C747" s="182">
        <f t="shared" ca="1" si="130"/>
        <v>44847.391736203434</v>
      </c>
      <c r="D747" s="182">
        <f t="shared" ca="1" si="131"/>
        <v>29.898261157468955</v>
      </c>
      <c r="E747" s="182">
        <v>0</v>
      </c>
      <c r="F747" s="182">
        <f t="shared" ca="1" si="123"/>
        <v>0</v>
      </c>
      <c r="G747" s="182">
        <f t="shared" ca="1" si="132"/>
        <v>0</v>
      </c>
      <c r="H747" s="182">
        <f t="shared" ca="1" si="133"/>
        <v>44877.289997360902</v>
      </c>
      <c r="I747" s="183">
        <v>0</v>
      </c>
      <c r="J747" s="263">
        <f t="shared" ca="1" si="124"/>
        <v>44877.289997360902</v>
      </c>
      <c r="K747" s="182">
        <f t="shared" ca="1" si="125"/>
        <v>70</v>
      </c>
      <c r="L747" s="182">
        <f t="shared" ca="1" si="126"/>
        <v>18277.289997360964</v>
      </c>
      <c r="M747" s="182">
        <f t="shared" ca="1" si="127"/>
        <v>8400</v>
      </c>
      <c r="N747" s="182">
        <f t="shared" ca="1" si="128"/>
        <v>69587.289997360771</v>
      </c>
      <c r="O747" s="182"/>
    </row>
    <row r="748" spans="1:15" x14ac:dyDescent="0.25">
      <c r="A748" s="180">
        <f t="shared" ca="1" si="129"/>
        <v>46838</v>
      </c>
      <c r="B748" s="181">
        <v>734</v>
      </c>
      <c r="C748" s="182">
        <f t="shared" ca="1" si="130"/>
        <v>44877.289997360902</v>
      </c>
      <c r="D748" s="182">
        <f t="shared" ca="1" si="131"/>
        <v>29.918193331573935</v>
      </c>
      <c r="E748" s="182">
        <v>0</v>
      </c>
      <c r="F748" s="182">
        <f t="shared" ref="F748:F811" ca="1" si="134">IFERROR(-VLOOKUP(A748,$P$4:$R$31,2,FALSE),0)</f>
        <v>0</v>
      </c>
      <c r="G748" s="182">
        <f t="shared" ca="1" si="132"/>
        <v>0</v>
      </c>
      <c r="H748" s="182">
        <f t="shared" ca="1" si="133"/>
        <v>44907.208190692472</v>
      </c>
      <c r="I748" s="183">
        <v>0</v>
      </c>
      <c r="J748" s="263">
        <f t="shared" ca="1" si="124"/>
        <v>44907.208190692472</v>
      </c>
      <c r="K748" s="182">
        <f t="shared" ca="1" si="125"/>
        <v>70</v>
      </c>
      <c r="L748" s="182">
        <f t="shared" ca="1" si="126"/>
        <v>18307.208190692538</v>
      </c>
      <c r="M748" s="182">
        <f t="shared" ca="1" si="127"/>
        <v>8400</v>
      </c>
      <c r="N748" s="182">
        <f t="shared" ca="1" si="128"/>
        <v>69687.208190692341</v>
      </c>
      <c r="O748" s="182"/>
    </row>
    <row r="749" spans="1:15" x14ac:dyDescent="0.25">
      <c r="A749" s="180">
        <f t="shared" ca="1" si="129"/>
        <v>46839</v>
      </c>
      <c r="B749" s="181">
        <v>735</v>
      </c>
      <c r="C749" s="182">
        <f t="shared" ca="1" si="130"/>
        <v>44907.208190692472</v>
      </c>
      <c r="D749" s="182">
        <f t="shared" ca="1" si="131"/>
        <v>29.93813879379498</v>
      </c>
      <c r="E749" s="182">
        <v>0</v>
      </c>
      <c r="F749" s="182">
        <f t="shared" ca="1" si="134"/>
        <v>0</v>
      </c>
      <c r="G749" s="182">
        <f t="shared" ca="1" si="132"/>
        <v>0</v>
      </c>
      <c r="H749" s="182">
        <f t="shared" ca="1" si="133"/>
        <v>44937.14632948627</v>
      </c>
      <c r="I749" s="183">
        <v>0</v>
      </c>
      <c r="J749" s="263">
        <f t="shared" ca="1" si="124"/>
        <v>44937.14632948627</v>
      </c>
      <c r="K749" s="182">
        <f t="shared" ca="1" si="125"/>
        <v>70</v>
      </c>
      <c r="L749" s="182">
        <f t="shared" ca="1" si="126"/>
        <v>18337.146329486332</v>
      </c>
      <c r="M749" s="182">
        <f t="shared" ca="1" si="127"/>
        <v>8400</v>
      </c>
      <c r="N749" s="182">
        <f t="shared" ca="1" si="128"/>
        <v>69787.146329486131</v>
      </c>
      <c r="O749" s="182"/>
    </row>
    <row r="750" spans="1:15" x14ac:dyDescent="0.25">
      <c r="A750" s="180">
        <f t="shared" ca="1" si="129"/>
        <v>46840</v>
      </c>
      <c r="B750" s="181">
        <v>736</v>
      </c>
      <c r="C750" s="182">
        <f t="shared" ca="1" si="130"/>
        <v>44937.14632948627</v>
      </c>
      <c r="D750" s="182">
        <f t="shared" ca="1" si="131"/>
        <v>29.958097552990846</v>
      </c>
      <c r="E750" s="182">
        <v>0</v>
      </c>
      <c r="F750" s="182">
        <f t="shared" ca="1" si="134"/>
        <v>0</v>
      </c>
      <c r="G750" s="182">
        <f t="shared" ca="1" si="132"/>
        <v>0</v>
      </c>
      <c r="H750" s="182">
        <f t="shared" ca="1" si="133"/>
        <v>44967.104427039259</v>
      </c>
      <c r="I750" s="183">
        <v>0</v>
      </c>
      <c r="J750" s="263">
        <f t="shared" ca="1" si="124"/>
        <v>44967.104427039259</v>
      </c>
      <c r="K750" s="182">
        <f t="shared" ca="1" si="125"/>
        <v>70</v>
      </c>
      <c r="L750" s="182">
        <f t="shared" ca="1" si="126"/>
        <v>18367.104427039321</v>
      </c>
      <c r="M750" s="182">
        <f t="shared" ca="1" si="127"/>
        <v>8400</v>
      </c>
      <c r="N750" s="182">
        <f t="shared" ca="1" si="128"/>
        <v>69887.104427039128</v>
      </c>
      <c r="O750" s="182"/>
    </row>
    <row r="751" spans="1:15" x14ac:dyDescent="0.25">
      <c r="A751" s="180">
        <f t="shared" ca="1" si="129"/>
        <v>46841</v>
      </c>
      <c r="B751" s="181">
        <v>737</v>
      </c>
      <c r="C751" s="182">
        <f t="shared" ca="1" si="130"/>
        <v>44967.104427039259</v>
      </c>
      <c r="D751" s="182">
        <f t="shared" ca="1" si="131"/>
        <v>29.978069618026172</v>
      </c>
      <c r="E751" s="182">
        <v>0</v>
      </c>
      <c r="F751" s="182">
        <f t="shared" ca="1" si="134"/>
        <v>0</v>
      </c>
      <c r="G751" s="182">
        <f t="shared" ca="1" si="132"/>
        <v>0</v>
      </c>
      <c r="H751" s="182">
        <f t="shared" ca="1" si="133"/>
        <v>44997.082496657284</v>
      </c>
      <c r="I751" s="183">
        <v>0</v>
      </c>
      <c r="J751" s="263">
        <f t="shared" ca="1" si="124"/>
        <v>44997.082496657284</v>
      </c>
      <c r="K751" s="182">
        <f t="shared" ca="1" si="125"/>
        <v>70</v>
      </c>
      <c r="L751" s="182">
        <f t="shared" ca="1" si="126"/>
        <v>18397.082496657349</v>
      </c>
      <c r="M751" s="182">
        <f t="shared" ca="1" si="127"/>
        <v>8400</v>
      </c>
      <c r="N751" s="182">
        <f t="shared" ca="1" si="128"/>
        <v>69987.082496657153</v>
      </c>
      <c r="O751" s="182"/>
    </row>
    <row r="752" spans="1:15" x14ac:dyDescent="0.25">
      <c r="A752" s="180">
        <f t="shared" ca="1" si="129"/>
        <v>46842</v>
      </c>
      <c r="B752" s="181">
        <v>738</v>
      </c>
      <c r="C752" s="182">
        <f t="shared" ca="1" si="130"/>
        <v>44997.082496657284</v>
      </c>
      <c r="D752" s="182">
        <f t="shared" ca="1" si="131"/>
        <v>29.998054997771522</v>
      </c>
      <c r="E752" s="182">
        <v>0</v>
      </c>
      <c r="F752" s="182">
        <f t="shared" ca="1" si="134"/>
        <v>0</v>
      </c>
      <c r="G752" s="182">
        <f t="shared" ca="1" si="132"/>
        <v>0</v>
      </c>
      <c r="H752" s="182">
        <f t="shared" ca="1" si="133"/>
        <v>45027.080551655054</v>
      </c>
      <c r="I752" s="183">
        <v>0</v>
      </c>
      <c r="J752" s="263">
        <f t="shared" ca="1" si="124"/>
        <v>45027.080551655054</v>
      </c>
      <c r="K752" s="182">
        <f t="shared" ca="1" si="125"/>
        <v>70</v>
      </c>
      <c r="L752" s="182">
        <f t="shared" ca="1" si="126"/>
        <v>18427.080551655119</v>
      </c>
      <c r="M752" s="182">
        <f t="shared" ca="1" si="127"/>
        <v>8400</v>
      </c>
      <c r="N752" s="182">
        <f t="shared" ca="1" si="128"/>
        <v>70087.08055165493</v>
      </c>
      <c r="O752" s="182"/>
    </row>
    <row r="753" spans="1:15" x14ac:dyDescent="0.25">
      <c r="A753" s="180">
        <f t="shared" ca="1" si="129"/>
        <v>46843</v>
      </c>
      <c r="B753" s="181">
        <v>739</v>
      </c>
      <c r="C753" s="182">
        <f t="shared" ca="1" si="130"/>
        <v>45027.080551655054</v>
      </c>
      <c r="D753" s="182">
        <f t="shared" ca="1" si="131"/>
        <v>30.018053701103369</v>
      </c>
      <c r="E753" s="182">
        <v>0</v>
      </c>
      <c r="F753" s="182">
        <f t="shared" ca="1" si="134"/>
        <v>0</v>
      </c>
      <c r="G753" s="182">
        <f t="shared" ca="1" si="132"/>
        <v>0</v>
      </c>
      <c r="H753" s="182">
        <f t="shared" ca="1" si="133"/>
        <v>45057.098605356157</v>
      </c>
      <c r="I753" s="183">
        <v>0</v>
      </c>
      <c r="J753" s="263">
        <f t="shared" ca="1" si="124"/>
        <v>45057.098605356157</v>
      </c>
      <c r="K753" s="182">
        <f t="shared" ca="1" si="125"/>
        <v>70</v>
      </c>
      <c r="L753" s="182">
        <f t="shared" ca="1" si="126"/>
        <v>18457.098605356223</v>
      </c>
      <c r="M753" s="182">
        <f t="shared" ca="1" si="127"/>
        <v>8400</v>
      </c>
      <c r="N753" s="182">
        <f t="shared" ca="1" si="128"/>
        <v>70187.098605356034</v>
      </c>
      <c r="O753" s="182"/>
    </row>
    <row r="754" spans="1:15" x14ac:dyDescent="0.25">
      <c r="A754" s="180">
        <f t="shared" ca="1" si="129"/>
        <v>46844</v>
      </c>
      <c r="B754" s="181">
        <v>740</v>
      </c>
      <c r="C754" s="182">
        <f t="shared" ca="1" si="130"/>
        <v>45057.098605356157</v>
      </c>
      <c r="D754" s="182">
        <f t="shared" ca="1" si="131"/>
        <v>30.038065736904105</v>
      </c>
      <c r="E754" s="182">
        <v>0</v>
      </c>
      <c r="F754" s="182">
        <f t="shared" ca="1" si="134"/>
        <v>0</v>
      </c>
      <c r="G754" s="182">
        <f t="shared" ca="1" si="132"/>
        <v>0</v>
      </c>
      <c r="H754" s="182">
        <f t="shared" ca="1" si="133"/>
        <v>45087.13667109306</v>
      </c>
      <c r="I754" s="183">
        <v>0</v>
      </c>
      <c r="J754" s="263">
        <f t="shared" ca="1" si="124"/>
        <v>45087.13667109306</v>
      </c>
      <c r="K754" s="182">
        <f t="shared" ca="1" si="125"/>
        <v>70</v>
      </c>
      <c r="L754" s="182">
        <f t="shared" ca="1" si="126"/>
        <v>18487.136671093125</v>
      </c>
      <c r="M754" s="182">
        <f t="shared" ca="1" si="127"/>
        <v>8400</v>
      </c>
      <c r="N754" s="182">
        <f t="shared" ca="1" si="128"/>
        <v>70287.136671092943</v>
      </c>
      <c r="O754" s="182"/>
    </row>
    <row r="755" spans="1:15" x14ac:dyDescent="0.25">
      <c r="A755" s="180">
        <f t="shared" ca="1" si="129"/>
        <v>46845</v>
      </c>
      <c r="B755" s="181">
        <v>741</v>
      </c>
      <c r="C755" s="182">
        <f t="shared" ca="1" si="130"/>
        <v>45087.13667109306</v>
      </c>
      <c r="D755" s="182">
        <f t="shared" ca="1" si="131"/>
        <v>30.058091114062037</v>
      </c>
      <c r="E755" s="182">
        <v>0</v>
      </c>
      <c r="F755" s="182">
        <f t="shared" ca="1" si="134"/>
        <v>0</v>
      </c>
      <c r="G755" s="182">
        <f t="shared" ca="1" si="132"/>
        <v>0</v>
      </c>
      <c r="H755" s="182">
        <f t="shared" ca="1" si="133"/>
        <v>45117.194762207124</v>
      </c>
      <c r="I755" s="183">
        <v>0</v>
      </c>
      <c r="J755" s="263">
        <f t="shared" ca="1" si="124"/>
        <v>45117.194762207124</v>
      </c>
      <c r="K755" s="182">
        <f t="shared" ca="1" si="125"/>
        <v>70</v>
      </c>
      <c r="L755" s="182">
        <f t="shared" ca="1" si="126"/>
        <v>18517.194762207186</v>
      </c>
      <c r="M755" s="182">
        <f t="shared" ca="1" si="127"/>
        <v>8400</v>
      </c>
      <c r="N755" s="182">
        <f t="shared" ca="1" si="128"/>
        <v>70387.194762207</v>
      </c>
      <c r="O755" s="182"/>
    </row>
    <row r="756" spans="1:15" x14ac:dyDescent="0.25">
      <c r="A756" s="180">
        <f t="shared" ca="1" si="129"/>
        <v>46846</v>
      </c>
      <c r="B756" s="181">
        <v>742</v>
      </c>
      <c r="C756" s="182">
        <f t="shared" ca="1" si="130"/>
        <v>45117.194762207124</v>
      </c>
      <c r="D756" s="182">
        <f t="shared" ca="1" si="131"/>
        <v>30.078129841471416</v>
      </c>
      <c r="E756" s="182">
        <v>0</v>
      </c>
      <c r="F756" s="182">
        <f t="shared" ca="1" si="134"/>
        <v>0</v>
      </c>
      <c r="G756" s="182">
        <f t="shared" ca="1" si="132"/>
        <v>0</v>
      </c>
      <c r="H756" s="182">
        <f t="shared" ca="1" si="133"/>
        <v>45147.272892048597</v>
      </c>
      <c r="I756" s="183">
        <v>0</v>
      </c>
      <c r="J756" s="263">
        <f t="shared" ca="1" si="124"/>
        <v>45147.272892048597</v>
      </c>
      <c r="K756" s="182">
        <f t="shared" ca="1" si="125"/>
        <v>70</v>
      </c>
      <c r="L756" s="182">
        <f t="shared" ca="1" si="126"/>
        <v>18547.272892048659</v>
      </c>
      <c r="M756" s="182">
        <f t="shared" ca="1" si="127"/>
        <v>8400</v>
      </c>
      <c r="N756" s="182">
        <f t="shared" ca="1" si="128"/>
        <v>70487.272892048466</v>
      </c>
      <c r="O756" s="182"/>
    </row>
    <row r="757" spans="1:15" x14ac:dyDescent="0.25">
      <c r="A757" s="180">
        <f t="shared" ca="1" si="129"/>
        <v>46847</v>
      </c>
      <c r="B757" s="181">
        <v>743</v>
      </c>
      <c r="C757" s="182">
        <f t="shared" ca="1" si="130"/>
        <v>45147.272892048597</v>
      </c>
      <c r="D757" s="182">
        <f t="shared" ca="1" si="131"/>
        <v>30.098181928032396</v>
      </c>
      <c r="E757" s="182">
        <v>0</v>
      </c>
      <c r="F757" s="182">
        <f t="shared" ca="1" si="134"/>
        <v>0</v>
      </c>
      <c r="G757" s="182">
        <f t="shared" ca="1" si="132"/>
        <v>0</v>
      </c>
      <c r="H757" s="182">
        <f t="shared" ca="1" si="133"/>
        <v>45177.371073976632</v>
      </c>
      <c r="I757" s="183">
        <v>0</v>
      </c>
      <c r="J757" s="263">
        <f t="shared" ca="1" si="124"/>
        <v>45177.371073976632</v>
      </c>
      <c r="K757" s="182">
        <f t="shared" ca="1" si="125"/>
        <v>70</v>
      </c>
      <c r="L757" s="182">
        <f t="shared" ca="1" si="126"/>
        <v>18577.37107397669</v>
      </c>
      <c r="M757" s="182">
        <f t="shared" ca="1" si="127"/>
        <v>8400</v>
      </c>
      <c r="N757" s="182">
        <f t="shared" ca="1" si="128"/>
        <v>70587.371073976494</v>
      </c>
      <c r="O757" s="182"/>
    </row>
    <row r="758" spans="1:15" x14ac:dyDescent="0.25">
      <c r="A758" s="180">
        <f t="shared" ca="1" si="129"/>
        <v>46848</v>
      </c>
      <c r="B758" s="181">
        <v>744</v>
      </c>
      <c r="C758" s="182">
        <f t="shared" ca="1" si="130"/>
        <v>45177.371073976632</v>
      </c>
      <c r="D758" s="182">
        <f t="shared" ca="1" si="131"/>
        <v>30.118247382651088</v>
      </c>
      <c r="E758" s="182">
        <v>0</v>
      </c>
      <c r="F758" s="182">
        <f t="shared" ca="1" si="134"/>
        <v>0</v>
      </c>
      <c r="G758" s="182">
        <f t="shared" ca="1" si="132"/>
        <v>0</v>
      </c>
      <c r="H758" s="182">
        <f t="shared" ca="1" si="133"/>
        <v>45207.48932135928</v>
      </c>
      <c r="I758" s="183">
        <v>0</v>
      </c>
      <c r="J758" s="263">
        <f t="shared" ca="1" si="124"/>
        <v>45207.48932135928</v>
      </c>
      <c r="K758" s="182">
        <f t="shared" ca="1" si="125"/>
        <v>70</v>
      </c>
      <c r="L758" s="182">
        <f t="shared" ca="1" si="126"/>
        <v>18607.489321359342</v>
      </c>
      <c r="M758" s="182">
        <f t="shared" ca="1" si="127"/>
        <v>8400</v>
      </c>
      <c r="N758" s="182">
        <f t="shared" ca="1" si="128"/>
        <v>70687.489321359142</v>
      </c>
      <c r="O758" s="182"/>
    </row>
    <row r="759" spans="1:15" x14ac:dyDescent="0.25">
      <c r="A759" s="180">
        <f t="shared" ca="1" si="129"/>
        <v>46849</v>
      </c>
      <c r="B759" s="181">
        <v>745</v>
      </c>
      <c r="C759" s="182">
        <f t="shared" ca="1" si="130"/>
        <v>45207.48932135928</v>
      </c>
      <c r="D759" s="182">
        <f t="shared" ca="1" si="131"/>
        <v>30.13832621423952</v>
      </c>
      <c r="E759" s="182">
        <v>0</v>
      </c>
      <c r="F759" s="182">
        <f t="shared" ca="1" si="134"/>
        <v>0</v>
      </c>
      <c r="G759" s="182">
        <f t="shared" ca="1" si="132"/>
        <v>0</v>
      </c>
      <c r="H759" s="182">
        <f t="shared" ca="1" si="133"/>
        <v>45237.627647573521</v>
      </c>
      <c r="I759" s="183">
        <v>0</v>
      </c>
      <c r="J759" s="263">
        <f t="shared" ca="1" si="124"/>
        <v>45237.627647573521</v>
      </c>
      <c r="K759" s="182">
        <f t="shared" ca="1" si="125"/>
        <v>70</v>
      </c>
      <c r="L759" s="182">
        <f t="shared" ca="1" si="126"/>
        <v>18637.627647573583</v>
      </c>
      <c r="M759" s="182">
        <f t="shared" ca="1" si="127"/>
        <v>8400</v>
      </c>
      <c r="N759" s="182">
        <f t="shared" ca="1" si="128"/>
        <v>70787.627647573376</v>
      </c>
      <c r="O759" s="182"/>
    </row>
    <row r="760" spans="1:15" x14ac:dyDescent="0.25">
      <c r="A760" s="180">
        <f t="shared" ca="1" si="129"/>
        <v>46850</v>
      </c>
      <c r="B760" s="181">
        <v>746</v>
      </c>
      <c r="C760" s="182">
        <f t="shared" ca="1" si="130"/>
        <v>45237.627647573521</v>
      </c>
      <c r="D760" s="182">
        <f t="shared" ca="1" si="131"/>
        <v>30.158418431715681</v>
      </c>
      <c r="E760" s="182">
        <v>0</v>
      </c>
      <c r="F760" s="182">
        <f t="shared" ca="1" si="134"/>
        <v>0</v>
      </c>
      <c r="G760" s="182">
        <f t="shared" ca="1" si="132"/>
        <v>0</v>
      </c>
      <c r="H760" s="182">
        <f t="shared" ca="1" si="133"/>
        <v>45267.786066005239</v>
      </c>
      <c r="I760" s="183">
        <v>0</v>
      </c>
      <c r="J760" s="263">
        <f t="shared" ca="1" si="124"/>
        <v>45267.786066005239</v>
      </c>
      <c r="K760" s="182">
        <f t="shared" ca="1" si="125"/>
        <v>70</v>
      </c>
      <c r="L760" s="182">
        <f t="shared" ca="1" si="126"/>
        <v>18667.786066005297</v>
      </c>
      <c r="M760" s="182">
        <f t="shared" ca="1" si="127"/>
        <v>8400</v>
      </c>
      <c r="N760" s="182">
        <f t="shared" ca="1" si="128"/>
        <v>70887.786066005094</v>
      </c>
      <c r="O760" s="182"/>
    </row>
    <row r="761" spans="1:15" x14ac:dyDescent="0.25">
      <c r="A761" s="180">
        <f t="shared" ca="1" si="129"/>
        <v>46851</v>
      </c>
      <c r="B761" s="181">
        <v>747</v>
      </c>
      <c r="C761" s="182">
        <f t="shared" ca="1" si="130"/>
        <v>45267.786066005239</v>
      </c>
      <c r="D761" s="182">
        <f t="shared" ca="1" si="131"/>
        <v>30.178524044003492</v>
      </c>
      <c r="E761" s="182">
        <v>0</v>
      </c>
      <c r="F761" s="182">
        <f t="shared" ca="1" si="134"/>
        <v>0</v>
      </c>
      <c r="G761" s="182">
        <f t="shared" ca="1" si="132"/>
        <v>0</v>
      </c>
      <c r="H761" s="182">
        <f t="shared" ca="1" si="133"/>
        <v>45297.96459004924</v>
      </c>
      <c r="I761" s="183">
        <v>0</v>
      </c>
      <c r="J761" s="263">
        <f t="shared" ca="1" si="124"/>
        <v>45297.96459004924</v>
      </c>
      <c r="K761" s="182">
        <f t="shared" ca="1" si="125"/>
        <v>70</v>
      </c>
      <c r="L761" s="182">
        <f t="shared" ca="1" si="126"/>
        <v>18697.964590049301</v>
      </c>
      <c r="M761" s="182">
        <f t="shared" ca="1" si="127"/>
        <v>8400</v>
      </c>
      <c r="N761" s="182">
        <f t="shared" ca="1" si="128"/>
        <v>70987.964590049101</v>
      </c>
      <c r="O761" s="182"/>
    </row>
    <row r="762" spans="1:15" x14ac:dyDescent="0.25">
      <c r="A762" s="180">
        <f t="shared" ca="1" si="129"/>
        <v>46852</v>
      </c>
      <c r="B762" s="181">
        <v>748</v>
      </c>
      <c r="C762" s="182">
        <f t="shared" ca="1" si="130"/>
        <v>45297.96459004924</v>
      </c>
      <c r="D762" s="182">
        <f t="shared" ca="1" si="131"/>
        <v>30.198643060032826</v>
      </c>
      <c r="E762" s="182">
        <v>0</v>
      </c>
      <c r="F762" s="182">
        <f t="shared" ca="1" si="134"/>
        <v>0</v>
      </c>
      <c r="G762" s="182">
        <f t="shared" ca="1" si="132"/>
        <v>0</v>
      </c>
      <c r="H762" s="182">
        <f t="shared" ca="1" si="133"/>
        <v>45328.16323310927</v>
      </c>
      <c r="I762" s="183">
        <v>0</v>
      </c>
      <c r="J762" s="263">
        <f t="shared" ca="1" si="124"/>
        <v>45328.16323310927</v>
      </c>
      <c r="K762" s="182">
        <f t="shared" ca="1" si="125"/>
        <v>70</v>
      </c>
      <c r="L762" s="182">
        <f t="shared" ca="1" si="126"/>
        <v>18728.163233109335</v>
      </c>
      <c r="M762" s="182">
        <f t="shared" ca="1" si="127"/>
        <v>8400</v>
      </c>
      <c r="N762" s="182">
        <f t="shared" ca="1" si="128"/>
        <v>71088.163233109139</v>
      </c>
      <c r="O762" s="182"/>
    </row>
    <row r="763" spans="1:15" x14ac:dyDescent="0.25">
      <c r="A763" s="180">
        <f t="shared" ca="1" si="129"/>
        <v>46853</v>
      </c>
      <c r="B763" s="181">
        <v>749</v>
      </c>
      <c r="C763" s="182">
        <f t="shared" ca="1" si="130"/>
        <v>45328.16323310927</v>
      </c>
      <c r="D763" s="182">
        <f t="shared" ca="1" si="131"/>
        <v>30.218775488739514</v>
      </c>
      <c r="E763" s="182">
        <v>0</v>
      </c>
      <c r="F763" s="182">
        <f t="shared" ca="1" si="134"/>
        <v>0</v>
      </c>
      <c r="G763" s="182">
        <f t="shared" ca="1" si="132"/>
        <v>0</v>
      </c>
      <c r="H763" s="182">
        <f t="shared" ca="1" si="133"/>
        <v>45358.382008598011</v>
      </c>
      <c r="I763" s="183">
        <v>0</v>
      </c>
      <c r="J763" s="263">
        <f t="shared" ca="1" si="124"/>
        <v>45358.382008598011</v>
      </c>
      <c r="K763" s="182">
        <f t="shared" ca="1" si="125"/>
        <v>70</v>
      </c>
      <c r="L763" s="182">
        <f t="shared" ca="1" si="126"/>
        <v>18758.382008598073</v>
      </c>
      <c r="M763" s="182">
        <f t="shared" ca="1" si="127"/>
        <v>8400</v>
      </c>
      <c r="N763" s="182">
        <f t="shared" ca="1" si="128"/>
        <v>71188.38200859788</v>
      </c>
      <c r="O763" s="182"/>
    </row>
    <row r="764" spans="1:15" x14ac:dyDescent="0.25">
      <c r="A764" s="180">
        <f t="shared" ca="1" si="129"/>
        <v>46854</v>
      </c>
      <c r="B764" s="181">
        <v>750</v>
      </c>
      <c r="C764" s="182">
        <f t="shared" ca="1" si="130"/>
        <v>45358.382008598011</v>
      </c>
      <c r="D764" s="182">
        <f t="shared" ca="1" si="131"/>
        <v>30.238921339065339</v>
      </c>
      <c r="E764" s="182">
        <v>0</v>
      </c>
      <c r="F764" s="182">
        <f t="shared" ca="1" si="134"/>
        <v>0</v>
      </c>
      <c r="G764" s="182">
        <f t="shared" ca="1" si="132"/>
        <v>0</v>
      </c>
      <c r="H764" s="182">
        <f t="shared" ca="1" si="133"/>
        <v>45388.620929937075</v>
      </c>
      <c r="I764" s="183">
        <v>0</v>
      </c>
      <c r="J764" s="263">
        <f t="shared" ca="1" si="124"/>
        <v>45388.620929937075</v>
      </c>
      <c r="K764" s="182">
        <f t="shared" ca="1" si="125"/>
        <v>70</v>
      </c>
      <c r="L764" s="182">
        <f t="shared" ca="1" si="126"/>
        <v>18788.62092993714</v>
      </c>
      <c r="M764" s="182">
        <f t="shared" ca="1" si="127"/>
        <v>8400</v>
      </c>
      <c r="N764" s="182">
        <f t="shared" ca="1" si="128"/>
        <v>71288.620929936951</v>
      </c>
      <c r="O764" s="182"/>
    </row>
    <row r="765" spans="1:15" x14ac:dyDescent="0.25">
      <c r="A765" s="180">
        <f t="shared" ca="1" si="129"/>
        <v>46855</v>
      </c>
      <c r="B765" s="181">
        <v>751</v>
      </c>
      <c r="C765" s="182">
        <f t="shared" ca="1" si="130"/>
        <v>45388.620929937075</v>
      </c>
      <c r="D765" s="182">
        <f t="shared" ca="1" si="131"/>
        <v>30.259080619958048</v>
      </c>
      <c r="E765" s="182">
        <v>0</v>
      </c>
      <c r="F765" s="182">
        <f t="shared" ca="1" si="134"/>
        <v>0</v>
      </c>
      <c r="G765" s="182">
        <f t="shared" ca="1" si="132"/>
        <v>0</v>
      </c>
      <c r="H765" s="182">
        <f t="shared" ca="1" si="133"/>
        <v>45418.880010557034</v>
      </c>
      <c r="I765" s="183">
        <v>0</v>
      </c>
      <c r="J765" s="263">
        <f t="shared" ca="1" si="124"/>
        <v>45418.880010557034</v>
      </c>
      <c r="K765" s="182">
        <f t="shared" ca="1" si="125"/>
        <v>70</v>
      </c>
      <c r="L765" s="182">
        <f t="shared" ca="1" si="126"/>
        <v>18818.880010557099</v>
      </c>
      <c r="M765" s="182">
        <f t="shared" ca="1" si="127"/>
        <v>8400</v>
      </c>
      <c r="N765" s="182">
        <f t="shared" ca="1" si="128"/>
        <v>71388.88001055691</v>
      </c>
      <c r="O765" s="182"/>
    </row>
    <row r="766" spans="1:15" x14ac:dyDescent="0.25">
      <c r="A766" s="180">
        <f t="shared" ca="1" si="129"/>
        <v>46856</v>
      </c>
      <c r="B766" s="181">
        <v>752</v>
      </c>
      <c r="C766" s="182">
        <f t="shared" ca="1" si="130"/>
        <v>45418.880010557034</v>
      </c>
      <c r="D766" s="182">
        <f t="shared" ca="1" si="131"/>
        <v>30.279253340371355</v>
      </c>
      <c r="E766" s="182">
        <v>0</v>
      </c>
      <c r="F766" s="182">
        <f t="shared" ca="1" si="134"/>
        <v>0</v>
      </c>
      <c r="G766" s="182">
        <f t="shared" ca="1" si="132"/>
        <v>0</v>
      </c>
      <c r="H766" s="182">
        <f t="shared" ca="1" si="133"/>
        <v>45449.159263897403</v>
      </c>
      <c r="I766" s="183">
        <v>0</v>
      </c>
      <c r="J766" s="263">
        <f t="shared" ca="1" si="124"/>
        <v>45449.159263897403</v>
      </c>
      <c r="K766" s="182">
        <f t="shared" ca="1" si="125"/>
        <v>70</v>
      </c>
      <c r="L766" s="182">
        <f t="shared" ca="1" si="126"/>
        <v>18849.159263897469</v>
      </c>
      <c r="M766" s="182">
        <f t="shared" ca="1" si="127"/>
        <v>8400</v>
      </c>
      <c r="N766" s="182">
        <f t="shared" ca="1" si="128"/>
        <v>71489.15926389728</v>
      </c>
      <c r="O766" s="182"/>
    </row>
    <row r="767" spans="1:15" x14ac:dyDescent="0.25">
      <c r="A767" s="180">
        <f t="shared" ca="1" si="129"/>
        <v>46857</v>
      </c>
      <c r="B767" s="181">
        <v>753</v>
      </c>
      <c r="C767" s="182">
        <f t="shared" ca="1" si="130"/>
        <v>45449.159263897403</v>
      </c>
      <c r="D767" s="182">
        <f t="shared" ca="1" si="131"/>
        <v>30.299439509264936</v>
      </c>
      <c r="E767" s="182">
        <v>0</v>
      </c>
      <c r="F767" s="182">
        <f t="shared" ca="1" si="134"/>
        <v>0</v>
      </c>
      <c r="G767" s="182">
        <f t="shared" ca="1" si="132"/>
        <v>0</v>
      </c>
      <c r="H767" s="182">
        <f t="shared" ca="1" si="133"/>
        <v>45479.458703406672</v>
      </c>
      <c r="I767" s="183">
        <v>0</v>
      </c>
      <c r="J767" s="263">
        <f t="shared" ca="1" si="124"/>
        <v>45479.458703406672</v>
      </c>
      <c r="K767" s="182">
        <f t="shared" ca="1" si="125"/>
        <v>70</v>
      </c>
      <c r="L767" s="182">
        <f t="shared" ca="1" si="126"/>
        <v>18879.458703406734</v>
      </c>
      <c r="M767" s="182">
        <f t="shared" ca="1" si="127"/>
        <v>8400</v>
      </c>
      <c r="N767" s="182">
        <f t="shared" ca="1" si="128"/>
        <v>71589.458703406548</v>
      </c>
      <c r="O767" s="182"/>
    </row>
    <row r="768" spans="1:15" x14ac:dyDescent="0.25">
      <c r="A768" s="180">
        <f t="shared" ca="1" si="129"/>
        <v>46858</v>
      </c>
      <c r="B768" s="181">
        <v>754</v>
      </c>
      <c r="C768" s="182">
        <f t="shared" ca="1" si="130"/>
        <v>45479.458703406672</v>
      </c>
      <c r="D768" s="182">
        <f t="shared" ca="1" si="131"/>
        <v>30.319639135604447</v>
      </c>
      <c r="E768" s="182">
        <v>0</v>
      </c>
      <c r="F768" s="182">
        <f t="shared" ca="1" si="134"/>
        <v>0</v>
      </c>
      <c r="G768" s="182">
        <f t="shared" ca="1" si="132"/>
        <v>0</v>
      </c>
      <c r="H768" s="182">
        <f t="shared" ca="1" si="133"/>
        <v>45509.778342542275</v>
      </c>
      <c r="I768" s="183">
        <v>0</v>
      </c>
      <c r="J768" s="263">
        <f t="shared" ca="1" si="124"/>
        <v>45509.778342542275</v>
      </c>
      <c r="K768" s="182">
        <f t="shared" ca="1" si="125"/>
        <v>70</v>
      </c>
      <c r="L768" s="182">
        <f t="shared" ca="1" si="126"/>
        <v>18909.778342542337</v>
      </c>
      <c r="M768" s="182">
        <f t="shared" ca="1" si="127"/>
        <v>8400</v>
      </c>
      <c r="N768" s="182">
        <f t="shared" ca="1" si="128"/>
        <v>71689.778342542151</v>
      </c>
      <c r="O768" s="182"/>
    </row>
    <row r="769" spans="1:15" x14ac:dyDescent="0.25">
      <c r="A769" s="180">
        <f t="shared" ca="1" si="129"/>
        <v>46859</v>
      </c>
      <c r="B769" s="181">
        <v>755</v>
      </c>
      <c r="C769" s="182">
        <f t="shared" ca="1" si="130"/>
        <v>45509.778342542275</v>
      </c>
      <c r="D769" s="182">
        <f t="shared" ca="1" si="131"/>
        <v>30.339852228361515</v>
      </c>
      <c r="E769" s="182">
        <v>0</v>
      </c>
      <c r="F769" s="182">
        <f t="shared" ca="1" si="134"/>
        <v>0</v>
      </c>
      <c r="G769" s="182">
        <f t="shared" ca="1" si="132"/>
        <v>0</v>
      </c>
      <c r="H769" s="182">
        <f t="shared" ca="1" si="133"/>
        <v>45540.118194770635</v>
      </c>
      <c r="I769" s="183">
        <v>0</v>
      </c>
      <c r="J769" s="263">
        <f t="shared" ca="1" si="124"/>
        <v>45540.118194770635</v>
      </c>
      <c r="K769" s="182">
        <f t="shared" ca="1" si="125"/>
        <v>70</v>
      </c>
      <c r="L769" s="182">
        <f t="shared" ca="1" si="126"/>
        <v>18940.118194770697</v>
      </c>
      <c r="M769" s="182">
        <f t="shared" ca="1" si="127"/>
        <v>8400</v>
      </c>
      <c r="N769" s="182">
        <f t="shared" ca="1" si="128"/>
        <v>71790.118194770519</v>
      </c>
      <c r="O769" s="182"/>
    </row>
    <row r="770" spans="1:15" x14ac:dyDescent="0.25">
      <c r="A770" s="180">
        <f t="shared" ca="1" si="129"/>
        <v>46860</v>
      </c>
      <c r="B770" s="181">
        <v>756</v>
      </c>
      <c r="C770" s="182">
        <f t="shared" ca="1" si="130"/>
        <v>45540.118194770635</v>
      </c>
      <c r="D770" s="182">
        <f t="shared" ca="1" si="131"/>
        <v>30.360078796513754</v>
      </c>
      <c r="E770" s="182">
        <v>0</v>
      </c>
      <c r="F770" s="182">
        <f t="shared" ca="1" si="134"/>
        <v>0</v>
      </c>
      <c r="G770" s="182">
        <f t="shared" ca="1" si="132"/>
        <v>0</v>
      </c>
      <c r="H770" s="182">
        <f t="shared" ca="1" si="133"/>
        <v>45570.478273567147</v>
      </c>
      <c r="I770" s="183">
        <v>0</v>
      </c>
      <c r="J770" s="263">
        <f t="shared" ca="1" si="124"/>
        <v>45570.478273567147</v>
      </c>
      <c r="K770" s="182">
        <f t="shared" ca="1" si="125"/>
        <v>70</v>
      </c>
      <c r="L770" s="182">
        <f t="shared" ca="1" si="126"/>
        <v>18970.478273567212</v>
      </c>
      <c r="M770" s="182">
        <f t="shared" ca="1" si="127"/>
        <v>8400</v>
      </c>
      <c r="N770" s="182">
        <f t="shared" ca="1" si="128"/>
        <v>71890.478273567031</v>
      </c>
      <c r="O770" s="182"/>
    </row>
    <row r="771" spans="1:15" x14ac:dyDescent="0.25">
      <c r="A771" s="180">
        <f t="shared" ca="1" si="129"/>
        <v>46861</v>
      </c>
      <c r="B771" s="181">
        <v>757</v>
      </c>
      <c r="C771" s="182">
        <f t="shared" ca="1" si="130"/>
        <v>45570.478273567147</v>
      </c>
      <c r="D771" s="182">
        <f t="shared" ca="1" si="131"/>
        <v>30.380318849044762</v>
      </c>
      <c r="E771" s="182">
        <v>0</v>
      </c>
      <c r="F771" s="182">
        <f t="shared" ca="1" si="134"/>
        <v>0</v>
      </c>
      <c r="G771" s="182">
        <f t="shared" ca="1" si="132"/>
        <v>0</v>
      </c>
      <c r="H771" s="182">
        <f t="shared" ca="1" si="133"/>
        <v>45600.858592416189</v>
      </c>
      <c r="I771" s="183">
        <v>0</v>
      </c>
      <c r="J771" s="263">
        <f t="shared" ca="1" si="124"/>
        <v>45600.858592416189</v>
      </c>
      <c r="K771" s="182">
        <f t="shared" ca="1" si="125"/>
        <v>70</v>
      </c>
      <c r="L771" s="182">
        <f t="shared" ca="1" si="126"/>
        <v>19000.858592416258</v>
      </c>
      <c r="M771" s="182">
        <f t="shared" ca="1" si="127"/>
        <v>8400</v>
      </c>
      <c r="N771" s="182">
        <f t="shared" ca="1" si="128"/>
        <v>71990.858592416072</v>
      </c>
      <c r="O771" s="182"/>
    </row>
    <row r="772" spans="1:15" x14ac:dyDescent="0.25">
      <c r="A772" s="180">
        <f t="shared" ca="1" si="129"/>
        <v>46862</v>
      </c>
      <c r="B772" s="181">
        <v>758</v>
      </c>
      <c r="C772" s="182">
        <f t="shared" ca="1" si="130"/>
        <v>45600.858592416189</v>
      </c>
      <c r="D772" s="182">
        <f t="shared" ca="1" si="131"/>
        <v>30.400572394944124</v>
      </c>
      <c r="E772" s="182">
        <v>0</v>
      </c>
      <c r="F772" s="182">
        <f t="shared" ca="1" si="134"/>
        <v>0</v>
      </c>
      <c r="G772" s="182">
        <f t="shared" ca="1" si="132"/>
        <v>0</v>
      </c>
      <c r="H772" s="182">
        <f t="shared" ca="1" si="133"/>
        <v>45631.259164811134</v>
      </c>
      <c r="I772" s="183">
        <v>0</v>
      </c>
      <c r="J772" s="263">
        <f t="shared" ca="1" si="124"/>
        <v>45631.259164811134</v>
      </c>
      <c r="K772" s="182">
        <f t="shared" ca="1" si="125"/>
        <v>70</v>
      </c>
      <c r="L772" s="182">
        <f t="shared" ca="1" si="126"/>
        <v>19031.259164811203</v>
      </c>
      <c r="M772" s="182">
        <f t="shared" ca="1" si="127"/>
        <v>8400</v>
      </c>
      <c r="N772" s="182">
        <f t="shared" ca="1" si="128"/>
        <v>72091.25916481101</v>
      </c>
      <c r="O772" s="182"/>
    </row>
    <row r="773" spans="1:15" x14ac:dyDescent="0.25">
      <c r="A773" s="180">
        <f t="shared" ca="1" si="129"/>
        <v>46863</v>
      </c>
      <c r="B773" s="181">
        <v>759</v>
      </c>
      <c r="C773" s="182">
        <f t="shared" ca="1" si="130"/>
        <v>45631.259164811134</v>
      </c>
      <c r="D773" s="182">
        <f t="shared" ca="1" si="131"/>
        <v>30.42083944320742</v>
      </c>
      <c r="E773" s="182">
        <v>0</v>
      </c>
      <c r="F773" s="182">
        <f t="shared" ca="1" si="134"/>
        <v>0</v>
      </c>
      <c r="G773" s="182">
        <f t="shared" ca="1" si="132"/>
        <v>0</v>
      </c>
      <c r="H773" s="182">
        <f t="shared" ca="1" si="133"/>
        <v>45661.68000425434</v>
      </c>
      <c r="I773" s="183">
        <v>0</v>
      </c>
      <c r="J773" s="263">
        <f t="shared" ca="1" si="124"/>
        <v>45661.68000425434</v>
      </c>
      <c r="K773" s="182">
        <f t="shared" ca="1" si="125"/>
        <v>70</v>
      </c>
      <c r="L773" s="182">
        <f t="shared" ca="1" si="126"/>
        <v>19061.680004254409</v>
      </c>
      <c r="M773" s="182">
        <f t="shared" ca="1" si="127"/>
        <v>8400</v>
      </c>
      <c r="N773" s="182">
        <f t="shared" ca="1" si="128"/>
        <v>72191.680004254216</v>
      </c>
      <c r="O773" s="182"/>
    </row>
    <row r="774" spans="1:15" x14ac:dyDescent="0.25">
      <c r="A774" s="180">
        <f t="shared" ca="1" si="129"/>
        <v>46864</v>
      </c>
      <c r="B774" s="181">
        <v>760</v>
      </c>
      <c r="C774" s="182">
        <f t="shared" ca="1" si="130"/>
        <v>45661.68000425434</v>
      </c>
      <c r="D774" s="182">
        <f t="shared" ca="1" si="131"/>
        <v>30.441120002836225</v>
      </c>
      <c r="E774" s="182">
        <v>0</v>
      </c>
      <c r="F774" s="182">
        <f t="shared" ca="1" si="134"/>
        <v>0</v>
      </c>
      <c r="G774" s="182">
        <f t="shared" ca="1" si="132"/>
        <v>0</v>
      </c>
      <c r="H774" s="182">
        <f t="shared" ca="1" si="133"/>
        <v>45692.121124257174</v>
      </c>
      <c r="I774" s="183">
        <v>0</v>
      </c>
      <c r="J774" s="263">
        <f t="shared" ca="1" si="124"/>
        <v>45692.121124257174</v>
      </c>
      <c r="K774" s="182">
        <f t="shared" ca="1" si="125"/>
        <v>70</v>
      </c>
      <c r="L774" s="182">
        <f t="shared" ca="1" si="126"/>
        <v>19092.121124257246</v>
      </c>
      <c r="M774" s="182">
        <f t="shared" ca="1" si="127"/>
        <v>8400</v>
      </c>
      <c r="N774" s="182">
        <f t="shared" ca="1" si="128"/>
        <v>72292.121124257057</v>
      </c>
      <c r="O774" s="182"/>
    </row>
    <row r="775" spans="1:15" x14ac:dyDescent="0.25">
      <c r="A775" s="180">
        <f t="shared" ca="1" si="129"/>
        <v>46865</v>
      </c>
      <c r="B775" s="181">
        <v>761</v>
      </c>
      <c r="C775" s="182">
        <f t="shared" ca="1" si="130"/>
        <v>45692.121124257174</v>
      </c>
      <c r="D775" s="182">
        <f t="shared" ca="1" si="131"/>
        <v>30.461414082838115</v>
      </c>
      <c r="E775" s="182">
        <v>0</v>
      </c>
      <c r="F775" s="182">
        <f t="shared" ca="1" si="134"/>
        <v>0</v>
      </c>
      <c r="G775" s="182">
        <f t="shared" ca="1" si="132"/>
        <v>0</v>
      </c>
      <c r="H775" s="182">
        <f t="shared" ca="1" si="133"/>
        <v>45722.582538340015</v>
      </c>
      <c r="I775" s="183">
        <v>0</v>
      </c>
      <c r="J775" s="263">
        <f t="shared" ca="1" si="124"/>
        <v>45722.582538340015</v>
      </c>
      <c r="K775" s="182">
        <f t="shared" ca="1" si="125"/>
        <v>70</v>
      </c>
      <c r="L775" s="182">
        <f t="shared" ca="1" si="126"/>
        <v>19122.582538340084</v>
      </c>
      <c r="M775" s="182">
        <f t="shared" ca="1" si="127"/>
        <v>8400</v>
      </c>
      <c r="N775" s="182">
        <f t="shared" ca="1" si="128"/>
        <v>72392.582538339891</v>
      </c>
      <c r="O775" s="182"/>
    </row>
    <row r="776" spans="1:15" x14ac:dyDescent="0.25">
      <c r="A776" s="180">
        <f t="shared" ca="1" si="129"/>
        <v>46866</v>
      </c>
      <c r="B776" s="181">
        <v>762</v>
      </c>
      <c r="C776" s="182">
        <f t="shared" ca="1" si="130"/>
        <v>45722.582538340015</v>
      </c>
      <c r="D776" s="182">
        <f t="shared" ca="1" si="131"/>
        <v>30.481721692226674</v>
      </c>
      <c r="E776" s="182">
        <v>0</v>
      </c>
      <c r="F776" s="182">
        <f t="shared" ca="1" si="134"/>
        <v>0</v>
      </c>
      <c r="G776" s="182">
        <f t="shared" ca="1" si="132"/>
        <v>0</v>
      </c>
      <c r="H776" s="182">
        <f t="shared" ca="1" si="133"/>
        <v>45753.064260032239</v>
      </c>
      <c r="I776" s="183">
        <v>0</v>
      </c>
      <c r="J776" s="263">
        <f t="shared" ca="1" si="124"/>
        <v>45753.064260032239</v>
      </c>
      <c r="K776" s="182">
        <f t="shared" ca="1" si="125"/>
        <v>70</v>
      </c>
      <c r="L776" s="182">
        <f t="shared" ca="1" si="126"/>
        <v>19153.064260032312</v>
      </c>
      <c r="M776" s="182">
        <f t="shared" ca="1" si="127"/>
        <v>8400</v>
      </c>
      <c r="N776" s="182">
        <f t="shared" ca="1" si="128"/>
        <v>72493.064260032115</v>
      </c>
      <c r="O776" s="182"/>
    </row>
    <row r="777" spans="1:15" x14ac:dyDescent="0.25">
      <c r="A777" s="180">
        <f t="shared" ca="1" si="129"/>
        <v>46867</v>
      </c>
      <c r="B777" s="181">
        <v>763</v>
      </c>
      <c r="C777" s="182">
        <f t="shared" ca="1" si="130"/>
        <v>45753.064260032239</v>
      </c>
      <c r="D777" s="182">
        <f t="shared" ca="1" si="131"/>
        <v>30.502042840021492</v>
      </c>
      <c r="E777" s="182">
        <v>0</v>
      </c>
      <c r="F777" s="182">
        <f t="shared" ca="1" si="134"/>
        <v>0</v>
      </c>
      <c r="G777" s="182">
        <f t="shared" ca="1" si="132"/>
        <v>0</v>
      </c>
      <c r="H777" s="182">
        <f t="shared" ca="1" si="133"/>
        <v>45783.566302872263</v>
      </c>
      <c r="I777" s="183">
        <v>0</v>
      </c>
      <c r="J777" s="263">
        <f t="shared" ca="1" si="124"/>
        <v>45783.566302872263</v>
      </c>
      <c r="K777" s="182">
        <f t="shared" ca="1" si="125"/>
        <v>70</v>
      </c>
      <c r="L777" s="182">
        <f t="shared" ca="1" si="126"/>
        <v>19183.566302872332</v>
      </c>
      <c r="M777" s="182">
        <f t="shared" ca="1" si="127"/>
        <v>8400</v>
      </c>
      <c r="N777" s="182">
        <f t="shared" ca="1" si="128"/>
        <v>72593.566302872132</v>
      </c>
      <c r="O777" s="182"/>
    </row>
    <row r="778" spans="1:15" x14ac:dyDescent="0.25">
      <c r="A778" s="180">
        <f t="shared" ca="1" si="129"/>
        <v>46868</v>
      </c>
      <c r="B778" s="181">
        <v>764</v>
      </c>
      <c r="C778" s="182">
        <f t="shared" ca="1" si="130"/>
        <v>45783.566302872263</v>
      </c>
      <c r="D778" s="182">
        <f t="shared" ca="1" si="131"/>
        <v>30.522377535248175</v>
      </c>
      <c r="E778" s="182">
        <v>0</v>
      </c>
      <c r="F778" s="182">
        <f t="shared" ca="1" si="134"/>
        <v>0</v>
      </c>
      <c r="G778" s="182">
        <f t="shared" ca="1" si="132"/>
        <v>0</v>
      </c>
      <c r="H778" s="182">
        <f t="shared" ca="1" si="133"/>
        <v>45814.088680407513</v>
      </c>
      <c r="I778" s="183">
        <v>0</v>
      </c>
      <c r="J778" s="263">
        <f t="shared" ca="1" si="124"/>
        <v>45814.088680407513</v>
      </c>
      <c r="K778" s="182">
        <f t="shared" ca="1" si="125"/>
        <v>70</v>
      </c>
      <c r="L778" s="182">
        <f t="shared" ca="1" si="126"/>
        <v>19214.088680407582</v>
      </c>
      <c r="M778" s="182">
        <f t="shared" ca="1" si="127"/>
        <v>8400</v>
      </c>
      <c r="N778" s="182">
        <f t="shared" ca="1" si="128"/>
        <v>72694.088680407382</v>
      </c>
      <c r="O778" s="182"/>
    </row>
    <row r="779" spans="1:15" x14ac:dyDescent="0.25">
      <c r="A779" s="180">
        <f t="shared" ca="1" si="129"/>
        <v>46869</v>
      </c>
      <c r="B779" s="181">
        <v>765</v>
      </c>
      <c r="C779" s="182">
        <f t="shared" ca="1" si="130"/>
        <v>45814.088680407513</v>
      </c>
      <c r="D779" s="182">
        <f t="shared" ca="1" si="131"/>
        <v>30.542725786938341</v>
      </c>
      <c r="E779" s="182">
        <v>0</v>
      </c>
      <c r="F779" s="182">
        <f t="shared" ca="1" si="134"/>
        <v>0</v>
      </c>
      <c r="G779" s="182">
        <f t="shared" ca="1" si="132"/>
        <v>0</v>
      </c>
      <c r="H779" s="182">
        <f t="shared" ca="1" si="133"/>
        <v>45844.63140619445</v>
      </c>
      <c r="I779" s="183">
        <v>0</v>
      </c>
      <c r="J779" s="263">
        <f t="shared" ca="1" si="124"/>
        <v>45844.63140619445</v>
      </c>
      <c r="K779" s="182">
        <f t="shared" ca="1" si="125"/>
        <v>70</v>
      </c>
      <c r="L779" s="182">
        <f t="shared" ca="1" si="126"/>
        <v>19244.63140619452</v>
      </c>
      <c r="M779" s="182">
        <f t="shared" ca="1" si="127"/>
        <v>8400</v>
      </c>
      <c r="N779" s="182">
        <f t="shared" ca="1" si="128"/>
        <v>72794.631406194327</v>
      </c>
      <c r="O779" s="182"/>
    </row>
    <row r="780" spans="1:15" x14ac:dyDescent="0.25">
      <c r="A780" s="180">
        <f t="shared" ca="1" si="129"/>
        <v>46870</v>
      </c>
      <c r="B780" s="181">
        <v>766</v>
      </c>
      <c r="C780" s="182">
        <f t="shared" ca="1" si="130"/>
        <v>45844.63140619445</v>
      </c>
      <c r="D780" s="182">
        <f t="shared" ca="1" si="131"/>
        <v>30.563087604129631</v>
      </c>
      <c r="E780" s="182">
        <v>0</v>
      </c>
      <c r="F780" s="182">
        <f t="shared" ca="1" si="134"/>
        <v>0</v>
      </c>
      <c r="G780" s="182">
        <f t="shared" ca="1" si="132"/>
        <v>0</v>
      </c>
      <c r="H780" s="182">
        <f t="shared" ca="1" si="133"/>
        <v>45875.194493798583</v>
      </c>
      <c r="I780" s="183">
        <v>0</v>
      </c>
      <c r="J780" s="263">
        <f t="shared" ca="1" si="124"/>
        <v>45875.194493798583</v>
      </c>
      <c r="K780" s="182">
        <f t="shared" ca="1" si="125"/>
        <v>70</v>
      </c>
      <c r="L780" s="182">
        <f t="shared" ca="1" si="126"/>
        <v>19275.194493798648</v>
      </c>
      <c r="M780" s="182">
        <f t="shared" ca="1" si="127"/>
        <v>8400</v>
      </c>
      <c r="N780" s="182">
        <f t="shared" ca="1" si="128"/>
        <v>72895.194493798452</v>
      </c>
      <c r="O780" s="182"/>
    </row>
    <row r="781" spans="1:15" x14ac:dyDescent="0.25">
      <c r="A781" s="180">
        <f t="shared" ca="1" si="129"/>
        <v>46871</v>
      </c>
      <c r="B781" s="181">
        <v>767</v>
      </c>
      <c r="C781" s="182">
        <f t="shared" ca="1" si="130"/>
        <v>45875.194493798583</v>
      </c>
      <c r="D781" s="182">
        <f t="shared" ca="1" si="131"/>
        <v>30.58346299586572</v>
      </c>
      <c r="E781" s="182">
        <v>0</v>
      </c>
      <c r="F781" s="182">
        <f t="shared" ca="1" si="134"/>
        <v>0</v>
      </c>
      <c r="G781" s="182">
        <f t="shared" ca="1" si="132"/>
        <v>0</v>
      </c>
      <c r="H781" s="182">
        <f t="shared" ca="1" si="133"/>
        <v>45905.777956794445</v>
      </c>
      <c r="I781" s="183">
        <v>0</v>
      </c>
      <c r="J781" s="263">
        <f t="shared" ca="1" si="124"/>
        <v>45905.777956794445</v>
      </c>
      <c r="K781" s="182">
        <f t="shared" ca="1" si="125"/>
        <v>70</v>
      </c>
      <c r="L781" s="182">
        <f t="shared" ca="1" si="126"/>
        <v>19305.777956794514</v>
      </c>
      <c r="M781" s="182">
        <f t="shared" ca="1" si="127"/>
        <v>8400</v>
      </c>
      <c r="N781" s="182">
        <f t="shared" ca="1" si="128"/>
        <v>72995.777956794322</v>
      </c>
      <c r="O781" s="182"/>
    </row>
    <row r="782" spans="1:15" x14ac:dyDescent="0.25">
      <c r="A782" s="180">
        <f t="shared" ca="1" si="129"/>
        <v>46872</v>
      </c>
      <c r="B782" s="181">
        <v>768</v>
      </c>
      <c r="C782" s="182">
        <f t="shared" ca="1" si="130"/>
        <v>45905.777956794445</v>
      </c>
      <c r="D782" s="182">
        <f t="shared" ca="1" si="131"/>
        <v>30.603851971196296</v>
      </c>
      <c r="E782" s="182">
        <v>0</v>
      </c>
      <c r="F782" s="182">
        <f t="shared" ca="1" si="134"/>
        <v>0</v>
      </c>
      <c r="G782" s="182">
        <f t="shared" ca="1" si="132"/>
        <v>0</v>
      </c>
      <c r="H782" s="182">
        <f t="shared" ca="1" si="133"/>
        <v>45936.38180876564</v>
      </c>
      <c r="I782" s="183">
        <v>0</v>
      </c>
      <c r="J782" s="263">
        <f t="shared" ca="1" si="124"/>
        <v>45936.38180876564</v>
      </c>
      <c r="K782" s="182">
        <f t="shared" ca="1" si="125"/>
        <v>70</v>
      </c>
      <c r="L782" s="182">
        <f t="shared" ca="1" si="126"/>
        <v>19336.381808765709</v>
      </c>
      <c r="M782" s="182">
        <f t="shared" ca="1" si="127"/>
        <v>8400</v>
      </c>
      <c r="N782" s="182">
        <f t="shared" ca="1" si="128"/>
        <v>73096.381808765524</v>
      </c>
      <c r="O782" s="182"/>
    </row>
    <row r="783" spans="1:15" x14ac:dyDescent="0.25">
      <c r="A783" s="180">
        <f t="shared" ca="1" si="129"/>
        <v>46873</v>
      </c>
      <c r="B783" s="181">
        <v>769</v>
      </c>
      <c r="C783" s="182">
        <f t="shared" ca="1" si="130"/>
        <v>45936.38180876564</v>
      </c>
      <c r="D783" s="182">
        <f t="shared" ca="1" si="131"/>
        <v>30.624254539177091</v>
      </c>
      <c r="E783" s="182">
        <v>0</v>
      </c>
      <c r="F783" s="182">
        <f t="shared" ca="1" si="134"/>
        <v>0</v>
      </c>
      <c r="G783" s="182">
        <f t="shared" ca="1" si="132"/>
        <v>0</v>
      </c>
      <c r="H783" s="182">
        <f t="shared" ca="1" si="133"/>
        <v>45967.00606330482</v>
      </c>
      <c r="I783" s="183">
        <v>0</v>
      </c>
      <c r="J783" s="263">
        <f t="shared" ref="J783:J846" ca="1" si="135">H783-IF(I$8-G783&lt;Q$42,I$8-Q$42,G783)</f>
        <v>45967.00606330482</v>
      </c>
      <c r="K783" s="182">
        <f t="shared" ca="1" si="125"/>
        <v>70</v>
      </c>
      <c r="L783" s="182">
        <f t="shared" ca="1" si="126"/>
        <v>19367.006063304885</v>
      </c>
      <c r="M783" s="182">
        <f t="shared" ca="1" si="127"/>
        <v>8400</v>
      </c>
      <c r="N783" s="182">
        <f t="shared" ca="1" si="128"/>
        <v>73197.006063304696</v>
      </c>
      <c r="O783" s="182"/>
    </row>
    <row r="784" spans="1:15" x14ac:dyDescent="0.25">
      <c r="A784" s="180">
        <f t="shared" ca="1" si="129"/>
        <v>46874</v>
      </c>
      <c r="B784" s="181">
        <v>770</v>
      </c>
      <c r="C784" s="182">
        <f t="shared" ca="1" si="130"/>
        <v>45967.00606330482</v>
      </c>
      <c r="D784" s="182">
        <f t="shared" ca="1" si="131"/>
        <v>30.644670708869878</v>
      </c>
      <c r="E784" s="182">
        <v>0</v>
      </c>
      <c r="F784" s="182">
        <f t="shared" ca="1" si="134"/>
        <v>0</v>
      </c>
      <c r="G784" s="182">
        <f t="shared" ca="1" si="132"/>
        <v>0</v>
      </c>
      <c r="H784" s="182">
        <f t="shared" ca="1" si="133"/>
        <v>45997.650734013689</v>
      </c>
      <c r="I784" s="183">
        <v>0</v>
      </c>
      <c r="J784" s="263">
        <f t="shared" ca="1" si="135"/>
        <v>45997.650734013689</v>
      </c>
      <c r="K784" s="182">
        <f t="shared" ref="K784:K847" ca="1" si="136">$L$3/($C$11-$C$8)</f>
        <v>70</v>
      </c>
      <c r="L784" s="182">
        <f t="shared" ref="L784:L847" ca="1" si="137">L783+D784</f>
        <v>19397.650734013754</v>
      </c>
      <c r="M784" s="182">
        <f t="shared" ref="M784:M847" ca="1" si="138">IF($I$8&gt;L784,L784,$I$8)</f>
        <v>8400</v>
      </c>
      <c r="N784" s="182">
        <f t="shared" ref="N784:N847" ca="1" si="139">N783+D784+K784+I784</f>
        <v>73297.650734013572</v>
      </c>
      <c r="O784" s="182"/>
    </row>
    <row r="785" spans="1:15" x14ac:dyDescent="0.25">
      <c r="A785" s="180">
        <f t="shared" ref="A785:A848" ca="1" si="140">A784+1</f>
        <v>46875</v>
      </c>
      <c r="B785" s="181">
        <v>771</v>
      </c>
      <c r="C785" s="182">
        <f t="shared" ref="C785:C810" ca="1" si="141">H784</f>
        <v>45997.650734013689</v>
      </c>
      <c r="D785" s="182">
        <f t="shared" ref="D785:D848" ca="1" si="142">(($C$6/360))*C785</f>
        <v>30.665100489342457</v>
      </c>
      <c r="E785" s="182">
        <v>0</v>
      </c>
      <c r="F785" s="182">
        <f t="shared" ca="1" si="134"/>
        <v>0</v>
      </c>
      <c r="G785" s="182">
        <f t="shared" ref="G785:G848" ca="1" si="143">IF(G784-D785-E785&gt;0,G784-D785-E785,0)</f>
        <v>0</v>
      </c>
      <c r="H785" s="182">
        <f t="shared" ca="1" si="133"/>
        <v>46028.315834503032</v>
      </c>
      <c r="I785" s="183">
        <v>0</v>
      </c>
      <c r="J785" s="263">
        <f t="shared" ca="1" si="135"/>
        <v>46028.315834503032</v>
      </c>
      <c r="K785" s="182">
        <f t="shared" ca="1" si="136"/>
        <v>70</v>
      </c>
      <c r="L785" s="182">
        <f t="shared" ca="1" si="137"/>
        <v>19428.315834503097</v>
      </c>
      <c r="M785" s="182">
        <f t="shared" ca="1" si="138"/>
        <v>8400</v>
      </c>
      <c r="N785" s="182">
        <f t="shared" ca="1" si="139"/>
        <v>73398.315834502908</v>
      </c>
      <c r="O785" s="182"/>
    </row>
    <row r="786" spans="1:15" x14ac:dyDescent="0.25">
      <c r="A786" s="180">
        <f t="shared" ca="1" si="140"/>
        <v>46876</v>
      </c>
      <c r="B786" s="181">
        <v>772</v>
      </c>
      <c r="C786" s="182">
        <f t="shared" ca="1" si="141"/>
        <v>46028.315834503032</v>
      </c>
      <c r="D786" s="182">
        <f t="shared" ca="1" si="142"/>
        <v>30.685543889668686</v>
      </c>
      <c r="E786" s="182">
        <v>0</v>
      </c>
      <c r="F786" s="182">
        <f t="shared" ca="1" si="134"/>
        <v>0</v>
      </c>
      <c r="G786" s="182">
        <f t="shared" ca="1" si="143"/>
        <v>0</v>
      </c>
      <c r="H786" s="182">
        <f t="shared" ca="1" si="133"/>
        <v>46059.001378392699</v>
      </c>
      <c r="I786" s="183">
        <v>0</v>
      </c>
      <c r="J786" s="263">
        <f t="shared" ca="1" si="135"/>
        <v>46059.001378392699</v>
      </c>
      <c r="K786" s="182">
        <f t="shared" ca="1" si="136"/>
        <v>70</v>
      </c>
      <c r="L786" s="182">
        <f t="shared" ca="1" si="137"/>
        <v>19459.001378392764</v>
      </c>
      <c r="M786" s="182">
        <f t="shared" ca="1" si="138"/>
        <v>8400</v>
      </c>
      <c r="N786" s="182">
        <f t="shared" ca="1" si="139"/>
        <v>73499.001378392582</v>
      </c>
      <c r="O786" s="182"/>
    </row>
    <row r="787" spans="1:15" x14ac:dyDescent="0.25">
      <c r="A787" s="180">
        <f t="shared" ca="1" si="140"/>
        <v>46877</v>
      </c>
      <c r="B787" s="181">
        <v>773</v>
      </c>
      <c r="C787" s="182">
        <f t="shared" ca="1" si="141"/>
        <v>46059.001378392699</v>
      </c>
      <c r="D787" s="182">
        <f t="shared" ca="1" si="142"/>
        <v>30.706000918928464</v>
      </c>
      <c r="E787" s="182">
        <v>0</v>
      </c>
      <c r="F787" s="182">
        <f t="shared" ca="1" si="134"/>
        <v>0</v>
      </c>
      <c r="G787" s="182">
        <f t="shared" ca="1" si="143"/>
        <v>0</v>
      </c>
      <c r="H787" s="182">
        <f t="shared" ca="1" si="133"/>
        <v>46089.707379311629</v>
      </c>
      <c r="I787" s="183">
        <v>0</v>
      </c>
      <c r="J787" s="263">
        <f t="shared" ca="1" si="135"/>
        <v>46089.707379311629</v>
      </c>
      <c r="K787" s="182">
        <f t="shared" ca="1" si="136"/>
        <v>70</v>
      </c>
      <c r="L787" s="182">
        <f t="shared" ca="1" si="137"/>
        <v>19489.707379311694</v>
      </c>
      <c r="M787" s="182">
        <f t="shared" ca="1" si="138"/>
        <v>8400</v>
      </c>
      <c r="N787" s="182">
        <f t="shared" ca="1" si="139"/>
        <v>73599.707379311512</v>
      </c>
      <c r="O787" s="182"/>
    </row>
    <row r="788" spans="1:15" x14ac:dyDescent="0.25">
      <c r="A788" s="180">
        <f t="shared" ca="1" si="140"/>
        <v>46878</v>
      </c>
      <c r="B788" s="181">
        <v>774</v>
      </c>
      <c r="C788" s="182">
        <f t="shared" ca="1" si="141"/>
        <v>46089.707379311629</v>
      </c>
      <c r="D788" s="182">
        <f t="shared" ca="1" si="142"/>
        <v>30.726471586207751</v>
      </c>
      <c r="E788" s="182">
        <v>0</v>
      </c>
      <c r="F788" s="182">
        <f t="shared" ca="1" si="134"/>
        <v>0</v>
      </c>
      <c r="G788" s="182">
        <f t="shared" ca="1" si="143"/>
        <v>0</v>
      </c>
      <c r="H788" s="182">
        <f t="shared" ca="1" si="133"/>
        <v>46120.43385089784</v>
      </c>
      <c r="I788" s="183">
        <v>0</v>
      </c>
      <c r="J788" s="263">
        <f t="shared" ca="1" si="135"/>
        <v>46120.43385089784</v>
      </c>
      <c r="K788" s="182">
        <f t="shared" ca="1" si="136"/>
        <v>70</v>
      </c>
      <c r="L788" s="182">
        <f t="shared" ca="1" si="137"/>
        <v>19520.433850897902</v>
      </c>
      <c r="M788" s="182">
        <f t="shared" ca="1" si="138"/>
        <v>8400</v>
      </c>
      <c r="N788" s="182">
        <f t="shared" ca="1" si="139"/>
        <v>73700.433850897723</v>
      </c>
      <c r="O788" s="182"/>
    </row>
    <row r="789" spans="1:15" x14ac:dyDescent="0.25">
      <c r="A789" s="180">
        <f t="shared" ca="1" si="140"/>
        <v>46879</v>
      </c>
      <c r="B789" s="181">
        <v>775</v>
      </c>
      <c r="C789" s="182">
        <f t="shared" ca="1" si="141"/>
        <v>46120.43385089784</v>
      </c>
      <c r="D789" s="182">
        <f t="shared" ca="1" si="142"/>
        <v>30.746955900598557</v>
      </c>
      <c r="E789" s="182">
        <v>0</v>
      </c>
      <c r="F789" s="182">
        <f t="shared" ca="1" si="134"/>
        <v>0</v>
      </c>
      <c r="G789" s="182">
        <f t="shared" ca="1" si="143"/>
        <v>0</v>
      </c>
      <c r="H789" s="182">
        <f t="shared" ca="1" si="133"/>
        <v>46151.180806798438</v>
      </c>
      <c r="I789" s="183">
        <v>0</v>
      </c>
      <c r="J789" s="263">
        <f t="shared" ca="1" si="135"/>
        <v>46151.180806798438</v>
      </c>
      <c r="K789" s="182">
        <f t="shared" ca="1" si="136"/>
        <v>70</v>
      </c>
      <c r="L789" s="182">
        <f t="shared" ca="1" si="137"/>
        <v>19551.1808067985</v>
      </c>
      <c r="M789" s="182">
        <f t="shared" ca="1" si="138"/>
        <v>8400</v>
      </c>
      <c r="N789" s="182">
        <f t="shared" ca="1" si="139"/>
        <v>73801.180806798322</v>
      </c>
      <c r="O789" s="182"/>
    </row>
    <row r="790" spans="1:15" x14ac:dyDescent="0.25">
      <c r="A790" s="180">
        <f t="shared" ca="1" si="140"/>
        <v>46880</v>
      </c>
      <c r="B790" s="181">
        <v>776</v>
      </c>
      <c r="C790" s="182">
        <f t="shared" ca="1" si="141"/>
        <v>46151.180806798438</v>
      </c>
      <c r="D790" s="182">
        <f t="shared" ca="1" si="142"/>
        <v>30.767453871198956</v>
      </c>
      <c r="E790" s="182">
        <v>0</v>
      </c>
      <c r="F790" s="182">
        <f t="shared" ca="1" si="134"/>
        <v>0</v>
      </c>
      <c r="G790" s="182">
        <f t="shared" ca="1" si="143"/>
        <v>0</v>
      </c>
      <c r="H790" s="182">
        <f t="shared" ca="1" si="133"/>
        <v>46181.94826066964</v>
      </c>
      <c r="I790" s="183">
        <v>0</v>
      </c>
      <c r="J790" s="263">
        <f t="shared" ca="1" si="135"/>
        <v>46181.94826066964</v>
      </c>
      <c r="K790" s="182">
        <f t="shared" ca="1" si="136"/>
        <v>70</v>
      </c>
      <c r="L790" s="182">
        <f t="shared" ca="1" si="137"/>
        <v>19581.948260669698</v>
      </c>
      <c r="M790" s="182">
        <f t="shared" ca="1" si="138"/>
        <v>8400</v>
      </c>
      <c r="N790" s="182">
        <f t="shared" ca="1" si="139"/>
        <v>73901.948260669524</v>
      </c>
      <c r="O790" s="182"/>
    </row>
    <row r="791" spans="1:15" x14ac:dyDescent="0.25">
      <c r="A791" s="180">
        <f t="shared" ca="1" si="140"/>
        <v>46881</v>
      </c>
      <c r="B791" s="181">
        <v>777</v>
      </c>
      <c r="C791" s="182">
        <f t="shared" ca="1" si="141"/>
        <v>46181.94826066964</v>
      </c>
      <c r="D791" s="182">
        <f t="shared" ca="1" si="142"/>
        <v>30.787965507113093</v>
      </c>
      <c r="E791" s="182">
        <v>0</v>
      </c>
      <c r="F791" s="182">
        <f t="shared" ca="1" si="134"/>
        <v>0</v>
      </c>
      <c r="G791" s="182">
        <f t="shared" ca="1" si="143"/>
        <v>0</v>
      </c>
      <c r="H791" s="182">
        <f t="shared" ca="1" si="133"/>
        <v>46212.736226176756</v>
      </c>
      <c r="I791" s="183">
        <v>0</v>
      </c>
      <c r="J791" s="263">
        <f t="shared" ca="1" si="135"/>
        <v>46212.736226176756</v>
      </c>
      <c r="K791" s="182">
        <f t="shared" ca="1" si="136"/>
        <v>70</v>
      </c>
      <c r="L791" s="182">
        <f t="shared" ca="1" si="137"/>
        <v>19612.73622617681</v>
      </c>
      <c r="M791" s="182">
        <f t="shared" ca="1" si="138"/>
        <v>8400</v>
      </c>
      <c r="N791" s="182">
        <f t="shared" ca="1" si="139"/>
        <v>74002.736226176639</v>
      </c>
      <c r="O791" s="182"/>
    </row>
    <row r="792" spans="1:15" x14ac:dyDescent="0.25">
      <c r="A792" s="180">
        <f t="shared" ca="1" si="140"/>
        <v>46882</v>
      </c>
      <c r="B792" s="181">
        <v>778</v>
      </c>
      <c r="C792" s="182">
        <f t="shared" ca="1" si="141"/>
        <v>46212.736226176756</v>
      </c>
      <c r="D792" s="182">
        <f t="shared" ca="1" si="142"/>
        <v>30.808490817451169</v>
      </c>
      <c r="E792" s="182">
        <v>0</v>
      </c>
      <c r="F792" s="182">
        <f t="shared" ca="1" si="134"/>
        <v>0</v>
      </c>
      <c r="G792" s="182">
        <f t="shared" ca="1" si="143"/>
        <v>0</v>
      </c>
      <c r="H792" s="182">
        <f t="shared" ca="1" si="133"/>
        <v>46243.544716994205</v>
      </c>
      <c r="I792" s="183">
        <v>0</v>
      </c>
      <c r="J792" s="263">
        <f t="shared" ca="1" si="135"/>
        <v>46243.544716994205</v>
      </c>
      <c r="K792" s="182">
        <f t="shared" ca="1" si="136"/>
        <v>70</v>
      </c>
      <c r="L792" s="182">
        <f t="shared" ca="1" si="137"/>
        <v>19643.54471699426</v>
      </c>
      <c r="M792" s="182">
        <f t="shared" ca="1" si="138"/>
        <v>8400</v>
      </c>
      <c r="N792" s="182">
        <f t="shared" ca="1" si="139"/>
        <v>74103.544716994089</v>
      </c>
      <c r="O792" s="182"/>
    </row>
    <row r="793" spans="1:15" x14ac:dyDescent="0.25">
      <c r="A793" s="180">
        <f t="shared" ca="1" si="140"/>
        <v>46883</v>
      </c>
      <c r="B793" s="181">
        <v>779</v>
      </c>
      <c r="C793" s="182">
        <f t="shared" ca="1" si="141"/>
        <v>46243.544716994205</v>
      </c>
      <c r="D793" s="182">
        <f t="shared" ca="1" si="142"/>
        <v>30.82902981132947</v>
      </c>
      <c r="E793" s="182">
        <v>0</v>
      </c>
      <c r="F793" s="182">
        <f t="shared" ca="1" si="134"/>
        <v>0</v>
      </c>
      <c r="G793" s="182">
        <f t="shared" ca="1" si="143"/>
        <v>0</v>
      </c>
      <c r="H793" s="182">
        <f t="shared" ca="1" si="133"/>
        <v>46274.373746805533</v>
      </c>
      <c r="I793" s="183">
        <v>0</v>
      </c>
      <c r="J793" s="263">
        <f t="shared" ca="1" si="135"/>
        <v>46274.373746805533</v>
      </c>
      <c r="K793" s="182">
        <f t="shared" ca="1" si="136"/>
        <v>70</v>
      </c>
      <c r="L793" s="182">
        <f t="shared" ca="1" si="137"/>
        <v>19674.373746805588</v>
      </c>
      <c r="M793" s="182">
        <f t="shared" ca="1" si="138"/>
        <v>8400</v>
      </c>
      <c r="N793" s="182">
        <f t="shared" ca="1" si="139"/>
        <v>74204.373746805417</v>
      </c>
      <c r="O793" s="182"/>
    </row>
    <row r="794" spans="1:15" x14ac:dyDescent="0.25">
      <c r="A794" s="180">
        <f t="shared" ca="1" si="140"/>
        <v>46884</v>
      </c>
      <c r="B794" s="181">
        <v>780</v>
      </c>
      <c r="C794" s="182">
        <f t="shared" ca="1" si="141"/>
        <v>46274.373746805533</v>
      </c>
      <c r="D794" s="182">
        <f t="shared" ca="1" si="142"/>
        <v>30.849582497870355</v>
      </c>
      <c r="E794" s="182">
        <v>0</v>
      </c>
      <c r="F794" s="182">
        <f t="shared" ca="1" si="134"/>
        <v>0</v>
      </c>
      <c r="G794" s="182">
        <f t="shared" ca="1" si="143"/>
        <v>0</v>
      </c>
      <c r="H794" s="182">
        <f t="shared" ca="1" si="133"/>
        <v>46305.223329303401</v>
      </c>
      <c r="I794" s="183">
        <v>0</v>
      </c>
      <c r="J794" s="263">
        <f t="shared" ca="1" si="135"/>
        <v>46305.223329303401</v>
      </c>
      <c r="K794" s="182">
        <f t="shared" ca="1" si="136"/>
        <v>70</v>
      </c>
      <c r="L794" s="182">
        <f t="shared" ca="1" si="137"/>
        <v>19705.223329303459</v>
      </c>
      <c r="M794" s="182">
        <f t="shared" ca="1" si="138"/>
        <v>8400</v>
      </c>
      <c r="N794" s="182">
        <f t="shared" ca="1" si="139"/>
        <v>74305.223329303291</v>
      </c>
      <c r="O794" s="182"/>
    </row>
    <row r="795" spans="1:15" x14ac:dyDescent="0.25">
      <c r="A795" s="180">
        <f t="shared" ca="1" si="140"/>
        <v>46885</v>
      </c>
      <c r="B795" s="181">
        <v>781</v>
      </c>
      <c r="C795" s="182">
        <f t="shared" ca="1" si="141"/>
        <v>46305.223329303401</v>
      </c>
      <c r="D795" s="182">
        <f t="shared" ca="1" si="142"/>
        <v>30.870148886202266</v>
      </c>
      <c r="E795" s="182">
        <v>0</v>
      </c>
      <c r="F795" s="182">
        <f t="shared" ca="1" si="134"/>
        <v>0</v>
      </c>
      <c r="G795" s="182">
        <f t="shared" ca="1" si="143"/>
        <v>0</v>
      </c>
      <c r="H795" s="182">
        <f t="shared" ca="1" si="133"/>
        <v>46336.093478189599</v>
      </c>
      <c r="I795" s="183">
        <v>0</v>
      </c>
      <c r="J795" s="263">
        <f t="shared" ca="1" si="135"/>
        <v>46336.093478189599</v>
      </c>
      <c r="K795" s="182">
        <f t="shared" ca="1" si="136"/>
        <v>70</v>
      </c>
      <c r="L795" s="182">
        <f t="shared" ca="1" si="137"/>
        <v>19736.093478189661</v>
      </c>
      <c r="M795" s="182">
        <f t="shared" ca="1" si="138"/>
        <v>8400</v>
      </c>
      <c r="N795" s="182">
        <f t="shared" ca="1" si="139"/>
        <v>74406.09347818949</v>
      </c>
      <c r="O795" s="182"/>
    </row>
    <row r="796" spans="1:15" x14ac:dyDescent="0.25">
      <c r="A796" s="180">
        <f t="shared" ca="1" si="140"/>
        <v>46886</v>
      </c>
      <c r="B796" s="181">
        <v>782</v>
      </c>
      <c r="C796" s="182">
        <f t="shared" ca="1" si="141"/>
        <v>46336.093478189599</v>
      </c>
      <c r="D796" s="182">
        <f t="shared" ca="1" si="142"/>
        <v>30.890728985459731</v>
      </c>
      <c r="E796" s="182">
        <v>0</v>
      </c>
      <c r="F796" s="182">
        <f t="shared" ca="1" si="134"/>
        <v>0</v>
      </c>
      <c r="G796" s="182">
        <f t="shared" ca="1" si="143"/>
        <v>0</v>
      </c>
      <c r="H796" s="182">
        <f t="shared" ca="1" si="133"/>
        <v>46366.984207175061</v>
      </c>
      <c r="I796" s="183">
        <v>0</v>
      </c>
      <c r="J796" s="263">
        <f t="shared" ca="1" si="135"/>
        <v>46366.984207175061</v>
      </c>
      <c r="K796" s="182">
        <f t="shared" ca="1" si="136"/>
        <v>70</v>
      </c>
      <c r="L796" s="182">
        <f t="shared" ca="1" si="137"/>
        <v>19766.984207175123</v>
      </c>
      <c r="M796" s="182">
        <f t="shared" ca="1" si="138"/>
        <v>8400</v>
      </c>
      <c r="N796" s="182">
        <f t="shared" ca="1" si="139"/>
        <v>74506.984207174944</v>
      </c>
      <c r="O796" s="182"/>
    </row>
    <row r="797" spans="1:15" x14ac:dyDescent="0.25">
      <c r="A797" s="180">
        <f t="shared" ca="1" si="140"/>
        <v>46887</v>
      </c>
      <c r="B797" s="181">
        <v>783</v>
      </c>
      <c r="C797" s="182">
        <f t="shared" ca="1" si="141"/>
        <v>46366.984207175061</v>
      </c>
      <c r="D797" s="182">
        <f t="shared" ca="1" si="142"/>
        <v>30.911322804783374</v>
      </c>
      <c r="E797" s="182">
        <v>0</v>
      </c>
      <c r="F797" s="182">
        <f t="shared" ca="1" si="134"/>
        <v>0</v>
      </c>
      <c r="G797" s="182">
        <f t="shared" ca="1" si="143"/>
        <v>0</v>
      </c>
      <c r="H797" s="182">
        <f t="shared" ca="1" si="133"/>
        <v>46397.895529979847</v>
      </c>
      <c r="I797" s="183">
        <v>0</v>
      </c>
      <c r="J797" s="263">
        <f t="shared" ca="1" si="135"/>
        <v>46397.895529979847</v>
      </c>
      <c r="K797" s="182">
        <f t="shared" ca="1" si="136"/>
        <v>70</v>
      </c>
      <c r="L797" s="182">
        <f t="shared" ca="1" si="137"/>
        <v>19797.895529979905</v>
      </c>
      <c r="M797" s="182">
        <f t="shared" ca="1" si="138"/>
        <v>8400</v>
      </c>
      <c r="N797" s="182">
        <f t="shared" ca="1" si="139"/>
        <v>74607.895529979724</v>
      </c>
      <c r="O797" s="182"/>
    </row>
    <row r="798" spans="1:15" x14ac:dyDescent="0.25">
      <c r="A798" s="180">
        <f t="shared" ca="1" si="140"/>
        <v>46888</v>
      </c>
      <c r="B798" s="181">
        <v>784</v>
      </c>
      <c r="C798" s="182">
        <f t="shared" ca="1" si="141"/>
        <v>46397.895529979847</v>
      </c>
      <c r="D798" s="182">
        <f t="shared" ca="1" si="142"/>
        <v>30.931930353319895</v>
      </c>
      <c r="E798" s="182">
        <v>0</v>
      </c>
      <c r="F798" s="182">
        <f t="shared" ca="1" si="134"/>
        <v>0</v>
      </c>
      <c r="G798" s="182">
        <f t="shared" ca="1" si="143"/>
        <v>0</v>
      </c>
      <c r="H798" s="182">
        <f t="shared" ca="1" si="133"/>
        <v>46428.827460333167</v>
      </c>
      <c r="I798" s="183">
        <v>0</v>
      </c>
      <c r="J798" s="263">
        <f t="shared" ca="1" si="135"/>
        <v>46428.827460333167</v>
      </c>
      <c r="K798" s="182">
        <f t="shared" ca="1" si="136"/>
        <v>70</v>
      </c>
      <c r="L798" s="182">
        <f t="shared" ca="1" si="137"/>
        <v>19828.827460333225</v>
      </c>
      <c r="M798" s="182">
        <f t="shared" ca="1" si="138"/>
        <v>8400</v>
      </c>
      <c r="N798" s="182">
        <f t="shared" ca="1" si="139"/>
        <v>74708.82746033305</v>
      </c>
      <c r="O798" s="182"/>
    </row>
    <row r="799" spans="1:15" x14ac:dyDescent="0.25">
      <c r="A799" s="180">
        <f t="shared" ca="1" si="140"/>
        <v>46889</v>
      </c>
      <c r="B799" s="181">
        <v>785</v>
      </c>
      <c r="C799" s="182">
        <f t="shared" ca="1" si="141"/>
        <v>46428.827460333167</v>
      </c>
      <c r="D799" s="182">
        <f t="shared" ca="1" si="142"/>
        <v>30.952551640222111</v>
      </c>
      <c r="E799" s="182">
        <v>0</v>
      </c>
      <c r="F799" s="182">
        <f t="shared" ca="1" si="134"/>
        <v>0</v>
      </c>
      <c r="G799" s="182">
        <f t="shared" ca="1" si="143"/>
        <v>0</v>
      </c>
      <c r="H799" s="182">
        <f t="shared" ca="1" si="133"/>
        <v>46459.780011973387</v>
      </c>
      <c r="I799" s="183">
        <v>0</v>
      </c>
      <c r="J799" s="263">
        <f t="shared" ca="1" si="135"/>
        <v>46459.780011973387</v>
      </c>
      <c r="K799" s="182">
        <f t="shared" ca="1" si="136"/>
        <v>70</v>
      </c>
      <c r="L799" s="182">
        <f t="shared" ca="1" si="137"/>
        <v>19859.780011973446</v>
      </c>
      <c r="M799" s="182">
        <f t="shared" ca="1" si="138"/>
        <v>8400</v>
      </c>
      <c r="N799" s="182">
        <f t="shared" ca="1" si="139"/>
        <v>74809.780011973271</v>
      </c>
      <c r="O799" s="182"/>
    </row>
    <row r="800" spans="1:15" x14ac:dyDescent="0.25">
      <c r="A800" s="180">
        <f t="shared" ca="1" si="140"/>
        <v>46890</v>
      </c>
      <c r="B800" s="181">
        <v>786</v>
      </c>
      <c r="C800" s="182">
        <f t="shared" ca="1" si="141"/>
        <v>46459.780011973387</v>
      </c>
      <c r="D800" s="182">
        <f t="shared" ca="1" si="142"/>
        <v>30.973186674648925</v>
      </c>
      <c r="E800" s="182">
        <v>0</v>
      </c>
      <c r="F800" s="182">
        <f t="shared" ca="1" si="134"/>
        <v>0</v>
      </c>
      <c r="G800" s="182">
        <f t="shared" ca="1" si="143"/>
        <v>0</v>
      </c>
      <c r="H800" s="182">
        <f t="shared" ca="1" si="133"/>
        <v>46490.753198648039</v>
      </c>
      <c r="I800" s="183">
        <v>0</v>
      </c>
      <c r="J800" s="263">
        <f t="shared" ca="1" si="135"/>
        <v>46490.753198648039</v>
      </c>
      <c r="K800" s="182">
        <f t="shared" ca="1" si="136"/>
        <v>70</v>
      </c>
      <c r="L800" s="182">
        <f t="shared" ca="1" si="137"/>
        <v>19890.753198648094</v>
      </c>
      <c r="M800" s="182">
        <f t="shared" ca="1" si="138"/>
        <v>8400</v>
      </c>
      <c r="N800" s="182">
        <f t="shared" ca="1" si="139"/>
        <v>74910.753198647915</v>
      </c>
      <c r="O800" s="182"/>
    </row>
    <row r="801" spans="1:15" x14ac:dyDescent="0.25">
      <c r="A801" s="180">
        <f t="shared" ca="1" si="140"/>
        <v>46891</v>
      </c>
      <c r="B801" s="181">
        <v>787</v>
      </c>
      <c r="C801" s="182">
        <f t="shared" ca="1" si="141"/>
        <v>46490.753198648039</v>
      </c>
      <c r="D801" s="182">
        <f t="shared" ca="1" si="142"/>
        <v>30.993835465765358</v>
      </c>
      <c r="E801" s="182">
        <v>0</v>
      </c>
      <c r="F801" s="182">
        <f t="shared" ca="1" si="134"/>
        <v>0</v>
      </c>
      <c r="G801" s="182">
        <f t="shared" ca="1" si="143"/>
        <v>0</v>
      </c>
      <c r="H801" s="182">
        <f t="shared" ca="1" si="133"/>
        <v>46521.747034113803</v>
      </c>
      <c r="I801" s="183">
        <v>0</v>
      </c>
      <c r="J801" s="263">
        <f t="shared" ca="1" si="135"/>
        <v>46521.747034113803</v>
      </c>
      <c r="K801" s="182">
        <f t="shared" ca="1" si="136"/>
        <v>70</v>
      </c>
      <c r="L801" s="182">
        <f t="shared" ca="1" si="137"/>
        <v>19921.747034113858</v>
      </c>
      <c r="M801" s="182">
        <f t="shared" ca="1" si="138"/>
        <v>8400</v>
      </c>
      <c r="N801" s="182">
        <f t="shared" ca="1" si="139"/>
        <v>75011.74703411368</v>
      </c>
      <c r="O801" s="182"/>
    </row>
    <row r="802" spans="1:15" x14ac:dyDescent="0.25">
      <c r="A802" s="180">
        <f t="shared" ca="1" si="140"/>
        <v>46892</v>
      </c>
      <c r="B802" s="181">
        <v>788</v>
      </c>
      <c r="C802" s="182">
        <f t="shared" ca="1" si="141"/>
        <v>46521.747034113803</v>
      </c>
      <c r="D802" s="182">
        <f t="shared" ca="1" si="142"/>
        <v>31.014498022742533</v>
      </c>
      <c r="E802" s="182">
        <v>0</v>
      </c>
      <c r="F802" s="182">
        <f t="shared" ca="1" si="134"/>
        <v>0</v>
      </c>
      <c r="G802" s="182">
        <f t="shared" ca="1" si="143"/>
        <v>0</v>
      </c>
      <c r="H802" s="182">
        <f t="shared" ca="1" si="133"/>
        <v>46552.761532136545</v>
      </c>
      <c r="I802" s="183">
        <v>0</v>
      </c>
      <c r="J802" s="263">
        <f t="shared" ca="1" si="135"/>
        <v>46552.761532136545</v>
      </c>
      <c r="K802" s="182">
        <f t="shared" ca="1" si="136"/>
        <v>70</v>
      </c>
      <c r="L802" s="182">
        <f t="shared" ca="1" si="137"/>
        <v>19952.761532136599</v>
      </c>
      <c r="M802" s="182">
        <f t="shared" ca="1" si="138"/>
        <v>8400</v>
      </c>
      <c r="N802" s="182">
        <f t="shared" ca="1" si="139"/>
        <v>75112.761532136428</v>
      </c>
      <c r="O802" s="182"/>
    </row>
    <row r="803" spans="1:15" x14ac:dyDescent="0.25">
      <c r="A803" s="180">
        <f t="shared" ca="1" si="140"/>
        <v>46893</v>
      </c>
      <c r="B803" s="181">
        <v>789</v>
      </c>
      <c r="C803" s="182">
        <f t="shared" ca="1" si="141"/>
        <v>46552.761532136545</v>
      </c>
      <c r="D803" s="182">
        <f t="shared" ca="1" si="142"/>
        <v>31.035174354757697</v>
      </c>
      <c r="E803" s="182">
        <v>0</v>
      </c>
      <c r="F803" s="182">
        <f t="shared" ca="1" si="134"/>
        <v>0</v>
      </c>
      <c r="G803" s="182">
        <f t="shared" ca="1" si="143"/>
        <v>0</v>
      </c>
      <c r="H803" s="182">
        <f t="shared" ref="H803:H866" ca="1" si="144">IF(G803&gt;0,C803+F803+I803,SUM(C803:F803)-G802)</f>
        <v>46583.796706491303</v>
      </c>
      <c r="I803" s="183">
        <v>0</v>
      </c>
      <c r="J803" s="263">
        <f t="shared" ca="1" si="135"/>
        <v>46583.796706491303</v>
      </c>
      <c r="K803" s="182">
        <f t="shared" ca="1" si="136"/>
        <v>70</v>
      </c>
      <c r="L803" s="182">
        <f t="shared" ca="1" si="137"/>
        <v>19983.796706491357</v>
      </c>
      <c r="M803" s="182">
        <f t="shared" ca="1" si="138"/>
        <v>8400</v>
      </c>
      <c r="N803" s="182">
        <f t="shared" ca="1" si="139"/>
        <v>75213.796706491179</v>
      </c>
      <c r="O803" s="182"/>
    </row>
    <row r="804" spans="1:15" x14ac:dyDescent="0.25">
      <c r="A804" s="180">
        <f t="shared" ca="1" si="140"/>
        <v>46894</v>
      </c>
      <c r="B804" s="181">
        <v>790</v>
      </c>
      <c r="C804" s="182">
        <f t="shared" ca="1" si="141"/>
        <v>46583.796706491303</v>
      </c>
      <c r="D804" s="182">
        <f t="shared" ca="1" si="142"/>
        <v>31.055864470994202</v>
      </c>
      <c r="E804" s="182">
        <v>0</v>
      </c>
      <c r="F804" s="182">
        <f t="shared" ca="1" si="134"/>
        <v>0</v>
      </c>
      <c r="G804" s="182">
        <f t="shared" ca="1" si="143"/>
        <v>0</v>
      </c>
      <c r="H804" s="182">
        <f t="shared" ca="1" si="144"/>
        <v>46614.852570962299</v>
      </c>
      <c r="I804" s="183">
        <v>0</v>
      </c>
      <c r="J804" s="263">
        <f t="shared" ca="1" si="135"/>
        <v>46614.852570962299</v>
      </c>
      <c r="K804" s="182">
        <f t="shared" ca="1" si="136"/>
        <v>70</v>
      </c>
      <c r="L804" s="182">
        <f t="shared" ca="1" si="137"/>
        <v>20014.85257096235</v>
      </c>
      <c r="M804" s="182">
        <f t="shared" ca="1" si="138"/>
        <v>8400</v>
      </c>
      <c r="N804" s="182">
        <f t="shared" ca="1" si="139"/>
        <v>75314.852570962175</v>
      </c>
      <c r="O804" s="182"/>
    </row>
    <row r="805" spans="1:15" x14ac:dyDescent="0.25">
      <c r="A805" s="180">
        <f t="shared" ca="1" si="140"/>
        <v>46895</v>
      </c>
      <c r="B805" s="181">
        <v>791</v>
      </c>
      <c r="C805" s="182">
        <f t="shared" ca="1" si="141"/>
        <v>46614.852570962299</v>
      </c>
      <c r="D805" s="182">
        <f t="shared" ca="1" si="142"/>
        <v>31.076568380641532</v>
      </c>
      <c r="E805" s="182">
        <v>0</v>
      </c>
      <c r="F805" s="182">
        <f t="shared" ca="1" si="134"/>
        <v>0</v>
      </c>
      <c r="G805" s="182">
        <f t="shared" ca="1" si="143"/>
        <v>0</v>
      </c>
      <c r="H805" s="182">
        <f t="shared" ca="1" si="144"/>
        <v>46645.929139342938</v>
      </c>
      <c r="I805" s="183">
        <v>0</v>
      </c>
      <c r="J805" s="263">
        <f t="shared" ca="1" si="135"/>
        <v>46645.929139342938</v>
      </c>
      <c r="K805" s="182">
        <f t="shared" ca="1" si="136"/>
        <v>70</v>
      </c>
      <c r="L805" s="182">
        <f t="shared" ca="1" si="137"/>
        <v>20045.929139342992</v>
      </c>
      <c r="M805" s="182">
        <f t="shared" ca="1" si="138"/>
        <v>8400</v>
      </c>
      <c r="N805" s="182">
        <f t="shared" ca="1" si="139"/>
        <v>75415.929139342814</v>
      </c>
      <c r="O805" s="182"/>
    </row>
    <row r="806" spans="1:15" x14ac:dyDescent="0.25">
      <c r="A806" s="180">
        <f t="shared" ca="1" si="140"/>
        <v>46896</v>
      </c>
      <c r="B806" s="181">
        <v>792</v>
      </c>
      <c r="C806" s="182">
        <f t="shared" ca="1" si="141"/>
        <v>46645.929139342938</v>
      </c>
      <c r="D806" s="182">
        <f t="shared" ca="1" si="142"/>
        <v>31.097286092895292</v>
      </c>
      <c r="E806" s="182">
        <v>0</v>
      </c>
      <c r="F806" s="182">
        <f t="shared" ca="1" si="134"/>
        <v>0</v>
      </c>
      <c r="G806" s="182">
        <f t="shared" ca="1" si="143"/>
        <v>0</v>
      </c>
      <c r="H806" s="182">
        <f t="shared" ca="1" si="144"/>
        <v>46677.026425435834</v>
      </c>
      <c r="I806" s="183">
        <v>0</v>
      </c>
      <c r="J806" s="263">
        <f t="shared" ca="1" si="135"/>
        <v>46677.026425435834</v>
      </c>
      <c r="K806" s="182">
        <f t="shared" ca="1" si="136"/>
        <v>70</v>
      </c>
      <c r="L806" s="182">
        <f t="shared" ca="1" si="137"/>
        <v>20077.026425435888</v>
      </c>
      <c r="M806" s="182">
        <f t="shared" ca="1" si="138"/>
        <v>8400</v>
      </c>
      <c r="N806" s="182">
        <f t="shared" ca="1" si="139"/>
        <v>75517.026425435703</v>
      </c>
      <c r="O806" s="182"/>
    </row>
    <row r="807" spans="1:15" x14ac:dyDescent="0.25">
      <c r="A807" s="180">
        <f t="shared" ca="1" si="140"/>
        <v>46897</v>
      </c>
      <c r="B807" s="181">
        <v>793</v>
      </c>
      <c r="C807" s="182">
        <f t="shared" ca="1" si="141"/>
        <v>46677.026425435834</v>
      </c>
      <c r="D807" s="182">
        <f t="shared" ca="1" si="142"/>
        <v>31.118017616957221</v>
      </c>
      <c r="E807" s="182">
        <v>0</v>
      </c>
      <c r="F807" s="182">
        <f t="shared" ca="1" si="134"/>
        <v>0</v>
      </c>
      <c r="G807" s="182">
        <f t="shared" ca="1" si="143"/>
        <v>0</v>
      </c>
      <c r="H807" s="182">
        <f t="shared" ca="1" si="144"/>
        <v>46708.144443052792</v>
      </c>
      <c r="I807" s="183">
        <v>0</v>
      </c>
      <c r="J807" s="263">
        <f t="shared" ca="1" si="135"/>
        <v>46708.144443052792</v>
      </c>
      <c r="K807" s="182">
        <f t="shared" ca="1" si="136"/>
        <v>70</v>
      </c>
      <c r="L807" s="182">
        <f t="shared" ca="1" si="137"/>
        <v>20108.144443052846</v>
      </c>
      <c r="M807" s="182">
        <f t="shared" ca="1" si="138"/>
        <v>8400</v>
      </c>
      <c r="N807" s="182">
        <f t="shared" ca="1" si="139"/>
        <v>75618.144443052661</v>
      </c>
      <c r="O807" s="182"/>
    </row>
    <row r="808" spans="1:15" x14ac:dyDescent="0.25">
      <c r="A808" s="180">
        <f t="shared" ca="1" si="140"/>
        <v>46898</v>
      </c>
      <c r="B808" s="181">
        <v>794</v>
      </c>
      <c r="C808" s="182">
        <f t="shared" ca="1" si="141"/>
        <v>46708.144443052792</v>
      </c>
      <c r="D808" s="182">
        <f t="shared" ca="1" si="142"/>
        <v>31.138762962035194</v>
      </c>
      <c r="E808" s="182">
        <v>0</v>
      </c>
      <c r="F808" s="182">
        <f t="shared" ca="1" si="134"/>
        <v>0</v>
      </c>
      <c r="G808" s="182">
        <f t="shared" ca="1" si="143"/>
        <v>0</v>
      </c>
      <c r="H808" s="182">
        <f t="shared" ca="1" si="144"/>
        <v>46739.283206014828</v>
      </c>
      <c r="I808" s="183">
        <v>0</v>
      </c>
      <c r="J808" s="263">
        <f t="shared" ca="1" si="135"/>
        <v>46739.283206014828</v>
      </c>
      <c r="K808" s="182">
        <f t="shared" ca="1" si="136"/>
        <v>70</v>
      </c>
      <c r="L808" s="182">
        <f t="shared" ca="1" si="137"/>
        <v>20139.283206014883</v>
      </c>
      <c r="M808" s="182">
        <f t="shared" ca="1" si="138"/>
        <v>8400</v>
      </c>
      <c r="N808" s="182">
        <f t="shared" ca="1" si="139"/>
        <v>75719.28320601469</v>
      </c>
      <c r="O808" s="182"/>
    </row>
    <row r="809" spans="1:15" x14ac:dyDescent="0.25">
      <c r="A809" s="180">
        <f t="shared" ca="1" si="140"/>
        <v>46899</v>
      </c>
      <c r="B809" s="181">
        <v>795</v>
      </c>
      <c r="C809" s="182">
        <f t="shared" ca="1" si="141"/>
        <v>46739.283206014828</v>
      </c>
      <c r="D809" s="182">
        <f t="shared" ca="1" si="142"/>
        <v>31.159522137343217</v>
      </c>
      <c r="E809" s="182">
        <v>0</v>
      </c>
      <c r="F809" s="182">
        <f t="shared" ca="1" si="134"/>
        <v>0</v>
      </c>
      <c r="G809" s="182">
        <f t="shared" ca="1" si="143"/>
        <v>0</v>
      </c>
      <c r="H809" s="182">
        <f t="shared" ca="1" si="144"/>
        <v>46770.442728152171</v>
      </c>
      <c r="I809" s="183">
        <v>0</v>
      </c>
      <c r="J809" s="263">
        <f t="shared" ca="1" si="135"/>
        <v>46770.442728152171</v>
      </c>
      <c r="K809" s="182">
        <f t="shared" ca="1" si="136"/>
        <v>70</v>
      </c>
      <c r="L809" s="182">
        <f t="shared" ca="1" si="137"/>
        <v>20170.442728152226</v>
      </c>
      <c r="M809" s="182">
        <f t="shared" ca="1" si="138"/>
        <v>8400</v>
      </c>
      <c r="N809" s="182">
        <f t="shared" ca="1" si="139"/>
        <v>75820.442728152033</v>
      </c>
      <c r="O809" s="182"/>
    </row>
    <row r="810" spans="1:15" x14ac:dyDescent="0.25">
      <c r="A810" s="180">
        <f t="shared" ca="1" si="140"/>
        <v>46900</v>
      </c>
      <c r="B810" s="181">
        <v>796</v>
      </c>
      <c r="C810" s="182">
        <f t="shared" ca="1" si="141"/>
        <v>46770.442728152171</v>
      </c>
      <c r="D810" s="182">
        <f t="shared" ca="1" si="142"/>
        <v>31.180295152101447</v>
      </c>
      <c r="E810" s="182">
        <v>0</v>
      </c>
      <c r="F810" s="182">
        <f t="shared" ca="1" si="134"/>
        <v>0</v>
      </c>
      <c r="G810" s="182">
        <f t="shared" ca="1" si="143"/>
        <v>0</v>
      </c>
      <c r="H810" s="182">
        <f t="shared" ca="1" si="144"/>
        <v>46801.623023304273</v>
      </c>
      <c r="I810" s="183">
        <v>0</v>
      </c>
      <c r="J810" s="263">
        <f t="shared" ca="1" si="135"/>
        <v>46801.623023304273</v>
      </c>
      <c r="K810" s="182">
        <f t="shared" ca="1" si="136"/>
        <v>70</v>
      </c>
      <c r="L810" s="182">
        <f t="shared" ca="1" si="137"/>
        <v>20201.623023304328</v>
      </c>
      <c r="M810" s="182">
        <f t="shared" ca="1" si="138"/>
        <v>8400</v>
      </c>
      <c r="N810" s="182">
        <f t="shared" ca="1" si="139"/>
        <v>75921.623023304128</v>
      </c>
      <c r="O810" s="182"/>
    </row>
    <row r="811" spans="1:15" x14ac:dyDescent="0.25">
      <c r="A811" s="180">
        <f t="shared" ca="1" si="140"/>
        <v>46901</v>
      </c>
      <c r="B811" s="181">
        <v>797</v>
      </c>
      <c r="C811" s="182">
        <f t="shared" ref="C811:C874" ca="1" si="145">H810</f>
        <v>46801.623023304273</v>
      </c>
      <c r="D811" s="182">
        <f t="shared" ca="1" si="142"/>
        <v>31.20108201553618</v>
      </c>
      <c r="E811" s="182">
        <v>0</v>
      </c>
      <c r="F811" s="182">
        <f t="shared" ca="1" si="134"/>
        <v>0</v>
      </c>
      <c r="G811" s="182">
        <f t="shared" ca="1" si="143"/>
        <v>0</v>
      </c>
      <c r="H811" s="182">
        <f t="shared" ca="1" si="144"/>
        <v>46832.824105319807</v>
      </c>
      <c r="I811" s="183">
        <v>0</v>
      </c>
      <c r="J811" s="263">
        <f t="shared" ca="1" si="135"/>
        <v>46832.824105319807</v>
      </c>
      <c r="K811" s="182">
        <f t="shared" ca="1" si="136"/>
        <v>70</v>
      </c>
      <c r="L811" s="182">
        <f t="shared" ca="1" si="137"/>
        <v>20232.824105319865</v>
      </c>
      <c r="M811" s="182">
        <f t="shared" ca="1" si="138"/>
        <v>8400</v>
      </c>
      <c r="N811" s="182">
        <f t="shared" ca="1" si="139"/>
        <v>76022.824105319669</v>
      </c>
      <c r="O811" s="182"/>
    </row>
    <row r="812" spans="1:15" x14ac:dyDescent="0.25">
      <c r="A812" s="180">
        <f t="shared" ca="1" si="140"/>
        <v>46902</v>
      </c>
      <c r="B812" s="181">
        <v>798</v>
      </c>
      <c r="C812" s="182">
        <f t="shared" ca="1" si="145"/>
        <v>46832.824105319807</v>
      </c>
      <c r="D812" s="182">
        <f t="shared" ca="1" si="142"/>
        <v>31.22188273687987</v>
      </c>
      <c r="E812" s="182">
        <v>0</v>
      </c>
      <c r="F812" s="182">
        <f t="shared" ref="F812:F875" ca="1" si="146">IFERROR(-VLOOKUP(A812,$P$4:$R$31,2,FALSE),0)</f>
        <v>0</v>
      </c>
      <c r="G812" s="182">
        <f t="shared" ca="1" si="143"/>
        <v>0</v>
      </c>
      <c r="H812" s="182">
        <f t="shared" ca="1" si="144"/>
        <v>46864.045988056685</v>
      </c>
      <c r="I812" s="183">
        <v>0</v>
      </c>
      <c r="J812" s="263">
        <f t="shared" ca="1" si="135"/>
        <v>46864.045988056685</v>
      </c>
      <c r="K812" s="182">
        <f t="shared" ca="1" si="136"/>
        <v>70</v>
      </c>
      <c r="L812" s="182">
        <f t="shared" ca="1" si="137"/>
        <v>20264.045988056747</v>
      </c>
      <c r="M812" s="182">
        <f t="shared" ca="1" si="138"/>
        <v>8400</v>
      </c>
      <c r="N812" s="182">
        <f t="shared" ca="1" si="139"/>
        <v>76124.045988056547</v>
      </c>
      <c r="O812" s="182"/>
    </row>
    <row r="813" spans="1:15" x14ac:dyDescent="0.25">
      <c r="A813" s="180">
        <f t="shared" ca="1" si="140"/>
        <v>46903</v>
      </c>
      <c r="B813" s="181">
        <v>799</v>
      </c>
      <c r="C813" s="182">
        <f t="shared" ca="1" si="145"/>
        <v>46864.045988056685</v>
      </c>
      <c r="D813" s="182">
        <f t="shared" ca="1" si="142"/>
        <v>31.242697325371122</v>
      </c>
      <c r="E813" s="182">
        <v>0</v>
      </c>
      <c r="F813" s="182">
        <f t="shared" ca="1" si="146"/>
        <v>0</v>
      </c>
      <c r="G813" s="182">
        <f t="shared" ca="1" si="143"/>
        <v>0</v>
      </c>
      <c r="H813" s="182">
        <f t="shared" ca="1" si="144"/>
        <v>46895.288685382053</v>
      </c>
      <c r="I813" s="183">
        <v>0</v>
      </c>
      <c r="J813" s="263">
        <f t="shared" ca="1" si="135"/>
        <v>46895.288685382053</v>
      </c>
      <c r="K813" s="182">
        <f t="shared" ca="1" si="136"/>
        <v>70</v>
      </c>
      <c r="L813" s="182">
        <f t="shared" ca="1" si="137"/>
        <v>20295.288685382118</v>
      </c>
      <c r="M813" s="182">
        <f t="shared" ca="1" si="138"/>
        <v>8400</v>
      </c>
      <c r="N813" s="182">
        <f t="shared" ca="1" si="139"/>
        <v>76225.288685381922</v>
      </c>
      <c r="O813" s="182"/>
    </row>
    <row r="814" spans="1:15" x14ac:dyDescent="0.25">
      <c r="A814" s="180">
        <f t="shared" ca="1" si="140"/>
        <v>46904</v>
      </c>
      <c r="B814" s="181">
        <v>800</v>
      </c>
      <c r="C814" s="182">
        <f t="shared" ca="1" si="145"/>
        <v>46895.288685382053</v>
      </c>
      <c r="D814" s="182">
        <f t="shared" ca="1" si="142"/>
        <v>31.2635257902547</v>
      </c>
      <c r="E814" s="182">
        <v>0</v>
      </c>
      <c r="F814" s="182">
        <f t="shared" ca="1" si="146"/>
        <v>0</v>
      </c>
      <c r="G814" s="182">
        <f t="shared" ca="1" si="143"/>
        <v>0</v>
      </c>
      <c r="H814" s="182">
        <f t="shared" ca="1" si="144"/>
        <v>46926.552211172304</v>
      </c>
      <c r="I814" s="183">
        <v>0</v>
      </c>
      <c r="J814" s="263">
        <f t="shared" ca="1" si="135"/>
        <v>46926.552211172304</v>
      </c>
      <c r="K814" s="182">
        <f t="shared" ca="1" si="136"/>
        <v>70</v>
      </c>
      <c r="L814" s="182">
        <f t="shared" ca="1" si="137"/>
        <v>20326.552211172373</v>
      </c>
      <c r="M814" s="182">
        <f t="shared" ca="1" si="138"/>
        <v>8400</v>
      </c>
      <c r="N814" s="182">
        <f t="shared" ca="1" si="139"/>
        <v>76326.55221117218</v>
      </c>
      <c r="O814" s="182"/>
    </row>
    <row r="815" spans="1:15" x14ac:dyDescent="0.25">
      <c r="A815" s="180">
        <f t="shared" ca="1" si="140"/>
        <v>46905</v>
      </c>
      <c r="B815" s="181">
        <v>801</v>
      </c>
      <c r="C815" s="182">
        <f t="shared" ca="1" si="145"/>
        <v>46926.552211172304</v>
      </c>
      <c r="D815" s="182">
        <f t="shared" ca="1" si="142"/>
        <v>31.284368140781535</v>
      </c>
      <c r="E815" s="182">
        <v>0</v>
      </c>
      <c r="F815" s="182">
        <f t="shared" ca="1" si="146"/>
        <v>0</v>
      </c>
      <c r="G815" s="182">
        <f t="shared" ca="1" si="143"/>
        <v>0</v>
      </c>
      <c r="H815" s="182">
        <f t="shared" ca="1" si="144"/>
        <v>46957.836579313087</v>
      </c>
      <c r="I815" s="183">
        <v>0</v>
      </c>
      <c r="J815" s="263">
        <f t="shared" ca="1" si="135"/>
        <v>46957.836579313087</v>
      </c>
      <c r="K815" s="182">
        <f t="shared" ca="1" si="136"/>
        <v>70</v>
      </c>
      <c r="L815" s="182">
        <f t="shared" ca="1" si="137"/>
        <v>20357.836579313156</v>
      </c>
      <c r="M815" s="182">
        <f t="shared" ca="1" si="138"/>
        <v>8400</v>
      </c>
      <c r="N815" s="182">
        <f t="shared" ca="1" si="139"/>
        <v>76427.836579312963</v>
      </c>
      <c r="O815" s="182"/>
    </row>
    <row r="816" spans="1:15" x14ac:dyDescent="0.25">
      <c r="A816" s="180">
        <f t="shared" ca="1" si="140"/>
        <v>46906</v>
      </c>
      <c r="B816" s="181">
        <v>802</v>
      </c>
      <c r="C816" s="182">
        <f t="shared" ca="1" si="145"/>
        <v>46957.836579313087</v>
      </c>
      <c r="D816" s="182">
        <f t="shared" ca="1" si="142"/>
        <v>31.305224386208724</v>
      </c>
      <c r="E816" s="182">
        <v>0</v>
      </c>
      <c r="F816" s="182">
        <f t="shared" ca="1" si="146"/>
        <v>0</v>
      </c>
      <c r="G816" s="182">
        <f t="shared" ca="1" si="143"/>
        <v>0</v>
      </c>
      <c r="H816" s="182">
        <f t="shared" ca="1" si="144"/>
        <v>46989.141803699298</v>
      </c>
      <c r="I816" s="183">
        <v>0</v>
      </c>
      <c r="J816" s="263">
        <f t="shared" ca="1" si="135"/>
        <v>46989.141803699298</v>
      </c>
      <c r="K816" s="182">
        <f t="shared" ca="1" si="136"/>
        <v>70</v>
      </c>
      <c r="L816" s="182">
        <f t="shared" ca="1" si="137"/>
        <v>20389.141803699364</v>
      </c>
      <c r="M816" s="182">
        <f t="shared" ca="1" si="138"/>
        <v>8400</v>
      </c>
      <c r="N816" s="182">
        <f t="shared" ca="1" si="139"/>
        <v>76529.141803699167</v>
      </c>
      <c r="O816" s="182"/>
    </row>
    <row r="817" spans="1:15" x14ac:dyDescent="0.25">
      <c r="A817" s="180">
        <f t="shared" ca="1" si="140"/>
        <v>46907</v>
      </c>
      <c r="B817" s="181">
        <v>803</v>
      </c>
      <c r="C817" s="182">
        <f t="shared" ca="1" si="145"/>
        <v>46989.141803699298</v>
      </c>
      <c r="D817" s="182">
        <f t="shared" ca="1" si="142"/>
        <v>31.32609453579953</v>
      </c>
      <c r="E817" s="182">
        <v>0</v>
      </c>
      <c r="F817" s="182">
        <f t="shared" ca="1" si="146"/>
        <v>0</v>
      </c>
      <c r="G817" s="182">
        <f t="shared" ca="1" si="143"/>
        <v>0</v>
      </c>
      <c r="H817" s="182">
        <f t="shared" ca="1" si="144"/>
        <v>47020.467898235096</v>
      </c>
      <c r="I817" s="183">
        <v>0</v>
      </c>
      <c r="J817" s="263">
        <f t="shared" ca="1" si="135"/>
        <v>47020.467898235096</v>
      </c>
      <c r="K817" s="182">
        <f t="shared" ca="1" si="136"/>
        <v>70</v>
      </c>
      <c r="L817" s="182">
        <f t="shared" ca="1" si="137"/>
        <v>20420.467898235162</v>
      </c>
      <c r="M817" s="182">
        <f t="shared" ca="1" si="138"/>
        <v>8400</v>
      </c>
      <c r="N817" s="182">
        <f t="shared" ca="1" si="139"/>
        <v>76630.467898234972</v>
      </c>
      <c r="O817" s="182"/>
    </row>
    <row r="818" spans="1:15" x14ac:dyDescent="0.25">
      <c r="A818" s="180">
        <f t="shared" ca="1" si="140"/>
        <v>46908</v>
      </c>
      <c r="B818" s="181">
        <v>804</v>
      </c>
      <c r="C818" s="182">
        <f t="shared" ca="1" si="145"/>
        <v>47020.467898235096</v>
      </c>
      <c r="D818" s="182">
        <f t="shared" ca="1" si="142"/>
        <v>31.346978598823398</v>
      </c>
      <c r="E818" s="182">
        <v>0</v>
      </c>
      <c r="F818" s="182">
        <f t="shared" ca="1" si="146"/>
        <v>0</v>
      </c>
      <c r="G818" s="182">
        <f t="shared" ca="1" si="143"/>
        <v>0</v>
      </c>
      <c r="H818" s="182">
        <f t="shared" ca="1" si="144"/>
        <v>47051.814876833916</v>
      </c>
      <c r="I818" s="183">
        <v>0</v>
      </c>
      <c r="J818" s="263">
        <f t="shared" ca="1" si="135"/>
        <v>47051.814876833916</v>
      </c>
      <c r="K818" s="182">
        <f t="shared" ca="1" si="136"/>
        <v>70</v>
      </c>
      <c r="L818" s="182">
        <f t="shared" ca="1" si="137"/>
        <v>20451.814876833985</v>
      </c>
      <c r="M818" s="182">
        <f t="shared" ca="1" si="138"/>
        <v>8400</v>
      </c>
      <c r="N818" s="182">
        <f t="shared" ca="1" si="139"/>
        <v>76731.8148768338</v>
      </c>
      <c r="O818" s="182"/>
    </row>
    <row r="819" spans="1:15" x14ac:dyDescent="0.25">
      <c r="A819" s="180">
        <f t="shared" ca="1" si="140"/>
        <v>46909</v>
      </c>
      <c r="B819" s="181">
        <v>805</v>
      </c>
      <c r="C819" s="182">
        <f t="shared" ca="1" si="145"/>
        <v>47051.814876833916</v>
      </c>
      <c r="D819" s="182">
        <f t="shared" ca="1" si="142"/>
        <v>31.367876584555944</v>
      </c>
      <c r="E819" s="182">
        <v>0</v>
      </c>
      <c r="F819" s="182">
        <f t="shared" ca="1" si="146"/>
        <v>0</v>
      </c>
      <c r="G819" s="182">
        <f t="shared" ca="1" si="143"/>
        <v>0</v>
      </c>
      <c r="H819" s="182">
        <f t="shared" ca="1" si="144"/>
        <v>47083.18275341847</v>
      </c>
      <c r="I819" s="183">
        <v>0</v>
      </c>
      <c r="J819" s="263">
        <f t="shared" ca="1" si="135"/>
        <v>47083.18275341847</v>
      </c>
      <c r="K819" s="182">
        <f t="shared" ca="1" si="136"/>
        <v>70</v>
      </c>
      <c r="L819" s="182">
        <f t="shared" ca="1" si="137"/>
        <v>20483.18275341854</v>
      </c>
      <c r="M819" s="182">
        <f t="shared" ca="1" si="138"/>
        <v>8400</v>
      </c>
      <c r="N819" s="182">
        <f t="shared" ca="1" si="139"/>
        <v>76833.182753418354</v>
      </c>
      <c r="O819" s="182"/>
    </row>
    <row r="820" spans="1:15" x14ac:dyDescent="0.25">
      <c r="A820" s="180">
        <f t="shared" ca="1" si="140"/>
        <v>46910</v>
      </c>
      <c r="B820" s="181">
        <v>806</v>
      </c>
      <c r="C820" s="182">
        <f t="shared" ca="1" si="145"/>
        <v>47083.18275341847</v>
      </c>
      <c r="D820" s="182">
        <f t="shared" ca="1" si="142"/>
        <v>31.388788502278977</v>
      </c>
      <c r="E820" s="182">
        <v>0</v>
      </c>
      <c r="F820" s="182">
        <f t="shared" ca="1" si="146"/>
        <v>0</v>
      </c>
      <c r="G820" s="182">
        <f t="shared" ca="1" si="143"/>
        <v>0</v>
      </c>
      <c r="H820" s="182">
        <f t="shared" ca="1" si="144"/>
        <v>47114.571541920748</v>
      </c>
      <c r="I820" s="183">
        <v>0</v>
      </c>
      <c r="J820" s="263">
        <f t="shared" ca="1" si="135"/>
        <v>47114.571541920748</v>
      </c>
      <c r="K820" s="182">
        <f t="shared" ca="1" si="136"/>
        <v>70</v>
      </c>
      <c r="L820" s="182">
        <f t="shared" ca="1" si="137"/>
        <v>20514.571541920817</v>
      </c>
      <c r="M820" s="182">
        <f t="shared" ca="1" si="138"/>
        <v>8400</v>
      </c>
      <c r="N820" s="182">
        <f t="shared" ca="1" si="139"/>
        <v>76934.571541920639</v>
      </c>
      <c r="O820" s="182"/>
    </row>
    <row r="821" spans="1:15" x14ac:dyDescent="0.25">
      <c r="A821" s="180">
        <f t="shared" ca="1" si="140"/>
        <v>46911</v>
      </c>
      <c r="B821" s="181">
        <v>807</v>
      </c>
      <c r="C821" s="182">
        <f t="shared" ca="1" si="145"/>
        <v>47114.571541920748</v>
      </c>
      <c r="D821" s="182">
        <f t="shared" ca="1" si="142"/>
        <v>31.409714361280496</v>
      </c>
      <c r="E821" s="182">
        <v>0</v>
      </c>
      <c r="F821" s="182">
        <f t="shared" ca="1" si="146"/>
        <v>0</v>
      </c>
      <c r="G821" s="182">
        <f t="shared" ca="1" si="143"/>
        <v>0</v>
      </c>
      <c r="H821" s="182">
        <f t="shared" ca="1" si="144"/>
        <v>47145.98125628203</v>
      </c>
      <c r="I821" s="183">
        <v>0</v>
      </c>
      <c r="J821" s="263">
        <f t="shared" ca="1" si="135"/>
        <v>47145.98125628203</v>
      </c>
      <c r="K821" s="182">
        <f t="shared" ca="1" si="136"/>
        <v>70</v>
      </c>
      <c r="L821" s="182">
        <f t="shared" ca="1" si="137"/>
        <v>20545.981256282099</v>
      </c>
      <c r="M821" s="182">
        <f t="shared" ca="1" si="138"/>
        <v>8400</v>
      </c>
      <c r="N821" s="182">
        <f t="shared" ca="1" si="139"/>
        <v>77035.981256281913</v>
      </c>
      <c r="O821" s="182"/>
    </row>
    <row r="822" spans="1:15" x14ac:dyDescent="0.25">
      <c r="A822" s="180">
        <f t="shared" ca="1" si="140"/>
        <v>46912</v>
      </c>
      <c r="B822" s="181">
        <v>808</v>
      </c>
      <c r="C822" s="182">
        <f t="shared" ca="1" si="145"/>
        <v>47145.98125628203</v>
      </c>
      <c r="D822" s="182">
        <f t="shared" ca="1" si="142"/>
        <v>31.430654170854684</v>
      </c>
      <c r="E822" s="182">
        <v>0</v>
      </c>
      <c r="F822" s="182">
        <f t="shared" ca="1" si="146"/>
        <v>0</v>
      </c>
      <c r="G822" s="182">
        <f t="shared" ca="1" si="143"/>
        <v>0</v>
      </c>
      <c r="H822" s="182">
        <f t="shared" ca="1" si="144"/>
        <v>47177.411910452887</v>
      </c>
      <c r="I822" s="183">
        <v>0</v>
      </c>
      <c r="J822" s="263">
        <f t="shared" ca="1" si="135"/>
        <v>47177.411910452887</v>
      </c>
      <c r="K822" s="182">
        <f t="shared" ca="1" si="136"/>
        <v>70</v>
      </c>
      <c r="L822" s="182">
        <f t="shared" ca="1" si="137"/>
        <v>20577.411910452953</v>
      </c>
      <c r="M822" s="182">
        <f t="shared" ca="1" si="138"/>
        <v>8400</v>
      </c>
      <c r="N822" s="182">
        <f t="shared" ca="1" si="139"/>
        <v>77137.411910452764</v>
      </c>
      <c r="O822" s="182"/>
    </row>
    <row r="823" spans="1:15" x14ac:dyDescent="0.25">
      <c r="A823" s="180">
        <f t="shared" ca="1" si="140"/>
        <v>46913</v>
      </c>
      <c r="B823" s="181">
        <v>809</v>
      </c>
      <c r="C823" s="182">
        <f t="shared" ca="1" si="145"/>
        <v>47177.411910452887</v>
      </c>
      <c r="D823" s="182">
        <f t="shared" ca="1" si="142"/>
        <v>31.451607940301923</v>
      </c>
      <c r="E823" s="182">
        <v>0</v>
      </c>
      <c r="F823" s="182">
        <f t="shared" ca="1" si="146"/>
        <v>0</v>
      </c>
      <c r="G823" s="182">
        <f t="shared" ca="1" si="143"/>
        <v>0</v>
      </c>
      <c r="H823" s="182">
        <f t="shared" ca="1" si="144"/>
        <v>47208.863518393191</v>
      </c>
      <c r="I823" s="183">
        <v>0</v>
      </c>
      <c r="J823" s="263">
        <f t="shared" ca="1" si="135"/>
        <v>47208.863518393191</v>
      </c>
      <c r="K823" s="182">
        <f t="shared" ca="1" si="136"/>
        <v>70</v>
      </c>
      <c r="L823" s="182">
        <f t="shared" ca="1" si="137"/>
        <v>20608.863518393253</v>
      </c>
      <c r="M823" s="182">
        <f t="shared" ca="1" si="138"/>
        <v>8400</v>
      </c>
      <c r="N823" s="182">
        <f t="shared" ca="1" si="139"/>
        <v>77238.86351839306</v>
      </c>
      <c r="O823" s="182"/>
    </row>
    <row r="824" spans="1:15" x14ac:dyDescent="0.25">
      <c r="A824" s="180">
        <f t="shared" ca="1" si="140"/>
        <v>46914</v>
      </c>
      <c r="B824" s="181">
        <v>810</v>
      </c>
      <c r="C824" s="182">
        <f t="shared" ca="1" si="145"/>
        <v>47208.863518393191</v>
      </c>
      <c r="D824" s="182">
        <f t="shared" ca="1" si="142"/>
        <v>31.472575678928791</v>
      </c>
      <c r="E824" s="182">
        <v>0</v>
      </c>
      <c r="F824" s="182">
        <f t="shared" ca="1" si="146"/>
        <v>0</v>
      </c>
      <c r="G824" s="182">
        <f t="shared" ca="1" si="143"/>
        <v>0</v>
      </c>
      <c r="H824" s="182">
        <f t="shared" ca="1" si="144"/>
        <v>47240.336094072118</v>
      </c>
      <c r="I824" s="183">
        <v>0</v>
      </c>
      <c r="J824" s="263">
        <f t="shared" ca="1" si="135"/>
        <v>47240.336094072118</v>
      </c>
      <c r="K824" s="182">
        <f t="shared" ca="1" si="136"/>
        <v>70</v>
      </c>
      <c r="L824" s="182">
        <f t="shared" ca="1" si="137"/>
        <v>20640.336094072183</v>
      </c>
      <c r="M824" s="182">
        <f t="shared" ca="1" si="138"/>
        <v>8400</v>
      </c>
      <c r="N824" s="182">
        <f t="shared" ca="1" si="139"/>
        <v>77340.336094071987</v>
      </c>
      <c r="O824" s="182"/>
    </row>
    <row r="825" spans="1:15" x14ac:dyDescent="0.25">
      <c r="A825" s="180">
        <f t="shared" ca="1" si="140"/>
        <v>46915</v>
      </c>
      <c r="B825" s="181">
        <v>811</v>
      </c>
      <c r="C825" s="182">
        <f t="shared" ca="1" si="145"/>
        <v>47240.336094072118</v>
      </c>
      <c r="D825" s="182">
        <f t="shared" ca="1" si="142"/>
        <v>31.493557396048079</v>
      </c>
      <c r="E825" s="182">
        <v>0</v>
      </c>
      <c r="F825" s="182">
        <f t="shared" ca="1" si="146"/>
        <v>0</v>
      </c>
      <c r="G825" s="182">
        <f t="shared" ca="1" si="143"/>
        <v>0</v>
      </c>
      <c r="H825" s="182">
        <f t="shared" ca="1" si="144"/>
        <v>47271.829651468164</v>
      </c>
      <c r="I825" s="183">
        <v>0</v>
      </c>
      <c r="J825" s="263">
        <f t="shared" ca="1" si="135"/>
        <v>47271.829651468164</v>
      </c>
      <c r="K825" s="182">
        <f t="shared" ca="1" si="136"/>
        <v>70</v>
      </c>
      <c r="L825" s="182">
        <f t="shared" ca="1" si="137"/>
        <v>20671.82965146823</v>
      </c>
      <c r="M825" s="182">
        <f t="shared" ca="1" si="138"/>
        <v>8400</v>
      </c>
      <c r="N825" s="182">
        <f t="shared" ca="1" si="139"/>
        <v>77441.829651468041</v>
      </c>
      <c r="O825" s="182"/>
    </row>
    <row r="826" spans="1:15" x14ac:dyDescent="0.25">
      <c r="A826" s="180">
        <f t="shared" ca="1" si="140"/>
        <v>46916</v>
      </c>
      <c r="B826" s="181">
        <v>812</v>
      </c>
      <c r="C826" s="182">
        <f t="shared" ca="1" si="145"/>
        <v>47271.829651468164</v>
      </c>
      <c r="D826" s="182">
        <f t="shared" ca="1" si="142"/>
        <v>31.514553100978777</v>
      </c>
      <c r="E826" s="182">
        <v>0</v>
      </c>
      <c r="F826" s="182">
        <f t="shared" ca="1" si="146"/>
        <v>0</v>
      </c>
      <c r="G826" s="182">
        <f t="shared" ca="1" si="143"/>
        <v>0</v>
      </c>
      <c r="H826" s="182">
        <f t="shared" ca="1" si="144"/>
        <v>47303.344204569141</v>
      </c>
      <c r="I826" s="183">
        <v>0</v>
      </c>
      <c r="J826" s="263">
        <f t="shared" ca="1" si="135"/>
        <v>47303.344204569141</v>
      </c>
      <c r="K826" s="182">
        <f t="shared" ca="1" si="136"/>
        <v>70</v>
      </c>
      <c r="L826" s="182">
        <f t="shared" ca="1" si="137"/>
        <v>20703.34420456921</v>
      </c>
      <c r="M826" s="182">
        <f t="shared" ca="1" si="138"/>
        <v>8400</v>
      </c>
      <c r="N826" s="182">
        <f t="shared" ca="1" si="139"/>
        <v>77543.344204569017</v>
      </c>
      <c r="O826" s="182"/>
    </row>
    <row r="827" spans="1:15" x14ac:dyDescent="0.25">
      <c r="A827" s="180">
        <f t="shared" ca="1" si="140"/>
        <v>46917</v>
      </c>
      <c r="B827" s="181">
        <v>813</v>
      </c>
      <c r="C827" s="182">
        <f t="shared" ca="1" si="145"/>
        <v>47303.344204569141</v>
      </c>
      <c r="D827" s="182">
        <f t="shared" ca="1" si="142"/>
        <v>31.535562803046094</v>
      </c>
      <c r="E827" s="182">
        <v>0</v>
      </c>
      <c r="F827" s="182">
        <f t="shared" ca="1" si="146"/>
        <v>0</v>
      </c>
      <c r="G827" s="182">
        <f t="shared" ca="1" si="143"/>
        <v>0</v>
      </c>
      <c r="H827" s="182">
        <f t="shared" ca="1" si="144"/>
        <v>47334.879767372186</v>
      </c>
      <c r="I827" s="183">
        <v>0</v>
      </c>
      <c r="J827" s="263">
        <f t="shared" ca="1" si="135"/>
        <v>47334.879767372186</v>
      </c>
      <c r="K827" s="182">
        <f t="shared" ca="1" si="136"/>
        <v>70</v>
      </c>
      <c r="L827" s="182">
        <f t="shared" ca="1" si="137"/>
        <v>20734.879767372255</v>
      </c>
      <c r="M827" s="182">
        <f t="shared" ca="1" si="138"/>
        <v>8400</v>
      </c>
      <c r="N827" s="182">
        <f t="shared" ca="1" si="139"/>
        <v>77644.879767372069</v>
      </c>
      <c r="O827" s="182"/>
    </row>
    <row r="828" spans="1:15" x14ac:dyDescent="0.25">
      <c r="A828" s="180">
        <f t="shared" ca="1" si="140"/>
        <v>46918</v>
      </c>
      <c r="B828" s="181">
        <v>814</v>
      </c>
      <c r="C828" s="182">
        <f t="shared" ca="1" si="145"/>
        <v>47334.879767372186</v>
      </c>
      <c r="D828" s="182">
        <f t="shared" ca="1" si="142"/>
        <v>31.556586511581457</v>
      </c>
      <c r="E828" s="182">
        <v>0</v>
      </c>
      <c r="F828" s="182">
        <f t="shared" ca="1" si="146"/>
        <v>0</v>
      </c>
      <c r="G828" s="182">
        <f t="shared" ca="1" si="143"/>
        <v>0</v>
      </c>
      <c r="H828" s="182">
        <f t="shared" ca="1" si="144"/>
        <v>47366.436353883764</v>
      </c>
      <c r="I828" s="183">
        <v>0</v>
      </c>
      <c r="J828" s="263">
        <f t="shared" ca="1" si="135"/>
        <v>47366.436353883764</v>
      </c>
      <c r="K828" s="182">
        <f t="shared" ca="1" si="136"/>
        <v>70</v>
      </c>
      <c r="L828" s="182">
        <f t="shared" ca="1" si="137"/>
        <v>20766.436353883837</v>
      </c>
      <c r="M828" s="182">
        <f t="shared" ca="1" si="138"/>
        <v>8400</v>
      </c>
      <c r="N828" s="182">
        <f t="shared" ca="1" si="139"/>
        <v>77746.436353883648</v>
      </c>
      <c r="O828" s="182"/>
    </row>
    <row r="829" spans="1:15" x14ac:dyDescent="0.25">
      <c r="A829" s="180">
        <f t="shared" ca="1" si="140"/>
        <v>46919</v>
      </c>
      <c r="B829" s="181">
        <v>815</v>
      </c>
      <c r="C829" s="182">
        <f t="shared" ca="1" si="145"/>
        <v>47366.436353883764</v>
      </c>
      <c r="D829" s="182">
        <f t="shared" ca="1" si="142"/>
        <v>31.57762423592251</v>
      </c>
      <c r="E829" s="182">
        <v>0</v>
      </c>
      <c r="F829" s="182">
        <f t="shared" ca="1" si="146"/>
        <v>0</v>
      </c>
      <c r="G829" s="182">
        <f t="shared" ca="1" si="143"/>
        <v>0</v>
      </c>
      <c r="H829" s="182">
        <f t="shared" ca="1" si="144"/>
        <v>47398.013978119685</v>
      </c>
      <c r="I829" s="183">
        <v>0</v>
      </c>
      <c r="J829" s="263">
        <f t="shared" ca="1" si="135"/>
        <v>47398.013978119685</v>
      </c>
      <c r="K829" s="182">
        <f t="shared" ca="1" si="136"/>
        <v>70</v>
      </c>
      <c r="L829" s="182">
        <f t="shared" ca="1" si="137"/>
        <v>20798.013978119761</v>
      </c>
      <c r="M829" s="182">
        <f t="shared" ca="1" si="138"/>
        <v>8400</v>
      </c>
      <c r="N829" s="182">
        <f t="shared" ca="1" si="139"/>
        <v>77848.013978119576</v>
      </c>
      <c r="O829" s="182"/>
    </row>
    <row r="830" spans="1:15" x14ac:dyDescent="0.25">
      <c r="A830" s="180">
        <f t="shared" ca="1" si="140"/>
        <v>46920</v>
      </c>
      <c r="B830" s="181">
        <v>816</v>
      </c>
      <c r="C830" s="182">
        <f t="shared" ca="1" si="145"/>
        <v>47398.013978119685</v>
      </c>
      <c r="D830" s="182">
        <f t="shared" ca="1" si="142"/>
        <v>31.598675985413124</v>
      </c>
      <c r="E830" s="182">
        <v>0</v>
      </c>
      <c r="F830" s="182">
        <f t="shared" ca="1" si="146"/>
        <v>0</v>
      </c>
      <c r="G830" s="182">
        <f t="shared" ca="1" si="143"/>
        <v>0</v>
      </c>
      <c r="H830" s="182">
        <f t="shared" ca="1" si="144"/>
        <v>47429.612654105098</v>
      </c>
      <c r="I830" s="183">
        <v>0</v>
      </c>
      <c r="J830" s="263">
        <f t="shared" ca="1" si="135"/>
        <v>47429.612654105098</v>
      </c>
      <c r="K830" s="182">
        <f t="shared" ca="1" si="136"/>
        <v>70</v>
      </c>
      <c r="L830" s="182">
        <f t="shared" ca="1" si="137"/>
        <v>20829.612654105174</v>
      </c>
      <c r="M830" s="182">
        <f t="shared" ca="1" si="138"/>
        <v>8400</v>
      </c>
      <c r="N830" s="182">
        <f t="shared" ca="1" si="139"/>
        <v>77949.612654104989</v>
      </c>
      <c r="O830" s="182"/>
    </row>
    <row r="831" spans="1:15" x14ac:dyDescent="0.25">
      <c r="A831" s="180">
        <f t="shared" ca="1" si="140"/>
        <v>46921</v>
      </c>
      <c r="B831" s="181">
        <v>817</v>
      </c>
      <c r="C831" s="182">
        <f t="shared" ca="1" si="145"/>
        <v>47429.612654105098</v>
      </c>
      <c r="D831" s="182">
        <f t="shared" ca="1" si="142"/>
        <v>31.619741769403397</v>
      </c>
      <c r="E831" s="182">
        <v>0</v>
      </c>
      <c r="F831" s="182">
        <f t="shared" ca="1" si="146"/>
        <v>0</v>
      </c>
      <c r="G831" s="182">
        <f t="shared" ca="1" si="143"/>
        <v>0</v>
      </c>
      <c r="H831" s="182">
        <f t="shared" ca="1" si="144"/>
        <v>47461.232395874504</v>
      </c>
      <c r="I831" s="183">
        <v>0</v>
      </c>
      <c r="J831" s="263">
        <f t="shared" ca="1" si="135"/>
        <v>47461.232395874504</v>
      </c>
      <c r="K831" s="182">
        <f t="shared" ca="1" si="136"/>
        <v>70</v>
      </c>
      <c r="L831" s="182">
        <f t="shared" ca="1" si="137"/>
        <v>20861.232395874576</v>
      </c>
      <c r="M831" s="182">
        <f t="shared" ca="1" si="138"/>
        <v>8400</v>
      </c>
      <c r="N831" s="182">
        <f t="shared" ca="1" si="139"/>
        <v>78051.232395874395</v>
      </c>
      <c r="O831" s="182"/>
    </row>
    <row r="832" spans="1:15" x14ac:dyDescent="0.25">
      <c r="A832" s="180">
        <f t="shared" ca="1" si="140"/>
        <v>46922</v>
      </c>
      <c r="B832" s="181">
        <v>818</v>
      </c>
      <c r="C832" s="182">
        <f t="shared" ca="1" si="145"/>
        <v>47461.232395874504</v>
      </c>
      <c r="D832" s="182">
        <f t="shared" ca="1" si="142"/>
        <v>31.640821597249669</v>
      </c>
      <c r="E832" s="182">
        <v>0</v>
      </c>
      <c r="F832" s="182">
        <f t="shared" ca="1" si="146"/>
        <v>0</v>
      </c>
      <c r="G832" s="182">
        <f t="shared" ca="1" si="143"/>
        <v>0</v>
      </c>
      <c r="H832" s="182">
        <f t="shared" ca="1" si="144"/>
        <v>47492.873217471752</v>
      </c>
      <c r="I832" s="183">
        <v>0</v>
      </c>
      <c r="J832" s="263">
        <f t="shared" ca="1" si="135"/>
        <v>47492.873217471752</v>
      </c>
      <c r="K832" s="182">
        <f t="shared" ca="1" si="136"/>
        <v>70</v>
      </c>
      <c r="L832" s="182">
        <f t="shared" ca="1" si="137"/>
        <v>20892.873217471824</v>
      </c>
      <c r="M832" s="182">
        <f t="shared" ca="1" si="138"/>
        <v>8400</v>
      </c>
      <c r="N832" s="182">
        <f t="shared" ca="1" si="139"/>
        <v>78152.873217471642</v>
      </c>
      <c r="O832" s="182"/>
    </row>
    <row r="833" spans="1:15" x14ac:dyDescent="0.25">
      <c r="A833" s="180">
        <f t="shared" ca="1" si="140"/>
        <v>46923</v>
      </c>
      <c r="B833" s="181">
        <v>819</v>
      </c>
      <c r="C833" s="182">
        <f t="shared" ca="1" si="145"/>
        <v>47492.873217471752</v>
      </c>
      <c r="D833" s="182">
        <f t="shared" ca="1" si="142"/>
        <v>31.661915478314501</v>
      </c>
      <c r="E833" s="182">
        <v>0</v>
      </c>
      <c r="F833" s="182">
        <f t="shared" ca="1" si="146"/>
        <v>0</v>
      </c>
      <c r="G833" s="182">
        <f t="shared" ca="1" si="143"/>
        <v>0</v>
      </c>
      <c r="H833" s="182">
        <f t="shared" ca="1" si="144"/>
        <v>47524.535132950063</v>
      </c>
      <c r="I833" s="183">
        <v>0</v>
      </c>
      <c r="J833" s="263">
        <f t="shared" ca="1" si="135"/>
        <v>47524.535132950063</v>
      </c>
      <c r="K833" s="182">
        <f t="shared" ca="1" si="136"/>
        <v>70</v>
      </c>
      <c r="L833" s="182">
        <f t="shared" ca="1" si="137"/>
        <v>20924.535132950139</v>
      </c>
      <c r="M833" s="182">
        <f t="shared" ca="1" si="138"/>
        <v>8400</v>
      </c>
      <c r="N833" s="182">
        <f t="shared" ca="1" si="139"/>
        <v>78254.535132949954</v>
      </c>
      <c r="O833" s="182"/>
    </row>
    <row r="834" spans="1:15" x14ac:dyDescent="0.25">
      <c r="A834" s="180">
        <f t="shared" ca="1" si="140"/>
        <v>46924</v>
      </c>
      <c r="B834" s="181">
        <v>820</v>
      </c>
      <c r="C834" s="182">
        <f t="shared" ca="1" si="145"/>
        <v>47524.535132950063</v>
      </c>
      <c r="D834" s="182">
        <f t="shared" ca="1" si="142"/>
        <v>31.683023421966709</v>
      </c>
      <c r="E834" s="182">
        <v>0</v>
      </c>
      <c r="F834" s="182">
        <f t="shared" ca="1" si="146"/>
        <v>0</v>
      </c>
      <c r="G834" s="182">
        <f t="shared" ca="1" si="143"/>
        <v>0</v>
      </c>
      <c r="H834" s="182">
        <f t="shared" ca="1" si="144"/>
        <v>47556.21815637203</v>
      </c>
      <c r="I834" s="183">
        <v>0</v>
      </c>
      <c r="J834" s="263">
        <f t="shared" ca="1" si="135"/>
        <v>47556.21815637203</v>
      </c>
      <c r="K834" s="182">
        <f t="shared" ca="1" si="136"/>
        <v>70</v>
      </c>
      <c r="L834" s="182">
        <f t="shared" ca="1" si="137"/>
        <v>20956.218156372106</v>
      </c>
      <c r="M834" s="182">
        <f t="shared" ca="1" si="138"/>
        <v>8400</v>
      </c>
      <c r="N834" s="182">
        <f t="shared" ca="1" si="139"/>
        <v>78356.21815637192</v>
      </c>
      <c r="O834" s="182"/>
    </row>
    <row r="835" spans="1:15" x14ac:dyDescent="0.25">
      <c r="A835" s="180">
        <f t="shared" ca="1" si="140"/>
        <v>46925</v>
      </c>
      <c r="B835" s="181">
        <v>821</v>
      </c>
      <c r="C835" s="182">
        <f t="shared" ca="1" si="145"/>
        <v>47556.21815637203</v>
      </c>
      <c r="D835" s="182">
        <f t="shared" ca="1" si="142"/>
        <v>31.704145437581353</v>
      </c>
      <c r="E835" s="182">
        <v>0</v>
      </c>
      <c r="F835" s="182">
        <f t="shared" ca="1" si="146"/>
        <v>0</v>
      </c>
      <c r="G835" s="182">
        <f t="shared" ca="1" si="143"/>
        <v>0</v>
      </c>
      <c r="H835" s="182">
        <f t="shared" ca="1" si="144"/>
        <v>47587.922301809609</v>
      </c>
      <c r="I835" s="183">
        <v>0</v>
      </c>
      <c r="J835" s="263">
        <f t="shared" ca="1" si="135"/>
        <v>47587.922301809609</v>
      </c>
      <c r="K835" s="182">
        <f t="shared" ca="1" si="136"/>
        <v>70</v>
      </c>
      <c r="L835" s="182">
        <f t="shared" ca="1" si="137"/>
        <v>20987.922301809689</v>
      </c>
      <c r="M835" s="182">
        <f t="shared" ca="1" si="138"/>
        <v>8400</v>
      </c>
      <c r="N835" s="182">
        <f t="shared" ca="1" si="139"/>
        <v>78457.922301809507</v>
      </c>
      <c r="O835" s="182"/>
    </row>
    <row r="836" spans="1:15" x14ac:dyDescent="0.25">
      <c r="A836" s="180">
        <f t="shared" ca="1" si="140"/>
        <v>46926</v>
      </c>
      <c r="B836" s="181">
        <v>822</v>
      </c>
      <c r="C836" s="182">
        <f t="shared" ca="1" si="145"/>
        <v>47587.922301809609</v>
      </c>
      <c r="D836" s="182">
        <f t="shared" ca="1" si="142"/>
        <v>31.725281534539739</v>
      </c>
      <c r="E836" s="182">
        <v>0</v>
      </c>
      <c r="F836" s="182">
        <f t="shared" ca="1" si="146"/>
        <v>0</v>
      </c>
      <c r="G836" s="182">
        <f t="shared" ca="1" si="143"/>
        <v>0</v>
      </c>
      <c r="H836" s="182">
        <f t="shared" ca="1" si="144"/>
        <v>47619.647583344151</v>
      </c>
      <c r="I836" s="183">
        <v>0</v>
      </c>
      <c r="J836" s="263">
        <f t="shared" ca="1" si="135"/>
        <v>47619.647583344151</v>
      </c>
      <c r="K836" s="182">
        <f t="shared" ca="1" si="136"/>
        <v>70</v>
      </c>
      <c r="L836" s="182">
        <f t="shared" ca="1" si="137"/>
        <v>21019.647583344227</v>
      </c>
      <c r="M836" s="182">
        <f t="shared" ca="1" si="138"/>
        <v>8400</v>
      </c>
      <c r="N836" s="182">
        <f t="shared" ca="1" si="139"/>
        <v>78559.647583344049</v>
      </c>
      <c r="O836" s="182"/>
    </row>
    <row r="837" spans="1:15" x14ac:dyDescent="0.25">
      <c r="A837" s="180">
        <f t="shared" ca="1" si="140"/>
        <v>46927</v>
      </c>
      <c r="B837" s="181">
        <v>823</v>
      </c>
      <c r="C837" s="182">
        <f t="shared" ca="1" si="145"/>
        <v>47619.647583344151</v>
      </c>
      <c r="D837" s="182">
        <f t="shared" ca="1" si="142"/>
        <v>31.746431722229431</v>
      </c>
      <c r="E837" s="182">
        <v>0</v>
      </c>
      <c r="F837" s="182">
        <f t="shared" ca="1" si="146"/>
        <v>0</v>
      </c>
      <c r="G837" s="182">
        <f t="shared" ca="1" si="143"/>
        <v>0</v>
      </c>
      <c r="H837" s="182">
        <f t="shared" ca="1" si="144"/>
        <v>47651.394015066384</v>
      </c>
      <c r="I837" s="183">
        <v>0</v>
      </c>
      <c r="J837" s="263">
        <f t="shared" ca="1" si="135"/>
        <v>47651.394015066384</v>
      </c>
      <c r="K837" s="182">
        <f t="shared" ca="1" si="136"/>
        <v>70</v>
      </c>
      <c r="L837" s="182">
        <f t="shared" ca="1" si="137"/>
        <v>21051.394015066457</v>
      </c>
      <c r="M837" s="182">
        <f t="shared" ca="1" si="138"/>
        <v>8400</v>
      </c>
      <c r="N837" s="182">
        <f t="shared" ca="1" si="139"/>
        <v>78661.394015066282</v>
      </c>
      <c r="O837" s="182"/>
    </row>
    <row r="838" spans="1:15" x14ac:dyDescent="0.25">
      <c r="A838" s="180">
        <f t="shared" ca="1" si="140"/>
        <v>46928</v>
      </c>
      <c r="B838" s="181">
        <v>824</v>
      </c>
      <c r="C838" s="182">
        <f t="shared" ca="1" si="145"/>
        <v>47651.394015066384</v>
      </c>
      <c r="D838" s="182">
        <f t="shared" ca="1" si="142"/>
        <v>31.767596010044254</v>
      </c>
      <c r="E838" s="182">
        <v>0</v>
      </c>
      <c r="F838" s="182">
        <f t="shared" ca="1" si="146"/>
        <v>0</v>
      </c>
      <c r="G838" s="182">
        <f t="shared" ca="1" si="143"/>
        <v>0</v>
      </c>
      <c r="H838" s="182">
        <f t="shared" ca="1" si="144"/>
        <v>47683.16161107643</v>
      </c>
      <c r="I838" s="183">
        <v>0</v>
      </c>
      <c r="J838" s="263">
        <f t="shared" ca="1" si="135"/>
        <v>47683.16161107643</v>
      </c>
      <c r="K838" s="182">
        <f t="shared" ca="1" si="136"/>
        <v>70</v>
      </c>
      <c r="L838" s="182">
        <f t="shared" ca="1" si="137"/>
        <v>21083.161611076503</v>
      </c>
      <c r="M838" s="182">
        <f t="shared" ca="1" si="138"/>
        <v>8400</v>
      </c>
      <c r="N838" s="182">
        <f t="shared" ca="1" si="139"/>
        <v>78763.161611076328</v>
      </c>
      <c r="O838" s="182"/>
    </row>
    <row r="839" spans="1:15" x14ac:dyDescent="0.25">
      <c r="A839" s="180">
        <f t="shared" ca="1" si="140"/>
        <v>46929</v>
      </c>
      <c r="B839" s="181">
        <v>825</v>
      </c>
      <c r="C839" s="182">
        <f t="shared" ca="1" si="145"/>
        <v>47683.16161107643</v>
      </c>
      <c r="D839" s="182">
        <f t="shared" ca="1" si="142"/>
        <v>31.788774407384285</v>
      </c>
      <c r="E839" s="182">
        <v>0</v>
      </c>
      <c r="F839" s="182">
        <f t="shared" ca="1" si="146"/>
        <v>0</v>
      </c>
      <c r="G839" s="182">
        <f t="shared" ca="1" si="143"/>
        <v>0</v>
      </c>
      <c r="H839" s="182">
        <f t="shared" ca="1" si="144"/>
        <v>47714.950385483811</v>
      </c>
      <c r="I839" s="183">
        <v>0</v>
      </c>
      <c r="J839" s="263">
        <f t="shared" ca="1" si="135"/>
        <v>47714.950385483811</v>
      </c>
      <c r="K839" s="182">
        <f t="shared" ca="1" si="136"/>
        <v>70</v>
      </c>
      <c r="L839" s="182">
        <f t="shared" ca="1" si="137"/>
        <v>21114.950385483888</v>
      </c>
      <c r="M839" s="182">
        <f t="shared" ca="1" si="138"/>
        <v>8400</v>
      </c>
      <c r="N839" s="182">
        <f t="shared" ca="1" si="139"/>
        <v>78864.950385483709</v>
      </c>
      <c r="O839" s="182"/>
    </row>
    <row r="840" spans="1:15" x14ac:dyDescent="0.25">
      <c r="A840" s="180">
        <f t="shared" ca="1" si="140"/>
        <v>46930</v>
      </c>
      <c r="B840" s="181">
        <v>826</v>
      </c>
      <c r="C840" s="182">
        <f t="shared" ca="1" si="145"/>
        <v>47714.950385483811</v>
      </c>
      <c r="D840" s="182">
        <f t="shared" ca="1" si="142"/>
        <v>31.809966923655875</v>
      </c>
      <c r="E840" s="182">
        <v>0</v>
      </c>
      <c r="F840" s="182">
        <f t="shared" ca="1" si="146"/>
        <v>0</v>
      </c>
      <c r="G840" s="182">
        <f t="shared" ca="1" si="143"/>
        <v>0</v>
      </c>
      <c r="H840" s="182">
        <f t="shared" ca="1" si="144"/>
        <v>47746.760352407466</v>
      </c>
      <c r="I840" s="183">
        <v>0</v>
      </c>
      <c r="J840" s="263">
        <f t="shared" ca="1" si="135"/>
        <v>47746.760352407466</v>
      </c>
      <c r="K840" s="182">
        <f t="shared" ca="1" si="136"/>
        <v>70</v>
      </c>
      <c r="L840" s="182">
        <f t="shared" ca="1" si="137"/>
        <v>21146.760352407542</v>
      </c>
      <c r="M840" s="182">
        <f t="shared" ca="1" si="138"/>
        <v>8400</v>
      </c>
      <c r="N840" s="182">
        <f t="shared" ca="1" si="139"/>
        <v>78966.760352407364</v>
      </c>
      <c r="O840" s="182"/>
    </row>
    <row r="841" spans="1:15" x14ac:dyDescent="0.25">
      <c r="A841" s="180">
        <f t="shared" ca="1" si="140"/>
        <v>46931</v>
      </c>
      <c r="B841" s="181">
        <v>827</v>
      </c>
      <c r="C841" s="182">
        <f t="shared" ca="1" si="145"/>
        <v>47746.760352407466</v>
      </c>
      <c r="D841" s="182">
        <f t="shared" ca="1" si="142"/>
        <v>31.831173568271641</v>
      </c>
      <c r="E841" s="182">
        <v>0</v>
      </c>
      <c r="F841" s="182">
        <f t="shared" ca="1" si="146"/>
        <v>0</v>
      </c>
      <c r="G841" s="182">
        <f t="shared" ca="1" si="143"/>
        <v>0</v>
      </c>
      <c r="H841" s="182">
        <f t="shared" ca="1" si="144"/>
        <v>47778.591525975738</v>
      </c>
      <c r="I841" s="183">
        <v>0</v>
      </c>
      <c r="J841" s="263">
        <f t="shared" ca="1" si="135"/>
        <v>47778.591525975738</v>
      </c>
      <c r="K841" s="182">
        <f t="shared" ca="1" si="136"/>
        <v>70</v>
      </c>
      <c r="L841" s="182">
        <f t="shared" ca="1" si="137"/>
        <v>21178.591525975815</v>
      </c>
      <c r="M841" s="182">
        <f t="shared" ca="1" si="138"/>
        <v>8400</v>
      </c>
      <c r="N841" s="182">
        <f t="shared" ca="1" si="139"/>
        <v>79068.591525975629</v>
      </c>
      <c r="O841" s="182"/>
    </row>
    <row r="842" spans="1:15" x14ac:dyDescent="0.25">
      <c r="A842" s="180">
        <f t="shared" ca="1" si="140"/>
        <v>46932</v>
      </c>
      <c r="B842" s="181">
        <v>828</v>
      </c>
      <c r="C842" s="182">
        <f t="shared" ca="1" si="145"/>
        <v>47778.591525975738</v>
      </c>
      <c r="D842" s="182">
        <f t="shared" ca="1" si="142"/>
        <v>31.852394350650492</v>
      </c>
      <c r="E842" s="182">
        <v>0</v>
      </c>
      <c r="F842" s="182">
        <f t="shared" ca="1" si="146"/>
        <v>0</v>
      </c>
      <c r="G842" s="182">
        <f t="shared" ca="1" si="143"/>
        <v>0</v>
      </c>
      <c r="H842" s="182">
        <f t="shared" ca="1" si="144"/>
        <v>47810.44392032639</v>
      </c>
      <c r="I842" s="183">
        <v>0</v>
      </c>
      <c r="J842" s="263">
        <f t="shared" ca="1" si="135"/>
        <v>47810.44392032639</v>
      </c>
      <c r="K842" s="182">
        <f t="shared" ca="1" si="136"/>
        <v>70</v>
      </c>
      <c r="L842" s="182">
        <f t="shared" ca="1" si="137"/>
        <v>21210.443920326466</v>
      </c>
      <c r="M842" s="182">
        <f t="shared" ca="1" si="138"/>
        <v>8400</v>
      </c>
      <c r="N842" s="182">
        <f t="shared" ca="1" si="139"/>
        <v>79170.443920326274</v>
      </c>
      <c r="O842" s="182"/>
    </row>
    <row r="843" spans="1:15" x14ac:dyDescent="0.25">
      <c r="A843" s="180">
        <f t="shared" ca="1" si="140"/>
        <v>46933</v>
      </c>
      <c r="B843" s="181">
        <v>829</v>
      </c>
      <c r="C843" s="182">
        <f t="shared" ca="1" si="145"/>
        <v>47810.44392032639</v>
      </c>
      <c r="D843" s="182">
        <f t="shared" ca="1" si="142"/>
        <v>31.873629280217592</v>
      </c>
      <c r="E843" s="182">
        <v>0</v>
      </c>
      <c r="F843" s="182">
        <f t="shared" ca="1" si="146"/>
        <v>0</v>
      </c>
      <c r="G843" s="182">
        <f t="shared" ca="1" si="143"/>
        <v>0</v>
      </c>
      <c r="H843" s="182">
        <f t="shared" ca="1" si="144"/>
        <v>47842.317549606611</v>
      </c>
      <c r="I843" s="183">
        <v>0</v>
      </c>
      <c r="J843" s="263">
        <f t="shared" ca="1" si="135"/>
        <v>47842.317549606611</v>
      </c>
      <c r="K843" s="182">
        <f t="shared" ca="1" si="136"/>
        <v>70</v>
      </c>
      <c r="L843" s="182">
        <f t="shared" ca="1" si="137"/>
        <v>21242.317549606683</v>
      </c>
      <c r="M843" s="182">
        <f t="shared" ca="1" si="138"/>
        <v>8400</v>
      </c>
      <c r="N843" s="182">
        <f t="shared" ca="1" si="139"/>
        <v>79272.317549606494</v>
      </c>
      <c r="O843" s="182"/>
    </row>
    <row r="844" spans="1:15" x14ac:dyDescent="0.25">
      <c r="A844" s="180">
        <f t="shared" ca="1" si="140"/>
        <v>46934</v>
      </c>
      <c r="B844" s="181">
        <v>830</v>
      </c>
      <c r="C844" s="182">
        <f t="shared" ca="1" si="145"/>
        <v>47842.317549606611</v>
      </c>
      <c r="D844" s="182">
        <f t="shared" ca="1" si="142"/>
        <v>31.894878366404406</v>
      </c>
      <c r="E844" s="182">
        <v>0</v>
      </c>
      <c r="F844" s="182">
        <f t="shared" ca="1" si="146"/>
        <v>0</v>
      </c>
      <c r="G844" s="182">
        <f t="shared" ca="1" si="143"/>
        <v>0</v>
      </c>
      <c r="H844" s="182">
        <f t="shared" ca="1" si="144"/>
        <v>47874.212427973012</v>
      </c>
      <c r="I844" s="183">
        <v>0</v>
      </c>
      <c r="J844" s="263">
        <f t="shared" ca="1" si="135"/>
        <v>47874.212427973012</v>
      </c>
      <c r="K844" s="182">
        <f t="shared" ca="1" si="136"/>
        <v>70</v>
      </c>
      <c r="L844" s="182">
        <f t="shared" ca="1" si="137"/>
        <v>21274.212427973089</v>
      </c>
      <c r="M844" s="182">
        <f t="shared" ca="1" si="138"/>
        <v>8400</v>
      </c>
      <c r="N844" s="182">
        <f t="shared" ca="1" si="139"/>
        <v>79374.212427972903</v>
      </c>
      <c r="O844" s="182"/>
    </row>
    <row r="845" spans="1:15" x14ac:dyDescent="0.25">
      <c r="A845" s="180">
        <f t="shared" ca="1" si="140"/>
        <v>46935</v>
      </c>
      <c r="B845" s="181">
        <v>831</v>
      </c>
      <c r="C845" s="182">
        <f t="shared" ca="1" si="145"/>
        <v>47874.212427973012</v>
      </c>
      <c r="D845" s="182">
        <f t="shared" ca="1" si="142"/>
        <v>31.916141618648673</v>
      </c>
      <c r="E845" s="182">
        <v>0</v>
      </c>
      <c r="F845" s="182">
        <f t="shared" ca="1" si="146"/>
        <v>0</v>
      </c>
      <c r="G845" s="182">
        <f t="shared" ca="1" si="143"/>
        <v>0</v>
      </c>
      <c r="H845" s="182">
        <f t="shared" ca="1" si="144"/>
        <v>47906.128569591659</v>
      </c>
      <c r="I845" s="183">
        <v>0</v>
      </c>
      <c r="J845" s="263">
        <f t="shared" ca="1" si="135"/>
        <v>47906.128569591659</v>
      </c>
      <c r="K845" s="182">
        <f t="shared" ca="1" si="136"/>
        <v>70</v>
      </c>
      <c r="L845" s="182">
        <f t="shared" ca="1" si="137"/>
        <v>21306.128569591736</v>
      </c>
      <c r="M845" s="182">
        <f t="shared" ca="1" si="138"/>
        <v>8400</v>
      </c>
      <c r="N845" s="182">
        <f t="shared" ca="1" si="139"/>
        <v>79476.128569591558</v>
      </c>
      <c r="O845" s="182"/>
    </row>
    <row r="846" spans="1:15" x14ac:dyDescent="0.25">
      <c r="A846" s="180">
        <f t="shared" ca="1" si="140"/>
        <v>46936</v>
      </c>
      <c r="B846" s="181">
        <v>832</v>
      </c>
      <c r="C846" s="182">
        <f t="shared" ca="1" si="145"/>
        <v>47906.128569591659</v>
      </c>
      <c r="D846" s="182">
        <f t="shared" ca="1" si="142"/>
        <v>31.937419046394439</v>
      </c>
      <c r="E846" s="182">
        <v>0</v>
      </c>
      <c r="F846" s="182">
        <f t="shared" ca="1" si="146"/>
        <v>0</v>
      </c>
      <c r="G846" s="182">
        <f t="shared" ca="1" si="143"/>
        <v>0</v>
      </c>
      <c r="H846" s="182">
        <f t="shared" ca="1" si="144"/>
        <v>47938.065988638053</v>
      </c>
      <c r="I846" s="183">
        <v>0</v>
      </c>
      <c r="J846" s="263">
        <f t="shared" ca="1" si="135"/>
        <v>47938.065988638053</v>
      </c>
      <c r="K846" s="182">
        <f t="shared" ca="1" si="136"/>
        <v>70</v>
      </c>
      <c r="L846" s="182">
        <f t="shared" ca="1" si="137"/>
        <v>21338.065988638129</v>
      </c>
      <c r="M846" s="182">
        <f t="shared" ca="1" si="138"/>
        <v>8400</v>
      </c>
      <c r="N846" s="182">
        <f t="shared" ca="1" si="139"/>
        <v>79578.065988637958</v>
      </c>
      <c r="O846" s="182"/>
    </row>
    <row r="847" spans="1:15" x14ac:dyDescent="0.25">
      <c r="A847" s="180">
        <f t="shared" ca="1" si="140"/>
        <v>46937</v>
      </c>
      <c r="B847" s="181">
        <v>833</v>
      </c>
      <c r="C847" s="182">
        <f t="shared" ca="1" si="145"/>
        <v>47938.065988638053</v>
      </c>
      <c r="D847" s="182">
        <f t="shared" ca="1" si="142"/>
        <v>31.958710659092034</v>
      </c>
      <c r="E847" s="182">
        <v>0</v>
      </c>
      <c r="F847" s="182">
        <f t="shared" ca="1" si="146"/>
        <v>0</v>
      </c>
      <c r="G847" s="182">
        <f t="shared" ca="1" si="143"/>
        <v>0</v>
      </c>
      <c r="H847" s="182">
        <f t="shared" ca="1" si="144"/>
        <v>47970.024699297144</v>
      </c>
      <c r="I847" s="183">
        <v>0</v>
      </c>
      <c r="J847" s="263">
        <f t="shared" ref="J847:J910" ca="1" si="147">H847-IF(I$8-G847&lt;Q$42,I$8-Q$42,G847)</f>
        <v>47970.024699297144</v>
      </c>
      <c r="K847" s="182">
        <f t="shared" ca="1" si="136"/>
        <v>70</v>
      </c>
      <c r="L847" s="182">
        <f t="shared" ca="1" si="137"/>
        <v>21370.024699297221</v>
      </c>
      <c r="M847" s="182">
        <f t="shared" ca="1" si="138"/>
        <v>8400</v>
      </c>
      <c r="N847" s="182">
        <f t="shared" ca="1" si="139"/>
        <v>79680.02469929705</v>
      </c>
      <c r="O847" s="182"/>
    </row>
    <row r="848" spans="1:15" x14ac:dyDescent="0.25">
      <c r="A848" s="180">
        <f t="shared" ca="1" si="140"/>
        <v>46938</v>
      </c>
      <c r="B848" s="181">
        <v>834</v>
      </c>
      <c r="C848" s="182">
        <f t="shared" ca="1" si="145"/>
        <v>47970.024699297144</v>
      </c>
      <c r="D848" s="182">
        <f t="shared" ca="1" si="142"/>
        <v>31.980016466198094</v>
      </c>
      <c r="E848" s="182">
        <v>0</v>
      </c>
      <c r="F848" s="182">
        <f t="shared" ca="1" si="146"/>
        <v>0</v>
      </c>
      <c r="G848" s="182">
        <f t="shared" ca="1" si="143"/>
        <v>0</v>
      </c>
      <c r="H848" s="182">
        <f t="shared" ca="1" si="144"/>
        <v>48002.004715763345</v>
      </c>
      <c r="I848" s="183">
        <v>0</v>
      </c>
      <c r="J848" s="263">
        <f t="shared" ca="1" si="147"/>
        <v>48002.004715763345</v>
      </c>
      <c r="K848" s="182">
        <f t="shared" ref="K848:K911" ca="1" si="148">$L$3/($C$11-$C$8)</f>
        <v>70</v>
      </c>
      <c r="L848" s="182">
        <f t="shared" ref="L848:L911" ca="1" si="149">L847+D848</f>
        <v>21402.004715763418</v>
      </c>
      <c r="M848" s="182">
        <f t="shared" ref="M848:M911" ca="1" si="150">IF($I$8&gt;L848,L848,$I$8)</f>
        <v>8400</v>
      </c>
      <c r="N848" s="182">
        <f t="shared" ref="N848:N911" ca="1" si="151">N847+D848+K848+I848</f>
        <v>79782.004715763251</v>
      </c>
      <c r="O848" s="182"/>
    </row>
    <row r="849" spans="1:15" x14ac:dyDescent="0.25">
      <c r="A849" s="180">
        <f t="shared" ref="A849:A912" ca="1" si="152">A848+1</f>
        <v>46939</v>
      </c>
      <c r="B849" s="181">
        <v>835</v>
      </c>
      <c r="C849" s="182">
        <f t="shared" ca="1" si="145"/>
        <v>48002.004715763345</v>
      </c>
      <c r="D849" s="182">
        <f t="shared" ref="D849:D912" ca="1" si="153">(($C$6/360))*C849</f>
        <v>32.001336477175563</v>
      </c>
      <c r="E849" s="182">
        <v>0</v>
      </c>
      <c r="F849" s="182">
        <f t="shared" ca="1" si="146"/>
        <v>0</v>
      </c>
      <c r="G849" s="182">
        <f t="shared" ref="G849:G912" ca="1" si="154">IF(G848-D849-E849&gt;0,G848-D849-E849,0)</f>
        <v>0</v>
      </c>
      <c r="H849" s="182">
        <f t="shared" ca="1" si="144"/>
        <v>48034.006052240518</v>
      </c>
      <c r="I849" s="183">
        <v>0</v>
      </c>
      <c r="J849" s="263">
        <f t="shared" ca="1" si="147"/>
        <v>48034.006052240518</v>
      </c>
      <c r="K849" s="182">
        <f t="shared" ca="1" si="148"/>
        <v>70</v>
      </c>
      <c r="L849" s="182">
        <f t="shared" ca="1" si="149"/>
        <v>21434.006052240595</v>
      </c>
      <c r="M849" s="182">
        <f t="shared" ca="1" si="150"/>
        <v>8400</v>
      </c>
      <c r="N849" s="182">
        <f t="shared" ca="1" si="151"/>
        <v>79884.006052240424</v>
      </c>
      <c r="O849" s="182"/>
    </row>
    <row r="850" spans="1:15" x14ac:dyDescent="0.25">
      <c r="A850" s="180">
        <f t="shared" ca="1" si="152"/>
        <v>46940</v>
      </c>
      <c r="B850" s="181">
        <v>836</v>
      </c>
      <c r="C850" s="182">
        <f t="shared" ca="1" si="145"/>
        <v>48034.006052240518</v>
      </c>
      <c r="D850" s="182">
        <f t="shared" ca="1" si="153"/>
        <v>32.022670701493681</v>
      </c>
      <c r="E850" s="182">
        <v>0</v>
      </c>
      <c r="F850" s="182">
        <f t="shared" ca="1" si="146"/>
        <v>0</v>
      </c>
      <c r="G850" s="182">
        <f t="shared" ca="1" si="154"/>
        <v>0</v>
      </c>
      <c r="H850" s="182">
        <f t="shared" ca="1" si="144"/>
        <v>48066.028722942014</v>
      </c>
      <c r="I850" s="183">
        <v>0</v>
      </c>
      <c r="J850" s="263">
        <f t="shared" ca="1" si="147"/>
        <v>48066.028722942014</v>
      </c>
      <c r="K850" s="182">
        <f t="shared" ca="1" si="148"/>
        <v>70</v>
      </c>
      <c r="L850" s="182">
        <f t="shared" ca="1" si="149"/>
        <v>21466.02872294209</v>
      </c>
      <c r="M850" s="182">
        <f t="shared" ca="1" si="150"/>
        <v>8400</v>
      </c>
      <c r="N850" s="182">
        <f t="shared" ca="1" si="151"/>
        <v>79986.028722941919</v>
      </c>
      <c r="O850" s="182"/>
    </row>
    <row r="851" spans="1:15" x14ac:dyDescent="0.25">
      <c r="A851" s="180">
        <f t="shared" ca="1" si="152"/>
        <v>46941</v>
      </c>
      <c r="B851" s="181">
        <v>837</v>
      </c>
      <c r="C851" s="182">
        <f t="shared" ca="1" si="145"/>
        <v>48066.028722942014</v>
      </c>
      <c r="D851" s="182">
        <f t="shared" ca="1" si="153"/>
        <v>32.04401914862801</v>
      </c>
      <c r="E851" s="182">
        <v>0</v>
      </c>
      <c r="F851" s="182">
        <f t="shared" ca="1" si="146"/>
        <v>0</v>
      </c>
      <c r="G851" s="182">
        <f t="shared" ca="1" si="154"/>
        <v>0</v>
      </c>
      <c r="H851" s="182">
        <f t="shared" ca="1" si="144"/>
        <v>48098.072742090641</v>
      </c>
      <c r="I851" s="183">
        <v>0</v>
      </c>
      <c r="J851" s="263">
        <f t="shared" ca="1" si="147"/>
        <v>48098.072742090641</v>
      </c>
      <c r="K851" s="182">
        <f t="shared" ca="1" si="148"/>
        <v>70</v>
      </c>
      <c r="L851" s="182">
        <f t="shared" ca="1" si="149"/>
        <v>21498.072742090717</v>
      </c>
      <c r="M851" s="182">
        <f t="shared" ca="1" si="150"/>
        <v>8400</v>
      </c>
      <c r="N851" s="182">
        <f t="shared" ca="1" si="151"/>
        <v>80088.072742090546</v>
      </c>
      <c r="O851" s="182"/>
    </row>
    <row r="852" spans="1:15" x14ac:dyDescent="0.25">
      <c r="A852" s="180">
        <f t="shared" ca="1" si="152"/>
        <v>46942</v>
      </c>
      <c r="B852" s="181">
        <v>838</v>
      </c>
      <c r="C852" s="182">
        <f t="shared" ca="1" si="145"/>
        <v>48098.072742090641</v>
      </c>
      <c r="D852" s="182">
        <f t="shared" ca="1" si="153"/>
        <v>32.065381828060424</v>
      </c>
      <c r="E852" s="182">
        <v>0</v>
      </c>
      <c r="F852" s="182">
        <f t="shared" ca="1" si="146"/>
        <v>0</v>
      </c>
      <c r="G852" s="182">
        <f t="shared" ca="1" si="154"/>
        <v>0</v>
      </c>
      <c r="H852" s="182">
        <f t="shared" ca="1" si="144"/>
        <v>48130.138123918703</v>
      </c>
      <c r="I852" s="183">
        <v>0</v>
      </c>
      <c r="J852" s="263">
        <f t="shared" ca="1" si="147"/>
        <v>48130.138123918703</v>
      </c>
      <c r="K852" s="182">
        <f t="shared" ca="1" si="148"/>
        <v>70</v>
      </c>
      <c r="L852" s="182">
        <f t="shared" ca="1" si="149"/>
        <v>21530.138123918776</v>
      </c>
      <c r="M852" s="182">
        <f t="shared" ca="1" si="150"/>
        <v>8400</v>
      </c>
      <c r="N852" s="182">
        <f t="shared" ca="1" si="151"/>
        <v>80190.138123918601</v>
      </c>
      <c r="O852" s="182"/>
    </row>
    <row r="853" spans="1:15" x14ac:dyDescent="0.25">
      <c r="A853" s="180">
        <f t="shared" ca="1" si="152"/>
        <v>46943</v>
      </c>
      <c r="B853" s="181">
        <v>839</v>
      </c>
      <c r="C853" s="182">
        <f t="shared" ca="1" si="145"/>
        <v>48130.138123918703</v>
      </c>
      <c r="D853" s="182">
        <f t="shared" ca="1" si="153"/>
        <v>32.086758749279134</v>
      </c>
      <c r="E853" s="182">
        <v>0</v>
      </c>
      <c r="F853" s="182">
        <f t="shared" ca="1" si="146"/>
        <v>0</v>
      </c>
      <c r="G853" s="182">
        <f t="shared" ca="1" si="154"/>
        <v>0</v>
      </c>
      <c r="H853" s="182">
        <f t="shared" ca="1" si="144"/>
        <v>48162.224882667979</v>
      </c>
      <c r="I853" s="183">
        <v>0</v>
      </c>
      <c r="J853" s="263">
        <f t="shared" ca="1" si="147"/>
        <v>48162.224882667979</v>
      </c>
      <c r="K853" s="182">
        <f t="shared" ca="1" si="148"/>
        <v>70</v>
      </c>
      <c r="L853" s="182">
        <f t="shared" ca="1" si="149"/>
        <v>21562.224882668055</v>
      </c>
      <c r="M853" s="182">
        <f t="shared" ca="1" si="150"/>
        <v>8400</v>
      </c>
      <c r="N853" s="182">
        <f t="shared" ca="1" si="151"/>
        <v>80292.224882667884</v>
      </c>
      <c r="O853" s="182"/>
    </row>
    <row r="854" spans="1:15" x14ac:dyDescent="0.25">
      <c r="A854" s="180">
        <f t="shared" ca="1" si="152"/>
        <v>46944</v>
      </c>
      <c r="B854" s="181">
        <v>840</v>
      </c>
      <c r="C854" s="182">
        <f t="shared" ca="1" si="145"/>
        <v>48162.224882667979</v>
      </c>
      <c r="D854" s="182">
        <f t="shared" ca="1" si="153"/>
        <v>32.108149921778654</v>
      </c>
      <c r="E854" s="182">
        <v>0</v>
      </c>
      <c r="F854" s="182">
        <f t="shared" ca="1" si="146"/>
        <v>0</v>
      </c>
      <c r="G854" s="182">
        <f t="shared" ca="1" si="154"/>
        <v>0</v>
      </c>
      <c r="H854" s="182">
        <f t="shared" ca="1" si="144"/>
        <v>48194.333032589755</v>
      </c>
      <c r="I854" s="183">
        <v>0</v>
      </c>
      <c r="J854" s="263">
        <f t="shared" ca="1" si="147"/>
        <v>48194.333032589755</v>
      </c>
      <c r="K854" s="182">
        <f t="shared" ca="1" si="148"/>
        <v>70</v>
      </c>
      <c r="L854" s="182">
        <f t="shared" ca="1" si="149"/>
        <v>21594.333032589835</v>
      </c>
      <c r="M854" s="182">
        <f t="shared" ca="1" si="150"/>
        <v>8400</v>
      </c>
      <c r="N854" s="182">
        <f t="shared" ca="1" si="151"/>
        <v>80394.333032589668</v>
      </c>
      <c r="O854" s="182"/>
    </row>
    <row r="855" spans="1:15" x14ac:dyDescent="0.25">
      <c r="A855" s="180">
        <f t="shared" ca="1" si="152"/>
        <v>46945</v>
      </c>
      <c r="B855" s="181">
        <v>841</v>
      </c>
      <c r="C855" s="182">
        <f t="shared" ca="1" si="145"/>
        <v>48194.333032589755</v>
      </c>
      <c r="D855" s="182">
        <f t="shared" ca="1" si="153"/>
        <v>32.129555355059836</v>
      </c>
      <c r="E855" s="182">
        <v>0</v>
      </c>
      <c r="F855" s="182">
        <f t="shared" ca="1" si="146"/>
        <v>0</v>
      </c>
      <c r="G855" s="182">
        <f t="shared" ca="1" si="154"/>
        <v>0</v>
      </c>
      <c r="H855" s="182">
        <f t="shared" ca="1" si="144"/>
        <v>48226.462587944814</v>
      </c>
      <c r="I855" s="183">
        <v>0</v>
      </c>
      <c r="J855" s="263">
        <f t="shared" ca="1" si="147"/>
        <v>48226.462587944814</v>
      </c>
      <c r="K855" s="182">
        <f t="shared" ca="1" si="148"/>
        <v>70</v>
      </c>
      <c r="L855" s="182">
        <f t="shared" ca="1" si="149"/>
        <v>21626.462587944894</v>
      </c>
      <c r="M855" s="182">
        <f t="shared" ca="1" si="150"/>
        <v>8400</v>
      </c>
      <c r="N855" s="182">
        <f t="shared" ca="1" si="151"/>
        <v>80496.462587944727</v>
      </c>
      <c r="O855" s="182"/>
    </row>
    <row r="856" spans="1:15" x14ac:dyDescent="0.25">
      <c r="A856" s="180">
        <f t="shared" ca="1" si="152"/>
        <v>46946</v>
      </c>
      <c r="B856" s="181">
        <v>842</v>
      </c>
      <c r="C856" s="182">
        <f t="shared" ca="1" si="145"/>
        <v>48226.462587944814</v>
      </c>
      <c r="D856" s="182">
        <f t="shared" ca="1" si="153"/>
        <v>32.150975058629875</v>
      </c>
      <c r="E856" s="182">
        <v>0</v>
      </c>
      <c r="F856" s="182">
        <f t="shared" ca="1" si="146"/>
        <v>0</v>
      </c>
      <c r="G856" s="182">
        <f t="shared" ca="1" si="154"/>
        <v>0</v>
      </c>
      <c r="H856" s="182">
        <f t="shared" ca="1" si="144"/>
        <v>48258.613563003441</v>
      </c>
      <c r="I856" s="183">
        <v>0</v>
      </c>
      <c r="J856" s="263">
        <f t="shared" ca="1" si="147"/>
        <v>48258.613563003441</v>
      </c>
      <c r="K856" s="182">
        <f t="shared" ca="1" si="148"/>
        <v>70</v>
      </c>
      <c r="L856" s="182">
        <f t="shared" ca="1" si="149"/>
        <v>21658.613563003524</v>
      </c>
      <c r="M856" s="182">
        <f t="shared" ca="1" si="150"/>
        <v>8400</v>
      </c>
      <c r="N856" s="182">
        <f t="shared" ca="1" si="151"/>
        <v>80598.613563003353</v>
      </c>
      <c r="O856" s="182"/>
    </row>
    <row r="857" spans="1:15" x14ac:dyDescent="0.25">
      <c r="A857" s="180">
        <f t="shared" ca="1" si="152"/>
        <v>46947</v>
      </c>
      <c r="B857" s="181">
        <v>843</v>
      </c>
      <c r="C857" s="182">
        <f t="shared" ca="1" si="145"/>
        <v>48258.613563003441</v>
      </c>
      <c r="D857" s="182">
        <f t="shared" ca="1" si="153"/>
        <v>32.172409042002293</v>
      </c>
      <c r="E857" s="182">
        <v>0</v>
      </c>
      <c r="F857" s="182">
        <f t="shared" ca="1" si="146"/>
        <v>0</v>
      </c>
      <c r="G857" s="182">
        <f t="shared" ca="1" si="154"/>
        <v>0</v>
      </c>
      <c r="H857" s="182">
        <f t="shared" ca="1" si="144"/>
        <v>48290.785972045443</v>
      </c>
      <c r="I857" s="183">
        <v>0</v>
      </c>
      <c r="J857" s="263">
        <f t="shared" ca="1" si="147"/>
        <v>48290.785972045443</v>
      </c>
      <c r="K857" s="182">
        <f t="shared" ca="1" si="148"/>
        <v>70</v>
      </c>
      <c r="L857" s="182">
        <f t="shared" ca="1" si="149"/>
        <v>21690.785972045527</v>
      </c>
      <c r="M857" s="182">
        <f t="shared" ca="1" si="150"/>
        <v>8400</v>
      </c>
      <c r="N857" s="182">
        <f t="shared" ca="1" si="151"/>
        <v>80700.785972045356</v>
      </c>
      <c r="O857" s="182"/>
    </row>
    <row r="858" spans="1:15" x14ac:dyDescent="0.25">
      <c r="A858" s="180">
        <f t="shared" ca="1" si="152"/>
        <v>46948</v>
      </c>
      <c r="B858" s="181">
        <v>844</v>
      </c>
      <c r="C858" s="182">
        <f t="shared" ca="1" si="145"/>
        <v>48290.785972045443</v>
      </c>
      <c r="D858" s="182">
        <f t="shared" ca="1" si="153"/>
        <v>32.193857314696963</v>
      </c>
      <c r="E858" s="182">
        <v>0</v>
      </c>
      <c r="F858" s="182">
        <f t="shared" ca="1" si="146"/>
        <v>0</v>
      </c>
      <c r="G858" s="182">
        <f t="shared" ca="1" si="154"/>
        <v>0</v>
      </c>
      <c r="H858" s="182">
        <f t="shared" ca="1" si="144"/>
        <v>48322.979829360142</v>
      </c>
      <c r="I858" s="183">
        <v>0</v>
      </c>
      <c r="J858" s="263">
        <f t="shared" ca="1" si="147"/>
        <v>48322.979829360142</v>
      </c>
      <c r="K858" s="182">
        <f t="shared" ca="1" si="148"/>
        <v>70</v>
      </c>
      <c r="L858" s="182">
        <f t="shared" ca="1" si="149"/>
        <v>21722.979829360225</v>
      </c>
      <c r="M858" s="182">
        <f t="shared" ca="1" si="150"/>
        <v>8400</v>
      </c>
      <c r="N858" s="182">
        <f t="shared" ca="1" si="151"/>
        <v>80802.979829360047</v>
      </c>
      <c r="O858" s="182"/>
    </row>
    <row r="859" spans="1:15" x14ac:dyDescent="0.25">
      <c r="A859" s="180">
        <f t="shared" ca="1" si="152"/>
        <v>46949</v>
      </c>
      <c r="B859" s="181">
        <v>845</v>
      </c>
      <c r="C859" s="182">
        <f t="shared" ca="1" si="145"/>
        <v>48322.979829360142</v>
      </c>
      <c r="D859" s="182">
        <f t="shared" ca="1" si="153"/>
        <v>32.215319886240096</v>
      </c>
      <c r="E859" s="182">
        <v>0</v>
      </c>
      <c r="F859" s="182">
        <f t="shared" ca="1" si="146"/>
        <v>0</v>
      </c>
      <c r="G859" s="182">
        <f t="shared" ca="1" si="154"/>
        <v>0</v>
      </c>
      <c r="H859" s="182">
        <f t="shared" ca="1" si="144"/>
        <v>48355.195149246385</v>
      </c>
      <c r="I859" s="183">
        <v>0</v>
      </c>
      <c r="J859" s="263">
        <f t="shared" ca="1" si="147"/>
        <v>48355.195149246385</v>
      </c>
      <c r="K859" s="182">
        <f t="shared" ca="1" si="148"/>
        <v>70</v>
      </c>
      <c r="L859" s="182">
        <f t="shared" ca="1" si="149"/>
        <v>21755.195149246465</v>
      </c>
      <c r="M859" s="182">
        <f t="shared" ca="1" si="150"/>
        <v>8400</v>
      </c>
      <c r="N859" s="182">
        <f t="shared" ca="1" si="151"/>
        <v>80905.195149246283</v>
      </c>
      <c r="O859" s="182"/>
    </row>
    <row r="860" spans="1:15" x14ac:dyDescent="0.25">
      <c r="A860" s="180">
        <f t="shared" ca="1" si="152"/>
        <v>46950</v>
      </c>
      <c r="B860" s="181">
        <v>846</v>
      </c>
      <c r="C860" s="182">
        <f t="shared" ca="1" si="145"/>
        <v>48355.195149246385</v>
      </c>
      <c r="D860" s="182">
        <f t="shared" ca="1" si="153"/>
        <v>32.236796766164254</v>
      </c>
      <c r="E860" s="182">
        <v>0</v>
      </c>
      <c r="F860" s="182">
        <f t="shared" ca="1" si="146"/>
        <v>0</v>
      </c>
      <c r="G860" s="182">
        <f t="shared" ca="1" si="154"/>
        <v>0</v>
      </c>
      <c r="H860" s="182">
        <f t="shared" ca="1" si="144"/>
        <v>48387.431946012548</v>
      </c>
      <c r="I860" s="183">
        <v>0</v>
      </c>
      <c r="J860" s="263">
        <f t="shared" ca="1" si="147"/>
        <v>48387.431946012548</v>
      </c>
      <c r="K860" s="182">
        <f t="shared" ca="1" si="148"/>
        <v>70</v>
      </c>
      <c r="L860" s="182">
        <f t="shared" ca="1" si="149"/>
        <v>21787.431946012628</v>
      </c>
      <c r="M860" s="182">
        <f t="shared" ca="1" si="150"/>
        <v>8400</v>
      </c>
      <c r="N860" s="182">
        <f t="shared" ca="1" si="151"/>
        <v>81007.431946012453</v>
      </c>
      <c r="O860" s="182"/>
    </row>
    <row r="861" spans="1:15" x14ac:dyDescent="0.25">
      <c r="A861" s="180">
        <f t="shared" ca="1" si="152"/>
        <v>46951</v>
      </c>
      <c r="B861" s="181">
        <v>847</v>
      </c>
      <c r="C861" s="182">
        <f t="shared" ca="1" si="145"/>
        <v>48387.431946012548</v>
      </c>
      <c r="D861" s="182">
        <f t="shared" ca="1" si="153"/>
        <v>32.258287964008368</v>
      </c>
      <c r="E861" s="182">
        <v>0</v>
      </c>
      <c r="F861" s="182">
        <f t="shared" ca="1" si="146"/>
        <v>0</v>
      </c>
      <c r="G861" s="182">
        <f t="shared" ca="1" si="154"/>
        <v>0</v>
      </c>
      <c r="H861" s="182">
        <f t="shared" ca="1" si="144"/>
        <v>48419.690233976558</v>
      </c>
      <c r="I861" s="183">
        <v>0</v>
      </c>
      <c r="J861" s="263">
        <f t="shared" ca="1" si="147"/>
        <v>48419.690233976558</v>
      </c>
      <c r="K861" s="182">
        <f t="shared" ca="1" si="148"/>
        <v>70</v>
      </c>
      <c r="L861" s="182">
        <f t="shared" ca="1" si="149"/>
        <v>21819.690233976635</v>
      </c>
      <c r="M861" s="182">
        <f t="shared" ca="1" si="150"/>
        <v>8400</v>
      </c>
      <c r="N861" s="182">
        <f t="shared" ca="1" si="151"/>
        <v>81109.690233976464</v>
      </c>
      <c r="O861" s="182"/>
    </row>
    <row r="862" spans="1:15" x14ac:dyDescent="0.25">
      <c r="A862" s="180">
        <f t="shared" ca="1" si="152"/>
        <v>46952</v>
      </c>
      <c r="B862" s="181">
        <v>848</v>
      </c>
      <c r="C862" s="182">
        <f t="shared" ca="1" si="145"/>
        <v>48419.690233976558</v>
      </c>
      <c r="D862" s="182">
        <f t="shared" ca="1" si="153"/>
        <v>32.279793489317704</v>
      </c>
      <c r="E862" s="182">
        <v>0</v>
      </c>
      <c r="F862" s="182">
        <f t="shared" ca="1" si="146"/>
        <v>0</v>
      </c>
      <c r="G862" s="182">
        <f t="shared" ca="1" si="154"/>
        <v>0</v>
      </c>
      <c r="H862" s="182">
        <f t="shared" ca="1" si="144"/>
        <v>48451.970027465875</v>
      </c>
      <c r="I862" s="183">
        <v>0</v>
      </c>
      <c r="J862" s="263">
        <f t="shared" ca="1" si="147"/>
        <v>48451.970027465875</v>
      </c>
      <c r="K862" s="182">
        <f t="shared" ca="1" si="148"/>
        <v>70</v>
      </c>
      <c r="L862" s="182">
        <f t="shared" ca="1" si="149"/>
        <v>21851.970027465952</v>
      </c>
      <c r="M862" s="182">
        <f t="shared" ca="1" si="150"/>
        <v>8400</v>
      </c>
      <c r="N862" s="182">
        <f t="shared" ca="1" si="151"/>
        <v>81211.970027465781</v>
      </c>
      <c r="O862" s="182"/>
    </row>
    <row r="863" spans="1:15" x14ac:dyDescent="0.25">
      <c r="A863" s="180">
        <f t="shared" ca="1" si="152"/>
        <v>46953</v>
      </c>
      <c r="B863" s="181">
        <v>849</v>
      </c>
      <c r="C863" s="182">
        <f t="shared" ca="1" si="145"/>
        <v>48451.970027465875</v>
      </c>
      <c r="D863" s="182">
        <f t="shared" ca="1" si="153"/>
        <v>32.301313351643913</v>
      </c>
      <c r="E863" s="182">
        <v>0</v>
      </c>
      <c r="F863" s="182">
        <f t="shared" ca="1" si="146"/>
        <v>0</v>
      </c>
      <c r="G863" s="182">
        <f t="shared" ca="1" si="154"/>
        <v>0</v>
      </c>
      <c r="H863" s="182">
        <f t="shared" ca="1" si="144"/>
        <v>48484.271340817519</v>
      </c>
      <c r="I863" s="183">
        <v>0</v>
      </c>
      <c r="J863" s="263">
        <f t="shared" ca="1" si="147"/>
        <v>48484.271340817519</v>
      </c>
      <c r="K863" s="182">
        <f t="shared" ca="1" si="148"/>
        <v>70</v>
      </c>
      <c r="L863" s="182">
        <f t="shared" ca="1" si="149"/>
        <v>21884.271340817595</v>
      </c>
      <c r="M863" s="182">
        <f t="shared" ca="1" si="150"/>
        <v>8400</v>
      </c>
      <c r="N863" s="182">
        <f t="shared" ca="1" si="151"/>
        <v>81314.271340817431</v>
      </c>
      <c r="O863" s="182"/>
    </row>
    <row r="864" spans="1:15" x14ac:dyDescent="0.25">
      <c r="A864" s="180">
        <f t="shared" ca="1" si="152"/>
        <v>46954</v>
      </c>
      <c r="B864" s="181">
        <v>850</v>
      </c>
      <c r="C864" s="182">
        <f t="shared" ca="1" si="145"/>
        <v>48484.271340817519</v>
      </c>
      <c r="D864" s="182">
        <f t="shared" ca="1" si="153"/>
        <v>32.322847560545014</v>
      </c>
      <c r="E864" s="182">
        <v>0</v>
      </c>
      <c r="F864" s="182">
        <f t="shared" ca="1" si="146"/>
        <v>0</v>
      </c>
      <c r="G864" s="182">
        <f t="shared" ca="1" si="154"/>
        <v>0</v>
      </c>
      <c r="H864" s="182">
        <f t="shared" ca="1" si="144"/>
        <v>48516.594188378062</v>
      </c>
      <c r="I864" s="183">
        <v>0</v>
      </c>
      <c r="J864" s="263">
        <f t="shared" ca="1" si="147"/>
        <v>48516.594188378062</v>
      </c>
      <c r="K864" s="182">
        <f t="shared" ca="1" si="148"/>
        <v>70</v>
      </c>
      <c r="L864" s="182">
        <f t="shared" ca="1" si="149"/>
        <v>21916.594188378142</v>
      </c>
      <c r="M864" s="182">
        <f t="shared" ca="1" si="150"/>
        <v>8400</v>
      </c>
      <c r="N864" s="182">
        <f t="shared" ca="1" si="151"/>
        <v>81416.594188377974</v>
      </c>
      <c r="O864" s="182"/>
    </row>
    <row r="865" spans="1:15" x14ac:dyDescent="0.25">
      <c r="A865" s="180">
        <f t="shared" ca="1" si="152"/>
        <v>46955</v>
      </c>
      <c r="B865" s="181">
        <v>851</v>
      </c>
      <c r="C865" s="182">
        <f t="shared" ca="1" si="145"/>
        <v>48516.594188378062</v>
      </c>
      <c r="D865" s="182">
        <f t="shared" ca="1" si="153"/>
        <v>32.344396125585376</v>
      </c>
      <c r="E865" s="182">
        <v>0</v>
      </c>
      <c r="F865" s="182">
        <f t="shared" ca="1" si="146"/>
        <v>0</v>
      </c>
      <c r="G865" s="182">
        <f t="shared" ca="1" si="154"/>
        <v>0</v>
      </c>
      <c r="H865" s="182">
        <f t="shared" ca="1" si="144"/>
        <v>48548.938584503645</v>
      </c>
      <c r="I865" s="183">
        <v>0</v>
      </c>
      <c r="J865" s="263">
        <f t="shared" ca="1" si="147"/>
        <v>48548.938584503645</v>
      </c>
      <c r="K865" s="182">
        <f t="shared" ca="1" si="148"/>
        <v>70</v>
      </c>
      <c r="L865" s="182">
        <f t="shared" ca="1" si="149"/>
        <v>21948.938584503729</v>
      </c>
      <c r="M865" s="182">
        <f t="shared" ca="1" si="150"/>
        <v>8400</v>
      </c>
      <c r="N865" s="182">
        <f t="shared" ca="1" si="151"/>
        <v>81518.938584503558</v>
      </c>
      <c r="O865" s="182"/>
    </row>
    <row r="866" spans="1:15" x14ac:dyDescent="0.25">
      <c r="A866" s="180">
        <f t="shared" ca="1" si="152"/>
        <v>46956</v>
      </c>
      <c r="B866" s="181">
        <v>852</v>
      </c>
      <c r="C866" s="182">
        <f t="shared" ca="1" si="145"/>
        <v>48548.938584503645</v>
      </c>
      <c r="D866" s="182">
        <f t="shared" ca="1" si="153"/>
        <v>32.365959056335761</v>
      </c>
      <c r="E866" s="182">
        <v>0</v>
      </c>
      <c r="F866" s="182">
        <f t="shared" ca="1" si="146"/>
        <v>0</v>
      </c>
      <c r="G866" s="182">
        <f t="shared" ca="1" si="154"/>
        <v>0</v>
      </c>
      <c r="H866" s="182">
        <f t="shared" ca="1" si="144"/>
        <v>48581.304543559978</v>
      </c>
      <c r="I866" s="183">
        <v>0</v>
      </c>
      <c r="J866" s="263">
        <f t="shared" ca="1" si="147"/>
        <v>48581.304543559978</v>
      </c>
      <c r="K866" s="182">
        <f t="shared" ca="1" si="148"/>
        <v>70</v>
      </c>
      <c r="L866" s="182">
        <f t="shared" ca="1" si="149"/>
        <v>21981.304543560065</v>
      </c>
      <c r="M866" s="182">
        <f t="shared" ca="1" si="150"/>
        <v>8400</v>
      </c>
      <c r="N866" s="182">
        <f t="shared" ca="1" si="151"/>
        <v>81621.304543559891</v>
      </c>
      <c r="O866" s="182"/>
    </row>
    <row r="867" spans="1:15" x14ac:dyDescent="0.25">
      <c r="A867" s="180">
        <f t="shared" ca="1" si="152"/>
        <v>46957</v>
      </c>
      <c r="B867" s="181">
        <v>853</v>
      </c>
      <c r="C867" s="182">
        <f t="shared" ca="1" si="145"/>
        <v>48581.304543559978</v>
      </c>
      <c r="D867" s="182">
        <f t="shared" ca="1" si="153"/>
        <v>32.387536362373318</v>
      </c>
      <c r="E867" s="182">
        <v>0</v>
      </c>
      <c r="F867" s="182">
        <f t="shared" ca="1" si="146"/>
        <v>0</v>
      </c>
      <c r="G867" s="182">
        <f t="shared" ca="1" si="154"/>
        <v>0</v>
      </c>
      <c r="H867" s="182">
        <f t="shared" ref="H867:H930" ca="1" si="155">IF(G867&gt;0,C867+F867+I867,SUM(C867:F867)-G866)</f>
        <v>48613.692079922352</v>
      </c>
      <c r="I867" s="183">
        <v>0</v>
      </c>
      <c r="J867" s="263">
        <f t="shared" ca="1" si="147"/>
        <v>48613.692079922352</v>
      </c>
      <c r="K867" s="182">
        <f t="shared" ca="1" si="148"/>
        <v>70</v>
      </c>
      <c r="L867" s="182">
        <f t="shared" ca="1" si="149"/>
        <v>22013.692079922439</v>
      </c>
      <c r="M867" s="182">
        <f t="shared" ca="1" si="150"/>
        <v>8400</v>
      </c>
      <c r="N867" s="182">
        <f t="shared" ca="1" si="151"/>
        <v>81723.692079922257</v>
      </c>
      <c r="O867" s="182"/>
    </row>
    <row r="868" spans="1:15" x14ac:dyDescent="0.25">
      <c r="A868" s="180">
        <f t="shared" ca="1" si="152"/>
        <v>46958</v>
      </c>
      <c r="B868" s="181">
        <v>854</v>
      </c>
      <c r="C868" s="182">
        <f t="shared" ca="1" si="145"/>
        <v>48613.692079922352</v>
      </c>
      <c r="D868" s="182">
        <f t="shared" ca="1" si="153"/>
        <v>32.40912805328157</v>
      </c>
      <c r="E868" s="182">
        <v>0</v>
      </c>
      <c r="F868" s="182">
        <f t="shared" ca="1" si="146"/>
        <v>0</v>
      </c>
      <c r="G868" s="182">
        <f t="shared" ca="1" si="154"/>
        <v>0</v>
      </c>
      <c r="H868" s="182">
        <f t="shared" ca="1" si="155"/>
        <v>48646.101207975633</v>
      </c>
      <c r="I868" s="183">
        <v>0</v>
      </c>
      <c r="J868" s="263">
        <f t="shared" ca="1" si="147"/>
        <v>48646.101207975633</v>
      </c>
      <c r="K868" s="182">
        <f t="shared" ca="1" si="148"/>
        <v>70</v>
      </c>
      <c r="L868" s="182">
        <f t="shared" ca="1" si="149"/>
        <v>22046.10120797572</v>
      </c>
      <c r="M868" s="182">
        <f t="shared" ca="1" si="150"/>
        <v>8400</v>
      </c>
      <c r="N868" s="182">
        <f t="shared" ca="1" si="151"/>
        <v>81826.101207975546</v>
      </c>
      <c r="O868" s="182"/>
    </row>
    <row r="869" spans="1:15" x14ac:dyDescent="0.25">
      <c r="A869" s="180">
        <f t="shared" ca="1" si="152"/>
        <v>46959</v>
      </c>
      <c r="B869" s="181">
        <v>855</v>
      </c>
      <c r="C869" s="182">
        <f t="shared" ca="1" si="145"/>
        <v>48646.101207975633</v>
      </c>
      <c r="D869" s="182">
        <f t="shared" ca="1" si="153"/>
        <v>32.430734138650422</v>
      </c>
      <c r="E869" s="182">
        <v>0</v>
      </c>
      <c r="F869" s="182">
        <f t="shared" ca="1" si="146"/>
        <v>0</v>
      </c>
      <c r="G869" s="182">
        <f t="shared" ca="1" si="154"/>
        <v>0</v>
      </c>
      <c r="H869" s="182">
        <f t="shared" ca="1" si="155"/>
        <v>48678.531942114285</v>
      </c>
      <c r="I869" s="183">
        <v>0</v>
      </c>
      <c r="J869" s="263">
        <f t="shared" ca="1" si="147"/>
        <v>48678.531942114285</v>
      </c>
      <c r="K869" s="182">
        <f t="shared" ca="1" si="148"/>
        <v>70</v>
      </c>
      <c r="L869" s="182">
        <f t="shared" ca="1" si="149"/>
        <v>22078.531942114372</v>
      </c>
      <c r="M869" s="182">
        <f t="shared" ca="1" si="150"/>
        <v>8400</v>
      </c>
      <c r="N869" s="182">
        <f t="shared" ca="1" si="151"/>
        <v>81928.53194211419</v>
      </c>
      <c r="O869" s="182"/>
    </row>
    <row r="870" spans="1:15" x14ac:dyDescent="0.25">
      <c r="A870" s="180">
        <f t="shared" ca="1" si="152"/>
        <v>46960</v>
      </c>
      <c r="B870" s="181">
        <v>856</v>
      </c>
      <c r="C870" s="182">
        <f t="shared" ca="1" si="145"/>
        <v>48678.531942114285</v>
      </c>
      <c r="D870" s="182">
        <f t="shared" ca="1" si="153"/>
        <v>32.452354628076186</v>
      </c>
      <c r="E870" s="182">
        <v>0</v>
      </c>
      <c r="F870" s="182">
        <f t="shared" ca="1" si="146"/>
        <v>0</v>
      </c>
      <c r="G870" s="182">
        <f t="shared" ca="1" si="154"/>
        <v>0</v>
      </c>
      <c r="H870" s="182">
        <f t="shared" ca="1" si="155"/>
        <v>48710.984296742361</v>
      </c>
      <c r="I870" s="183">
        <v>0</v>
      </c>
      <c r="J870" s="263">
        <f t="shared" ca="1" si="147"/>
        <v>48710.984296742361</v>
      </c>
      <c r="K870" s="182">
        <f t="shared" ca="1" si="148"/>
        <v>70</v>
      </c>
      <c r="L870" s="182">
        <f t="shared" ca="1" si="149"/>
        <v>22110.984296742448</v>
      </c>
      <c r="M870" s="182">
        <f t="shared" ca="1" si="150"/>
        <v>8400</v>
      </c>
      <c r="N870" s="182">
        <f t="shared" ca="1" si="151"/>
        <v>82030.984296742274</v>
      </c>
      <c r="O870" s="182"/>
    </row>
    <row r="871" spans="1:15" x14ac:dyDescent="0.25">
      <c r="A871" s="180">
        <f t="shared" ca="1" si="152"/>
        <v>46961</v>
      </c>
      <c r="B871" s="181">
        <v>857</v>
      </c>
      <c r="C871" s="182">
        <f t="shared" ca="1" si="145"/>
        <v>48710.984296742361</v>
      </c>
      <c r="D871" s="182">
        <f t="shared" ca="1" si="153"/>
        <v>32.473989531161571</v>
      </c>
      <c r="E871" s="182">
        <v>0</v>
      </c>
      <c r="F871" s="182">
        <f t="shared" ca="1" si="146"/>
        <v>0</v>
      </c>
      <c r="G871" s="182">
        <f t="shared" ca="1" si="154"/>
        <v>0</v>
      </c>
      <c r="H871" s="182">
        <f t="shared" ca="1" si="155"/>
        <v>48743.458286273526</v>
      </c>
      <c r="I871" s="183">
        <v>0</v>
      </c>
      <c r="J871" s="263">
        <f t="shared" ca="1" si="147"/>
        <v>48743.458286273526</v>
      </c>
      <c r="K871" s="182">
        <f t="shared" ca="1" si="148"/>
        <v>70</v>
      </c>
      <c r="L871" s="182">
        <f t="shared" ca="1" si="149"/>
        <v>22143.45828627361</v>
      </c>
      <c r="M871" s="182">
        <f t="shared" ca="1" si="150"/>
        <v>8400</v>
      </c>
      <c r="N871" s="182">
        <f t="shared" ca="1" si="151"/>
        <v>82133.458286273439</v>
      </c>
      <c r="O871" s="182"/>
    </row>
    <row r="872" spans="1:15" x14ac:dyDescent="0.25">
      <c r="A872" s="180">
        <f t="shared" ca="1" si="152"/>
        <v>46962</v>
      </c>
      <c r="B872" s="181">
        <v>858</v>
      </c>
      <c r="C872" s="182">
        <f t="shared" ca="1" si="145"/>
        <v>48743.458286273526</v>
      </c>
      <c r="D872" s="182">
        <f t="shared" ca="1" si="153"/>
        <v>32.495638857515686</v>
      </c>
      <c r="E872" s="182">
        <v>0</v>
      </c>
      <c r="F872" s="182">
        <f t="shared" ca="1" si="146"/>
        <v>0</v>
      </c>
      <c r="G872" s="182">
        <f t="shared" ca="1" si="154"/>
        <v>0</v>
      </c>
      <c r="H872" s="182">
        <f t="shared" ca="1" si="155"/>
        <v>48775.953925131042</v>
      </c>
      <c r="I872" s="183">
        <v>0</v>
      </c>
      <c r="J872" s="263">
        <f t="shared" ca="1" si="147"/>
        <v>48775.953925131042</v>
      </c>
      <c r="K872" s="182">
        <f t="shared" ca="1" si="148"/>
        <v>70</v>
      </c>
      <c r="L872" s="182">
        <f t="shared" ca="1" si="149"/>
        <v>22175.953925131125</v>
      </c>
      <c r="M872" s="182">
        <f t="shared" ca="1" si="150"/>
        <v>8400</v>
      </c>
      <c r="N872" s="182">
        <f t="shared" ca="1" si="151"/>
        <v>82235.953925130962</v>
      </c>
      <c r="O872" s="182"/>
    </row>
    <row r="873" spans="1:15" x14ac:dyDescent="0.25">
      <c r="A873" s="180">
        <f t="shared" ca="1" si="152"/>
        <v>46963</v>
      </c>
      <c r="B873" s="181">
        <v>859</v>
      </c>
      <c r="C873" s="182">
        <f t="shared" ca="1" si="145"/>
        <v>48775.953925131042</v>
      </c>
      <c r="D873" s="182">
        <f t="shared" ca="1" si="153"/>
        <v>32.51730261675403</v>
      </c>
      <c r="E873" s="182">
        <v>0</v>
      </c>
      <c r="F873" s="182">
        <f t="shared" ca="1" si="146"/>
        <v>0</v>
      </c>
      <c r="G873" s="182">
        <f t="shared" ca="1" si="154"/>
        <v>0</v>
      </c>
      <c r="H873" s="182">
        <f t="shared" ca="1" si="155"/>
        <v>48808.471227747796</v>
      </c>
      <c r="I873" s="183">
        <v>0</v>
      </c>
      <c r="J873" s="263">
        <f t="shared" ca="1" si="147"/>
        <v>48808.471227747796</v>
      </c>
      <c r="K873" s="182">
        <f t="shared" ca="1" si="148"/>
        <v>70</v>
      </c>
      <c r="L873" s="182">
        <f t="shared" ca="1" si="149"/>
        <v>22208.471227747879</v>
      </c>
      <c r="M873" s="182">
        <f t="shared" ca="1" si="150"/>
        <v>8400</v>
      </c>
      <c r="N873" s="182">
        <f t="shared" ca="1" si="151"/>
        <v>82338.471227747723</v>
      </c>
      <c r="O873" s="182"/>
    </row>
    <row r="874" spans="1:15" x14ac:dyDescent="0.25">
      <c r="A874" s="180">
        <f t="shared" ca="1" si="152"/>
        <v>46964</v>
      </c>
      <c r="B874" s="181">
        <v>860</v>
      </c>
      <c r="C874" s="182">
        <f t="shared" ca="1" si="145"/>
        <v>48808.471227747796</v>
      </c>
      <c r="D874" s="182">
        <f t="shared" ca="1" si="153"/>
        <v>32.53898081849853</v>
      </c>
      <c r="E874" s="182">
        <v>0</v>
      </c>
      <c r="F874" s="182">
        <f t="shared" ca="1" si="146"/>
        <v>0</v>
      </c>
      <c r="G874" s="182">
        <f t="shared" ca="1" si="154"/>
        <v>0</v>
      </c>
      <c r="H874" s="182">
        <f t="shared" ca="1" si="155"/>
        <v>48841.010208566295</v>
      </c>
      <c r="I874" s="183">
        <v>0</v>
      </c>
      <c r="J874" s="263">
        <f t="shared" ca="1" si="147"/>
        <v>48841.010208566295</v>
      </c>
      <c r="K874" s="182">
        <f t="shared" ca="1" si="148"/>
        <v>70</v>
      </c>
      <c r="L874" s="182">
        <f t="shared" ca="1" si="149"/>
        <v>22241.010208566378</v>
      </c>
      <c r="M874" s="182">
        <f t="shared" ca="1" si="150"/>
        <v>8400</v>
      </c>
      <c r="N874" s="182">
        <f t="shared" ca="1" si="151"/>
        <v>82441.010208566222</v>
      </c>
      <c r="O874" s="182"/>
    </row>
    <row r="875" spans="1:15" x14ac:dyDescent="0.25">
      <c r="A875" s="180">
        <f t="shared" ca="1" si="152"/>
        <v>46965</v>
      </c>
      <c r="B875" s="181">
        <v>861</v>
      </c>
      <c r="C875" s="182">
        <f t="shared" ref="C875:C938" ca="1" si="156">H874</f>
        <v>48841.010208566295</v>
      </c>
      <c r="D875" s="182">
        <f t="shared" ca="1" si="153"/>
        <v>32.56067347237753</v>
      </c>
      <c r="E875" s="182">
        <v>0</v>
      </c>
      <c r="F875" s="182">
        <f t="shared" ca="1" si="146"/>
        <v>0</v>
      </c>
      <c r="G875" s="182">
        <f t="shared" ca="1" si="154"/>
        <v>0</v>
      </c>
      <c r="H875" s="182">
        <f t="shared" ca="1" si="155"/>
        <v>48873.570882038672</v>
      </c>
      <c r="I875" s="183">
        <v>0</v>
      </c>
      <c r="J875" s="263">
        <f t="shared" ca="1" si="147"/>
        <v>48873.570882038672</v>
      </c>
      <c r="K875" s="182">
        <f t="shared" ca="1" si="148"/>
        <v>70</v>
      </c>
      <c r="L875" s="182">
        <f t="shared" ca="1" si="149"/>
        <v>22273.570882038755</v>
      </c>
      <c r="M875" s="182">
        <f t="shared" ca="1" si="150"/>
        <v>8400</v>
      </c>
      <c r="N875" s="182">
        <f t="shared" ca="1" si="151"/>
        <v>82543.570882038606</v>
      </c>
      <c r="O875" s="182"/>
    </row>
    <row r="876" spans="1:15" x14ac:dyDescent="0.25">
      <c r="A876" s="180">
        <f t="shared" ca="1" si="152"/>
        <v>46966</v>
      </c>
      <c r="B876" s="181">
        <v>862</v>
      </c>
      <c r="C876" s="182">
        <f t="shared" ca="1" si="156"/>
        <v>48873.570882038672</v>
      </c>
      <c r="D876" s="182">
        <f t="shared" ca="1" si="153"/>
        <v>32.582380588025778</v>
      </c>
      <c r="E876" s="182">
        <v>0</v>
      </c>
      <c r="F876" s="182">
        <f t="shared" ref="F876:F939" ca="1" si="157">IFERROR(-VLOOKUP(A876,$P$4:$R$31,2,FALSE),0)</f>
        <v>0</v>
      </c>
      <c r="G876" s="182">
        <f t="shared" ca="1" si="154"/>
        <v>0</v>
      </c>
      <c r="H876" s="182">
        <f t="shared" ca="1" si="155"/>
        <v>48906.1532626267</v>
      </c>
      <c r="I876" s="183">
        <v>0</v>
      </c>
      <c r="J876" s="263">
        <f t="shared" ca="1" si="147"/>
        <v>48906.1532626267</v>
      </c>
      <c r="K876" s="182">
        <f t="shared" ca="1" si="148"/>
        <v>70</v>
      </c>
      <c r="L876" s="182">
        <f t="shared" ca="1" si="149"/>
        <v>22306.15326262678</v>
      </c>
      <c r="M876" s="182">
        <f t="shared" ca="1" si="150"/>
        <v>8400</v>
      </c>
      <c r="N876" s="182">
        <f t="shared" ca="1" si="151"/>
        <v>82646.153262626627</v>
      </c>
      <c r="O876" s="182"/>
    </row>
    <row r="877" spans="1:15" x14ac:dyDescent="0.25">
      <c r="A877" s="180">
        <f t="shared" ca="1" si="152"/>
        <v>46967</v>
      </c>
      <c r="B877" s="181">
        <v>863</v>
      </c>
      <c r="C877" s="182">
        <f t="shared" ca="1" si="156"/>
        <v>48906.1532626267</v>
      </c>
      <c r="D877" s="182">
        <f t="shared" ca="1" si="153"/>
        <v>32.604102175084464</v>
      </c>
      <c r="E877" s="182">
        <v>0</v>
      </c>
      <c r="F877" s="182">
        <f t="shared" ca="1" si="157"/>
        <v>0</v>
      </c>
      <c r="G877" s="182">
        <f t="shared" ca="1" si="154"/>
        <v>0</v>
      </c>
      <c r="H877" s="182">
        <f t="shared" ca="1" si="155"/>
        <v>48938.757364801786</v>
      </c>
      <c r="I877" s="183">
        <v>0</v>
      </c>
      <c r="J877" s="263">
        <f t="shared" ca="1" si="147"/>
        <v>48938.757364801786</v>
      </c>
      <c r="K877" s="182">
        <f t="shared" ca="1" si="148"/>
        <v>70</v>
      </c>
      <c r="L877" s="182">
        <f t="shared" ca="1" si="149"/>
        <v>22338.757364801866</v>
      </c>
      <c r="M877" s="182">
        <f t="shared" ca="1" si="150"/>
        <v>8400</v>
      </c>
      <c r="N877" s="182">
        <f t="shared" ca="1" si="151"/>
        <v>82748.757364801713</v>
      </c>
      <c r="O877" s="182"/>
    </row>
    <row r="878" spans="1:15" x14ac:dyDescent="0.25">
      <c r="A878" s="180">
        <f t="shared" ca="1" si="152"/>
        <v>46968</v>
      </c>
      <c r="B878" s="181">
        <v>864</v>
      </c>
      <c r="C878" s="182">
        <f t="shared" ca="1" si="156"/>
        <v>48938.757364801786</v>
      </c>
      <c r="D878" s="182">
        <f t="shared" ca="1" si="153"/>
        <v>32.625838243201187</v>
      </c>
      <c r="E878" s="182">
        <v>0</v>
      </c>
      <c r="F878" s="182">
        <f t="shared" ca="1" si="157"/>
        <v>0</v>
      </c>
      <c r="G878" s="182">
        <f t="shared" ca="1" si="154"/>
        <v>0</v>
      </c>
      <c r="H878" s="182">
        <f t="shared" ca="1" si="155"/>
        <v>48971.383203044985</v>
      </c>
      <c r="I878" s="183">
        <v>0</v>
      </c>
      <c r="J878" s="263">
        <f t="shared" ca="1" si="147"/>
        <v>48971.383203044985</v>
      </c>
      <c r="K878" s="182">
        <f t="shared" ca="1" si="148"/>
        <v>70</v>
      </c>
      <c r="L878" s="182">
        <f t="shared" ca="1" si="149"/>
        <v>22371.383203045069</v>
      </c>
      <c r="M878" s="182">
        <f t="shared" ca="1" si="150"/>
        <v>8400</v>
      </c>
      <c r="N878" s="182">
        <f t="shared" ca="1" si="151"/>
        <v>82851.383203044912</v>
      </c>
      <c r="O878" s="182"/>
    </row>
    <row r="879" spans="1:15" x14ac:dyDescent="0.25">
      <c r="A879" s="180">
        <f t="shared" ca="1" si="152"/>
        <v>46969</v>
      </c>
      <c r="B879" s="181">
        <v>865</v>
      </c>
      <c r="C879" s="182">
        <f t="shared" ca="1" si="156"/>
        <v>48971.383203044985</v>
      </c>
      <c r="D879" s="182">
        <f t="shared" ca="1" si="153"/>
        <v>32.647588802029986</v>
      </c>
      <c r="E879" s="182">
        <v>0</v>
      </c>
      <c r="F879" s="182">
        <f t="shared" ca="1" si="157"/>
        <v>0</v>
      </c>
      <c r="G879" s="182">
        <f t="shared" ca="1" si="154"/>
        <v>0</v>
      </c>
      <c r="H879" s="182">
        <f t="shared" ca="1" si="155"/>
        <v>49004.030791847013</v>
      </c>
      <c r="I879" s="183">
        <v>0</v>
      </c>
      <c r="J879" s="263">
        <f t="shared" ca="1" si="147"/>
        <v>49004.030791847013</v>
      </c>
      <c r="K879" s="182">
        <f t="shared" ca="1" si="148"/>
        <v>70</v>
      </c>
      <c r="L879" s="182">
        <f t="shared" ca="1" si="149"/>
        <v>22404.030791847097</v>
      </c>
      <c r="M879" s="182">
        <f t="shared" ca="1" si="150"/>
        <v>8400</v>
      </c>
      <c r="N879" s="182">
        <f t="shared" ca="1" si="151"/>
        <v>82954.030791846948</v>
      </c>
      <c r="O879" s="182"/>
    </row>
    <row r="880" spans="1:15" x14ac:dyDescent="0.25">
      <c r="A880" s="180">
        <f t="shared" ca="1" si="152"/>
        <v>46970</v>
      </c>
      <c r="B880" s="181">
        <v>866</v>
      </c>
      <c r="C880" s="182">
        <f t="shared" ca="1" si="156"/>
        <v>49004.030791847013</v>
      </c>
      <c r="D880" s="182">
        <f t="shared" ca="1" si="153"/>
        <v>32.669353861231343</v>
      </c>
      <c r="E880" s="182">
        <v>0</v>
      </c>
      <c r="F880" s="182">
        <f t="shared" ca="1" si="157"/>
        <v>0</v>
      </c>
      <c r="G880" s="182">
        <f t="shared" ca="1" si="154"/>
        <v>0</v>
      </c>
      <c r="H880" s="182">
        <f t="shared" ca="1" si="155"/>
        <v>49036.700145708244</v>
      </c>
      <c r="I880" s="183">
        <v>0</v>
      </c>
      <c r="J880" s="263">
        <f t="shared" ca="1" si="147"/>
        <v>49036.700145708244</v>
      </c>
      <c r="K880" s="182">
        <f t="shared" ca="1" si="148"/>
        <v>70</v>
      </c>
      <c r="L880" s="182">
        <f t="shared" ca="1" si="149"/>
        <v>22436.700145708328</v>
      </c>
      <c r="M880" s="182">
        <f t="shared" ca="1" si="150"/>
        <v>8400</v>
      </c>
      <c r="N880" s="182">
        <f t="shared" ca="1" si="151"/>
        <v>83056.700145708179</v>
      </c>
      <c r="O880" s="182"/>
    </row>
    <row r="881" spans="1:15" x14ac:dyDescent="0.25">
      <c r="A881" s="180">
        <f t="shared" ca="1" si="152"/>
        <v>46971</v>
      </c>
      <c r="B881" s="181">
        <v>867</v>
      </c>
      <c r="C881" s="182">
        <f t="shared" ca="1" si="156"/>
        <v>49036.700145708244</v>
      </c>
      <c r="D881" s="182">
        <f t="shared" ca="1" si="153"/>
        <v>32.691133430472163</v>
      </c>
      <c r="E881" s="182">
        <v>0</v>
      </c>
      <c r="F881" s="182">
        <f t="shared" ca="1" si="157"/>
        <v>0</v>
      </c>
      <c r="G881" s="182">
        <f t="shared" ca="1" si="154"/>
        <v>0</v>
      </c>
      <c r="H881" s="182">
        <f t="shared" ca="1" si="155"/>
        <v>49069.391279138719</v>
      </c>
      <c r="I881" s="183">
        <v>0</v>
      </c>
      <c r="J881" s="263">
        <f t="shared" ca="1" si="147"/>
        <v>49069.391279138719</v>
      </c>
      <c r="K881" s="182">
        <f t="shared" ca="1" si="148"/>
        <v>70</v>
      </c>
      <c r="L881" s="182">
        <f t="shared" ca="1" si="149"/>
        <v>22469.391279138799</v>
      </c>
      <c r="M881" s="182">
        <f t="shared" ca="1" si="150"/>
        <v>8400</v>
      </c>
      <c r="N881" s="182">
        <f t="shared" ca="1" si="151"/>
        <v>83159.391279138654</v>
      </c>
      <c r="O881" s="182"/>
    </row>
    <row r="882" spans="1:15" x14ac:dyDescent="0.25">
      <c r="A882" s="180">
        <f t="shared" ca="1" si="152"/>
        <v>46972</v>
      </c>
      <c r="B882" s="181">
        <v>868</v>
      </c>
      <c r="C882" s="182">
        <f t="shared" ca="1" si="156"/>
        <v>49069.391279138719</v>
      </c>
      <c r="D882" s="182">
        <f t="shared" ca="1" si="153"/>
        <v>32.712927519425811</v>
      </c>
      <c r="E882" s="182">
        <v>0</v>
      </c>
      <c r="F882" s="182">
        <f t="shared" ca="1" si="157"/>
        <v>0</v>
      </c>
      <c r="G882" s="182">
        <f t="shared" ca="1" si="154"/>
        <v>0</v>
      </c>
      <c r="H882" s="182">
        <f t="shared" ca="1" si="155"/>
        <v>49102.104206658143</v>
      </c>
      <c r="I882" s="183">
        <v>0</v>
      </c>
      <c r="J882" s="263">
        <f t="shared" ca="1" si="147"/>
        <v>49102.104206658143</v>
      </c>
      <c r="K882" s="182">
        <f t="shared" ca="1" si="148"/>
        <v>70</v>
      </c>
      <c r="L882" s="182">
        <f t="shared" ca="1" si="149"/>
        <v>22502.104206658227</v>
      </c>
      <c r="M882" s="182">
        <f t="shared" ca="1" si="150"/>
        <v>8400</v>
      </c>
      <c r="N882" s="182">
        <f t="shared" ca="1" si="151"/>
        <v>83262.104206658085</v>
      </c>
      <c r="O882" s="182"/>
    </row>
    <row r="883" spans="1:15" x14ac:dyDescent="0.25">
      <c r="A883" s="180">
        <f t="shared" ca="1" si="152"/>
        <v>46973</v>
      </c>
      <c r="B883" s="181">
        <v>869</v>
      </c>
      <c r="C883" s="182">
        <f t="shared" ca="1" si="156"/>
        <v>49102.104206658143</v>
      </c>
      <c r="D883" s="182">
        <f t="shared" ca="1" si="153"/>
        <v>32.734736137772096</v>
      </c>
      <c r="E883" s="182">
        <v>0</v>
      </c>
      <c r="F883" s="182">
        <f t="shared" ca="1" si="157"/>
        <v>0</v>
      </c>
      <c r="G883" s="182">
        <f t="shared" ca="1" si="154"/>
        <v>0</v>
      </c>
      <c r="H883" s="182">
        <f t="shared" ca="1" si="155"/>
        <v>49134.838942795912</v>
      </c>
      <c r="I883" s="183">
        <v>0</v>
      </c>
      <c r="J883" s="263">
        <f t="shared" ca="1" si="147"/>
        <v>49134.838942795912</v>
      </c>
      <c r="K883" s="182">
        <f t="shared" ca="1" si="148"/>
        <v>70</v>
      </c>
      <c r="L883" s="182">
        <f t="shared" ca="1" si="149"/>
        <v>22534.838942795999</v>
      </c>
      <c r="M883" s="182">
        <f t="shared" ca="1" si="150"/>
        <v>8400</v>
      </c>
      <c r="N883" s="182">
        <f t="shared" ca="1" si="151"/>
        <v>83364.838942795861</v>
      </c>
      <c r="O883" s="182"/>
    </row>
    <row r="884" spans="1:15" x14ac:dyDescent="0.25">
      <c r="A884" s="180">
        <f t="shared" ca="1" si="152"/>
        <v>46974</v>
      </c>
      <c r="B884" s="181">
        <v>870</v>
      </c>
      <c r="C884" s="182">
        <f t="shared" ca="1" si="156"/>
        <v>49134.838942795912</v>
      </c>
      <c r="D884" s="182">
        <f t="shared" ca="1" si="153"/>
        <v>32.75655929519727</v>
      </c>
      <c r="E884" s="182">
        <v>0</v>
      </c>
      <c r="F884" s="182">
        <f t="shared" ca="1" si="157"/>
        <v>0</v>
      </c>
      <c r="G884" s="182">
        <f t="shared" ca="1" si="154"/>
        <v>0</v>
      </c>
      <c r="H884" s="182">
        <f t="shared" ca="1" si="155"/>
        <v>49167.595502091106</v>
      </c>
      <c r="I884" s="183">
        <v>0</v>
      </c>
      <c r="J884" s="263">
        <f t="shared" ca="1" si="147"/>
        <v>49167.595502091106</v>
      </c>
      <c r="K884" s="182">
        <f t="shared" ca="1" si="148"/>
        <v>70</v>
      </c>
      <c r="L884" s="182">
        <f t="shared" ca="1" si="149"/>
        <v>22567.595502091197</v>
      </c>
      <c r="M884" s="182">
        <f t="shared" ca="1" si="150"/>
        <v>8400</v>
      </c>
      <c r="N884" s="182">
        <f t="shared" ca="1" si="151"/>
        <v>83467.595502091062</v>
      </c>
      <c r="O884" s="182"/>
    </row>
    <row r="885" spans="1:15" x14ac:dyDescent="0.25">
      <c r="A885" s="180">
        <f t="shared" ca="1" si="152"/>
        <v>46975</v>
      </c>
      <c r="B885" s="181">
        <v>871</v>
      </c>
      <c r="C885" s="182">
        <f t="shared" ca="1" si="156"/>
        <v>49167.595502091106</v>
      </c>
      <c r="D885" s="182">
        <f t="shared" ca="1" si="153"/>
        <v>32.778397001394069</v>
      </c>
      <c r="E885" s="182">
        <v>0</v>
      </c>
      <c r="F885" s="182">
        <f t="shared" ca="1" si="157"/>
        <v>0</v>
      </c>
      <c r="G885" s="182">
        <f t="shared" ca="1" si="154"/>
        <v>0</v>
      </c>
      <c r="H885" s="182">
        <f t="shared" ca="1" si="155"/>
        <v>49200.373899092498</v>
      </c>
      <c r="I885" s="183">
        <v>0</v>
      </c>
      <c r="J885" s="263">
        <f t="shared" ca="1" si="147"/>
        <v>49200.373899092498</v>
      </c>
      <c r="K885" s="182">
        <f t="shared" ca="1" si="148"/>
        <v>70</v>
      </c>
      <c r="L885" s="182">
        <f t="shared" ca="1" si="149"/>
        <v>22600.373899092592</v>
      </c>
      <c r="M885" s="182">
        <f t="shared" ca="1" si="150"/>
        <v>8400</v>
      </c>
      <c r="N885" s="182">
        <f t="shared" ca="1" si="151"/>
        <v>83570.373899092461</v>
      </c>
      <c r="O885" s="182"/>
    </row>
    <row r="886" spans="1:15" x14ac:dyDescent="0.25">
      <c r="A886" s="180">
        <f t="shared" ca="1" si="152"/>
        <v>46976</v>
      </c>
      <c r="B886" s="181">
        <v>872</v>
      </c>
      <c r="C886" s="182">
        <f t="shared" ca="1" si="156"/>
        <v>49200.373899092498</v>
      </c>
      <c r="D886" s="182">
        <f t="shared" ca="1" si="153"/>
        <v>32.800249266061662</v>
      </c>
      <c r="E886" s="182">
        <v>0</v>
      </c>
      <c r="F886" s="182">
        <f t="shared" ca="1" si="157"/>
        <v>0</v>
      </c>
      <c r="G886" s="182">
        <f t="shared" ca="1" si="154"/>
        <v>0</v>
      </c>
      <c r="H886" s="182">
        <f t="shared" ca="1" si="155"/>
        <v>49233.174148358557</v>
      </c>
      <c r="I886" s="183">
        <v>0</v>
      </c>
      <c r="J886" s="263">
        <f t="shared" ca="1" si="147"/>
        <v>49233.174148358557</v>
      </c>
      <c r="K886" s="182">
        <f t="shared" ca="1" si="148"/>
        <v>70</v>
      </c>
      <c r="L886" s="182">
        <f t="shared" ca="1" si="149"/>
        <v>22633.174148358656</v>
      </c>
      <c r="M886" s="182">
        <f t="shared" ca="1" si="150"/>
        <v>8400</v>
      </c>
      <c r="N886" s="182">
        <f t="shared" ca="1" si="151"/>
        <v>83673.174148358521</v>
      </c>
      <c r="O886" s="182"/>
    </row>
    <row r="887" spans="1:15" x14ac:dyDescent="0.25">
      <c r="A887" s="180">
        <f t="shared" ca="1" si="152"/>
        <v>46977</v>
      </c>
      <c r="B887" s="181">
        <v>873</v>
      </c>
      <c r="C887" s="182">
        <f t="shared" ca="1" si="156"/>
        <v>49233.174148358557</v>
      </c>
      <c r="D887" s="182">
        <f t="shared" ca="1" si="153"/>
        <v>32.822116098905703</v>
      </c>
      <c r="E887" s="182">
        <v>0</v>
      </c>
      <c r="F887" s="182">
        <f t="shared" ca="1" si="157"/>
        <v>0</v>
      </c>
      <c r="G887" s="182">
        <f t="shared" ca="1" si="154"/>
        <v>0</v>
      </c>
      <c r="H887" s="182">
        <f t="shared" ca="1" si="155"/>
        <v>49265.996264457463</v>
      </c>
      <c r="I887" s="183">
        <v>0</v>
      </c>
      <c r="J887" s="263">
        <f t="shared" ca="1" si="147"/>
        <v>49265.996264457463</v>
      </c>
      <c r="K887" s="182">
        <f t="shared" ca="1" si="148"/>
        <v>70</v>
      </c>
      <c r="L887" s="182">
        <f t="shared" ca="1" si="149"/>
        <v>22665.996264457561</v>
      </c>
      <c r="M887" s="182">
        <f t="shared" ca="1" si="150"/>
        <v>8400</v>
      </c>
      <c r="N887" s="182">
        <f t="shared" ca="1" si="151"/>
        <v>83775.996264457426</v>
      </c>
      <c r="O887" s="182"/>
    </row>
    <row r="888" spans="1:15" x14ac:dyDescent="0.25">
      <c r="A888" s="180">
        <f t="shared" ca="1" si="152"/>
        <v>46978</v>
      </c>
      <c r="B888" s="181">
        <v>874</v>
      </c>
      <c r="C888" s="182">
        <f t="shared" ca="1" si="156"/>
        <v>49265.996264457463</v>
      </c>
      <c r="D888" s="182">
        <f t="shared" ca="1" si="153"/>
        <v>32.843997509638307</v>
      </c>
      <c r="E888" s="182">
        <v>0</v>
      </c>
      <c r="F888" s="182">
        <f t="shared" ca="1" si="157"/>
        <v>0</v>
      </c>
      <c r="G888" s="182">
        <f t="shared" ca="1" si="154"/>
        <v>0</v>
      </c>
      <c r="H888" s="182">
        <f t="shared" ca="1" si="155"/>
        <v>49298.840261967103</v>
      </c>
      <c r="I888" s="183">
        <v>0</v>
      </c>
      <c r="J888" s="263">
        <f t="shared" ca="1" si="147"/>
        <v>49298.840261967103</v>
      </c>
      <c r="K888" s="182">
        <f t="shared" ca="1" si="148"/>
        <v>70</v>
      </c>
      <c r="L888" s="182">
        <f t="shared" ca="1" si="149"/>
        <v>22698.840261967198</v>
      </c>
      <c r="M888" s="182">
        <f t="shared" ca="1" si="150"/>
        <v>8400</v>
      </c>
      <c r="N888" s="182">
        <f t="shared" ca="1" si="151"/>
        <v>83878.840261967067</v>
      </c>
      <c r="O888" s="182"/>
    </row>
    <row r="889" spans="1:15" x14ac:dyDescent="0.25">
      <c r="A889" s="180">
        <f t="shared" ca="1" si="152"/>
        <v>46979</v>
      </c>
      <c r="B889" s="181">
        <v>875</v>
      </c>
      <c r="C889" s="182">
        <f t="shared" ca="1" si="156"/>
        <v>49298.840261967103</v>
      </c>
      <c r="D889" s="182">
        <f t="shared" ca="1" si="153"/>
        <v>32.865893507978065</v>
      </c>
      <c r="E889" s="182">
        <v>0</v>
      </c>
      <c r="F889" s="182">
        <f t="shared" ca="1" si="157"/>
        <v>0</v>
      </c>
      <c r="G889" s="182">
        <f t="shared" ca="1" si="154"/>
        <v>0</v>
      </c>
      <c r="H889" s="182">
        <f t="shared" ca="1" si="155"/>
        <v>49331.706155475084</v>
      </c>
      <c r="I889" s="183">
        <v>0</v>
      </c>
      <c r="J889" s="263">
        <f t="shared" ca="1" si="147"/>
        <v>49331.706155475084</v>
      </c>
      <c r="K889" s="182">
        <f t="shared" ca="1" si="148"/>
        <v>70</v>
      </c>
      <c r="L889" s="182">
        <f t="shared" ca="1" si="149"/>
        <v>22731.706155475174</v>
      </c>
      <c r="M889" s="182">
        <f t="shared" ca="1" si="150"/>
        <v>8400</v>
      </c>
      <c r="N889" s="182">
        <f t="shared" ca="1" si="151"/>
        <v>83981.70615547504</v>
      </c>
      <c r="O889" s="182"/>
    </row>
    <row r="890" spans="1:15" x14ac:dyDescent="0.25">
      <c r="A890" s="180">
        <f t="shared" ca="1" si="152"/>
        <v>46980</v>
      </c>
      <c r="B890" s="181">
        <v>876</v>
      </c>
      <c r="C890" s="182">
        <f t="shared" ca="1" si="156"/>
        <v>49331.706155475084</v>
      </c>
      <c r="D890" s="182">
        <f t="shared" ca="1" si="153"/>
        <v>32.887804103650055</v>
      </c>
      <c r="E890" s="182">
        <v>0</v>
      </c>
      <c r="F890" s="182">
        <f t="shared" ca="1" si="157"/>
        <v>0</v>
      </c>
      <c r="G890" s="182">
        <f t="shared" ca="1" si="154"/>
        <v>0</v>
      </c>
      <c r="H890" s="182">
        <f t="shared" ca="1" si="155"/>
        <v>49364.593959578735</v>
      </c>
      <c r="I890" s="183">
        <v>0</v>
      </c>
      <c r="J890" s="263">
        <f t="shared" ca="1" si="147"/>
        <v>49364.593959578735</v>
      </c>
      <c r="K890" s="182">
        <f t="shared" ca="1" si="148"/>
        <v>70</v>
      </c>
      <c r="L890" s="182">
        <f t="shared" ca="1" si="149"/>
        <v>22764.593959578826</v>
      </c>
      <c r="M890" s="182">
        <f t="shared" ca="1" si="150"/>
        <v>8400</v>
      </c>
      <c r="N890" s="182">
        <f t="shared" ca="1" si="151"/>
        <v>84084.593959578691</v>
      </c>
      <c r="O890" s="182"/>
    </row>
    <row r="891" spans="1:15" x14ac:dyDescent="0.25">
      <c r="A891" s="180">
        <f t="shared" ca="1" si="152"/>
        <v>46981</v>
      </c>
      <c r="B891" s="181">
        <v>877</v>
      </c>
      <c r="C891" s="182">
        <f t="shared" ca="1" si="156"/>
        <v>49364.593959578735</v>
      </c>
      <c r="D891" s="182">
        <f t="shared" ca="1" si="153"/>
        <v>32.90972930638582</v>
      </c>
      <c r="E891" s="182">
        <v>0</v>
      </c>
      <c r="F891" s="182">
        <f t="shared" ca="1" si="157"/>
        <v>0</v>
      </c>
      <c r="G891" s="182">
        <f t="shared" ca="1" si="154"/>
        <v>0</v>
      </c>
      <c r="H891" s="182">
        <f t="shared" ca="1" si="155"/>
        <v>49397.503688885117</v>
      </c>
      <c r="I891" s="183">
        <v>0</v>
      </c>
      <c r="J891" s="263">
        <f t="shared" ca="1" si="147"/>
        <v>49397.503688885117</v>
      </c>
      <c r="K891" s="182">
        <f t="shared" ca="1" si="148"/>
        <v>70</v>
      </c>
      <c r="L891" s="182">
        <f t="shared" ca="1" si="149"/>
        <v>22797.503688885212</v>
      </c>
      <c r="M891" s="182">
        <f t="shared" ca="1" si="150"/>
        <v>8400</v>
      </c>
      <c r="N891" s="182">
        <f t="shared" ca="1" si="151"/>
        <v>84187.503688885074</v>
      </c>
      <c r="O891" s="182"/>
    </row>
    <row r="892" spans="1:15" x14ac:dyDescent="0.25">
      <c r="A892" s="180">
        <f t="shared" ca="1" si="152"/>
        <v>46982</v>
      </c>
      <c r="B892" s="181">
        <v>878</v>
      </c>
      <c r="C892" s="182">
        <f t="shared" ca="1" si="156"/>
        <v>49397.503688885117</v>
      </c>
      <c r="D892" s="182">
        <f t="shared" ca="1" si="153"/>
        <v>32.931669125923413</v>
      </c>
      <c r="E892" s="182">
        <v>0</v>
      </c>
      <c r="F892" s="182">
        <f t="shared" ca="1" si="157"/>
        <v>0</v>
      </c>
      <c r="G892" s="182">
        <f t="shared" ca="1" si="154"/>
        <v>0</v>
      </c>
      <c r="H892" s="182">
        <f t="shared" ca="1" si="155"/>
        <v>49430.43535801104</v>
      </c>
      <c r="I892" s="183">
        <v>0</v>
      </c>
      <c r="J892" s="263">
        <f t="shared" ca="1" si="147"/>
        <v>49430.43535801104</v>
      </c>
      <c r="K892" s="182">
        <f t="shared" ca="1" si="148"/>
        <v>70</v>
      </c>
      <c r="L892" s="182">
        <f t="shared" ca="1" si="149"/>
        <v>22830.435358011135</v>
      </c>
      <c r="M892" s="182">
        <f t="shared" ca="1" si="150"/>
        <v>8400</v>
      </c>
      <c r="N892" s="182">
        <f t="shared" ca="1" si="151"/>
        <v>84290.435358011004</v>
      </c>
      <c r="O892" s="182"/>
    </row>
    <row r="893" spans="1:15" x14ac:dyDescent="0.25">
      <c r="A893" s="180">
        <f t="shared" ca="1" si="152"/>
        <v>46983</v>
      </c>
      <c r="B893" s="181">
        <v>879</v>
      </c>
      <c r="C893" s="182">
        <f t="shared" ca="1" si="156"/>
        <v>49430.43535801104</v>
      </c>
      <c r="D893" s="182">
        <f t="shared" ca="1" si="153"/>
        <v>32.953623572007359</v>
      </c>
      <c r="E893" s="182">
        <v>0</v>
      </c>
      <c r="F893" s="182">
        <f t="shared" ca="1" si="157"/>
        <v>0</v>
      </c>
      <c r="G893" s="182">
        <f t="shared" ca="1" si="154"/>
        <v>0</v>
      </c>
      <c r="H893" s="182">
        <f t="shared" ca="1" si="155"/>
        <v>49463.388981583048</v>
      </c>
      <c r="I893" s="183">
        <v>0</v>
      </c>
      <c r="J893" s="263">
        <f t="shared" ca="1" si="147"/>
        <v>49463.388981583048</v>
      </c>
      <c r="K893" s="182">
        <f t="shared" ca="1" si="148"/>
        <v>70</v>
      </c>
      <c r="L893" s="182">
        <f t="shared" ca="1" si="149"/>
        <v>22863.388981583143</v>
      </c>
      <c r="M893" s="182">
        <f t="shared" ca="1" si="150"/>
        <v>8400</v>
      </c>
      <c r="N893" s="182">
        <f t="shared" ca="1" si="151"/>
        <v>84393.388981583004</v>
      </c>
      <c r="O893" s="182"/>
    </row>
    <row r="894" spans="1:15" x14ac:dyDescent="0.25">
      <c r="A894" s="180">
        <f t="shared" ca="1" si="152"/>
        <v>46984</v>
      </c>
      <c r="B894" s="181">
        <v>880</v>
      </c>
      <c r="C894" s="182">
        <f t="shared" ca="1" si="156"/>
        <v>49463.388981583048</v>
      </c>
      <c r="D894" s="182">
        <f t="shared" ca="1" si="153"/>
        <v>32.975592654388699</v>
      </c>
      <c r="E894" s="182">
        <v>0</v>
      </c>
      <c r="F894" s="182">
        <f t="shared" ca="1" si="157"/>
        <v>0</v>
      </c>
      <c r="G894" s="182">
        <f t="shared" ca="1" si="154"/>
        <v>0</v>
      </c>
      <c r="H894" s="182">
        <f t="shared" ca="1" si="155"/>
        <v>49496.364574237436</v>
      </c>
      <c r="I894" s="183">
        <v>0</v>
      </c>
      <c r="J894" s="263">
        <f t="shared" ca="1" si="147"/>
        <v>49496.364574237436</v>
      </c>
      <c r="K894" s="182">
        <f t="shared" ca="1" si="148"/>
        <v>70</v>
      </c>
      <c r="L894" s="182">
        <f t="shared" ca="1" si="149"/>
        <v>22896.36457423753</v>
      </c>
      <c r="M894" s="182">
        <f t="shared" ca="1" si="150"/>
        <v>8400</v>
      </c>
      <c r="N894" s="182">
        <f t="shared" ca="1" si="151"/>
        <v>84496.364574237392</v>
      </c>
      <c r="O894" s="182"/>
    </row>
    <row r="895" spans="1:15" x14ac:dyDescent="0.25">
      <c r="A895" s="180">
        <f t="shared" ca="1" si="152"/>
        <v>46985</v>
      </c>
      <c r="B895" s="181">
        <v>881</v>
      </c>
      <c r="C895" s="182">
        <f t="shared" ca="1" si="156"/>
        <v>49496.364574237436</v>
      </c>
      <c r="D895" s="182">
        <f t="shared" ca="1" si="153"/>
        <v>32.997576382824953</v>
      </c>
      <c r="E895" s="182">
        <v>0</v>
      </c>
      <c r="F895" s="182">
        <f t="shared" ca="1" si="157"/>
        <v>0</v>
      </c>
      <c r="G895" s="182">
        <f t="shared" ca="1" si="154"/>
        <v>0</v>
      </c>
      <c r="H895" s="182">
        <f t="shared" ca="1" si="155"/>
        <v>49529.362150620262</v>
      </c>
      <c r="I895" s="183">
        <v>0</v>
      </c>
      <c r="J895" s="263">
        <f t="shared" ca="1" si="147"/>
        <v>49529.362150620262</v>
      </c>
      <c r="K895" s="182">
        <f t="shared" ca="1" si="148"/>
        <v>70</v>
      </c>
      <c r="L895" s="182">
        <f t="shared" ca="1" si="149"/>
        <v>22929.362150620356</v>
      </c>
      <c r="M895" s="182">
        <f t="shared" ca="1" si="150"/>
        <v>8400</v>
      </c>
      <c r="N895" s="182">
        <f t="shared" ca="1" si="151"/>
        <v>84599.362150620218</v>
      </c>
      <c r="O895" s="182"/>
    </row>
    <row r="896" spans="1:15" x14ac:dyDescent="0.25">
      <c r="A896" s="180">
        <f t="shared" ca="1" si="152"/>
        <v>46986</v>
      </c>
      <c r="B896" s="181">
        <v>882</v>
      </c>
      <c r="C896" s="182">
        <f t="shared" ca="1" si="156"/>
        <v>49529.362150620262</v>
      </c>
      <c r="D896" s="182">
        <f t="shared" ca="1" si="153"/>
        <v>33.019574767080172</v>
      </c>
      <c r="E896" s="182">
        <v>0</v>
      </c>
      <c r="F896" s="182">
        <f t="shared" ca="1" si="157"/>
        <v>0</v>
      </c>
      <c r="G896" s="182">
        <f t="shared" ca="1" si="154"/>
        <v>0</v>
      </c>
      <c r="H896" s="182">
        <f t="shared" ca="1" si="155"/>
        <v>49562.381725387342</v>
      </c>
      <c r="I896" s="183">
        <v>0</v>
      </c>
      <c r="J896" s="263">
        <f t="shared" ca="1" si="147"/>
        <v>49562.381725387342</v>
      </c>
      <c r="K896" s="182">
        <f t="shared" ca="1" si="148"/>
        <v>70</v>
      </c>
      <c r="L896" s="182">
        <f t="shared" ca="1" si="149"/>
        <v>22962.381725387437</v>
      </c>
      <c r="M896" s="182">
        <f t="shared" ca="1" si="150"/>
        <v>8400</v>
      </c>
      <c r="N896" s="182">
        <f t="shared" ca="1" si="151"/>
        <v>84702.381725387299</v>
      </c>
      <c r="O896" s="182"/>
    </row>
    <row r="897" spans="1:15" x14ac:dyDescent="0.25">
      <c r="A897" s="180">
        <f t="shared" ca="1" si="152"/>
        <v>46987</v>
      </c>
      <c r="B897" s="181">
        <v>883</v>
      </c>
      <c r="C897" s="182">
        <f t="shared" ca="1" si="156"/>
        <v>49562.381725387342</v>
      </c>
      <c r="D897" s="182">
        <f t="shared" ca="1" si="153"/>
        <v>33.041587816924896</v>
      </c>
      <c r="E897" s="182">
        <v>0</v>
      </c>
      <c r="F897" s="182">
        <f t="shared" ca="1" si="157"/>
        <v>0</v>
      </c>
      <c r="G897" s="182">
        <f t="shared" ca="1" si="154"/>
        <v>0</v>
      </c>
      <c r="H897" s="182">
        <f t="shared" ca="1" si="155"/>
        <v>49595.423313204265</v>
      </c>
      <c r="I897" s="183">
        <v>0</v>
      </c>
      <c r="J897" s="263">
        <f t="shared" ca="1" si="147"/>
        <v>49595.423313204265</v>
      </c>
      <c r="K897" s="182">
        <f t="shared" ca="1" si="148"/>
        <v>70</v>
      </c>
      <c r="L897" s="182">
        <f t="shared" ca="1" si="149"/>
        <v>22995.423313204363</v>
      </c>
      <c r="M897" s="182">
        <f t="shared" ca="1" si="150"/>
        <v>8400</v>
      </c>
      <c r="N897" s="182">
        <f t="shared" ca="1" si="151"/>
        <v>84805.423313204228</v>
      </c>
      <c r="O897" s="182"/>
    </row>
    <row r="898" spans="1:15" x14ac:dyDescent="0.25">
      <c r="A898" s="180">
        <f t="shared" ca="1" si="152"/>
        <v>46988</v>
      </c>
      <c r="B898" s="181">
        <v>884</v>
      </c>
      <c r="C898" s="182">
        <f t="shared" ca="1" si="156"/>
        <v>49595.423313204265</v>
      </c>
      <c r="D898" s="182">
        <f t="shared" ca="1" si="153"/>
        <v>33.063615542136176</v>
      </c>
      <c r="E898" s="182">
        <v>0</v>
      </c>
      <c r="F898" s="182">
        <f t="shared" ca="1" si="157"/>
        <v>0</v>
      </c>
      <c r="G898" s="182">
        <f t="shared" ca="1" si="154"/>
        <v>0</v>
      </c>
      <c r="H898" s="182">
        <f t="shared" ca="1" si="155"/>
        <v>49628.486928746403</v>
      </c>
      <c r="I898" s="183">
        <v>0</v>
      </c>
      <c r="J898" s="263">
        <f t="shared" ca="1" si="147"/>
        <v>49628.486928746403</v>
      </c>
      <c r="K898" s="182">
        <f t="shared" ca="1" si="148"/>
        <v>70</v>
      </c>
      <c r="L898" s="182">
        <f t="shared" ca="1" si="149"/>
        <v>23028.486928746497</v>
      </c>
      <c r="M898" s="182">
        <f t="shared" ca="1" si="150"/>
        <v>8400</v>
      </c>
      <c r="N898" s="182">
        <f t="shared" ca="1" si="151"/>
        <v>84908.486928746366</v>
      </c>
      <c r="O898" s="182"/>
    </row>
    <row r="899" spans="1:15" x14ac:dyDescent="0.25">
      <c r="A899" s="180">
        <f t="shared" ca="1" si="152"/>
        <v>46989</v>
      </c>
      <c r="B899" s="181">
        <v>885</v>
      </c>
      <c r="C899" s="182">
        <f t="shared" ca="1" si="156"/>
        <v>49628.486928746403</v>
      </c>
      <c r="D899" s="182">
        <f t="shared" ca="1" si="153"/>
        <v>33.085657952497598</v>
      </c>
      <c r="E899" s="182">
        <v>0</v>
      </c>
      <c r="F899" s="182">
        <f t="shared" ca="1" si="157"/>
        <v>0</v>
      </c>
      <c r="G899" s="182">
        <f t="shared" ca="1" si="154"/>
        <v>0</v>
      </c>
      <c r="H899" s="182">
        <f t="shared" ca="1" si="155"/>
        <v>49661.572586698901</v>
      </c>
      <c r="I899" s="183">
        <v>0</v>
      </c>
      <c r="J899" s="263">
        <f t="shared" ca="1" si="147"/>
        <v>49661.572586698901</v>
      </c>
      <c r="K899" s="182">
        <f t="shared" ca="1" si="148"/>
        <v>70</v>
      </c>
      <c r="L899" s="182">
        <f t="shared" ca="1" si="149"/>
        <v>23061.572586698996</v>
      </c>
      <c r="M899" s="182">
        <f t="shared" ca="1" si="150"/>
        <v>8400</v>
      </c>
      <c r="N899" s="182">
        <f t="shared" ca="1" si="151"/>
        <v>85011.572586698865</v>
      </c>
      <c r="O899" s="182"/>
    </row>
    <row r="900" spans="1:15" x14ac:dyDescent="0.25">
      <c r="A900" s="180">
        <f t="shared" ca="1" si="152"/>
        <v>46990</v>
      </c>
      <c r="B900" s="181">
        <v>886</v>
      </c>
      <c r="C900" s="182">
        <f t="shared" ca="1" si="156"/>
        <v>49661.572586698901</v>
      </c>
      <c r="D900" s="182">
        <f t="shared" ca="1" si="153"/>
        <v>33.107715057799268</v>
      </c>
      <c r="E900" s="182">
        <v>0</v>
      </c>
      <c r="F900" s="182">
        <f t="shared" ca="1" si="157"/>
        <v>0</v>
      </c>
      <c r="G900" s="182">
        <f t="shared" ca="1" si="154"/>
        <v>0</v>
      </c>
      <c r="H900" s="182">
        <f t="shared" ca="1" si="155"/>
        <v>49694.6803017567</v>
      </c>
      <c r="I900" s="183">
        <v>0</v>
      </c>
      <c r="J900" s="263">
        <f t="shared" ca="1" si="147"/>
        <v>49694.6803017567</v>
      </c>
      <c r="K900" s="182">
        <f t="shared" ca="1" si="148"/>
        <v>70</v>
      </c>
      <c r="L900" s="182">
        <f t="shared" ca="1" si="149"/>
        <v>23094.680301756795</v>
      </c>
      <c r="M900" s="182">
        <f t="shared" ca="1" si="150"/>
        <v>8400</v>
      </c>
      <c r="N900" s="182">
        <f t="shared" ca="1" si="151"/>
        <v>85114.680301756671</v>
      </c>
      <c r="O900" s="182"/>
    </row>
    <row r="901" spans="1:15" x14ac:dyDescent="0.25">
      <c r="A901" s="180">
        <f t="shared" ca="1" si="152"/>
        <v>46991</v>
      </c>
      <c r="B901" s="181">
        <v>887</v>
      </c>
      <c r="C901" s="182">
        <f t="shared" ca="1" si="156"/>
        <v>49694.6803017567</v>
      </c>
      <c r="D901" s="182">
        <f t="shared" ca="1" si="153"/>
        <v>33.129786867837801</v>
      </c>
      <c r="E901" s="182">
        <v>0</v>
      </c>
      <c r="F901" s="182">
        <f t="shared" ca="1" si="157"/>
        <v>0</v>
      </c>
      <c r="G901" s="182">
        <f t="shared" ca="1" si="154"/>
        <v>0</v>
      </c>
      <c r="H901" s="182">
        <f t="shared" ca="1" si="155"/>
        <v>49727.810088624537</v>
      </c>
      <c r="I901" s="183">
        <v>0</v>
      </c>
      <c r="J901" s="263">
        <f t="shared" ca="1" si="147"/>
        <v>49727.810088624537</v>
      </c>
      <c r="K901" s="182">
        <f t="shared" ca="1" si="148"/>
        <v>70</v>
      </c>
      <c r="L901" s="182">
        <f t="shared" ca="1" si="149"/>
        <v>23127.810088624632</v>
      </c>
      <c r="M901" s="182">
        <f t="shared" ca="1" si="150"/>
        <v>8400</v>
      </c>
      <c r="N901" s="182">
        <f t="shared" ca="1" si="151"/>
        <v>85217.810088624508</v>
      </c>
      <c r="O901" s="182"/>
    </row>
    <row r="902" spans="1:15" x14ac:dyDescent="0.25">
      <c r="A902" s="180">
        <f t="shared" ca="1" si="152"/>
        <v>46992</v>
      </c>
      <c r="B902" s="181">
        <v>888</v>
      </c>
      <c r="C902" s="182">
        <f t="shared" ca="1" si="156"/>
        <v>49727.810088624537</v>
      </c>
      <c r="D902" s="182">
        <f t="shared" ca="1" si="153"/>
        <v>33.151873392416356</v>
      </c>
      <c r="E902" s="182">
        <v>0</v>
      </c>
      <c r="F902" s="182">
        <f t="shared" ca="1" si="157"/>
        <v>0</v>
      </c>
      <c r="G902" s="182">
        <f t="shared" ca="1" si="154"/>
        <v>0</v>
      </c>
      <c r="H902" s="182">
        <f t="shared" ca="1" si="155"/>
        <v>49760.961962016954</v>
      </c>
      <c r="I902" s="183">
        <v>0</v>
      </c>
      <c r="J902" s="263">
        <f t="shared" ca="1" si="147"/>
        <v>49760.961962016954</v>
      </c>
      <c r="K902" s="182">
        <f t="shared" ca="1" si="148"/>
        <v>70</v>
      </c>
      <c r="L902" s="182">
        <f t="shared" ca="1" si="149"/>
        <v>23160.961962017049</v>
      </c>
      <c r="M902" s="182">
        <f t="shared" ca="1" si="150"/>
        <v>8400</v>
      </c>
      <c r="N902" s="182">
        <f t="shared" ca="1" si="151"/>
        <v>85320.961962016925</v>
      </c>
      <c r="O902" s="182"/>
    </row>
    <row r="903" spans="1:15" x14ac:dyDescent="0.25">
      <c r="A903" s="180">
        <f t="shared" ca="1" si="152"/>
        <v>46993</v>
      </c>
      <c r="B903" s="181">
        <v>889</v>
      </c>
      <c r="C903" s="182">
        <f t="shared" ca="1" si="156"/>
        <v>49760.961962016954</v>
      </c>
      <c r="D903" s="182">
        <f t="shared" ca="1" si="153"/>
        <v>33.173974641344635</v>
      </c>
      <c r="E903" s="182">
        <v>0</v>
      </c>
      <c r="F903" s="182">
        <f t="shared" ca="1" si="157"/>
        <v>0</v>
      </c>
      <c r="G903" s="182">
        <f t="shared" ca="1" si="154"/>
        <v>0</v>
      </c>
      <c r="H903" s="182">
        <f t="shared" ca="1" si="155"/>
        <v>49794.135936658298</v>
      </c>
      <c r="I903" s="183">
        <v>0</v>
      </c>
      <c r="J903" s="263">
        <f t="shared" ca="1" si="147"/>
        <v>49794.135936658298</v>
      </c>
      <c r="K903" s="182">
        <f t="shared" ca="1" si="148"/>
        <v>70</v>
      </c>
      <c r="L903" s="182">
        <f t="shared" ca="1" si="149"/>
        <v>23194.135936658393</v>
      </c>
      <c r="M903" s="182">
        <f t="shared" ca="1" si="150"/>
        <v>8400</v>
      </c>
      <c r="N903" s="182">
        <f t="shared" ca="1" si="151"/>
        <v>85424.135936658276</v>
      </c>
      <c r="O903" s="182"/>
    </row>
    <row r="904" spans="1:15" x14ac:dyDescent="0.25">
      <c r="A904" s="180">
        <f t="shared" ca="1" si="152"/>
        <v>46994</v>
      </c>
      <c r="B904" s="181">
        <v>890</v>
      </c>
      <c r="C904" s="182">
        <f t="shared" ca="1" si="156"/>
        <v>49794.135936658298</v>
      </c>
      <c r="D904" s="182">
        <f t="shared" ca="1" si="153"/>
        <v>33.196090624438867</v>
      </c>
      <c r="E904" s="182">
        <v>0</v>
      </c>
      <c r="F904" s="182">
        <f t="shared" ca="1" si="157"/>
        <v>0</v>
      </c>
      <c r="G904" s="182">
        <f t="shared" ca="1" si="154"/>
        <v>0</v>
      </c>
      <c r="H904" s="182">
        <f t="shared" ca="1" si="155"/>
        <v>49827.33202728274</v>
      </c>
      <c r="I904" s="183">
        <v>0</v>
      </c>
      <c r="J904" s="263">
        <f t="shared" ca="1" si="147"/>
        <v>49827.33202728274</v>
      </c>
      <c r="K904" s="182">
        <f t="shared" ca="1" si="148"/>
        <v>70</v>
      </c>
      <c r="L904" s="182">
        <f t="shared" ca="1" si="149"/>
        <v>23227.332027282831</v>
      </c>
      <c r="M904" s="182">
        <f t="shared" ca="1" si="150"/>
        <v>8400</v>
      </c>
      <c r="N904" s="182">
        <f t="shared" ca="1" si="151"/>
        <v>85527.332027282711</v>
      </c>
      <c r="O904" s="182"/>
    </row>
    <row r="905" spans="1:15" x14ac:dyDescent="0.25">
      <c r="A905" s="180">
        <f t="shared" ca="1" si="152"/>
        <v>46995</v>
      </c>
      <c r="B905" s="181">
        <v>891</v>
      </c>
      <c r="C905" s="182">
        <f t="shared" ca="1" si="156"/>
        <v>49827.33202728274</v>
      </c>
      <c r="D905" s="182">
        <f t="shared" ca="1" si="153"/>
        <v>33.218221351521827</v>
      </c>
      <c r="E905" s="182">
        <v>0</v>
      </c>
      <c r="F905" s="182">
        <f t="shared" ca="1" si="157"/>
        <v>0</v>
      </c>
      <c r="G905" s="182">
        <f t="shared" ca="1" si="154"/>
        <v>0</v>
      </c>
      <c r="H905" s="182">
        <f t="shared" ca="1" si="155"/>
        <v>49860.550248634259</v>
      </c>
      <c r="I905" s="183">
        <v>0</v>
      </c>
      <c r="J905" s="263">
        <f t="shared" ca="1" si="147"/>
        <v>49860.550248634259</v>
      </c>
      <c r="K905" s="182">
        <f t="shared" ca="1" si="148"/>
        <v>70</v>
      </c>
      <c r="L905" s="182">
        <f t="shared" ca="1" si="149"/>
        <v>23260.550248634354</v>
      </c>
      <c r="M905" s="182">
        <f t="shared" ca="1" si="150"/>
        <v>8400</v>
      </c>
      <c r="N905" s="182">
        <f t="shared" ca="1" si="151"/>
        <v>85630.55024863423</v>
      </c>
      <c r="O905" s="182"/>
    </row>
    <row r="906" spans="1:15" x14ac:dyDescent="0.25">
      <c r="A906" s="180">
        <f t="shared" ca="1" si="152"/>
        <v>46996</v>
      </c>
      <c r="B906" s="181">
        <v>892</v>
      </c>
      <c r="C906" s="182">
        <f t="shared" ca="1" si="156"/>
        <v>49860.550248634259</v>
      </c>
      <c r="D906" s="182">
        <f t="shared" ca="1" si="153"/>
        <v>33.240366832422836</v>
      </c>
      <c r="E906" s="182">
        <v>0</v>
      </c>
      <c r="F906" s="182">
        <f t="shared" ca="1" si="157"/>
        <v>0</v>
      </c>
      <c r="G906" s="182">
        <f t="shared" ca="1" si="154"/>
        <v>0</v>
      </c>
      <c r="H906" s="182">
        <f t="shared" ca="1" si="155"/>
        <v>49893.790615466685</v>
      </c>
      <c r="I906" s="183">
        <v>0</v>
      </c>
      <c r="J906" s="263">
        <f t="shared" ca="1" si="147"/>
        <v>49893.790615466685</v>
      </c>
      <c r="K906" s="182">
        <f t="shared" ca="1" si="148"/>
        <v>70</v>
      </c>
      <c r="L906" s="182">
        <f t="shared" ca="1" si="149"/>
        <v>23293.790615466776</v>
      </c>
      <c r="M906" s="182">
        <f t="shared" ca="1" si="150"/>
        <v>8400</v>
      </c>
      <c r="N906" s="182">
        <f t="shared" ca="1" si="151"/>
        <v>85733.790615466656</v>
      </c>
      <c r="O906" s="182"/>
    </row>
    <row r="907" spans="1:15" x14ac:dyDescent="0.25">
      <c r="A907" s="180">
        <f t="shared" ca="1" si="152"/>
        <v>46997</v>
      </c>
      <c r="B907" s="181">
        <v>893</v>
      </c>
      <c r="C907" s="182">
        <f t="shared" ca="1" si="156"/>
        <v>49893.790615466685</v>
      </c>
      <c r="D907" s="182">
        <f t="shared" ca="1" si="153"/>
        <v>33.26252707697779</v>
      </c>
      <c r="E907" s="182">
        <v>0</v>
      </c>
      <c r="F907" s="182">
        <f t="shared" ca="1" si="157"/>
        <v>0</v>
      </c>
      <c r="G907" s="182">
        <f t="shared" ca="1" si="154"/>
        <v>0</v>
      </c>
      <c r="H907" s="182">
        <f t="shared" ca="1" si="155"/>
        <v>49927.053142543664</v>
      </c>
      <c r="I907" s="183">
        <v>0</v>
      </c>
      <c r="J907" s="263">
        <f t="shared" ca="1" si="147"/>
        <v>49927.053142543664</v>
      </c>
      <c r="K907" s="182">
        <f t="shared" ca="1" si="148"/>
        <v>70</v>
      </c>
      <c r="L907" s="182">
        <f t="shared" ca="1" si="149"/>
        <v>23327.053142543755</v>
      </c>
      <c r="M907" s="182">
        <f t="shared" ca="1" si="150"/>
        <v>8400</v>
      </c>
      <c r="N907" s="182">
        <f t="shared" ca="1" si="151"/>
        <v>85837.053142543635</v>
      </c>
      <c r="O907" s="182"/>
    </row>
    <row r="908" spans="1:15" x14ac:dyDescent="0.25">
      <c r="A908" s="180">
        <f t="shared" ca="1" si="152"/>
        <v>46998</v>
      </c>
      <c r="B908" s="181">
        <v>894</v>
      </c>
      <c r="C908" s="182">
        <f t="shared" ca="1" si="156"/>
        <v>49927.053142543664</v>
      </c>
      <c r="D908" s="182">
        <f t="shared" ca="1" si="153"/>
        <v>33.284702095029111</v>
      </c>
      <c r="E908" s="182">
        <v>0</v>
      </c>
      <c r="F908" s="182">
        <f t="shared" ca="1" si="157"/>
        <v>0</v>
      </c>
      <c r="G908" s="182">
        <f t="shared" ca="1" si="154"/>
        <v>0</v>
      </c>
      <c r="H908" s="182">
        <f t="shared" ca="1" si="155"/>
        <v>49960.337844638692</v>
      </c>
      <c r="I908" s="183">
        <v>0</v>
      </c>
      <c r="J908" s="263">
        <f t="shared" ca="1" si="147"/>
        <v>49960.337844638692</v>
      </c>
      <c r="K908" s="182">
        <f t="shared" ca="1" si="148"/>
        <v>70</v>
      </c>
      <c r="L908" s="182">
        <f t="shared" ca="1" si="149"/>
        <v>23360.337844638783</v>
      </c>
      <c r="M908" s="182">
        <f t="shared" ca="1" si="150"/>
        <v>8400</v>
      </c>
      <c r="N908" s="182">
        <f t="shared" ca="1" si="151"/>
        <v>85940.337844638663</v>
      </c>
      <c r="O908" s="182"/>
    </row>
    <row r="909" spans="1:15" x14ac:dyDescent="0.25">
      <c r="A909" s="180">
        <f t="shared" ca="1" si="152"/>
        <v>46999</v>
      </c>
      <c r="B909" s="181">
        <v>895</v>
      </c>
      <c r="C909" s="182">
        <f t="shared" ca="1" si="156"/>
        <v>49960.337844638692</v>
      </c>
      <c r="D909" s="182">
        <f t="shared" ca="1" si="153"/>
        <v>33.306891896425796</v>
      </c>
      <c r="E909" s="182">
        <v>0</v>
      </c>
      <c r="F909" s="182">
        <f t="shared" ca="1" si="157"/>
        <v>0</v>
      </c>
      <c r="G909" s="182">
        <f t="shared" ca="1" si="154"/>
        <v>0</v>
      </c>
      <c r="H909" s="182">
        <f t="shared" ca="1" si="155"/>
        <v>49993.64473653512</v>
      </c>
      <c r="I909" s="183">
        <v>0</v>
      </c>
      <c r="J909" s="263">
        <f t="shared" ca="1" si="147"/>
        <v>49993.64473653512</v>
      </c>
      <c r="K909" s="182">
        <f t="shared" ca="1" si="148"/>
        <v>70</v>
      </c>
      <c r="L909" s="182">
        <f t="shared" ca="1" si="149"/>
        <v>23393.644736535211</v>
      </c>
      <c r="M909" s="182">
        <f t="shared" ca="1" si="150"/>
        <v>8400</v>
      </c>
      <c r="N909" s="182">
        <f t="shared" ca="1" si="151"/>
        <v>86043.64473653509</v>
      </c>
      <c r="O909" s="182"/>
    </row>
    <row r="910" spans="1:15" x14ac:dyDescent="0.25">
      <c r="A910" s="180">
        <f t="shared" ca="1" si="152"/>
        <v>47000</v>
      </c>
      <c r="B910" s="181">
        <v>896</v>
      </c>
      <c r="C910" s="182">
        <f t="shared" ca="1" si="156"/>
        <v>49993.64473653512</v>
      </c>
      <c r="D910" s="182">
        <f t="shared" ca="1" si="153"/>
        <v>33.329096491023414</v>
      </c>
      <c r="E910" s="182">
        <v>0</v>
      </c>
      <c r="F910" s="182">
        <f t="shared" ca="1" si="157"/>
        <v>0</v>
      </c>
      <c r="G910" s="182">
        <f t="shared" ca="1" si="154"/>
        <v>0</v>
      </c>
      <c r="H910" s="182">
        <f t="shared" ca="1" si="155"/>
        <v>50026.973833026146</v>
      </c>
      <c r="I910" s="183">
        <v>0</v>
      </c>
      <c r="J910" s="263">
        <f t="shared" ca="1" si="147"/>
        <v>50026.973833026146</v>
      </c>
      <c r="K910" s="182">
        <f t="shared" ca="1" si="148"/>
        <v>70</v>
      </c>
      <c r="L910" s="182">
        <f t="shared" ca="1" si="149"/>
        <v>23426.973833026233</v>
      </c>
      <c r="M910" s="182">
        <f t="shared" ca="1" si="150"/>
        <v>8400</v>
      </c>
      <c r="N910" s="182">
        <f t="shared" ca="1" si="151"/>
        <v>86146.973833026117</v>
      </c>
      <c r="O910" s="182"/>
    </row>
    <row r="911" spans="1:15" x14ac:dyDescent="0.25">
      <c r="A911" s="180">
        <f t="shared" ca="1" si="152"/>
        <v>47001</v>
      </c>
      <c r="B911" s="181">
        <v>897</v>
      </c>
      <c r="C911" s="182">
        <f t="shared" ca="1" si="156"/>
        <v>50026.973833026146</v>
      </c>
      <c r="D911" s="182">
        <f t="shared" ca="1" si="153"/>
        <v>33.351315888684098</v>
      </c>
      <c r="E911" s="182">
        <v>0</v>
      </c>
      <c r="F911" s="182">
        <f t="shared" ca="1" si="157"/>
        <v>0</v>
      </c>
      <c r="G911" s="182">
        <f t="shared" ca="1" si="154"/>
        <v>0</v>
      </c>
      <c r="H911" s="182">
        <f t="shared" ca="1" si="155"/>
        <v>50060.325148914832</v>
      </c>
      <c r="I911" s="183">
        <v>0</v>
      </c>
      <c r="J911" s="263">
        <f t="shared" ref="J911:J974" ca="1" si="158">H911-IF(I$8-G911&lt;Q$42,I$8-Q$42,G911)</f>
        <v>50060.325148914832</v>
      </c>
      <c r="K911" s="182">
        <f t="shared" ca="1" si="148"/>
        <v>70</v>
      </c>
      <c r="L911" s="182">
        <f t="shared" ca="1" si="149"/>
        <v>23460.325148914919</v>
      </c>
      <c r="M911" s="182">
        <f t="shared" ca="1" si="150"/>
        <v>8400</v>
      </c>
      <c r="N911" s="182">
        <f t="shared" ca="1" si="151"/>
        <v>86250.325148914795</v>
      </c>
      <c r="O911" s="182"/>
    </row>
    <row r="912" spans="1:15" x14ac:dyDescent="0.25">
      <c r="A912" s="180">
        <f t="shared" ca="1" si="152"/>
        <v>47002</v>
      </c>
      <c r="B912" s="181">
        <v>898</v>
      </c>
      <c r="C912" s="182">
        <f t="shared" ca="1" si="156"/>
        <v>50060.325148914832</v>
      </c>
      <c r="D912" s="182">
        <f t="shared" ca="1" si="153"/>
        <v>33.373550099276557</v>
      </c>
      <c r="E912" s="182">
        <v>0</v>
      </c>
      <c r="F912" s="182">
        <f t="shared" ca="1" si="157"/>
        <v>0</v>
      </c>
      <c r="G912" s="182">
        <f t="shared" ca="1" si="154"/>
        <v>0</v>
      </c>
      <c r="H912" s="182">
        <f t="shared" ca="1" si="155"/>
        <v>50093.698699014109</v>
      </c>
      <c r="I912" s="183">
        <v>0</v>
      </c>
      <c r="J912" s="263">
        <f t="shared" ca="1" si="158"/>
        <v>50093.698699014109</v>
      </c>
      <c r="K912" s="182">
        <f t="shared" ref="K912:K975" ca="1" si="159">$L$3/($C$11-$C$8)</f>
        <v>70</v>
      </c>
      <c r="L912" s="182">
        <f t="shared" ref="L912:L975" ca="1" si="160">L911+D912</f>
        <v>23493.698699014196</v>
      </c>
      <c r="M912" s="182">
        <f t="shared" ref="M912:M975" ca="1" si="161">IF($I$8&gt;L912,L912,$I$8)</f>
        <v>8400</v>
      </c>
      <c r="N912" s="182">
        <f t="shared" ref="N912:N975" ca="1" si="162">N911+D912+K912+I912</f>
        <v>86353.698699014072</v>
      </c>
      <c r="O912" s="182"/>
    </row>
    <row r="913" spans="1:15" x14ac:dyDescent="0.25">
      <c r="A913" s="180">
        <f t="shared" ref="A913:A976" ca="1" si="163">A912+1</f>
        <v>47003</v>
      </c>
      <c r="B913" s="181">
        <v>899</v>
      </c>
      <c r="C913" s="182">
        <f t="shared" ca="1" si="156"/>
        <v>50093.698699014109</v>
      </c>
      <c r="D913" s="182">
        <f t="shared" ref="D913:D976" ca="1" si="164">(($C$6/360))*C913</f>
        <v>33.395799132676075</v>
      </c>
      <c r="E913" s="182">
        <v>0</v>
      </c>
      <c r="F913" s="182">
        <f t="shared" ca="1" si="157"/>
        <v>0</v>
      </c>
      <c r="G913" s="182">
        <f t="shared" ref="G913:G976" ca="1" si="165">IF(G912-D913-E913&gt;0,G912-D913-E913,0)</f>
        <v>0</v>
      </c>
      <c r="H913" s="182">
        <f t="shared" ca="1" si="155"/>
        <v>50127.094498146784</v>
      </c>
      <c r="I913" s="183">
        <v>0</v>
      </c>
      <c r="J913" s="263">
        <f t="shared" ca="1" si="158"/>
        <v>50127.094498146784</v>
      </c>
      <c r="K913" s="182">
        <f t="shared" ca="1" si="159"/>
        <v>70</v>
      </c>
      <c r="L913" s="182">
        <f t="shared" ca="1" si="160"/>
        <v>23527.094498146871</v>
      </c>
      <c r="M913" s="182">
        <f t="shared" ca="1" si="161"/>
        <v>8400</v>
      </c>
      <c r="N913" s="182">
        <f t="shared" ca="1" si="162"/>
        <v>86457.094498146747</v>
      </c>
      <c r="O913" s="182"/>
    </row>
    <row r="914" spans="1:15" x14ac:dyDescent="0.25">
      <c r="A914" s="180">
        <f t="shared" ca="1" si="163"/>
        <v>47004</v>
      </c>
      <c r="B914" s="181">
        <v>900</v>
      </c>
      <c r="C914" s="182">
        <f t="shared" ca="1" si="156"/>
        <v>50127.094498146784</v>
      </c>
      <c r="D914" s="182">
        <f t="shared" ca="1" si="164"/>
        <v>33.418062998764519</v>
      </c>
      <c r="E914" s="182">
        <v>0</v>
      </c>
      <c r="F914" s="182">
        <f t="shared" ca="1" si="157"/>
        <v>0</v>
      </c>
      <c r="G914" s="182">
        <f t="shared" ca="1" si="165"/>
        <v>0</v>
      </c>
      <c r="H914" s="182">
        <f t="shared" ca="1" si="155"/>
        <v>50160.512561145551</v>
      </c>
      <c r="I914" s="183">
        <v>0</v>
      </c>
      <c r="J914" s="263">
        <f t="shared" ca="1" si="158"/>
        <v>50160.512561145551</v>
      </c>
      <c r="K914" s="182">
        <f t="shared" ca="1" si="159"/>
        <v>70</v>
      </c>
      <c r="L914" s="182">
        <f t="shared" ca="1" si="160"/>
        <v>23560.512561145635</v>
      </c>
      <c r="M914" s="182">
        <f t="shared" ca="1" si="161"/>
        <v>8400</v>
      </c>
      <c r="N914" s="182">
        <f t="shared" ca="1" si="162"/>
        <v>86560.512561145515</v>
      </c>
      <c r="O914" s="182"/>
    </row>
    <row r="915" spans="1:15" x14ac:dyDescent="0.25">
      <c r="A915" s="180">
        <f t="shared" ca="1" si="163"/>
        <v>47005</v>
      </c>
      <c r="B915" s="181">
        <v>901</v>
      </c>
      <c r="C915" s="182">
        <f t="shared" ca="1" si="156"/>
        <v>50160.512561145551</v>
      </c>
      <c r="D915" s="182">
        <f t="shared" ca="1" si="164"/>
        <v>33.440341707430363</v>
      </c>
      <c r="E915" s="182">
        <v>0</v>
      </c>
      <c r="F915" s="182">
        <f t="shared" ca="1" si="157"/>
        <v>0</v>
      </c>
      <c r="G915" s="182">
        <f t="shared" ca="1" si="165"/>
        <v>0</v>
      </c>
      <c r="H915" s="182">
        <f t="shared" ca="1" si="155"/>
        <v>50193.95290285298</v>
      </c>
      <c r="I915" s="183">
        <v>0</v>
      </c>
      <c r="J915" s="263">
        <f t="shared" ca="1" si="158"/>
        <v>50193.95290285298</v>
      </c>
      <c r="K915" s="182">
        <f t="shared" ca="1" si="159"/>
        <v>70</v>
      </c>
      <c r="L915" s="182">
        <f t="shared" ca="1" si="160"/>
        <v>23593.952902853067</v>
      </c>
      <c r="M915" s="182">
        <f t="shared" ca="1" si="161"/>
        <v>8400</v>
      </c>
      <c r="N915" s="182">
        <f t="shared" ca="1" si="162"/>
        <v>86663.952902852951</v>
      </c>
      <c r="O915" s="182"/>
    </row>
    <row r="916" spans="1:15" x14ac:dyDescent="0.25">
      <c r="A916" s="180">
        <f t="shared" ca="1" si="163"/>
        <v>47006</v>
      </c>
      <c r="B916" s="181">
        <v>902</v>
      </c>
      <c r="C916" s="182">
        <f t="shared" ca="1" si="156"/>
        <v>50193.95290285298</v>
      </c>
      <c r="D916" s="182">
        <f t="shared" ca="1" si="164"/>
        <v>33.462635268568654</v>
      </c>
      <c r="E916" s="182">
        <v>0</v>
      </c>
      <c r="F916" s="182">
        <f t="shared" ca="1" si="157"/>
        <v>0</v>
      </c>
      <c r="G916" s="182">
        <f t="shared" ca="1" si="165"/>
        <v>0</v>
      </c>
      <c r="H916" s="182">
        <f t="shared" ca="1" si="155"/>
        <v>50227.415538121546</v>
      </c>
      <c r="I916" s="183">
        <v>0</v>
      </c>
      <c r="J916" s="263">
        <f t="shared" ca="1" si="158"/>
        <v>50227.415538121546</v>
      </c>
      <c r="K916" s="182">
        <f t="shared" ca="1" si="159"/>
        <v>70</v>
      </c>
      <c r="L916" s="182">
        <f t="shared" ca="1" si="160"/>
        <v>23627.415538121637</v>
      </c>
      <c r="M916" s="182">
        <f t="shared" ca="1" si="161"/>
        <v>8400</v>
      </c>
      <c r="N916" s="182">
        <f t="shared" ca="1" si="162"/>
        <v>86767.415538121524</v>
      </c>
      <c r="O916" s="182"/>
    </row>
    <row r="917" spans="1:15" x14ac:dyDescent="0.25">
      <c r="A917" s="180">
        <f t="shared" ca="1" si="163"/>
        <v>47007</v>
      </c>
      <c r="B917" s="181">
        <v>903</v>
      </c>
      <c r="C917" s="182">
        <f t="shared" ca="1" si="156"/>
        <v>50227.415538121546</v>
      </c>
      <c r="D917" s="182">
        <f t="shared" ca="1" si="164"/>
        <v>33.484943692081032</v>
      </c>
      <c r="E917" s="182">
        <v>0</v>
      </c>
      <c r="F917" s="182">
        <f t="shared" ca="1" si="157"/>
        <v>0</v>
      </c>
      <c r="G917" s="182">
        <f t="shared" ca="1" si="165"/>
        <v>0</v>
      </c>
      <c r="H917" s="182">
        <f t="shared" ca="1" si="155"/>
        <v>50260.900481813624</v>
      </c>
      <c r="I917" s="183">
        <v>0</v>
      </c>
      <c r="J917" s="263">
        <f t="shared" ca="1" si="158"/>
        <v>50260.900481813624</v>
      </c>
      <c r="K917" s="182">
        <f t="shared" ca="1" si="159"/>
        <v>70</v>
      </c>
      <c r="L917" s="182">
        <f t="shared" ca="1" si="160"/>
        <v>23660.900481813718</v>
      </c>
      <c r="M917" s="182">
        <f t="shared" ca="1" si="161"/>
        <v>8400</v>
      </c>
      <c r="N917" s="182">
        <f t="shared" ca="1" si="162"/>
        <v>86870.900481813602</v>
      </c>
      <c r="O917" s="182"/>
    </row>
    <row r="918" spans="1:15" x14ac:dyDescent="0.25">
      <c r="A918" s="180">
        <f t="shared" ca="1" si="163"/>
        <v>47008</v>
      </c>
      <c r="B918" s="181">
        <v>904</v>
      </c>
      <c r="C918" s="182">
        <f t="shared" ca="1" si="156"/>
        <v>50260.900481813624</v>
      </c>
      <c r="D918" s="182">
        <f t="shared" ca="1" si="164"/>
        <v>33.507266987875745</v>
      </c>
      <c r="E918" s="182">
        <v>0</v>
      </c>
      <c r="F918" s="182">
        <f t="shared" ca="1" si="157"/>
        <v>0</v>
      </c>
      <c r="G918" s="182">
        <f t="shared" ca="1" si="165"/>
        <v>0</v>
      </c>
      <c r="H918" s="182">
        <f t="shared" ca="1" si="155"/>
        <v>50294.407748801503</v>
      </c>
      <c r="I918" s="183">
        <v>0</v>
      </c>
      <c r="J918" s="263">
        <f t="shared" ca="1" si="158"/>
        <v>50294.407748801503</v>
      </c>
      <c r="K918" s="182">
        <f t="shared" ca="1" si="159"/>
        <v>70</v>
      </c>
      <c r="L918" s="182">
        <f t="shared" ca="1" si="160"/>
        <v>23694.407748801594</v>
      </c>
      <c r="M918" s="182">
        <f t="shared" ca="1" si="161"/>
        <v>8400</v>
      </c>
      <c r="N918" s="182">
        <f t="shared" ca="1" si="162"/>
        <v>86974.407748801474</v>
      </c>
      <c r="O918" s="182"/>
    </row>
    <row r="919" spans="1:15" x14ac:dyDescent="0.25">
      <c r="A919" s="180">
        <f t="shared" ca="1" si="163"/>
        <v>47009</v>
      </c>
      <c r="B919" s="181">
        <v>905</v>
      </c>
      <c r="C919" s="182">
        <f t="shared" ca="1" si="156"/>
        <v>50294.407748801503</v>
      </c>
      <c r="D919" s="182">
        <f t="shared" ca="1" si="164"/>
        <v>33.529605165867665</v>
      </c>
      <c r="E919" s="182">
        <v>0</v>
      </c>
      <c r="F919" s="182">
        <f t="shared" ca="1" si="157"/>
        <v>0</v>
      </c>
      <c r="G919" s="182">
        <f t="shared" ca="1" si="165"/>
        <v>0</v>
      </c>
      <c r="H919" s="182">
        <f t="shared" ca="1" si="155"/>
        <v>50327.937353967369</v>
      </c>
      <c r="I919" s="183">
        <v>0</v>
      </c>
      <c r="J919" s="263">
        <f t="shared" ca="1" si="158"/>
        <v>50327.937353967369</v>
      </c>
      <c r="K919" s="182">
        <f t="shared" ca="1" si="159"/>
        <v>70</v>
      </c>
      <c r="L919" s="182">
        <f t="shared" ca="1" si="160"/>
        <v>23727.93735396746</v>
      </c>
      <c r="M919" s="182">
        <f t="shared" ca="1" si="161"/>
        <v>8400</v>
      </c>
      <c r="N919" s="182">
        <f t="shared" ca="1" si="162"/>
        <v>87077.93735396734</v>
      </c>
      <c r="O919" s="182"/>
    </row>
    <row r="920" spans="1:15" x14ac:dyDescent="0.25">
      <c r="A920" s="180">
        <f t="shared" ca="1" si="163"/>
        <v>47010</v>
      </c>
      <c r="B920" s="181">
        <v>906</v>
      </c>
      <c r="C920" s="182">
        <f t="shared" ca="1" si="156"/>
        <v>50327.937353967369</v>
      </c>
      <c r="D920" s="182">
        <f t="shared" ca="1" si="164"/>
        <v>33.551958235978248</v>
      </c>
      <c r="E920" s="182">
        <v>0</v>
      </c>
      <c r="F920" s="182">
        <f t="shared" ca="1" si="157"/>
        <v>0</v>
      </c>
      <c r="G920" s="182">
        <f t="shared" ca="1" si="165"/>
        <v>0</v>
      </c>
      <c r="H920" s="182">
        <f t="shared" ca="1" si="155"/>
        <v>50361.489312203346</v>
      </c>
      <c r="I920" s="183">
        <v>0</v>
      </c>
      <c r="J920" s="263">
        <f t="shared" ca="1" si="158"/>
        <v>50361.489312203346</v>
      </c>
      <c r="K920" s="182">
        <f t="shared" ca="1" si="159"/>
        <v>70</v>
      </c>
      <c r="L920" s="182">
        <f t="shared" ca="1" si="160"/>
        <v>23761.489312203437</v>
      </c>
      <c r="M920" s="182">
        <f t="shared" ca="1" si="161"/>
        <v>8400</v>
      </c>
      <c r="N920" s="182">
        <f t="shared" ca="1" si="162"/>
        <v>87181.489312203325</v>
      </c>
      <c r="O920" s="182"/>
    </row>
    <row r="921" spans="1:15" x14ac:dyDescent="0.25">
      <c r="A921" s="180">
        <f t="shared" ca="1" si="163"/>
        <v>47011</v>
      </c>
      <c r="B921" s="181">
        <v>907</v>
      </c>
      <c r="C921" s="182">
        <f t="shared" ca="1" si="156"/>
        <v>50361.489312203346</v>
      </c>
      <c r="D921" s="182">
        <f t="shared" ca="1" si="164"/>
        <v>33.57432620813556</v>
      </c>
      <c r="E921" s="182">
        <v>0</v>
      </c>
      <c r="F921" s="182">
        <f t="shared" ca="1" si="157"/>
        <v>0</v>
      </c>
      <c r="G921" s="182">
        <f t="shared" ca="1" si="165"/>
        <v>0</v>
      </c>
      <c r="H921" s="182">
        <f t="shared" ca="1" si="155"/>
        <v>50395.063638411484</v>
      </c>
      <c r="I921" s="183">
        <v>0</v>
      </c>
      <c r="J921" s="263">
        <f t="shared" ca="1" si="158"/>
        <v>50395.063638411484</v>
      </c>
      <c r="K921" s="182">
        <f t="shared" ca="1" si="159"/>
        <v>70</v>
      </c>
      <c r="L921" s="182">
        <f t="shared" ca="1" si="160"/>
        <v>23795.063638411571</v>
      </c>
      <c r="M921" s="182">
        <f t="shared" ca="1" si="161"/>
        <v>8400</v>
      </c>
      <c r="N921" s="182">
        <f t="shared" ca="1" si="162"/>
        <v>87285.063638411462</v>
      </c>
      <c r="O921" s="182"/>
    </row>
    <row r="922" spans="1:15" x14ac:dyDescent="0.25">
      <c r="A922" s="180">
        <f t="shared" ca="1" si="163"/>
        <v>47012</v>
      </c>
      <c r="B922" s="181">
        <v>908</v>
      </c>
      <c r="C922" s="182">
        <f t="shared" ca="1" si="156"/>
        <v>50395.063638411484</v>
      </c>
      <c r="D922" s="182">
        <f t="shared" ca="1" si="164"/>
        <v>33.596709092274324</v>
      </c>
      <c r="E922" s="182">
        <v>0</v>
      </c>
      <c r="F922" s="182">
        <f t="shared" ca="1" si="157"/>
        <v>0</v>
      </c>
      <c r="G922" s="182">
        <f t="shared" ca="1" si="165"/>
        <v>0</v>
      </c>
      <c r="H922" s="182">
        <f t="shared" ca="1" si="155"/>
        <v>50428.660347503755</v>
      </c>
      <c r="I922" s="183">
        <v>0</v>
      </c>
      <c r="J922" s="263">
        <f t="shared" ca="1" si="158"/>
        <v>50428.660347503755</v>
      </c>
      <c r="K922" s="182">
        <f t="shared" ca="1" si="159"/>
        <v>70</v>
      </c>
      <c r="L922" s="182">
        <f t="shared" ca="1" si="160"/>
        <v>23828.660347503846</v>
      </c>
      <c r="M922" s="182">
        <f t="shared" ca="1" si="161"/>
        <v>8400</v>
      </c>
      <c r="N922" s="182">
        <f t="shared" ca="1" si="162"/>
        <v>87388.660347503741</v>
      </c>
      <c r="O922" s="182"/>
    </row>
    <row r="923" spans="1:15" x14ac:dyDescent="0.25">
      <c r="A923" s="180">
        <f t="shared" ca="1" si="163"/>
        <v>47013</v>
      </c>
      <c r="B923" s="181">
        <v>909</v>
      </c>
      <c r="C923" s="182">
        <f t="shared" ca="1" si="156"/>
        <v>50428.660347503755</v>
      </c>
      <c r="D923" s="182">
        <f t="shared" ca="1" si="164"/>
        <v>33.619106898335836</v>
      </c>
      <c r="E923" s="182">
        <v>0</v>
      </c>
      <c r="F923" s="182">
        <f t="shared" ca="1" si="157"/>
        <v>0</v>
      </c>
      <c r="G923" s="182">
        <f t="shared" ca="1" si="165"/>
        <v>0</v>
      </c>
      <c r="H923" s="182">
        <f t="shared" ca="1" si="155"/>
        <v>50462.279454402094</v>
      </c>
      <c r="I923" s="183">
        <v>0</v>
      </c>
      <c r="J923" s="263">
        <f t="shared" ca="1" si="158"/>
        <v>50462.279454402094</v>
      </c>
      <c r="K923" s="182">
        <f t="shared" ca="1" si="159"/>
        <v>70</v>
      </c>
      <c r="L923" s="182">
        <f t="shared" ca="1" si="160"/>
        <v>23862.279454402182</v>
      </c>
      <c r="M923" s="182">
        <f t="shared" ca="1" si="161"/>
        <v>8400</v>
      </c>
      <c r="N923" s="182">
        <f t="shared" ca="1" si="162"/>
        <v>87492.279454402073</v>
      </c>
      <c r="O923" s="182"/>
    </row>
    <row r="924" spans="1:15" x14ac:dyDescent="0.25">
      <c r="A924" s="180">
        <f t="shared" ca="1" si="163"/>
        <v>47014</v>
      </c>
      <c r="B924" s="181">
        <v>910</v>
      </c>
      <c r="C924" s="182">
        <f t="shared" ca="1" si="156"/>
        <v>50462.279454402094</v>
      </c>
      <c r="D924" s="182">
        <f t="shared" ca="1" si="164"/>
        <v>33.641519636268065</v>
      </c>
      <c r="E924" s="182">
        <v>0</v>
      </c>
      <c r="F924" s="182">
        <f t="shared" ca="1" si="157"/>
        <v>0</v>
      </c>
      <c r="G924" s="182">
        <f t="shared" ca="1" si="165"/>
        <v>0</v>
      </c>
      <c r="H924" s="182">
        <f t="shared" ca="1" si="155"/>
        <v>50495.920974038359</v>
      </c>
      <c r="I924" s="183">
        <v>0</v>
      </c>
      <c r="J924" s="263">
        <f t="shared" ca="1" si="158"/>
        <v>50495.920974038359</v>
      </c>
      <c r="K924" s="182">
        <f t="shared" ca="1" si="159"/>
        <v>70</v>
      </c>
      <c r="L924" s="182">
        <f t="shared" ca="1" si="160"/>
        <v>23895.92097403845</v>
      </c>
      <c r="M924" s="182">
        <f t="shared" ca="1" si="161"/>
        <v>8400</v>
      </c>
      <c r="N924" s="182">
        <f t="shared" ca="1" si="162"/>
        <v>87595.920974038338</v>
      </c>
      <c r="O924" s="182"/>
    </row>
    <row r="925" spans="1:15" x14ac:dyDescent="0.25">
      <c r="A925" s="180">
        <f t="shared" ca="1" si="163"/>
        <v>47015</v>
      </c>
      <c r="B925" s="181">
        <v>911</v>
      </c>
      <c r="C925" s="182">
        <f t="shared" ca="1" si="156"/>
        <v>50495.920974038359</v>
      </c>
      <c r="D925" s="182">
        <f t="shared" ca="1" si="164"/>
        <v>33.66394731602557</v>
      </c>
      <c r="E925" s="182">
        <v>0</v>
      </c>
      <c r="F925" s="182">
        <f t="shared" ca="1" si="157"/>
        <v>0</v>
      </c>
      <c r="G925" s="182">
        <f t="shared" ca="1" si="165"/>
        <v>0</v>
      </c>
      <c r="H925" s="182">
        <f t="shared" ca="1" si="155"/>
        <v>50529.584921354384</v>
      </c>
      <c r="I925" s="183">
        <v>0</v>
      </c>
      <c r="J925" s="263">
        <f t="shared" ca="1" si="158"/>
        <v>50529.584921354384</v>
      </c>
      <c r="K925" s="182">
        <f t="shared" ca="1" si="159"/>
        <v>70</v>
      </c>
      <c r="L925" s="182">
        <f t="shared" ca="1" si="160"/>
        <v>23929.584921354475</v>
      </c>
      <c r="M925" s="182">
        <f t="shared" ca="1" si="161"/>
        <v>8400</v>
      </c>
      <c r="N925" s="182">
        <f t="shared" ca="1" si="162"/>
        <v>87699.58492135437</v>
      </c>
      <c r="O925" s="182"/>
    </row>
    <row r="926" spans="1:15" x14ac:dyDescent="0.25">
      <c r="A926" s="180">
        <f t="shared" ca="1" si="163"/>
        <v>47016</v>
      </c>
      <c r="B926" s="181">
        <v>912</v>
      </c>
      <c r="C926" s="182">
        <f t="shared" ca="1" si="156"/>
        <v>50529.584921354384</v>
      </c>
      <c r="D926" s="182">
        <f t="shared" ca="1" si="164"/>
        <v>33.686389947569587</v>
      </c>
      <c r="E926" s="182">
        <v>0</v>
      </c>
      <c r="F926" s="182">
        <f t="shared" ca="1" si="157"/>
        <v>0</v>
      </c>
      <c r="G926" s="182">
        <f t="shared" ca="1" si="165"/>
        <v>0</v>
      </c>
      <c r="H926" s="182">
        <f t="shared" ca="1" si="155"/>
        <v>50563.271311301956</v>
      </c>
      <c r="I926" s="183">
        <v>0</v>
      </c>
      <c r="J926" s="263">
        <f t="shared" ca="1" si="158"/>
        <v>50563.271311301956</v>
      </c>
      <c r="K926" s="182">
        <f t="shared" ca="1" si="159"/>
        <v>70</v>
      </c>
      <c r="L926" s="182">
        <f t="shared" ca="1" si="160"/>
        <v>23963.271311302044</v>
      </c>
      <c r="M926" s="182">
        <f t="shared" ca="1" si="161"/>
        <v>8400</v>
      </c>
      <c r="N926" s="182">
        <f t="shared" ca="1" si="162"/>
        <v>87803.271311301942</v>
      </c>
      <c r="O926" s="182"/>
    </row>
    <row r="927" spans="1:15" x14ac:dyDescent="0.25">
      <c r="A927" s="180">
        <f t="shared" ca="1" si="163"/>
        <v>47017</v>
      </c>
      <c r="B927" s="181">
        <v>913</v>
      </c>
      <c r="C927" s="182">
        <f t="shared" ca="1" si="156"/>
        <v>50563.271311301956</v>
      </c>
      <c r="D927" s="182">
        <f t="shared" ca="1" si="164"/>
        <v>33.708847540867971</v>
      </c>
      <c r="E927" s="182">
        <v>0</v>
      </c>
      <c r="F927" s="182">
        <f t="shared" ca="1" si="157"/>
        <v>0</v>
      </c>
      <c r="G927" s="182">
        <f t="shared" ca="1" si="165"/>
        <v>0</v>
      </c>
      <c r="H927" s="182">
        <f t="shared" ca="1" si="155"/>
        <v>50596.980158842824</v>
      </c>
      <c r="I927" s="183">
        <v>0</v>
      </c>
      <c r="J927" s="263">
        <f t="shared" ca="1" si="158"/>
        <v>50596.980158842824</v>
      </c>
      <c r="K927" s="182">
        <f t="shared" ca="1" si="159"/>
        <v>70</v>
      </c>
      <c r="L927" s="182">
        <f t="shared" ca="1" si="160"/>
        <v>23996.980158842911</v>
      </c>
      <c r="M927" s="182">
        <f t="shared" ca="1" si="161"/>
        <v>8400</v>
      </c>
      <c r="N927" s="182">
        <f t="shared" ca="1" si="162"/>
        <v>87906.980158842809</v>
      </c>
      <c r="O927" s="182"/>
    </row>
    <row r="928" spans="1:15" x14ac:dyDescent="0.25">
      <c r="A928" s="180">
        <f t="shared" ca="1" si="163"/>
        <v>47018</v>
      </c>
      <c r="B928" s="181">
        <v>914</v>
      </c>
      <c r="C928" s="182">
        <f t="shared" ca="1" si="156"/>
        <v>50596.980158842824</v>
      </c>
      <c r="D928" s="182">
        <f t="shared" ca="1" si="164"/>
        <v>33.731320105895215</v>
      </c>
      <c r="E928" s="182">
        <v>0</v>
      </c>
      <c r="F928" s="182">
        <f t="shared" ca="1" si="157"/>
        <v>0</v>
      </c>
      <c r="G928" s="182">
        <f t="shared" ca="1" si="165"/>
        <v>0</v>
      </c>
      <c r="H928" s="182">
        <f t="shared" ca="1" si="155"/>
        <v>50630.711478948717</v>
      </c>
      <c r="I928" s="183">
        <v>0</v>
      </c>
      <c r="J928" s="263">
        <f t="shared" ca="1" si="158"/>
        <v>50630.711478948717</v>
      </c>
      <c r="K928" s="182">
        <f t="shared" ca="1" si="159"/>
        <v>70</v>
      </c>
      <c r="L928" s="182">
        <f t="shared" ca="1" si="160"/>
        <v>24030.711478948808</v>
      </c>
      <c r="M928" s="182">
        <f t="shared" ca="1" si="161"/>
        <v>8400</v>
      </c>
      <c r="N928" s="182">
        <f t="shared" ca="1" si="162"/>
        <v>88010.71147894871</v>
      </c>
      <c r="O928" s="182"/>
    </row>
    <row r="929" spans="1:15" x14ac:dyDescent="0.25">
      <c r="A929" s="180">
        <f t="shared" ca="1" si="163"/>
        <v>47019</v>
      </c>
      <c r="B929" s="181">
        <v>915</v>
      </c>
      <c r="C929" s="182">
        <f t="shared" ca="1" si="156"/>
        <v>50630.711478948717</v>
      </c>
      <c r="D929" s="182">
        <f t="shared" ca="1" si="164"/>
        <v>33.753807652632474</v>
      </c>
      <c r="E929" s="182">
        <v>0</v>
      </c>
      <c r="F929" s="182">
        <f t="shared" ca="1" si="157"/>
        <v>0</v>
      </c>
      <c r="G929" s="182">
        <f t="shared" ca="1" si="165"/>
        <v>0</v>
      </c>
      <c r="H929" s="182">
        <f t="shared" ca="1" si="155"/>
        <v>50664.465286601349</v>
      </c>
      <c r="I929" s="183">
        <v>0</v>
      </c>
      <c r="J929" s="263">
        <f t="shared" ca="1" si="158"/>
        <v>50664.465286601349</v>
      </c>
      <c r="K929" s="182">
        <f t="shared" ca="1" si="159"/>
        <v>70</v>
      </c>
      <c r="L929" s="182">
        <f t="shared" ca="1" si="160"/>
        <v>24064.46528660144</v>
      </c>
      <c r="M929" s="182">
        <f t="shared" ca="1" si="161"/>
        <v>8400</v>
      </c>
      <c r="N929" s="182">
        <f t="shared" ca="1" si="162"/>
        <v>88114.465286601335</v>
      </c>
      <c r="O929" s="182"/>
    </row>
    <row r="930" spans="1:15" x14ac:dyDescent="0.25">
      <c r="A930" s="180">
        <f t="shared" ca="1" si="163"/>
        <v>47020</v>
      </c>
      <c r="B930" s="181">
        <v>916</v>
      </c>
      <c r="C930" s="182">
        <f t="shared" ca="1" si="156"/>
        <v>50664.465286601349</v>
      </c>
      <c r="D930" s="182">
        <f t="shared" ca="1" si="164"/>
        <v>33.776310191067566</v>
      </c>
      <c r="E930" s="182">
        <v>0</v>
      </c>
      <c r="F930" s="182">
        <f t="shared" ca="1" si="157"/>
        <v>0</v>
      </c>
      <c r="G930" s="182">
        <f t="shared" ca="1" si="165"/>
        <v>0</v>
      </c>
      <c r="H930" s="182">
        <f t="shared" ca="1" si="155"/>
        <v>50698.241596792417</v>
      </c>
      <c r="I930" s="183">
        <v>0</v>
      </c>
      <c r="J930" s="263">
        <f t="shared" ca="1" si="158"/>
        <v>50698.241596792417</v>
      </c>
      <c r="K930" s="182">
        <f t="shared" ca="1" si="159"/>
        <v>70</v>
      </c>
      <c r="L930" s="182">
        <f t="shared" ca="1" si="160"/>
        <v>24098.241596792508</v>
      </c>
      <c r="M930" s="182">
        <f t="shared" ca="1" si="161"/>
        <v>8400</v>
      </c>
      <c r="N930" s="182">
        <f t="shared" ca="1" si="162"/>
        <v>88218.241596792403</v>
      </c>
      <c r="O930" s="182"/>
    </row>
    <row r="931" spans="1:15" x14ac:dyDescent="0.25">
      <c r="A931" s="180">
        <f t="shared" ca="1" si="163"/>
        <v>47021</v>
      </c>
      <c r="B931" s="181">
        <v>917</v>
      </c>
      <c r="C931" s="182">
        <f t="shared" ca="1" si="156"/>
        <v>50698.241596792417</v>
      </c>
      <c r="D931" s="182">
        <f t="shared" ca="1" si="164"/>
        <v>33.79882773119494</v>
      </c>
      <c r="E931" s="182">
        <v>0</v>
      </c>
      <c r="F931" s="182">
        <f t="shared" ca="1" si="157"/>
        <v>0</v>
      </c>
      <c r="G931" s="182">
        <f t="shared" ca="1" si="165"/>
        <v>0</v>
      </c>
      <c r="H931" s="182">
        <f t="shared" ref="H931:H994" ca="1" si="166">IF(G931&gt;0,C931+F931+I931,SUM(C931:F931)-G930)</f>
        <v>50732.040424523613</v>
      </c>
      <c r="I931" s="183">
        <v>0</v>
      </c>
      <c r="J931" s="263">
        <f t="shared" ca="1" si="158"/>
        <v>50732.040424523613</v>
      </c>
      <c r="K931" s="182">
        <f t="shared" ca="1" si="159"/>
        <v>70</v>
      </c>
      <c r="L931" s="182">
        <f t="shared" ca="1" si="160"/>
        <v>24132.040424523704</v>
      </c>
      <c r="M931" s="182">
        <f t="shared" ca="1" si="161"/>
        <v>8400</v>
      </c>
      <c r="N931" s="182">
        <f t="shared" ca="1" si="162"/>
        <v>88322.040424523599</v>
      </c>
      <c r="O931" s="182"/>
    </row>
    <row r="932" spans="1:15" x14ac:dyDescent="0.25">
      <c r="A932" s="180">
        <f t="shared" ca="1" si="163"/>
        <v>47022</v>
      </c>
      <c r="B932" s="181">
        <v>918</v>
      </c>
      <c r="C932" s="182">
        <f t="shared" ca="1" si="156"/>
        <v>50732.040424523613</v>
      </c>
      <c r="D932" s="182">
        <f t="shared" ca="1" si="164"/>
        <v>33.821360283015743</v>
      </c>
      <c r="E932" s="182">
        <v>0</v>
      </c>
      <c r="F932" s="182">
        <f t="shared" ca="1" si="157"/>
        <v>0</v>
      </c>
      <c r="G932" s="182">
        <f t="shared" ca="1" si="165"/>
        <v>0</v>
      </c>
      <c r="H932" s="182">
        <f t="shared" ca="1" si="166"/>
        <v>50765.861784806628</v>
      </c>
      <c r="I932" s="183">
        <v>0</v>
      </c>
      <c r="J932" s="263">
        <f t="shared" ca="1" si="158"/>
        <v>50765.861784806628</v>
      </c>
      <c r="K932" s="182">
        <f t="shared" ca="1" si="159"/>
        <v>70</v>
      </c>
      <c r="L932" s="182">
        <f t="shared" ca="1" si="160"/>
        <v>24165.861784806719</v>
      </c>
      <c r="M932" s="182">
        <f t="shared" ca="1" si="161"/>
        <v>8400</v>
      </c>
      <c r="N932" s="182">
        <f t="shared" ca="1" si="162"/>
        <v>88425.861784806621</v>
      </c>
      <c r="O932" s="182"/>
    </row>
    <row r="933" spans="1:15" x14ac:dyDescent="0.25">
      <c r="A933" s="180">
        <f t="shared" ca="1" si="163"/>
        <v>47023</v>
      </c>
      <c r="B933" s="181">
        <v>919</v>
      </c>
      <c r="C933" s="182">
        <f t="shared" ca="1" si="156"/>
        <v>50765.861784806628</v>
      </c>
      <c r="D933" s="182">
        <f t="shared" ca="1" si="164"/>
        <v>33.843907856537754</v>
      </c>
      <c r="E933" s="182">
        <v>0</v>
      </c>
      <c r="F933" s="182">
        <f t="shared" ca="1" si="157"/>
        <v>0</v>
      </c>
      <c r="G933" s="182">
        <f t="shared" ca="1" si="165"/>
        <v>0</v>
      </c>
      <c r="H933" s="182">
        <f t="shared" ca="1" si="166"/>
        <v>50799.705692663163</v>
      </c>
      <c r="I933" s="183">
        <v>0</v>
      </c>
      <c r="J933" s="263">
        <f t="shared" ca="1" si="158"/>
        <v>50799.705692663163</v>
      </c>
      <c r="K933" s="182">
        <f t="shared" ca="1" si="159"/>
        <v>70</v>
      </c>
      <c r="L933" s="182">
        <f t="shared" ca="1" si="160"/>
        <v>24199.705692663258</v>
      </c>
      <c r="M933" s="182">
        <f t="shared" ca="1" si="161"/>
        <v>8400</v>
      </c>
      <c r="N933" s="182">
        <f t="shared" ca="1" si="162"/>
        <v>88529.705692663163</v>
      </c>
      <c r="O933" s="182"/>
    </row>
    <row r="934" spans="1:15" x14ac:dyDescent="0.25">
      <c r="A934" s="180">
        <f t="shared" ca="1" si="163"/>
        <v>47024</v>
      </c>
      <c r="B934" s="181">
        <v>920</v>
      </c>
      <c r="C934" s="182">
        <f t="shared" ca="1" si="156"/>
        <v>50799.705692663163</v>
      </c>
      <c r="D934" s="182">
        <f t="shared" ca="1" si="164"/>
        <v>33.866470461775442</v>
      </c>
      <c r="E934" s="182">
        <v>0</v>
      </c>
      <c r="F934" s="182">
        <f t="shared" ca="1" si="157"/>
        <v>0</v>
      </c>
      <c r="G934" s="182">
        <f t="shared" ca="1" si="165"/>
        <v>0</v>
      </c>
      <c r="H934" s="182">
        <f t="shared" ca="1" si="166"/>
        <v>50833.57216312494</v>
      </c>
      <c r="I934" s="183">
        <v>0</v>
      </c>
      <c r="J934" s="263">
        <f t="shared" ca="1" si="158"/>
        <v>50833.57216312494</v>
      </c>
      <c r="K934" s="182">
        <f t="shared" ca="1" si="159"/>
        <v>70</v>
      </c>
      <c r="L934" s="182">
        <f t="shared" ca="1" si="160"/>
        <v>24233.572163125034</v>
      </c>
      <c r="M934" s="182">
        <f t="shared" ca="1" si="161"/>
        <v>8400</v>
      </c>
      <c r="N934" s="182">
        <f t="shared" ca="1" si="162"/>
        <v>88633.572163124933</v>
      </c>
      <c r="O934" s="182"/>
    </row>
    <row r="935" spans="1:15" x14ac:dyDescent="0.25">
      <c r="A935" s="180">
        <f t="shared" ca="1" si="163"/>
        <v>47025</v>
      </c>
      <c r="B935" s="181">
        <v>921</v>
      </c>
      <c r="C935" s="182">
        <f t="shared" ca="1" si="156"/>
        <v>50833.57216312494</v>
      </c>
      <c r="D935" s="182">
        <f t="shared" ca="1" si="164"/>
        <v>33.889048108749961</v>
      </c>
      <c r="E935" s="182">
        <v>0</v>
      </c>
      <c r="F935" s="182">
        <f t="shared" ca="1" si="157"/>
        <v>0</v>
      </c>
      <c r="G935" s="182">
        <f t="shared" ca="1" si="165"/>
        <v>0</v>
      </c>
      <c r="H935" s="182">
        <f t="shared" ca="1" si="166"/>
        <v>50867.461211233691</v>
      </c>
      <c r="I935" s="183">
        <v>0</v>
      </c>
      <c r="J935" s="263">
        <f t="shared" ca="1" si="158"/>
        <v>50867.461211233691</v>
      </c>
      <c r="K935" s="182">
        <f t="shared" ca="1" si="159"/>
        <v>70</v>
      </c>
      <c r="L935" s="182">
        <f t="shared" ca="1" si="160"/>
        <v>24267.461211233785</v>
      </c>
      <c r="M935" s="182">
        <f t="shared" ca="1" si="161"/>
        <v>8400</v>
      </c>
      <c r="N935" s="182">
        <f t="shared" ca="1" si="162"/>
        <v>88737.461211233676</v>
      </c>
      <c r="O935" s="182"/>
    </row>
    <row r="936" spans="1:15" x14ac:dyDescent="0.25">
      <c r="A936" s="180">
        <f t="shared" ca="1" si="163"/>
        <v>47026</v>
      </c>
      <c r="B936" s="181">
        <v>922</v>
      </c>
      <c r="C936" s="182">
        <f t="shared" ca="1" si="156"/>
        <v>50867.461211233691</v>
      </c>
      <c r="D936" s="182">
        <f t="shared" ca="1" si="164"/>
        <v>33.911640807489128</v>
      </c>
      <c r="E936" s="182">
        <v>0</v>
      </c>
      <c r="F936" s="182">
        <f t="shared" ca="1" si="157"/>
        <v>0</v>
      </c>
      <c r="G936" s="182">
        <f t="shared" ca="1" si="165"/>
        <v>0</v>
      </c>
      <c r="H936" s="182">
        <f t="shared" ca="1" si="166"/>
        <v>50901.372852041182</v>
      </c>
      <c r="I936" s="183">
        <v>0</v>
      </c>
      <c r="J936" s="263">
        <f t="shared" ca="1" si="158"/>
        <v>50901.372852041182</v>
      </c>
      <c r="K936" s="182">
        <f t="shared" ca="1" si="159"/>
        <v>70</v>
      </c>
      <c r="L936" s="182">
        <f t="shared" ca="1" si="160"/>
        <v>24301.372852041273</v>
      </c>
      <c r="M936" s="182">
        <f t="shared" ca="1" si="161"/>
        <v>8400</v>
      </c>
      <c r="N936" s="182">
        <f t="shared" ca="1" si="162"/>
        <v>88841.372852041168</v>
      </c>
      <c r="O936" s="182"/>
    </row>
    <row r="937" spans="1:15" x14ac:dyDescent="0.25">
      <c r="A937" s="180">
        <f t="shared" ca="1" si="163"/>
        <v>47027</v>
      </c>
      <c r="B937" s="181">
        <v>923</v>
      </c>
      <c r="C937" s="182">
        <f t="shared" ca="1" si="156"/>
        <v>50901.372852041182</v>
      </c>
      <c r="D937" s="182">
        <f t="shared" ca="1" si="164"/>
        <v>33.934248568027456</v>
      </c>
      <c r="E937" s="182">
        <v>0</v>
      </c>
      <c r="F937" s="182">
        <f t="shared" ca="1" si="157"/>
        <v>0</v>
      </c>
      <c r="G937" s="182">
        <f t="shared" ca="1" si="165"/>
        <v>0</v>
      </c>
      <c r="H937" s="182">
        <f t="shared" ca="1" si="166"/>
        <v>50935.307100609207</v>
      </c>
      <c r="I937" s="183">
        <v>0</v>
      </c>
      <c r="J937" s="263">
        <f t="shared" ca="1" si="158"/>
        <v>50935.307100609207</v>
      </c>
      <c r="K937" s="182">
        <f t="shared" ca="1" si="159"/>
        <v>70</v>
      </c>
      <c r="L937" s="182">
        <f t="shared" ca="1" si="160"/>
        <v>24335.307100609301</v>
      </c>
      <c r="M937" s="182">
        <f t="shared" ca="1" si="161"/>
        <v>8400</v>
      </c>
      <c r="N937" s="182">
        <f t="shared" ca="1" si="162"/>
        <v>88945.307100609192</v>
      </c>
      <c r="O937" s="182"/>
    </row>
    <row r="938" spans="1:15" x14ac:dyDescent="0.25">
      <c r="A938" s="180">
        <f t="shared" ca="1" si="163"/>
        <v>47028</v>
      </c>
      <c r="B938" s="181">
        <v>924</v>
      </c>
      <c r="C938" s="182">
        <f t="shared" ca="1" si="156"/>
        <v>50935.307100609207</v>
      </c>
      <c r="D938" s="182">
        <f t="shared" ca="1" si="164"/>
        <v>33.956871400406136</v>
      </c>
      <c r="E938" s="182">
        <v>0</v>
      </c>
      <c r="F938" s="182">
        <f t="shared" ca="1" si="157"/>
        <v>0</v>
      </c>
      <c r="G938" s="182">
        <f t="shared" ca="1" si="165"/>
        <v>0</v>
      </c>
      <c r="H938" s="182">
        <f t="shared" ca="1" si="166"/>
        <v>50969.263972009612</v>
      </c>
      <c r="I938" s="183">
        <v>0</v>
      </c>
      <c r="J938" s="263">
        <f t="shared" ca="1" si="158"/>
        <v>50969.263972009612</v>
      </c>
      <c r="K938" s="182">
        <f t="shared" ca="1" si="159"/>
        <v>70</v>
      </c>
      <c r="L938" s="182">
        <f t="shared" ca="1" si="160"/>
        <v>24369.263972009707</v>
      </c>
      <c r="M938" s="182">
        <f t="shared" ca="1" si="161"/>
        <v>8400</v>
      </c>
      <c r="N938" s="182">
        <f t="shared" ca="1" si="162"/>
        <v>89049.263972009605</v>
      </c>
      <c r="O938" s="182"/>
    </row>
    <row r="939" spans="1:15" x14ac:dyDescent="0.25">
      <c r="A939" s="180">
        <f t="shared" ca="1" si="163"/>
        <v>47029</v>
      </c>
      <c r="B939" s="181">
        <v>925</v>
      </c>
      <c r="C939" s="182">
        <f t="shared" ref="C939:C1002" ca="1" si="167">H938</f>
        <v>50969.263972009612</v>
      </c>
      <c r="D939" s="182">
        <f t="shared" ca="1" si="164"/>
        <v>33.979509314673074</v>
      </c>
      <c r="E939" s="182">
        <v>0</v>
      </c>
      <c r="F939" s="182">
        <f t="shared" ca="1" si="157"/>
        <v>0</v>
      </c>
      <c r="G939" s="182">
        <f t="shared" ca="1" si="165"/>
        <v>0</v>
      </c>
      <c r="H939" s="182">
        <f t="shared" ca="1" si="166"/>
        <v>51003.243481324287</v>
      </c>
      <c r="I939" s="183">
        <v>0</v>
      </c>
      <c r="J939" s="263">
        <f t="shared" ca="1" si="158"/>
        <v>51003.243481324287</v>
      </c>
      <c r="K939" s="182">
        <f t="shared" ca="1" si="159"/>
        <v>70</v>
      </c>
      <c r="L939" s="182">
        <f t="shared" ca="1" si="160"/>
        <v>24403.243481324378</v>
      </c>
      <c r="M939" s="182">
        <f t="shared" ca="1" si="161"/>
        <v>8400</v>
      </c>
      <c r="N939" s="182">
        <f t="shared" ca="1" si="162"/>
        <v>89153.243481324273</v>
      </c>
      <c r="O939" s="182"/>
    </row>
    <row r="940" spans="1:15" x14ac:dyDescent="0.25">
      <c r="A940" s="180">
        <f t="shared" ca="1" si="163"/>
        <v>47030</v>
      </c>
      <c r="B940" s="181">
        <v>926</v>
      </c>
      <c r="C940" s="182">
        <f t="shared" ca="1" si="167"/>
        <v>51003.243481324287</v>
      </c>
      <c r="D940" s="182">
        <f t="shared" ca="1" si="164"/>
        <v>34.00216232088286</v>
      </c>
      <c r="E940" s="182">
        <v>0</v>
      </c>
      <c r="F940" s="182">
        <f t="shared" ref="F940:F1003" ca="1" si="168">IFERROR(-VLOOKUP(A940,$P$4:$R$31,2,FALSE),0)</f>
        <v>0</v>
      </c>
      <c r="G940" s="182">
        <f t="shared" ca="1" si="165"/>
        <v>0</v>
      </c>
      <c r="H940" s="182">
        <f t="shared" ca="1" si="166"/>
        <v>51037.245643645168</v>
      </c>
      <c r="I940" s="183">
        <v>0</v>
      </c>
      <c r="J940" s="263">
        <f t="shared" ca="1" si="158"/>
        <v>51037.245643645168</v>
      </c>
      <c r="K940" s="182">
        <f t="shared" ca="1" si="159"/>
        <v>70</v>
      </c>
      <c r="L940" s="182">
        <f t="shared" ca="1" si="160"/>
        <v>24437.245643645259</v>
      </c>
      <c r="M940" s="182">
        <f t="shared" ca="1" si="161"/>
        <v>8400</v>
      </c>
      <c r="N940" s="182">
        <f t="shared" ca="1" si="162"/>
        <v>89257.245643645161</v>
      </c>
      <c r="O940" s="182"/>
    </row>
    <row r="941" spans="1:15" x14ac:dyDescent="0.25">
      <c r="A941" s="180">
        <f t="shared" ca="1" si="163"/>
        <v>47031</v>
      </c>
      <c r="B941" s="181">
        <v>927</v>
      </c>
      <c r="C941" s="182">
        <f t="shared" ca="1" si="167"/>
        <v>51037.245643645168</v>
      </c>
      <c r="D941" s="182">
        <f t="shared" ca="1" si="164"/>
        <v>34.024830429096781</v>
      </c>
      <c r="E941" s="182">
        <v>0</v>
      </c>
      <c r="F941" s="182">
        <f t="shared" ca="1" si="168"/>
        <v>0</v>
      </c>
      <c r="G941" s="182">
        <f t="shared" ca="1" si="165"/>
        <v>0</v>
      </c>
      <c r="H941" s="182">
        <f t="shared" ca="1" si="166"/>
        <v>51071.270474074263</v>
      </c>
      <c r="I941" s="183">
        <v>0</v>
      </c>
      <c r="J941" s="263">
        <f t="shared" ca="1" si="158"/>
        <v>51071.270474074263</v>
      </c>
      <c r="K941" s="182">
        <f t="shared" ca="1" si="159"/>
        <v>70</v>
      </c>
      <c r="L941" s="182">
        <f t="shared" ca="1" si="160"/>
        <v>24471.270474074357</v>
      </c>
      <c r="M941" s="182">
        <f t="shared" ca="1" si="161"/>
        <v>8400</v>
      </c>
      <c r="N941" s="182">
        <f t="shared" ca="1" si="162"/>
        <v>89361.270474074263</v>
      </c>
      <c r="O941" s="182"/>
    </row>
    <row r="942" spans="1:15" x14ac:dyDescent="0.25">
      <c r="A942" s="180">
        <f t="shared" ca="1" si="163"/>
        <v>47032</v>
      </c>
      <c r="B942" s="181">
        <v>928</v>
      </c>
      <c r="C942" s="182">
        <f t="shared" ca="1" si="167"/>
        <v>51071.270474074263</v>
      </c>
      <c r="D942" s="182">
        <f t="shared" ca="1" si="164"/>
        <v>34.047513649382843</v>
      </c>
      <c r="E942" s="182">
        <v>0</v>
      </c>
      <c r="F942" s="182">
        <f t="shared" ca="1" si="168"/>
        <v>0</v>
      </c>
      <c r="G942" s="182">
        <f t="shared" ca="1" si="165"/>
        <v>0</v>
      </c>
      <c r="H942" s="182">
        <f t="shared" ca="1" si="166"/>
        <v>51105.317987723647</v>
      </c>
      <c r="I942" s="183">
        <v>0</v>
      </c>
      <c r="J942" s="263">
        <f t="shared" ca="1" si="158"/>
        <v>51105.317987723647</v>
      </c>
      <c r="K942" s="182">
        <f t="shared" ca="1" si="159"/>
        <v>70</v>
      </c>
      <c r="L942" s="182">
        <f t="shared" ca="1" si="160"/>
        <v>24505.317987723742</v>
      </c>
      <c r="M942" s="182">
        <f t="shared" ca="1" si="161"/>
        <v>8400</v>
      </c>
      <c r="N942" s="182">
        <f t="shared" ca="1" si="162"/>
        <v>89465.31798772364</v>
      </c>
      <c r="O942" s="182"/>
    </row>
    <row r="943" spans="1:15" x14ac:dyDescent="0.25">
      <c r="A943" s="180">
        <f t="shared" ca="1" si="163"/>
        <v>47033</v>
      </c>
      <c r="B943" s="181">
        <v>929</v>
      </c>
      <c r="C943" s="182">
        <f t="shared" ca="1" si="167"/>
        <v>51105.317987723647</v>
      </c>
      <c r="D943" s="182">
        <f t="shared" ca="1" si="164"/>
        <v>34.070211991815761</v>
      </c>
      <c r="E943" s="182">
        <v>0</v>
      </c>
      <c r="F943" s="182">
        <f t="shared" ca="1" si="168"/>
        <v>0</v>
      </c>
      <c r="G943" s="182">
        <f t="shared" ca="1" si="165"/>
        <v>0</v>
      </c>
      <c r="H943" s="182">
        <f t="shared" ca="1" si="166"/>
        <v>51139.38819971546</v>
      </c>
      <c r="I943" s="183">
        <v>0</v>
      </c>
      <c r="J943" s="263">
        <f t="shared" ca="1" si="158"/>
        <v>51139.38819971546</v>
      </c>
      <c r="K943" s="182">
        <f t="shared" ca="1" si="159"/>
        <v>70</v>
      </c>
      <c r="L943" s="182">
        <f t="shared" ca="1" si="160"/>
        <v>24539.388199715559</v>
      </c>
      <c r="M943" s="182">
        <f t="shared" ca="1" si="161"/>
        <v>8400</v>
      </c>
      <c r="N943" s="182">
        <f t="shared" ca="1" si="162"/>
        <v>89569.388199715453</v>
      </c>
      <c r="O943" s="182"/>
    </row>
    <row r="944" spans="1:15" x14ac:dyDescent="0.25">
      <c r="A944" s="180">
        <f t="shared" ca="1" si="163"/>
        <v>47034</v>
      </c>
      <c r="B944" s="181">
        <v>930</v>
      </c>
      <c r="C944" s="182">
        <f t="shared" ca="1" si="167"/>
        <v>51139.38819971546</v>
      </c>
      <c r="D944" s="182">
        <f t="shared" ca="1" si="164"/>
        <v>34.09292546647697</v>
      </c>
      <c r="E944" s="182">
        <v>0</v>
      </c>
      <c r="F944" s="182">
        <f t="shared" ca="1" si="168"/>
        <v>0</v>
      </c>
      <c r="G944" s="182">
        <f t="shared" ca="1" si="165"/>
        <v>0</v>
      </c>
      <c r="H944" s="182">
        <f t="shared" ca="1" si="166"/>
        <v>51173.481125181934</v>
      </c>
      <c r="I944" s="183">
        <v>0</v>
      </c>
      <c r="J944" s="263">
        <f t="shared" ca="1" si="158"/>
        <v>51173.481125181934</v>
      </c>
      <c r="K944" s="182">
        <f t="shared" ca="1" si="159"/>
        <v>70</v>
      </c>
      <c r="L944" s="182">
        <f t="shared" ca="1" si="160"/>
        <v>24573.481125182036</v>
      </c>
      <c r="M944" s="182">
        <f t="shared" ca="1" si="161"/>
        <v>8400</v>
      </c>
      <c r="N944" s="182">
        <f t="shared" ca="1" si="162"/>
        <v>89673.481125181934</v>
      </c>
      <c r="O944" s="182"/>
    </row>
    <row r="945" spans="1:15" x14ac:dyDescent="0.25">
      <c r="A945" s="180">
        <f t="shared" ca="1" si="163"/>
        <v>47035</v>
      </c>
      <c r="B945" s="181">
        <v>931</v>
      </c>
      <c r="C945" s="182">
        <f t="shared" ca="1" si="167"/>
        <v>51173.481125181934</v>
      </c>
      <c r="D945" s="182">
        <f t="shared" ca="1" si="164"/>
        <v>34.115654083454622</v>
      </c>
      <c r="E945" s="182">
        <v>0</v>
      </c>
      <c r="F945" s="182">
        <f t="shared" ca="1" si="168"/>
        <v>0</v>
      </c>
      <c r="G945" s="182">
        <f t="shared" ca="1" si="165"/>
        <v>0</v>
      </c>
      <c r="H945" s="182">
        <f t="shared" ca="1" si="166"/>
        <v>51207.59677926539</v>
      </c>
      <c r="I945" s="183">
        <v>0</v>
      </c>
      <c r="J945" s="263">
        <f t="shared" ca="1" si="158"/>
        <v>51207.59677926539</v>
      </c>
      <c r="K945" s="182">
        <f t="shared" ca="1" si="159"/>
        <v>70</v>
      </c>
      <c r="L945" s="182">
        <f t="shared" ca="1" si="160"/>
        <v>24607.596779265492</v>
      </c>
      <c r="M945" s="182">
        <f t="shared" ca="1" si="161"/>
        <v>8400</v>
      </c>
      <c r="N945" s="182">
        <f t="shared" ca="1" si="162"/>
        <v>89777.596779265383</v>
      </c>
      <c r="O945" s="182"/>
    </row>
    <row r="946" spans="1:15" x14ac:dyDescent="0.25">
      <c r="A946" s="180">
        <f t="shared" ca="1" si="163"/>
        <v>47036</v>
      </c>
      <c r="B946" s="181">
        <v>932</v>
      </c>
      <c r="C946" s="182">
        <f t="shared" ca="1" si="167"/>
        <v>51207.59677926539</v>
      </c>
      <c r="D946" s="182">
        <f t="shared" ca="1" si="164"/>
        <v>34.138397852843589</v>
      </c>
      <c r="E946" s="182">
        <v>0</v>
      </c>
      <c r="F946" s="182">
        <f t="shared" ca="1" si="168"/>
        <v>0</v>
      </c>
      <c r="G946" s="182">
        <f t="shared" ca="1" si="165"/>
        <v>0</v>
      </c>
      <c r="H946" s="182">
        <f t="shared" ca="1" si="166"/>
        <v>51241.735177118237</v>
      </c>
      <c r="I946" s="183">
        <v>0</v>
      </c>
      <c r="J946" s="263">
        <f t="shared" ca="1" si="158"/>
        <v>51241.735177118237</v>
      </c>
      <c r="K946" s="182">
        <f t="shared" ca="1" si="159"/>
        <v>70</v>
      </c>
      <c r="L946" s="182">
        <f t="shared" ca="1" si="160"/>
        <v>24641.735177118335</v>
      </c>
      <c r="M946" s="182">
        <f t="shared" ca="1" si="161"/>
        <v>8400</v>
      </c>
      <c r="N946" s="182">
        <f t="shared" ca="1" si="162"/>
        <v>89881.735177118229</v>
      </c>
      <c r="O946" s="182"/>
    </row>
    <row r="947" spans="1:15" x14ac:dyDescent="0.25">
      <c r="A947" s="180">
        <f t="shared" ca="1" si="163"/>
        <v>47037</v>
      </c>
      <c r="B947" s="181">
        <v>933</v>
      </c>
      <c r="C947" s="182">
        <f t="shared" ca="1" si="167"/>
        <v>51241.735177118237</v>
      </c>
      <c r="D947" s="182">
        <f t="shared" ca="1" si="164"/>
        <v>34.161156784745486</v>
      </c>
      <c r="E947" s="182">
        <v>0</v>
      </c>
      <c r="F947" s="182">
        <f t="shared" ca="1" si="168"/>
        <v>0</v>
      </c>
      <c r="G947" s="182">
        <f t="shared" ca="1" si="165"/>
        <v>0</v>
      </c>
      <c r="H947" s="182">
        <f t="shared" ca="1" si="166"/>
        <v>51275.89633390298</v>
      </c>
      <c r="I947" s="183">
        <v>0</v>
      </c>
      <c r="J947" s="263">
        <f t="shared" ca="1" si="158"/>
        <v>51275.89633390298</v>
      </c>
      <c r="K947" s="182">
        <f t="shared" ca="1" si="159"/>
        <v>70</v>
      </c>
      <c r="L947" s="182">
        <f t="shared" ca="1" si="160"/>
        <v>24675.896333903082</v>
      </c>
      <c r="M947" s="182">
        <f t="shared" ca="1" si="161"/>
        <v>8400</v>
      </c>
      <c r="N947" s="182">
        <f t="shared" ca="1" si="162"/>
        <v>89985.896333902972</v>
      </c>
      <c r="O947" s="182"/>
    </row>
    <row r="948" spans="1:15" x14ac:dyDescent="0.25">
      <c r="A948" s="180">
        <f t="shared" ca="1" si="163"/>
        <v>47038</v>
      </c>
      <c r="B948" s="181">
        <v>934</v>
      </c>
      <c r="C948" s="182">
        <f t="shared" ca="1" si="167"/>
        <v>51275.89633390298</v>
      </c>
      <c r="D948" s="182">
        <f t="shared" ca="1" si="164"/>
        <v>34.183930889268652</v>
      </c>
      <c r="E948" s="182">
        <v>0</v>
      </c>
      <c r="F948" s="182">
        <f t="shared" ca="1" si="168"/>
        <v>0</v>
      </c>
      <c r="G948" s="182">
        <f t="shared" ca="1" si="165"/>
        <v>0</v>
      </c>
      <c r="H948" s="182">
        <f t="shared" ca="1" si="166"/>
        <v>51310.080264792246</v>
      </c>
      <c r="I948" s="183">
        <v>0</v>
      </c>
      <c r="J948" s="263">
        <f t="shared" ca="1" si="158"/>
        <v>51310.080264792246</v>
      </c>
      <c r="K948" s="182">
        <f t="shared" ca="1" si="159"/>
        <v>70</v>
      </c>
      <c r="L948" s="182">
        <f t="shared" ca="1" si="160"/>
        <v>24710.080264792352</v>
      </c>
      <c r="M948" s="182">
        <f t="shared" ca="1" si="161"/>
        <v>8400</v>
      </c>
      <c r="N948" s="182">
        <f t="shared" ca="1" si="162"/>
        <v>90090.080264792239</v>
      </c>
      <c r="O948" s="182"/>
    </row>
    <row r="949" spans="1:15" x14ac:dyDescent="0.25">
      <c r="A949" s="180">
        <f t="shared" ca="1" si="163"/>
        <v>47039</v>
      </c>
      <c r="B949" s="181">
        <v>935</v>
      </c>
      <c r="C949" s="182">
        <f t="shared" ca="1" si="167"/>
        <v>51310.080264792246</v>
      </c>
      <c r="D949" s="182">
        <f t="shared" ca="1" si="164"/>
        <v>34.206720176528165</v>
      </c>
      <c r="E949" s="182">
        <v>0</v>
      </c>
      <c r="F949" s="182">
        <f t="shared" ca="1" si="168"/>
        <v>0</v>
      </c>
      <c r="G949" s="182">
        <f t="shared" ca="1" si="165"/>
        <v>0</v>
      </c>
      <c r="H949" s="182">
        <f t="shared" ca="1" si="166"/>
        <v>51344.286984968778</v>
      </c>
      <c r="I949" s="183">
        <v>0</v>
      </c>
      <c r="J949" s="263">
        <f t="shared" ca="1" si="158"/>
        <v>51344.286984968778</v>
      </c>
      <c r="K949" s="182">
        <f t="shared" ca="1" si="159"/>
        <v>70</v>
      </c>
      <c r="L949" s="182">
        <f t="shared" ca="1" si="160"/>
        <v>24744.28698496888</v>
      </c>
      <c r="M949" s="182">
        <f t="shared" ca="1" si="161"/>
        <v>8400</v>
      </c>
      <c r="N949" s="182">
        <f t="shared" ca="1" si="162"/>
        <v>90194.28698496877</v>
      </c>
      <c r="O949" s="182"/>
    </row>
    <row r="950" spans="1:15" x14ac:dyDescent="0.25">
      <c r="A950" s="180">
        <f t="shared" ca="1" si="163"/>
        <v>47040</v>
      </c>
      <c r="B950" s="181">
        <v>936</v>
      </c>
      <c r="C950" s="182">
        <f t="shared" ca="1" si="167"/>
        <v>51344.286984968778</v>
      </c>
      <c r="D950" s="182">
        <f t="shared" ca="1" si="164"/>
        <v>34.22952465664585</v>
      </c>
      <c r="E950" s="182">
        <v>0</v>
      </c>
      <c r="F950" s="182">
        <f t="shared" ca="1" si="168"/>
        <v>0</v>
      </c>
      <c r="G950" s="182">
        <f t="shared" ca="1" si="165"/>
        <v>0</v>
      </c>
      <c r="H950" s="182">
        <f t="shared" ca="1" si="166"/>
        <v>51378.51650962542</v>
      </c>
      <c r="I950" s="183">
        <v>0</v>
      </c>
      <c r="J950" s="263">
        <f t="shared" ca="1" si="158"/>
        <v>51378.51650962542</v>
      </c>
      <c r="K950" s="182">
        <f t="shared" ca="1" si="159"/>
        <v>70</v>
      </c>
      <c r="L950" s="182">
        <f t="shared" ca="1" si="160"/>
        <v>24778.516509625526</v>
      </c>
      <c r="M950" s="182">
        <f t="shared" ca="1" si="161"/>
        <v>8400</v>
      </c>
      <c r="N950" s="182">
        <f t="shared" ca="1" si="162"/>
        <v>90298.51650962542</v>
      </c>
      <c r="O950" s="182"/>
    </row>
    <row r="951" spans="1:15" x14ac:dyDescent="0.25">
      <c r="A951" s="180">
        <f t="shared" ca="1" si="163"/>
        <v>47041</v>
      </c>
      <c r="B951" s="181">
        <v>937</v>
      </c>
      <c r="C951" s="182">
        <f t="shared" ca="1" si="167"/>
        <v>51378.51650962542</v>
      </c>
      <c r="D951" s="182">
        <f t="shared" ca="1" si="164"/>
        <v>34.25234433975028</v>
      </c>
      <c r="E951" s="182">
        <v>0</v>
      </c>
      <c r="F951" s="182">
        <f t="shared" ca="1" si="168"/>
        <v>0</v>
      </c>
      <c r="G951" s="182">
        <f t="shared" ca="1" si="165"/>
        <v>0</v>
      </c>
      <c r="H951" s="182">
        <f t="shared" ca="1" si="166"/>
        <v>51412.768853965172</v>
      </c>
      <c r="I951" s="183">
        <v>0</v>
      </c>
      <c r="J951" s="263">
        <f t="shared" ca="1" si="158"/>
        <v>51412.768853965172</v>
      </c>
      <c r="K951" s="182">
        <f t="shared" ca="1" si="159"/>
        <v>70</v>
      </c>
      <c r="L951" s="182">
        <f t="shared" ca="1" si="160"/>
        <v>24812.768853965277</v>
      </c>
      <c r="M951" s="182">
        <f t="shared" ca="1" si="161"/>
        <v>8400</v>
      </c>
      <c r="N951" s="182">
        <f t="shared" ca="1" si="162"/>
        <v>90402.768853965172</v>
      </c>
      <c r="O951" s="182"/>
    </row>
    <row r="952" spans="1:15" x14ac:dyDescent="0.25">
      <c r="A952" s="180">
        <f t="shared" ca="1" si="163"/>
        <v>47042</v>
      </c>
      <c r="B952" s="181">
        <v>938</v>
      </c>
      <c r="C952" s="182">
        <f t="shared" ca="1" si="167"/>
        <v>51412.768853965172</v>
      </c>
      <c r="D952" s="182">
        <f t="shared" ca="1" si="164"/>
        <v>34.275179235976779</v>
      </c>
      <c r="E952" s="182">
        <v>0</v>
      </c>
      <c r="F952" s="182">
        <f t="shared" ca="1" si="168"/>
        <v>0</v>
      </c>
      <c r="G952" s="182">
        <f t="shared" ca="1" si="165"/>
        <v>0</v>
      </c>
      <c r="H952" s="182">
        <f t="shared" ca="1" si="166"/>
        <v>51447.044033201149</v>
      </c>
      <c r="I952" s="183">
        <v>0</v>
      </c>
      <c r="J952" s="263">
        <f t="shared" ca="1" si="158"/>
        <v>51447.044033201149</v>
      </c>
      <c r="K952" s="182">
        <f t="shared" ca="1" si="159"/>
        <v>70</v>
      </c>
      <c r="L952" s="182">
        <f t="shared" ca="1" si="160"/>
        <v>24847.044033201255</v>
      </c>
      <c r="M952" s="182">
        <f t="shared" ca="1" si="161"/>
        <v>8400</v>
      </c>
      <c r="N952" s="182">
        <f t="shared" ca="1" si="162"/>
        <v>90507.044033201149</v>
      </c>
      <c r="O952" s="182"/>
    </row>
    <row r="953" spans="1:15" x14ac:dyDescent="0.25">
      <c r="A953" s="180">
        <f t="shared" ca="1" si="163"/>
        <v>47043</v>
      </c>
      <c r="B953" s="181">
        <v>939</v>
      </c>
      <c r="C953" s="182">
        <f t="shared" ca="1" si="167"/>
        <v>51447.044033201149</v>
      </c>
      <c r="D953" s="182">
        <f t="shared" ca="1" si="164"/>
        <v>34.298029355467435</v>
      </c>
      <c r="E953" s="182">
        <v>0</v>
      </c>
      <c r="F953" s="182">
        <f t="shared" ca="1" si="168"/>
        <v>0</v>
      </c>
      <c r="G953" s="182">
        <f t="shared" ca="1" si="165"/>
        <v>0</v>
      </c>
      <c r="H953" s="182">
        <f t="shared" ca="1" si="166"/>
        <v>51481.342062556614</v>
      </c>
      <c r="I953" s="183">
        <v>0</v>
      </c>
      <c r="J953" s="263">
        <f t="shared" ca="1" si="158"/>
        <v>51481.342062556614</v>
      </c>
      <c r="K953" s="182">
        <f t="shared" ca="1" si="159"/>
        <v>70</v>
      </c>
      <c r="L953" s="182">
        <f t="shared" ca="1" si="160"/>
        <v>24881.342062556723</v>
      </c>
      <c r="M953" s="182">
        <f t="shared" ca="1" si="161"/>
        <v>8400</v>
      </c>
      <c r="N953" s="182">
        <f t="shared" ca="1" si="162"/>
        <v>90611.342062556621</v>
      </c>
      <c r="O953" s="182"/>
    </row>
    <row r="954" spans="1:15" x14ac:dyDescent="0.25">
      <c r="A954" s="180">
        <f t="shared" ca="1" si="163"/>
        <v>47044</v>
      </c>
      <c r="B954" s="181">
        <v>940</v>
      </c>
      <c r="C954" s="182">
        <f t="shared" ca="1" si="167"/>
        <v>51481.342062556614</v>
      </c>
      <c r="D954" s="182">
        <f t="shared" ca="1" si="164"/>
        <v>34.320894708371078</v>
      </c>
      <c r="E954" s="182">
        <v>0</v>
      </c>
      <c r="F954" s="182">
        <f t="shared" ca="1" si="168"/>
        <v>0</v>
      </c>
      <c r="G954" s="182">
        <f t="shared" ca="1" si="165"/>
        <v>0</v>
      </c>
      <c r="H954" s="182">
        <f t="shared" ca="1" si="166"/>
        <v>51515.662957264984</v>
      </c>
      <c r="I954" s="183">
        <v>0</v>
      </c>
      <c r="J954" s="263">
        <f t="shared" ca="1" si="158"/>
        <v>51515.662957264984</v>
      </c>
      <c r="K954" s="182">
        <f t="shared" ca="1" si="159"/>
        <v>70</v>
      </c>
      <c r="L954" s="182">
        <f t="shared" ca="1" si="160"/>
        <v>24915.662957265093</v>
      </c>
      <c r="M954" s="182">
        <f t="shared" ca="1" si="161"/>
        <v>8400</v>
      </c>
      <c r="N954" s="182">
        <f t="shared" ca="1" si="162"/>
        <v>90715.662957264998</v>
      </c>
      <c r="O954" s="182"/>
    </row>
    <row r="955" spans="1:15" x14ac:dyDescent="0.25">
      <c r="A955" s="180">
        <f t="shared" ca="1" si="163"/>
        <v>47045</v>
      </c>
      <c r="B955" s="181">
        <v>941</v>
      </c>
      <c r="C955" s="182">
        <f t="shared" ca="1" si="167"/>
        <v>51515.662957264984</v>
      </c>
      <c r="D955" s="182">
        <f t="shared" ca="1" si="164"/>
        <v>34.343775304843319</v>
      </c>
      <c r="E955" s="182">
        <v>0</v>
      </c>
      <c r="F955" s="182">
        <f t="shared" ca="1" si="168"/>
        <v>0</v>
      </c>
      <c r="G955" s="182">
        <f t="shared" ca="1" si="165"/>
        <v>0</v>
      </c>
      <c r="H955" s="182">
        <f t="shared" ca="1" si="166"/>
        <v>51550.006732569826</v>
      </c>
      <c r="I955" s="183">
        <v>0</v>
      </c>
      <c r="J955" s="263">
        <f t="shared" ca="1" si="158"/>
        <v>51550.006732569826</v>
      </c>
      <c r="K955" s="182">
        <f t="shared" ca="1" si="159"/>
        <v>70</v>
      </c>
      <c r="L955" s="182">
        <f t="shared" ca="1" si="160"/>
        <v>24950.006732569935</v>
      </c>
      <c r="M955" s="182">
        <f t="shared" ca="1" si="161"/>
        <v>8400</v>
      </c>
      <c r="N955" s="182">
        <f t="shared" ca="1" si="162"/>
        <v>90820.006732569847</v>
      </c>
      <c r="O955" s="182"/>
    </row>
    <row r="956" spans="1:15" x14ac:dyDescent="0.25">
      <c r="A956" s="180">
        <f t="shared" ca="1" si="163"/>
        <v>47046</v>
      </c>
      <c r="B956" s="181">
        <v>942</v>
      </c>
      <c r="C956" s="182">
        <f t="shared" ca="1" si="167"/>
        <v>51550.006732569826</v>
      </c>
      <c r="D956" s="182">
        <f t="shared" ca="1" si="164"/>
        <v>34.366671155046546</v>
      </c>
      <c r="E956" s="182">
        <v>0</v>
      </c>
      <c r="F956" s="182">
        <f t="shared" ca="1" si="168"/>
        <v>0</v>
      </c>
      <c r="G956" s="182">
        <f t="shared" ca="1" si="165"/>
        <v>0</v>
      </c>
      <c r="H956" s="182">
        <f t="shared" ca="1" si="166"/>
        <v>51584.373403724872</v>
      </c>
      <c r="I956" s="183">
        <v>0</v>
      </c>
      <c r="J956" s="263">
        <f t="shared" ca="1" si="158"/>
        <v>51584.373403724872</v>
      </c>
      <c r="K956" s="182">
        <f t="shared" ca="1" si="159"/>
        <v>70</v>
      </c>
      <c r="L956" s="182">
        <f t="shared" ca="1" si="160"/>
        <v>24984.373403724981</v>
      </c>
      <c r="M956" s="182">
        <f t="shared" ca="1" si="161"/>
        <v>8400</v>
      </c>
      <c r="N956" s="182">
        <f t="shared" ca="1" si="162"/>
        <v>90924.373403724894</v>
      </c>
      <c r="O956" s="182"/>
    </row>
    <row r="957" spans="1:15" x14ac:dyDescent="0.25">
      <c r="A957" s="180">
        <f t="shared" ca="1" si="163"/>
        <v>47047</v>
      </c>
      <c r="B957" s="181">
        <v>943</v>
      </c>
      <c r="C957" s="182">
        <f t="shared" ca="1" si="167"/>
        <v>51584.373403724872</v>
      </c>
      <c r="D957" s="182">
        <f t="shared" ca="1" si="164"/>
        <v>34.389582269149912</v>
      </c>
      <c r="E957" s="182">
        <v>0</v>
      </c>
      <c r="F957" s="182">
        <f t="shared" ca="1" si="168"/>
        <v>0</v>
      </c>
      <c r="G957" s="182">
        <f t="shared" ca="1" si="165"/>
        <v>0</v>
      </c>
      <c r="H957" s="182">
        <f t="shared" ca="1" si="166"/>
        <v>51618.762985994021</v>
      </c>
      <c r="I957" s="183">
        <v>0</v>
      </c>
      <c r="J957" s="263">
        <f t="shared" ca="1" si="158"/>
        <v>51618.762985994021</v>
      </c>
      <c r="K957" s="182">
        <f t="shared" ca="1" si="159"/>
        <v>70</v>
      </c>
      <c r="L957" s="182">
        <f t="shared" ca="1" si="160"/>
        <v>25018.76298599413</v>
      </c>
      <c r="M957" s="182">
        <f t="shared" ca="1" si="161"/>
        <v>8400</v>
      </c>
      <c r="N957" s="182">
        <f t="shared" ca="1" si="162"/>
        <v>91028.76298599405</v>
      </c>
      <c r="O957" s="182"/>
    </row>
    <row r="958" spans="1:15" x14ac:dyDescent="0.25">
      <c r="A958" s="180">
        <f t="shared" ca="1" si="163"/>
        <v>47048</v>
      </c>
      <c r="B958" s="181">
        <v>944</v>
      </c>
      <c r="C958" s="182">
        <f t="shared" ca="1" si="167"/>
        <v>51618.762985994021</v>
      </c>
      <c r="D958" s="182">
        <f t="shared" ca="1" si="164"/>
        <v>34.412508657329347</v>
      </c>
      <c r="E958" s="182">
        <v>0</v>
      </c>
      <c r="F958" s="182">
        <f t="shared" ca="1" si="168"/>
        <v>0</v>
      </c>
      <c r="G958" s="182">
        <f t="shared" ca="1" si="165"/>
        <v>0</v>
      </c>
      <c r="H958" s="182">
        <f t="shared" ca="1" si="166"/>
        <v>51653.175494651347</v>
      </c>
      <c r="I958" s="183">
        <v>0</v>
      </c>
      <c r="J958" s="263">
        <f t="shared" ca="1" si="158"/>
        <v>51653.175494651347</v>
      </c>
      <c r="K958" s="182">
        <f t="shared" ca="1" si="159"/>
        <v>70</v>
      </c>
      <c r="L958" s="182">
        <f t="shared" ca="1" si="160"/>
        <v>25053.175494651459</v>
      </c>
      <c r="M958" s="182">
        <f t="shared" ca="1" si="161"/>
        <v>8400</v>
      </c>
      <c r="N958" s="182">
        <f t="shared" ca="1" si="162"/>
        <v>91133.175494651383</v>
      </c>
      <c r="O958" s="182"/>
    </row>
    <row r="959" spans="1:15" x14ac:dyDescent="0.25">
      <c r="A959" s="180">
        <f t="shared" ca="1" si="163"/>
        <v>47049</v>
      </c>
      <c r="B959" s="181">
        <v>945</v>
      </c>
      <c r="C959" s="182">
        <f t="shared" ca="1" si="167"/>
        <v>51653.175494651347</v>
      </c>
      <c r="D959" s="182">
        <f t="shared" ca="1" si="164"/>
        <v>34.435450329767562</v>
      </c>
      <c r="E959" s="182">
        <v>0</v>
      </c>
      <c r="F959" s="182">
        <f t="shared" ca="1" si="168"/>
        <v>0</v>
      </c>
      <c r="G959" s="182">
        <f t="shared" ca="1" si="165"/>
        <v>0</v>
      </c>
      <c r="H959" s="182">
        <f t="shared" ca="1" si="166"/>
        <v>51687.610944981112</v>
      </c>
      <c r="I959" s="183">
        <v>0</v>
      </c>
      <c r="J959" s="263">
        <f t="shared" ca="1" si="158"/>
        <v>51687.610944981112</v>
      </c>
      <c r="K959" s="182">
        <f t="shared" ca="1" si="159"/>
        <v>70</v>
      </c>
      <c r="L959" s="182">
        <f t="shared" ca="1" si="160"/>
        <v>25087.610944981228</v>
      </c>
      <c r="M959" s="182">
        <f t="shared" ca="1" si="161"/>
        <v>8400</v>
      </c>
      <c r="N959" s="182">
        <f t="shared" ca="1" si="162"/>
        <v>91237.610944981148</v>
      </c>
      <c r="O959" s="182"/>
    </row>
    <row r="960" spans="1:15" x14ac:dyDescent="0.25">
      <c r="A960" s="180">
        <f t="shared" ca="1" si="163"/>
        <v>47050</v>
      </c>
      <c r="B960" s="181">
        <v>946</v>
      </c>
      <c r="C960" s="182">
        <f t="shared" ca="1" si="167"/>
        <v>51687.610944981112</v>
      </c>
      <c r="D960" s="182">
        <f t="shared" ca="1" si="164"/>
        <v>34.458407296654073</v>
      </c>
      <c r="E960" s="182">
        <v>0</v>
      </c>
      <c r="F960" s="182">
        <f t="shared" ca="1" si="168"/>
        <v>0</v>
      </c>
      <c r="G960" s="182">
        <f t="shared" ca="1" si="165"/>
        <v>0</v>
      </c>
      <c r="H960" s="182">
        <f t="shared" ca="1" si="166"/>
        <v>51722.069352277766</v>
      </c>
      <c r="I960" s="183">
        <v>0</v>
      </c>
      <c r="J960" s="263">
        <f t="shared" ca="1" si="158"/>
        <v>51722.069352277766</v>
      </c>
      <c r="K960" s="182">
        <f t="shared" ca="1" si="159"/>
        <v>70</v>
      </c>
      <c r="L960" s="182">
        <f t="shared" ca="1" si="160"/>
        <v>25122.069352277882</v>
      </c>
      <c r="M960" s="182">
        <f t="shared" ca="1" si="161"/>
        <v>8400</v>
      </c>
      <c r="N960" s="182">
        <f t="shared" ca="1" si="162"/>
        <v>91342.069352277802</v>
      </c>
      <c r="O960" s="182"/>
    </row>
    <row r="961" spans="1:15" x14ac:dyDescent="0.25">
      <c r="A961" s="180">
        <f t="shared" ca="1" si="163"/>
        <v>47051</v>
      </c>
      <c r="B961" s="181">
        <v>947</v>
      </c>
      <c r="C961" s="182">
        <f t="shared" ca="1" si="167"/>
        <v>51722.069352277766</v>
      </c>
      <c r="D961" s="182">
        <f t="shared" ca="1" si="164"/>
        <v>34.481379568185176</v>
      </c>
      <c r="E961" s="182">
        <v>0</v>
      </c>
      <c r="F961" s="182">
        <f t="shared" ca="1" si="168"/>
        <v>0</v>
      </c>
      <c r="G961" s="182">
        <f t="shared" ca="1" si="165"/>
        <v>0</v>
      </c>
      <c r="H961" s="182">
        <f t="shared" ca="1" si="166"/>
        <v>51756.550731845949</v>
      </c>
      <c r="I961" s="183">
        <v>0</v>
      </c>
      <c r="J961" s="263">
        <f t="shared" ca="1" si="158"/>
        <v>51756.550731845949</v>
      </c>
      <c r="K961" s="182">
        <f t="shared" ca="1" si="159"/>
        <v>70</v>
      </c>
      <c r="L961" s="182">
        <f t="shared" ca="1" si="160"/>
        <v>25156.550731846066</v>
      </c>
      <c r="M961" s="182">
        <f t="shared" ca="1" si="161"/>
        <v>8400</v>
      </c>
      <c r="N961" s="182">
        <f t="shared" ca="1" si="162"/>
        <v>91446.550731845986</v>
      </c>
      <c r="O961" s="182"/>
    </row>
    <row r="962" spans="1:15" x14ac:dyDescent="0.25">
      <c r="A962" s="180">
        <f t="shared" ca="1" si="163"/>
        <v>47052</v>
      </c>
      <c r="B962" s="181">
        <v>948</v>
      </c>
      <c r="C962" s="182">
        <f t="shared" ca="1" si="167"/>
        <v>51756.550731845949</v>
      </c>
      <c r="D962" s="182">
        <f t="shared" ca="1" si="164"/>
        <v>34.504367154563965</v>
      </c>
      <c r="E962" s="182">
        <v>0</v>
      </c>
      <c r="F962" s="182">
        <f t="shared" ca="1" si="168"/>
        <v>0</v>
      </c>
      <c r="G962" s="182">
        <f t="shared" ca="1" si="165"/>
        <v>0</v>
      </c>
      <c r="H962" s="182">
        <f t="shared" ca="1" si="166"/>
        <v>51791.055099000514</v>
      </c>
      <c r="I962" s="183">
        <v>0</v>
      </c>
      <c r="J962" s="263">
        <f t="shared" ca="1" si="158"/>
        <v>51791.055099000514</v>
      </c>
      <c r="K962" s="182">
        <f t="shared" ca="1" si="159"/>
        <v>70</v>
      </c>
      <c r="L962" s="182">
        <f t="shared" ca="1" si="160"/>
        <v>25191.05509900063</v>
      </c>
      <c r="M962" s="182">
        <f t="shared" ca="1" si="161"/>
        <v>8400</v>
      </c>
      <c r="N962" s="182">
        <f t="shared" ca="1" si="162"/>
        <v>91551.055099000543</v>
      </c>
      <c r="O962" s="182"/>
    </row>
    <row r="963" spans="1:15" x14ac:dyDescent="0.25">
      <c r="A963" s="180">
        <f t="shared" ca="1" si="163"/>
        <v>47053</v>
      </c>
      <c r="B963" s="181">
        <v>949</v>
      </c>
      <c r="C963" s="182">
        <f t="shared" ca="1" si="167"/>
        <v>51791.055099000514</v>
      </c>
      <c r="D963" s="182">
        <f t="shared" ca="1" si="164"/>
        <v>34.527370066000344</v>
      </c>
      <c r="E963" s="182">
        <v>0</v>
      </c>
      <c r="F963" s="182">
        <f t="shared" ca="1" si="168"/>
        <v>0</v>
      </c>
      <c r="G963" s="182">
        <f t="shared" ca="1" si="165"/>
        <v>0</v>
      </c>
      <c r="H963" s="182">
        <f t="shared" ca="1" si="166"/>
        <v>51825.582469066518</v>
      </c>
      <c r="I963" s="183">
        <v>0</v>
      </c>
      <c r="J963" s="263">
        <f t="shared" ca="1" si="158"/>
        <v>51825.582469066518</v>
      </c>
      <c r="K963" s="182">
        <f t="shared" ca="1" si="159"/>
        <v>70</v>
      </c>
      <c r="L963" s="182">
        <f t="shared" ca="1" si="160"/>
        <v>25225.58246906663</v>
      </c>
      <c r="M963" s="182">
        <f t="shared" ca="1" si="161"/>
        <v>8400</v>
      </c>
      <c r="N963" s="182">
        <f t="shared" ca="1" si="162"/>
        <v>91655.582469066547</v>
      </c>
      <c r="O963" s="182"/>
    </row>
    <row r="964" spans="1:15" x14ac:dyDescent="0.25">
      <c r="A964" s="180">
        <f t="shared" ca="1" si="163"/>
        <v>47054</v>
      </c>
      <c r="B964" s="181">
        <v>950</v>
      </c>
      <c r="C964" s="182">
        <f t="shared" ca="1" si="167"/>
        <v>51825.582469066518</v>
      </c>
      <c r="D964" s="182">
        <f t="shared" ca="1" si="164"/>
        <v>34.550388312711007</v>
      </c>
      <c r="E964" s="182">
        <v>0</v>
      </c>
      <c r="F964" s="182">
        <f t="shared" ca="1" si="168"/>
        <v>0</v>
      </c>
      <c r="G964" s="182">
        <f t="shared" ca="1" si="165"/>
        <v>0</v>
      </c>
      <c r="H964" s="182">
        <f t="shared" ca="1" si="166"/>
        <v>51860.132857379227</v>
      </c>
      <c r="I964" s="183">
        <v>0</v>
      </c>
      <c r="J964" s="263">
        <f t="shared" ca="1" si="158"/>
        <v>51860.132857379227</v>
      </c>
      <c r="K964" s="182">
        <f t="shared" ca="1" si="159"/>
        <v>70</v>
      </c>
      <c r="L964" s="182">
        <f t="shared" ca="1" si="160"/>
        <v>25260.13285737934</v>
      </c>
      <c r="M964" s="182">
        <f t="shared" ca="1" si="161"/>
        <v>8400</v>
      </c>
      <c r="N964" s="182">
        <f t="shared" ca="1" si="162"/>
        <v>91760.132857379256</v>
      </c>
      <c r="O964" s="182"/>
    </row>
    <row r="965" spans="1:15" x14ac:dyDescent="0.25">
      <c r="A965" s="180">
        <f t="shared" ca="1" si="163"/>
        <v>47055</v>
      </c>
      <c r="B965" s="181">
        <v>951</v>
      </c>
      <c r="C965" s="182">
        <f t="shared" ca="1" si="167"/>
        <v>51860.132857379227</v>
      </c>
      <c r="D965" s="182">
        <f t="shared" ca="1" si="164"/>
        <v>34.573421904919485</v>
      </c>
      <c r="E965" s="182">
        <v>0</v>
      </c>
      <c r="F965" s="182">
        <f t="shared" ca="1" si="168"/>
        <v>0</v>
      </c>
      <c r="G965" s="182">
        <f t="shared" ca="1" si="165"/>
        <v>0</v>
      </c>
      <c r="H965" s="182">
        <f t="shared" ca="1" si="166"/>
        <v>51894.706279284146</v>
      </c>
      <c r="I965" s="183">
        <v>0</v>
      </c>
      <c r="J965" s="263">
        <f t="shared" ca="1" si="158"/>
        <v>51894.706279284146</v>
      </c>
      <c r="K965" s="182">
        <f t="shared" ca="1" si="159"/>
        <v>70</v>
      </c>
      <c r="L965" s="182">
        <f t="shared" ca="1" si="160"/>
        <v>25294.706279284259</v>
      </c>
      <c r="M965" s="182">
        <f t="shared" ca="1" si="161"/>
        <v>8400</v>
      </c>
      <c r="N965" s="182">
        <f t="shared" ca="1" si="162"/>
        <v>91864.706279284175</v>
      </c>
      <c r="O965" s="182"/>
    </row>
    <row r="966" spans="1:15" x14ac:dyDescent="0.25">
      <c r="A966" s="180">
        <f t="shared" ca="1" si="163"/>
        <v>47056</v>
      </c>
      <c r="B966" s="181">
        <v>952</v>
      </c>
      <c r="C966" s="182">
        <f t="shared" ca="1" si="167"/>
        <v>51894.706279284146</v>
      </c>
      <c r="D966" s="182">
        <f t="shared" ca="1" si="164"/>
        <v>34.596470852856093</v>
      </c>
      <c r="E966" s="182">
        <v>0</v>
      </c>
      <c r="F966" s="182">
        <f t="shared" ca="1" si="168"/>
        <v>0</v>
      </c>
      <c r="G966" s="182">
        <f t="shared" ca="1" si="165"/>
        <v>0</v>
      </c>
      <c r="H966" s="182">
        <f t="shared" ca="1" si="166"/>
        <v>51929.302750137002</v>
      </c>
      <c r="I966" s="183">
        <v>0</v>
      </c>
      <c r="J966" s="263">
        <f t="shared" ca="1" si="158"/>
        <v>51929.302750137002</v>
      </c>
      <c r="K966" s="182">
        <f t="shared" ca="1" si="159"/>
        <v>70</v>
      </c>
      <c r="L966" s="182">
        <f t="shared" ca="1" si="160"/>
        <v>25329.302750137114</v>
      </c>
      <c r="M966" s="182">
        <f t="shared" ca="1" si="161"/>
        <v>8400</v>
      </c>
      <c r="N966" s="182">
        <f t="shared" ca="1" si="162"/>
        <v>91969.302750137038</v>
      </c>
      <c r="O966" s="182"/>
    </row>
    <row r="967" spans="1:15" x14ac:dyDescent="0.25">
      <c r="A967" s="180">
        <f t="shared" ca="1" si="163"/>
        <v>47057</v>
      </c>
      <c r="B967" s="181">
        <v>953</v>
      </c>
      <c r="C967" s="182">
        <f t="shared" ca="1" si="167"/>
        <v>51929.302750137002</v>
      </c>
      <c r="D967" s="182">
        <f t="shared" ca="1" si="164"/>
        <v>34.619535166757998</v>
      </c>
      <c r="E967" s="182">
        <v>0</v>
      </c>
      <c r="F967" s="182">
        <f t="shared" ca="1" si="168"/>
        <v>0</v>
      </c>
      <c r="G967" s="182">
        <f t="shared" ca="1" si="165"/>
        <v>0</v>
      </c>
      <c r="H967" s="182">
        <f t="shared" ca="1" si="166"/>
        <v>51963.922285303757</v>
      </c>
      <c r="I967" s="183">
        <v>0</v>
      </c>
      <c r="J967" s="263">
        <f t="shared" ca="1" si="158"/>
        <v>51963.922285303757</v>
      </c>
      <c r="K967" s="182">
        <f t="shared" ca="1" si="159"/>
        <v>70</v>
      </c>
      <c r="L967" s="182">
        <f t="shared" ca="1" si="160"/>
        <v>25363.922285303874</v>
      </c>
      <c r="M967" s="182">
        <f t="shared" ca="1" si="161"/>
        <v>8400</v>
      </c>
      <c r="N967" s="182">
        <f t="shared" ca="1" si="162"/>
        <v>92073.922285303794</v>
      </c>
      <c r="O967" s="182"/>
    </row>
    <row r="968" spans="1:15" x14ac:dyDescent="0.25">
      <c r="A968" s="180">
        <f t="shared" ca="1" si="163"/>
        <v>47058</v>
      </c>
      <c r="B968" s="181">
        <v>954</v>
      </c>
      <c r="C968" s="182">
        <f t="shared" ca="1" si="167"/>
        <v>51963.922285303757</v>
      </c>
      <c r="D968" s="182">
        <f t="shared" ca="1" si="164"/>
        <v>34.642614856869173</v>
      </c>
      <c r="E968" s="182">
        <v>0</v>
      </c>
      <c r="F968" s="182">
        <f t="shared" ca="1" si="168"/>
        <v>0</v>
      </c>
      <c r="G968" s="182">
        <f t="shared" ca="1" si="165"/>
        <v>0</v>
      </c>
      <c r="H968" s="182">
        <f t="shared" ca="1" si="166"/>
        <v>51998.564900160629</v>
      </c>
      <c r="I968" s="183">
        <v>0</v>
      </c>
      <c r="J968" s="263">
        <f t="shared" ca="1" si="158"/>
        <v>51998.564900160629</v>
      </c>
      <c r="K968" s="182">
        <f t="shared" ca="1" si="159"/>
        <v>70</v>
      </c>
      <c r="L968" s="182">
        <f t="shared" ca="1" si="160"/>
        <v>25398.564900160742</v>
      </c>
      <c r="M968" s="182">
        <f t="shared" ca="1" si="161"/>
        <v>8400</v>
      </c>
      <c r="N968" s="182">
        <f t="shared" ca="1" si="162"/>
        <v>92178.564900160665</v>
      </c>
      <c r="O968" s="182"/>
    </row>
    <row r="969" spans="1:15" x14ac:dyDescent="0.25">
      <c r="A969" s="180">
        <f t="shared" ca="1" si="163"/>
        <v>47059</v>
      </c>
      <c r="B969" s="181">
        <v>955</v>
      </c>
      <c r="C969" s="182">
        <f t="shared" ca="1" si="167"/>
        <v>51998.564900160629</v>
      </c>
      <c r="D969" s="182">
        <f t="shared" ca="1" si="164"/>
        <v>34.665709933440418</v>
      </c>
      <c r="E969" s="182">
        <v>0</v>
      </c>
      <c r="F969" s="182">
        <f t="shared" ca="1" si="168"/>
        <v>0</v>
      </c>
      <c r="G969" s="182">
        <f t="shared" ca="1" si="165"/>
        <v>0</v>
      </c>
      <c r="H969" s="182">
        <f t="shared" ca="1" si="166"/>
        <v>52033.23061009407</v>
      </c>
      <c r="I969" s="183">
        <v>0</v>
      </c>
      <c r="J969" s="263">
        <f t="shared" ca="1" si="158"/>
        <v>52033.23061009407</v>
      </c>
      <c r="K969" s="182">
        <f t="shared" ca="1" si="159"/>
        <v>70</v>
      </c>
      <c r="L969" s="182">
        <f t="shared" ca="1" si="160"/>
        <v>25433.230610094182</v>
      </c>
      <c r="M969" s="182">
        <f t="shared" ca="1" si="161"/>
        <v>8400</v>
      </c>
      <c r="N969" s="182">
        <f t="shared" ca="1" si="162"/>
        <v>92283.230610094106</v>
      </c>
      <c r="O969" s="182"/>
    </row>
    <row r="970" spans="1:15" x14ac:dyDescent="0.25">
      <c r="A970" s="180">
        <f t="shared" ca="1" si="163"/>
        <v>47060</v>
      </c>
      <c r="B970" s="181">
        <v>956</v>
      </c>
      <c r="C970" s="182">
        <f t="shared" ca="1" si="167"/>
        <v>52033.23061009407</v>
      </c>
      <c r="D970" s="182">
        <f t="shared" ca="1" si="164"/>
        <v>34.688820406729377</v>
      </c>
      <c r="E970" s="182">
        <v>0</v>
      </c>
      <c r="F970" s="182">
        <f t="shared" ca="1" si="168"/>
        <v>0</v>
      </c>
      <c r="G970" s="182">
        <f t="shared" ca="1" si="165"/>
        <v>0</v>
      </c>
      <c r="H970" s="182">
        <f t="shared" ca="1" si="166"/>
        <v>52067.919430500799</v>
      </c>
      <c r="I970" s="183">
        <v>0</v>
      </c>
      <c r="J970" s="263">
        <f t="shared" ca="1" si="158"/>
        <v>52067.919430500799</v>
      </c>
      <c r="K970" s="182">
        <f t="shared" ca="1" si="159"/>
        <v>70</v>
      </c>
      <c r="L970" s="182">
        <f t="shared" ca="1" si="160"/>
        <v>25467.919430500911</v>
      </c>
      <c r="M970" s="182">
        <f t="shared" ca="1" si="161"/>
        <v>8400</v>
      </c>
      <c r="N970" s="182">
        <f t="shared" ca="1" si="162"/>
        <v>92387.919430500842</v>
      </c>
      <c r="O970" s="182"/>
    </row>
    <row r="971" spans="1:15" x14ac:dyDescent="0.25">
      <c r="A971" s="180">
        <f t="shared" ca="1" si="163"/>
        <v>47061</v>
      </c>
      <c r="B971" s="181">
        <v>957</v>
      </c>
      <c r="C971" s="182">
        <f t="shared" ca="1" si="167"/>
        <v>52067.919430500799</v>
      </c>
      <c r="D971" s="182">
        <f t="shared" ca="1" si="164"/>
        <v>34.711946287000529</v>
      </c>
      <c r="E971" s="182">
        <v>0</v>
      </c>
      <c r="F971" s="182">
        <f t="shared" ca="1" si="168"/>
        <v>0</v>
      </c>
      <c r="G971" s="182">
        <f t="shared" ca="1" si="165"/>
        <v>0</v>
      </c>
      <c r="H971" s="182">
        <f t="shared" ca="1" si="166"/>
        <v>52102.631376787802</v>
      </c>
      <c r="I971" s="183">
        <v>0</v>
      </c>
      <c r="J971" s="263">
        <f t="shared" ca="1" si="158"/>
        <v>52102.631376787802</v>
      </c>
      <c r="K971" s="182">
        <f t="shared" ca="1" si="159"/>
        <v>70</v>
      </c>
      <c r="L971" s="182">
        <f t="shared" ca="1" si="160"/>
        <v>25502.631376787911</v>
      </c>
      <c r="M971" s="182">
        <f t="shared" ca="1" si="161"/>
        <v>8400</v>
      </c>
      <c r="N971" s="182">
        <f t="shared" ca="1" si="162"/>
        <v>92492.631376787846</v>
      </c>
      <c r="O971" s="182"/>
    </row>
    <row r="972" spans="1:15" x14ac:dyDescent="0.25">
      <c r="A972" s="180">
        <f t="shared" ca="1" si="163"/>
        <v>47062</v>
      </c>
      <c r="B972" s="181">
        <v>958</v>
      </c>
      <c r="C972" s="182">
        <f t="shared" ca="1" si="167"/>
        <v>52102.631376787802</v>
      </c>
      <c r="D972" s="182">
        <f t="shared" ca="1" si="164"/>
        <v>34.735087584525203</v>
      </c>
      <c r="E972" s="182">
        <v>0</v>
      </c>
      <c r="F972" s="182">
        <f t="shared" ca="1" si="168"/>
        <v>0</v>
      </c>
      <c r="G972" s="182">
        <f t="shared" ca="1" si="165"/>
        <v>0</v>
      </c>
      <c r="H972" s="182">
        <f t="shared" ca="1" si="166"/>
        <v>52137.366464372324</v>
      </c>
      <c r="I972" s="183">
        <v>0</v>
      </c>
      <c r="J972" s="263">
        <f t="shared" ca="1" si="158"/>
        <v>52137.366464372324</v>
      </c>
      <c r="K972" s="182">
        <f t="shared" ca="1" si="159"/>
        <v>70</v>
      </c>
      <c r="L972" s="182">
        <f t="shared" ca="1" si="160"/>
        <v>25537.366464372437</v>
      </c>
      <c r="M972" s="182">
        <f t="shared" ca="1" si="161"/>
        <v>8400</v>
      </c>
      <c r="N972" s="182">
        <f t="shared" ca="1" si="162"/>
        <v>92597.366464372375</v>
      </c>
      <c r="O972" s="182"/>
    </row>
    <row r="973" spans="1:15" x14ac:dyDescent="0.25">
      <c r="A973" s="180">
        <f t="shared" ca="1" si="163"/>
        <v>47063</v>
      </c>
      <c r="B973" s="181">
        <v>959</v>
      </c>
      <c r="C973" s="182">
        <f t="shared" ca="1" si="167"/>
        <v>52137.366464372324</v>
      </c>
      <c r="D973" s="182">
        <f t="shared" ca="1" si="164"/>
        <v>34.758244309581549</v>
      </c>
      <c r="E973" s="182">
        <v>0</v>
      </c>
      <c r="F973" s="182">
        <f t="shared" ca="1" si="168"/>
        <v>0</v>
      </c>
      <c r="G973" s="182">
        <f t="shared" ca="1" si="165"/>
        <v>0</v>
      </c>
      <c r="H973" s="182">
        <f t="shared" ca="1" si="166"/>
        <v>52172.124708681906</v>
      </c>
      <c r="I973" s="183">
        <v>0</v>
      </c>
      <c r="J973" s="263">
        <f t="shared" ca="1" si="158"/>
        <v>52172.124708681906</v>
      </c>
      <c r="K973" s="182">
        <f t="shared" ca="1" si="159"/>
        <v>70</v>
      </c>
      <c r="L973" s="182">
        <f t="shared" ca="1" si="160"/>
        <v>25572.124708682019</v>
      </c>
      <c r="M973" s="182">
        <f t="shared" ca="1" si="161"/>
        <v>8400</v>
      </c>
      <c r="N973" s="182">
        <f t="shared" ca="1" si="162"/>
        <v>92702.124708681949</v>
      </c>
      <c r="O973" s="182"/>
    </row>
    <row r="974" spans="1:15" x14ac:dyDescent="0.25">
      <c r="A974" s="180">
        <f t="shared" ca="1" si="163"/>
        <v>47064</v>
      </c>
      <c r="B974" s="181">
        <v>960</v>
      </c>
      <c r="C974" s="182">
        <f t="shared" ca="1" si="167"/>
        <v>52172.124708681906</v>
      </c>
      <c r="D974" s="182">
        <f t="shared" ca="1" si="164"/>
        <v>34.781416472454602</v>
      </c>
      <c r="E974" s="182">
        <v>0</v>
      </c>
      <c r="F974" s="182">
        <f t="shared" ca="1" si="168"/>
        <v>0</v>
      </c>
      <c r="G974" s="182">
        <f t="shared" ca="1" si="165"/>
        <v>0</v>
      </c>
      <c r="H974" s="182">
        <f t="shared" ca="1" si="166"/>
        <v>52206.906125154361</v>
      </c>
      <c r="I974" s="183">
        <v>0</v>
      </c>
      <c r="J974" s="263">
        <f t="shared" ca="1" si="158"/>
        <v>52206.906125154361</v>
      </c>
      <c r="K974" s="182">
        <f t="shared" ca="1" si="159"/>
        <v>70</v>
      </c>
      <c r="L974" s="182">
        <f t="shared" ca="1" si="160"/>
        <v>25606.906125154474</v>
      </c>
      <c r="M974" s="182">
        <f t="shared" ca="1" si="161"/>
        <v>8400</v>
      </c>
      <c r="N974" s="182">
        <f t="shared" ca="1" si="162"/>
        <v>92806.906125154404</v>
      </c>
      <c r="O974" s="182"/>
    </row>
    <row r="975" spans="1:15" x14ac:dyDescent="0.25">
      <c r="A975" s="180">
        <f t="shared" ca="1" si="163"/>
        <v>47065</v>
      </c>
      <c r="B975" s="181">
        <v>961</v>
      </c>
      <c r="C975" s="182">
        <f t="shared" ca="1" si="167"/>
        <v>52206.906125154361</v>
      </c>
      <c r="D975" s="182">
        <f t="shared" ca="1" si="164"/>
        <v>34.804604083436239</v>
      </c>
      <c r="E975" s="182">
        <v>0</v>
      </c>
      <c r="F975" s="182">
        <f t="shared" ca="1" si="168"/>
        <v>0</v>
      </c>
      <c r="G975" s="182">
        <f t="shared" ca="1" si="165"/>
        <v>0</v>
      </c>
      <c r="H975" s="182">
        <f t="shared" ca="1" si="166"/>
        <v>52241.710729237799</v>
      </c>
      <c r="I975" s="183">
        <v>0</v>
      </c>
      <c r="J975" s="263">
        <f t="shared" ref="J975:J1038" ca="1" si="169">H975-IF(I$8-G975&lt;Q$42,I$8-Q$42,G975)</f>
        <v>52241.710729237799</v>
      </c>
      <c r="K975" s="182">
        <f t="shared" ca="1" si="159"/>
        <v>70</v>
      </c>
      <c r="L975" s="182">
        <f t="shared" ca="1" si="160"/>
        <v>25641.710729237911</v>
      </c>
      <c r="M975" s="182">
        <f t="shared" ca="1" si="161"/>
        <v>8400</v>
      </c>
      <c r="N975" s="182">
        <f t="shared" ca="1" si="162"/>
        <v>92911.710729237835</v>
      </c>
      <c r="O975" s="182"/>
    </row>
    <row r="976" spans="1:15" x14ac:dyDescent="0.25">
      <c r="A976" s="180">
        <f t="shared" ca="1" si="163"/>
        <v>47066</v>
      </c>
      <c r="B976" s="181">
        <v>962</v>
      </c>
      <c r="C976" s="182">
        <f t="shared" ca="1" si="167"/>
        <v>52241.710729237799</v>
      </c>
      <c r="D976" s="182">
        <f t="shared" ca="1" si="164"/>
        <v>34.827807152825201</v>
      </c>
      <c r="E976" s="182">
        <v>0</v>
      </c>
      <c r="F976" s="182">
        <f t="shared" ca="1" si="168"/>
        <v>0</v>
      </c>
      <c r="G976" s="182">
        <f t="shared" ca="1" si="165"/>
        <v>0</v>
      </c>
      <c r="H976" s="182">
        <f t="shared" ca="1" si="166"/>
        <v>52276.538536390624</v>
      </c>
      <c r="I976" s="183">
        <v>0</v>
      </c>
      <c r="J976" s="263">
        <f t="shared" ca="1" si="169"/>
        <v>52276.538536390624</v>
      </c>
      <c r="K976" s="182">
        <f t="shared" ref="K976:K1039" ca="1" si="170">$L$3/($C$11-$C$8)</f>
        <v>70</v>
      </c>
      <c r="L976" s="182">
        <f t="shared" ref="L976:L977" ca="1" si="171">L975+D976</f>
        <v>25676.538536390737</v>
      </c>
      <c r="M976" s="182">
        <f t="shared" ref="M976:M1036" ca="1" si="172">IF($I$8&gt;L976,L976,$I$8)</f>
        <v>8400</v>
      </c>
      <c r="N976" s="182">
        <f t="shared" ref="N976:N1039" ca="1" si="173">N975+D976+K976+I976</f>
        <v>93016.538536390653</v>
      </c>
      <c r="O976" s="182"/>
    </row>
    <row r="977" spans="1:15" x14ac:dyDescent="0.25">
      <c r="A977" s="180">
        <f t="shared" ref="A977:A1040" ca="1" si="174">A976+1</f>
        <v>47067</v>
      </c>
      <c r="B977" s="181">
        <v>963</v>
      </c>
      <c r="C977" s="182">
        <f t="shared" ca="1" si="167"/>
        <v>52276.538536390624</v>
      </c>
      <c r="D977" s="182">
        <f t="shared" ref="D977:D1040" ca="1" si="175">(($C$6/360))*C977</f>
        <v>34.851025690927081</v>
      </c>
      <c r="E977" s="182">
        <v>0</v>
      </c>
      <c r="F977" s="182">
        <f t="shared" ca="1" si="168"/>
        <v>0</v>
      </c>
      <c r="G977" s="182">
        <f t="shared" ref="G977:G1040" ca="1" si="176">IF(G976-D977-E977&gt;0,G976-D977-E977,0)</f>
        <v>0</v>
      </c>
      <c r="H977" s="182">
        <f t="shared" ca="1" si="166"/>
        <v>52311.389562081553</v>
      </c>
      <c r="I977" s="183">
        <v>0</v>
      </c>
      <c r="J977" s="263">
        <f t="shared" ca="1" si="169"/>
        <v>52311.389562081553</v>
      </c>
      <c r="K977" s="182">
        <f t="shared" ca="1" si="170"/>
        <v>70</v>
      </c>
      <c r="L977" s="182">
        <f t="shared" ca="1" si="171"/>
        <v>25711.389562081666</v>
      </c>
      <c r="M977" s="182">
        <f t="shared" ca="1" si="172"/>
        <v>8400</v>
      </c>
      <c r="N977" s="182">
        <f t="shared" ca="1" si="173"/>
        <v>93121.389562081575</v>
      </c>
      <c r="O977" s="182"/>
    </row>
    <row r="978" spans="1:15" x14ac:dyDescent="0.25">
      <c r="A978" s="180">
        <f t="shared" ca="1" si="174"/>
        <v>47068</v>
      </c>
      <c r="B978" s="181">
        <v>964</v>
      </c>
      <c r="C978" s="182">
        <f t="shared" ca="1" si="167"/>
        <v>52311.389562081553</v>
      </c>
      <c r="D978" s="182">
        <f t="shared" ca="1" si="175"/>
        <v>34.874259708054367</v>
      </c>
      <c r="E978" s="182">
        <v>0</v>
      </c>
      <c r="F978" s="182">
        <f t="shared" ca="1" si="168"/>
        <v>0</v>
      </c>
      <c r="G978" s="182">
        <f t="shared" ca="1" si="176"/>
        <v>0</v>
      </c>
      <c r="H978" s="182">
        <f t="shared" ca="1" si="166"/>
        <v>52346.263821789609</v>
      </c>
      <c r="I978" s="183">
        <v>0</v>
      </c>
      <c r="J978" s="263">
        <f t="shared" ca="1" si="169"/>
        <v>52346.263821789609</v>
      </c>
      <c r="K978" s="182">
        <f t="shared" ca="1" si="170"/>
        <v>70</v>
      </c>
      <c r="L978" s="182"/>
      <c r="M978" s="182">
        <f t="shared" si="172"/>
        <v>0</v>
      </c>
      <c r="N978" s="182">
        <f t="shared" ca="1" si="173"/>
        <v>93226.263821789631</v>
      </c>
      <c r="O978" s="182"/>
    </row>
    <row r="979" spans="1:15" x14ac:dyDescent="0.25">
      <c r="A979" s="180">
        <f t="shared" ca="1" si="174"/>
        <v>47069</v>
      </c>
      <c r="B979" s="181">
        <v>965</v>
      </c>
      <c r="C979" s="182">
        <f t="shared" ca="1" si="167"/>
        <v>52346.263821789609</v>
      </c>
      <c r="D979" s="182">
        <f t="shared" ca="1" si="175"/>
        <v>34.897509214526409</v>
      </c>
      <c r="E979" s="182">
        <v>0</v>
      </c>
      <c r="F979" s="182">
        <f t="shared" ca="1" si="168"/>
        <v>0</v>
      </c>
      <c r="G979" s="182">
        <f t="shared" ca="1" si="176"/>
        <v>0</v>
      </c>
      <c r="H979" s="182">
        <f t="shared" ca="1" si="166"/>
        <v>52381.161331004136</v>
      </c>
      <c r="I979" s="183">
        <v>0</v>
      </c>
      <c r="J979" s="263">
        <f t="shared" ca="1" si="169"/>
        <v>52381.161331004136</v>
      </c>
      <c r="K979" s="182">
        <f t="shared" ca="1" si="170"/>
        <v>70</v>
      </c>
      <c r="L979" s="182"/>
      <c r="M979" s="182">
        <f t="shared" si="172"/>
        <v>0</v>
      </c>
      <c r="N979" s="182">
        <f t="shared" ca="1" si="173"/>
        <v>93331.161331004158</v>
      </c>
      <c r="O979" s="182"/>
    </row>
    <row r="980" spans="1:15" x14ac:dyDescent="0.25">
      <c r="A980" s="180">
        <f t="shared" ca="1" si="174"/>
        <v>47070</v>
      </c>
      <c r="B980" s="181">
        <v>966</v>
      </c>
      <c r="C980" s="182">
        <f t="shared" ca="1" si="167"/>
        <v>52381.161331004136</v>
      </c>
      <c r="D980" s="182">
        <f t="shared" ca="1" si="175"/>
        <v>34.920774220669422</v>
      </c>
      <c r="E980" s="182">
        <v>0</v>
      </c>
      <c r="F980" s="182">
        <f t="shared" ca="1" si="168"/>
        <v>0</v>
      </c>
      <c r="G980" s="182">
        <f t="shared" ca="1" si="176"/>
        <v>0</v>
      </c>
      <c r="H980" s="182">
        <f t="shared" ca="1" si="166"/>
        <v>52416.082105224807</v>
      </c>
      <c r="I980" s="183">
        <v>0</v>
      </c>
      <c r="J980" s="263">
        <f t="shared" ca="1" si="169"/>
        <v>52416.082105224807</v>
      </c>
      <c r="K980" s="182">
        <f t="shared" ca="1" si="170"/>
        <v>70</v>
      </c>
      <c r="L980" s="182"/>
      <c r="M980" s="182">
        <f t="shared" si="172"/>
        <v>0</v>
      </c>
      <c r="N980" s="182">
        <f t="shared" ca="1" si="173"/>
        <v>93436.082105224821</v>
      </c>
      <c r="O980" s="182"/>
    </row>
    <row r="981" spans="1:15" x14ac:dyDescent="0.25">
      <c r="A981" s="180">
        <f t="shared" ca="1" si="174"/>
        <v>47071</v>
      </c>
      <c r="B981" s="181">
        <v>967</v>
      </c>
      <c r="C981" s="182">
        <f t="shared" ca="1" si="167"/>
        <v>52416.082105224807</v>
      </c>
      <c r="D981" s="182">
        <f t="shared" ca="1" si="175"/>
        <v>34.94405473681654</v>
      </c>
      <c r="E981" s="182">
        <v>0</v>
      </c>
      <c r="F981" s="182">
        <f t="shared" ca="1" si="168"/>
        <v>0</v>
      </c>
      <c r="G981" s="182">
        <f t="shared" ca="1" si="176"/>
        <v>0</v>
      </c>
      <c r="H981" s="182">
        <f t="shared" ca="1" si="166"/>
        <v>52451.026159961621</v>
      </c>
      <c r="I981" s="183">
        <v>0</v>
      </c>
      <c r="J981" s="263">
        <f t="shared" ca="1" si="169"/>
        <v>52451.026159961621</v>
      </c>
      <c r="K981" s="182">
        <f t="shared" ca="1" si="170"/>
        <v>70</v>
      </c>
      <c r="L981" s="182"/>
      <c r="M981" s="182">
        <f t="shared" si="172"/>
        <v>0</v>
      </c>
      <c r="N981" s="182">
        <f t="shared" ca="1" si="173"/>
        <v>93541.026159961635</v>
      </c>
      <c r="O981" s="182"/>
    </row>
    <row r="982" spans="1:15" x14ac:dyDescent="0.25">
      <c r="A982" s="180">
        <f t="shared" ca="1" si="174"/>
        <v>47072</v>
      </c>
      <c r="B982" s="181">
        <v>968</v>
      </c>
      <c r="C982" s="182">
        <f t="shared" ca="1" si="167"/>
        <v>52451.026159961621</v>
      </c>
      <c r="D982" s="182">
        <f t="shared" ca="1" si="175"/>
        <v>34.967350773307743</v>
      </c>
      <c r="E982" s="182">
        <v>0</v>
      </c>
      <c r="F982" s="182">
        <f t="shared" ca="1" si="168"/>
        <v>0</v>
      </c>
      <c r="G982" s="182">
        <f t="shared" ca="1" si="176"/>
        <v>0</v>
      </c>
      <c r="H982" s="182">
        <f t="shared" ca="1" si="166"/>
        <v>52485.99351073493</v>
      </c>
      <c r="I982" s="183">
        <v>0</v>
      </c>
      <c r="J982" s="263">
        <f t="shared" ca="1" si="169"/>
        <v>52485.99351073493</v>
      </c>
      <c r="K982" s="182">
        <f t="shared" ca="1" si="170"/>
        <v>70</v>
      </c>
      <c r="L982" s="182"/>
      <c r="M982" s="182">
        <f t="shared" si="172"/>
        <v>0</v>
      </c>
      <c r="N982" s="182">
        <f t="shared" ca="1" si="173"/>
        <v>93645.993510734945</v>
      </c>
      <c r="O982" s="182"/>
    </row>
    <row r="983" spans="1:15" x14ac:dyDescent="0.25">
      <c r="A983" s="180">
        <f t="shared" ca="1" si="174"/>
        <v>47073</v>
      </c>
      <c r="B983" s="181">
        <v>969</v>
      </c>
      <c r="C983" s="182">
        <f t="shared" ca="1" si="167"/>
        <v>52485.99351073493</v>
      </c>
      <c r="D983" s="182">
        <f t="shared" ca="1" si="175"/>
        <v>34.990662340489955</v>
      </c>
      <c r="E983" s="182">
        <v>0</v>
      </c>
      <c r="F983" s="182">
        <f t="shared" ca="1" si="168"/>
        <v>0</v>
      </c>
      <c r="G983" s="182">
        <f t="shared" ca="1" si="176"/>
        <v>0</v>
      </c>
      <c r="H983" s="182">
        <f t="shared" ca="1" si="166"/>
        <v>52520.98417307542</v>
      </c>
      <c r="I983" s="183">
        <v>0</v>
      </c>
      <c r="J983" s="263">
        <f t="shared" ca="1" si="169"/>
        <v>52520.98417307542</v>
      </c>
      <c r="K983" s="182">
        <f t="shared" ca="1" si="170"/>
        <v>70</v>
      </c>
      <c r="L983" s="182"/>
      <c r="M983" s="182">
        <f t="shared" si="172"/>
        <v>0</v>
      </c>
      <c r="N983" s="182">
        <f t="shared" ca="1" si="173"/>
        <v>93750.984173075442</v>
      </c>
      <c r="O983" s="182"/>
    </row>
    <row r="984" spans="1:15" x14ac:dyDescent="0.25">
      <c r="A984" s="180">
        <f t="shared" ca="1" si="174"/>
        <v>47074</v>
      </c>
      <c r="B984" s="181">
        <v>970</v>
      </c>
      <c r="C984" s="182">
        <f t="shared" ca="1" si="167"/>
        <v>52520.98417307542</v>
      </c>
      <c r="D984" s="182">
        <f t="shared" ca="1" si="175"/>
        <v>35.013989448716949</v>
      </c>
      <c r="E984" s="182">
        <v>0</v>
      </c>
      <c r="F984" s="182">
        <f t="shared" ca="1" si="168"/>
        <v>0</v>
      </c>
      <c r="G984" s="182">
        <f t="shared" ca="1" si="176"/>
        <v>0</v>
      </c>
      <c r="H984" s="182">
        <f t="shared" ca="1" si="166"/>
        <v>52555.998162524134</v>
      </c>
      <c r="I984" s="183">
        <v>0</v>
      </c>
      <c r="J984" s="263">
        <f t="shared" ca="1" si="169"/>
        <v>52555.998162524134</v>
      </c>
      <c r="K984" s="182">
        <f t="shared" ca="1" si="170"/>
        <v>70</v>
      </c>
      <c r="L984" s="182"/>
      <c r="M984" s="182">
        <f t="shared" si="172"/>
        <v>0</v>
      </c>
      <c r="N984" s="182">
        <f t="shared" ca="1" si="173"/>
        <v>93855.998162524163</v>
      </c>
      <c r="O984" s="182"/>
    </row>
    <row r="985" spans="1:15" x14ac:dyDescent="0.25">
      <c r="A985" s="180">
        <f t="shared" ca="1" si="174"/>
        <v>47075</v>
      </c>
      <c r="B985" s="181">
        <v>971</v>
      </c>
      <c r="C985" s="182">
        <f t="shared" ca="1" si="167"/>
        <v>52555.998162524134</v>
      </c>
      <c r="D985" s="182">
        <f t="shared" ca="1" si="175"/>
        <v>35.037332108349425</v>
      </c>
      <c r="E985" s="182">
        <v>0</v>
      </c>
      <c r="F985" s="182">
        <f t="shared" ca="1" si="168"/>
        <v>0</v>
      </c>
      <c r="G985" s="182">
        <f t="shared" ca="1" si="176"/>
        <v>0</v>
      </c>
      <c r="H985" s="182">
        <f t="shared" ca="1" si="166"/>
        <v>52591.035494632481</v>
      </c>
      <c r="I985" s="183">
        <v>0</v>
      </c>
      <c r="J985" s="263">
        <f t="shared" ca="1" si="169"/>
        <v>52591.035494632481</v>
      </c>
      <c r="K985" s="182">
        <f t="shared" ca="1" si="170"/>
        <v>70</v>
      </c>
      <c r="L985" s="182"/>
      <c r="M985" s="182">
        <f t="shared" si="172"/>
        <v>0</v>
      </c>
      <c r="N985" s="182">
        <f t="shared" ca="1" si="173"/>
        <v>93961.03549463251</v>
      </c>
      <c r="O985" s="182"/>
    </row>
    <row r="986" spans="1:15" x14ac:dyDescent="0.25">
      <c r="A986" s="180">
        <f t="shared" ca="1" si="174"/>
        <v>47076</v>
      </c>
      <c r="B986" s="181">
        <v>972</v>
      </c>
      <c r="C986" s="182">
        <f t="shared" ca="1" si="167"/>
        <v>52591.035494632481</v>
      </c>
      <c r="D986" s="182">
        <f t="shared" ca="1" si="175"/>
        <v>35.060690329754983</v>
      </c>
      <c r="E986" s="182">
        <v>0</v>
      </c>
      <c r="F986" s="182">
        <f t="shared" ca="1" si="168"/>
        <v>0</v>
      </c>
      <c r="G986" s="182">
        <f t="shared" ca="1" si="176"/>
        <v>0</v>
      </c>
      <c r="H986" s="182">
        <f t="shared" ca="1" si="166"/>
        <v>52626.096184962233</v>
      </c>
      <c r="I986" s="183">
        <v>0</v>
      </c>
      <c r="J986" s="263">
        <f t="shared" ca="1" si="169"/>
        <v>52626.096184962233</v>
      </c>
      <c r="K986" s="182">
        <f t="shared" ca="1" si="170"/>
        <v>70</v>
      </c>
      <c r="L986" s="182"/>
      <c r="M986" s="182">
        <f t="shared" si="172"/>
        <v>0</v>
      </c>
      <c r="N986" s="182">
        <f t="shared" ca="1" si="173"/>
        <v>94066.096184962269</v>
      </c>
      <c r="O986" s="182"/>
    </row>
    <row r="987" spans="1:15" x14ac:dyDescent="0.25">
      <c r="A987" s="180">
        <f t="shared" ca="1" si="174"/>
        <v>47077</v>
      </c>
      <c r="B987" s="181">
        <v>973</v>
      </c>
      <c r="C987" s="182">
        <f t="shared" ca="1" si="167"/>
        <v>52626.096184962233</v>
      </c>
      <c r="D987" s="182">
        <f t="shared" ca="1" si="175"/>
        <v>35.084064123308153</v>
      </c>
      <c r="E987" s="182">
        <v>0</v>
      </c>
      <c r="F987" s="182">
        <f t="shared" ca="1" si="168"/>
        <v>0</v>
      </c>
      <c r="G987" s="182">
        <f t="shared" ca="1" si="176"/>
        <v>0</v>
      </c>
      <c r="H987" s="182">
        <f t="shared" ca="1" si="166"/>
        <v>52661.180249085541</v>
      </c>
      <c r="I987" s="183">
        <v>0</v>
      </c>
      <c r="J987" s="263">
        <f t="shared" ca="1" si="169"/>
        <v>52661.180249085541</v>
      </c>
      <c r="K987" s="182">
        <f t="shared" ca="1" si="170"/>
        <v>70</v>
      </c>
      <c r="L987" s="182"/>
      <c r="M987" s="182">
        <f t="shared" si="172"/>
        <v>0</v>
      </c>
      <c r="N987" s="182">
        <f t="shared" ca="1" si="173"/>
        <v>94171.180249085577</v>
      </c>
      <c r="O987" s="182"/>
    </row>
    <row r="988" spans="1:15" x14ac:dyDescent="0.25">
      <c r="A988" s="180">
        <f t="shared" ca="1" si="174"/>
        <v>47078</v>
      </c>
      <c r="B988" s="181">
        <v>974</v>
      </c>
      <c r="C988" s="182">
        <f t="shared" ca="1" si="167"/>
        <v>52661.180249085541</v>
      </c>
      <c r="D988" s="182">
        <f t="shared" ca="1" si="175"/>
        <v>35.10745349939036</v>
      </c>
      <c r="E988" s="182">
        <v>0</v>
      </c>
      <c r="F988" s="182">
        <f t="shared" ca="1" si="168"/>
        <v>0</v>
      </c>
      <c r="G988" s="182">
        <f t="shared" ca="1" si="176"/>
        <v>0</v>
      </c>
      <c r="H988" s="182">
        <f t="shared" ca="1" si="166"/>
        <v>52696.28770258493</v>
      </c>
      <c r="I988" s="183">
        <v>0</v>
      </c>
      <c r="J988" s="263">
        <f t="shared" ca="1" si="169"/>
        <v>52696.28770258493</v>
      </c>
      <c r="K988" s="182">
        <f t="shared" ca="1" si="170"/>
        <v>70</v>
      </c>
      <c r="L988" s="182"/>
      <c r="M988" s="182">
        <f t="shared" si="172"/>
        <v>0</v>
      </c>
      <c r="N988" s="182">
        <f t="shared" ca="1" si="173"/>
        <v>94276.287702584974</v>
      </c>
      <c r="O988" s="182"/>
    </row>
    <row r="989" spans="1:15" x14ac:dyDescent="0.25">
      <c r="A989" s="180">
        <f t="shared" ca="1" si="174"/>
        <v>47079</v>
      </c>
      <c r="B989" s="181">
        <v>975</v>
      </c>
      <c r="C989" s="182">
        <f t="shared" ca="1" si="167"/>
        <v>52696.28770258493</v>
      </c>
      <c r="D989" s="182">
        <f t="shared" ca="1" si="175"/>
        <v>35.130858468389953</v>
      </c>
      <c r="E989" s="182">
        <v>0</v>
      </c>
      <c r="F989" s="182">
        <f t="shared" ca="1" si="168"/>
        <v>0</v>
      </c>
      <c r="G989" s="182">
        <f t="shared" ca="1" si="176"/>
        <v>0</v>
      </c>
      <c r="H989" s="182">
        <f t="shared" ca="1" si="166"/>
        <v>52731.418561053317</v>
      </c>
      <c r="I989" s="183">
        <v>0</v>
      </c>
      <c r="J989" s="263">
        <f t="shared" ca="1" si="169"/>
        <v>52731.418561053317</v>
      </c>
      <c r="K989" s="182">
        <f t="shared" ca="1" si="170"/>
        <v>70</v>
      </c>
      <c r="L989" s="182"/>
      <c r="M989" s="182">
        <f t="shared" si="172"/>
        <v>0</v>
      </c>
      <c r="N989" s="182">
        <f t="shared" ca="1" si="173"/>
        <v>94381.41856105336</v>
      </c>
      <c r="O989" s="182"/>
    </row>
    <row r="990" spans="1:15" x14ac:dyDescent="0.25">
      <c r="A990" s="180">
        <f t="shared" ca="1" si="174"/>
        <v>47080</v>
      </c>
      <c r="B990" s="181">
        <v>976</v>
      </c>
      <c r="C990" s="182">
        <f t="shared" ca="1" si="167"/>
        <v>52731.418561053317</v>
      </c>
      <c r="D990" s="182">
        <f t="shared" ca="1" si="175"/>
        <v>35.154279040702207</v>
      </c>
      <c r="E990" s="182">
        <v>0</v>
      </c>
      <c r="F990" s="182">
        <f t="shared" ca="1" si="168"/>
        <v>0</v>
      </c>
      <c r="G990" s="182">
        <f t="shared" ca="1" si="176"/>
        <v>0</v>
      </c>
      <c r="H990" s="182">
        <f t="shared" ca="1" si="166"/>
        <v>52766.572840094021</v>
      </c>
      <c r="I990" s="183">
        <v>0</v>
      </c>
      <c r="J990" s="263">
        <f t="shared" ca="1" si="169"/>
        <v>52766.572840094021</v>
      </c>
      <c r="K990" s="182">
        <f t="shared" ca="1" si="170"/>
        <v>70</v>
      </c>
      <c r="L990" s="182"/>
      <c r="M990" s="182">
        <f t="shared" si="172"/>
        <v>0</v>
      </c>
      <c r="N990" s="182">
        <f t="shared" ca="1" si="173"/>
        <v>94486.572840094057</v>
      </c>
      <c r="O990" s="182"/>
    </row>
    <row r="991" spans="1:15" x14ac:dyDescent="0.25">
      <c r="A991" s="180">
        <f t="shared" ca="1" si="174"/>
        <v>47081</v>
      </c>
      <c r="B991" s="181">
        <v>977</v>
      </c>
      <c r="C991" s="182">
        <f t="shared" ca="1" si="167"/>
        <v>52766.572840094021</v>
      </c>
      <c r="D991" s="182">
        <f t="shared" ca="1" si="175"/>
        <v>35.177715226729347</v>
      </c>
      <c r="E991" s="182">
        <v>0</v>
      </c>
      <c r="F991" s="182">
        <f t="shared" ca="1" si="168"/>
        <v>0</v>
      </c>
      <c r="G991" s="182">
        <f t="shared" ca="1" si="176"/>
        <v>0</v>
      </c>
      <c r="H991" s="182">
        <f t="shared" ca="1" si="166"/>
        <v>52801.750555320752</v>
      </c>
      <c r="I991" s="183">
        <v>0</v>
      </c>
      <c r="J991" s="263">
        <f t="shared" ca="1" si="169"/>
        <v>52801.750555320752</v>
      </c>
      <c r="K991" s="182">
        <f t="shared" ca="1" si="170"/>
        <v>70</v>
      </c>
      <c r="L991" s="182"/>
      <c r="M991" s="182">
        <f t="shared" si="172"/>
        <v>0</v>
      </c>
      <c r="N991" s="182">
        <f t="shared" ca="1" si="173"/>
        <v>94591.750555320788</v>
      </c>
      <c r="O991" s="182"/>
    </row>
    <row r="992" spans="1:15" x14ac:dyDescent="0.25">
      <c r="A992" s="180">
        <f t="shared" ca="1" si="174"/>
        <v>47082</v>
      </c>
      <c r="B992" s="181">
        <v>978</v>
      </c>
      <c r="C992" s="182">
        <f t="shared" ca="1" si="167"/>
        <v>52801.750555320752</v>
      </c>
      <c r="D992" s="182">
        <f t="shared" ca="1" si="175"/>
        <v>35.201167036880499</v>
      </c>
      <c r="E992" s="182">
        <v>0</v>
      </c>
      <c r="F992" s="182">
        <f t="shared" ca="1" si="168"/>
        <v>0</v>
      </c>
      <c r="G992" s="182">
        <f t="shared" ca="1" si="176"/>
        <v>0</v>
      </c>
      <c r="H992" s="182">
        <f t="shared" ca="1" si="166"/>
        <v>52836.951722357633</v>
      </c>
      <c r="I992" s="183">
        <v>0</v>
      </c>
      <c r="J992" s="263">
        <f t="shared" ca="1" si="169"/>
        <v>52836.951722357633</v>
      </c>
      <c r="K992" s="182">
        <f t="shared" ca="1" si="170"/>
        <v>70</v>
      </c>
      <c r="L992" s="182"/>
      <c r="M992" s="182">
        <f t="shared" si="172"/>
        <v>0</v>
      </c>
      <c r="N992" s="182">
        <f t="shared" ca="1" si="173"/>
        <v>94696.951722357669</v>
      </c>
      <c r="O992" s="182"/>
    </row>
    <row r="993" spans="1:15" x14ac:dyDescent="0.25">
      <c r="A993" s="180">
        <f t="shared" ca="1" si="174"/>
        <v>47083</v>
      </c>
      <c r="B993" s="181">
        <v>979</v>
      </c>
      <c r="C993" s="182">
        <f t="shared" ca="1" si="167"/>
        <v>52836.951722357633</v>
      </c>
      <c r="D993" s="182">
        <f t="shared" ca="1" si="175"/>
        <v>35.224634481571755</v>
      </c>
      <c r="E993" s="182">
        <v>0</v>
      </c>
      <c r="F993" s="182">
        <f t="shared" ca="1" si="168"/>
        <v>0</v>
      </c>
      <c r="G993" s="182">
        <f t="shared" ca="1" si="176"/>
        <v>0</v>
      </c>
      <c r="H993" s="182">
        <f t="shared" ca="1" si="166"/>
        <v>52872.176356839205</v>
      </c>
      <c r="I993" s="183">
        <v>0</v>
      </c>
      <c r="J993" s="263">
        <f t="shared" ca="1" si="169"/>
        <v>52872.176356839205</v>
      </c>
      <c r="K993" s="182">
        <f t="shared" ca="1" si="170"/>
        <v>70</v>
      </c>
      <c r="L993" s="182"/>
      <c r="M993" s="182">
        <f t="shared" si="172"/>
        <v>0</v>
      </c>
      <c r="N993" s="182">
        <f t="shared" ca="1" si="173"/>
        <v>94802.176356839234</v>
      </c>
      <c r="O993" s="182"/>
    </row>
    <row r="994" spans="1:15" x14ac:dyDescent="0.25">
      <c r="A994" s="180">
        <f t="shared" ca="1" si="174"/>
        <v>47084</v>
      </c>
      <c r="B994" s="181">
        <v>980</v>
      </c>
      <c r="C994" s="182">
        <f t="shared" ca="1" si="167"/>
        <v>52872.176356839205</v>
      </c>
      <c r="D994" s="182">
        <f t="shared" ca="1" si="175"/>
        <v>35.248117571226139</v>
      </c>
      <c r="E994" s="182">
        <v>0</v>
      </c>
      <c r="F994" s="182">
        <f t="shared" ca="1" si="168"/>
        <v>0</v>
      </c>
      <c r="G994" s="182">
        <f t="shared" ca="1" si="176"/>
        <v>0</v>
      </c>
      <c r="H994" s="182">
        <f t="shared" ca="1" si="166"/>
        <v>52907.424474410429</v>
      </c>
      <c r="I994" s="183">
        <v>0</v>
      </c>
      <c r="J994" s="263">
        <f t="shared" ca="1" si="169"/>
        <v>52907.424474410429</v>
      </c>
      <c r="K994" s="182">
        <f t="shared" ca="1" si="170"/>
        <v>70</v>
      </c>
      <c r="L994" s="182"/>
      <c r="M994" s="182">
        <f t="shared" si="172"/>
        <v>0</v>
      </c>
      <c r="N994" s="182">
        <f t="shared" ca="1" si="173"/>
        <v>94907.424474410465</v>
      </c>
      <c r="O994" s="182"/>
    </row>
    <row r="995" spans="1:15" x14ac:dyDescent="0.25">
      <c r="A995" s="180">
        <f t="shared" ca="1" si="174"/>
        <v>47085</v>
      </c>
      <c r="B995" s="181">
        <v>981</v>
      </c>
      <c r="C995" s="182">
        <f t="shared" ca="1" si="167"/>
        <v>52907.424474410429</v>
      </c>
      <c r="D995" s="182">
        <f t="shared" ca="1" si="175"/>
        <v>35.271616316273615</v>
      </c>
      <c r="E995" s="182">
        <v>0</v>
      </c>
      <c r="F995" s="182">
        <f t="shared" ca="1" si="168"/>
        <v>0</v>
      </c>
      <c r="G995" s="182">
        <f t="shared" ca="1" si="176"/>
        <v>0</v>
      </c>
      <c r="H995" s="182">
        <f t="shared" ref="H995:H1058" ca="1" si="177">IF(G995&gt;0,C995+F995+I995,SUM(C995:F995)-G994)</f>
        <v>52942.696090726706</v>
      </c>
      <c r="I995" s="183">
        <v>0</v>
      </c>
      <c r="J995" s="263">
        <f t="shared" ca="1" si="169"/>
        <v>52942.696090726706</v>
      </c>
      <c r="K995" s="182">
        <f t="shared" ca="1" si="170"/>
        <v>70</v>
      </c>
      <c r="L995" s="182"/>
      <c r="M995" s="182">
        <f t="shared" si="172"/>
        <v>0</v>
      </c>
      <c r="N995" s="182">
        <f t="shared" ca="1" si="173"/>
        <v>95012.696090726735</v>
      </c>
      <c r="O995" s="182"/>
    </row>
    <row r="996" spans="1:15" x14ac:dyDescent="0.25">
      <c r="A996" s="180">
        <f t="shared" ca="1" si="174"/>
        <v>47086</v>
      </c>
      <c r="B996" s="181">
        <v>982</v>
      </c>
      <c r="C996" s="182">
        <f t="shared" ca="1" si="167"/>
        <v>52942.696090726706</v>
      </c>
      <c r="D996" s="182">
        <f t="shared" ca="1" si="175"/>
        <v>35.295130727151133</v>
      </c>
      <c r="E996" s="182">
        <v>0</v>
      </c>
      <c r="F996" s="182">
        <f t="shared" ca="1" si="168"/>
        <v>0</v>
      </c>
      <c r="G996" s="182">
        <f t="shared" ca="1" si="176"/>
        <v>0</v>
      </c>
      <c r="H996" s="182">
        <f t="shared" ca="1" si="177"/>
        <v>52977.991221453856</v>
      </c>
      <c r="I996" s="183">
        <v>0</v>
      </c>
      <c r="J996" s="263">
        <f t="shared" ca="1" si="169"/>
        <v>52977.991221453856</v>
      </c>
      <c r="K996" s="182">
        <f t="shared" ca="1" si="170"/>
        <v>70</v>
      </c>
      <c r="L996" s="182"/>
      <c r="M996" s="182">
        <f t="shared" si="172"/>
        <v>0</v>
      </c>
      <c r="N996" s="182">
        <f t="shared" ca="1" si="173"/>
        <v>95117.991221453893</v>
      </c>
      <c r="O996" s="182"/>
    </row>
    <row r="997" spans="1:15" x14ac:dyDescent="0.25">
      <c r="A997" s="180">
        <f t="shared" ca="1" si="174"/>
        <v>47087</v>
      </c>
      <c r="B997" s="181">
        <v>983</v>
      </c>
      <c r="C997" s="182">
        <f t="shared" ca="1" si="167"/>
        <v>52977.991221453856</v>
      </c>
      <c r="D997" s="182">
        <f t="shared" ca="1" si="175"/>
        <v>35.318660814302568</v>
      </c>
      <c r="E997" s="182">
        <v>0</v>
      </c>
      <c r="F997" s="182">
        <f t="shared" ca="1" si="168"/>
        <v>0</v>
      </c>
      <c r="G997" s="182">
        <f t="shared" ca="1" si="176"/>
        <v>0</v>
      </c>
      <c r="H997" s="182">
        <f t="shared" ca="1" si="177"/>
        <v>53013.309882268157</v>
      </c>
      <c r="I997" s="183">
        <v>0</v>
      </c>
      <c r="J997" s="263">
        <f t="shared" ca="1" si="169"/>
        <v>53013.309882268157</v>
      </c>
      <c r="K997" s="182">
        <f t="shared" ca="1" si="170"/>
        <v>70</v>
      </c>
      <c r="L997" s="182"/>
      <c r="M997" s="182">
        <f t="shared" si="172"/>
        <v>0</v>
      </c>
      <c r="N997" s="182">
        <f t="shared" ca="1" si="173"/>
        <v>95223.309882268193</v>
      </c>
      <c r="O997" s="182"/>
    </row>
    <row r="998" spans="1:15" x14ac:dyDescent="0.25">
      <c r="A998" s="180">
        <f t="shared" ca="1" si="174"/>
        <v>47088</v>
      </c>
      <c r="B998" s="181">
        <v>984</v>
      </c>
      <c r="C998" s="182">
        <f t="shared" ca="1" si="167"/>
        <v>53013.309882268157</v>
      </c>
      <c r="D998" s="182">
        <f t="shared" ca="1" si="175"/>
        <v>35.342206588178769</v>
      </c>
      <c r="E998" s="182">
        <v>0</v>
      </c>
      <c r="F998" s="182">
        <f t="shared" ca="1" si="168"/>
        <v>0</v>
      </c>
      <c r="G998" s="182">
        <f t="shared" ca="1" si="176"/>
        <v>0</v>
      </c>
      <c r="H998" s="182">
        <f t="shared" ca="1" si="177"/>
        <v>53048.652088856339</v>
      </c>
      <c r="I998" s="183">
        <v>0</v>
      </c>
      <c r="J998" s="263">
        <f t="shared" ca="1" si="169"/>
        <v>53048.652088856339</v>
      </c>
      <c r="K998" s="182">
        <f t="shared" ca="1" si="170"/>
        <v>70</v>
      </c>
      <c r="L998" s="182"/>
      <c r="M998" s="182">
        <f t="shared" si="172"/>
        <v>0</v>
      </c>
      <c r="N998" s="182">
        <f t="shared" ca="1" si="173"/>
        <v>95328.652088856368</v>
      </c>
      <c r="O998" s="182"/>
    </row>
    <row r="999" spans="1:15" x14ac:dyDescent="0.25">
      <c r="A999" s="180">
        <f t="shared" ca="1" si="174"/>
        <v>47089</v>
      </c>
      <c r="B999" s="181">
        <v>985</v>
      </c>
      <c r="C999" s="182">
        <f t="shared" ca="1" si="167"/>
        <v>53048.652088856339</v>
      </c>
      <c r="D999" s="182">
        <f t="shared" ca="1" si="175"/>
        <v>35.36576805923756</v>
      </c>
      <c r="E999" s="182">
        <v>0</v>
      </c>
      <c r="F999" s="182">
        <f t="shared" ca="1" si="168"/>
        <v>0</v>
      </c>
      <c r="G999" s="182">
        <f t="shared" ca="1" si="176"/>
        <v>0</v>
      </c>
      <c r="H999" s="182">
        <f t="shared" ca="1" si="177"/>
        <v>53084.017856915576</v>
      </c>
      <c r="I999" s="183">
        <v>0</v>
      </c>
      <c r="J999" s="263">
        <f t="shared" ca="1" si="169"/>
        <v>53084.017856915576</v>
      </c>
      <c r="K999" s="182">
        <f t="shared" ca="1" si="170"/>
        <v>70</v>
      </c>
      <c r="L999" s="182"/>
      <c r="M999" s="182">
        <f t="shared" si="172"/>
        <v>0</v>
      </c>
      <c r="N999" s="182">
        <f t="shared" ca="1" si="173"/>
        <v>95434.017856915612</v>
      </c>
      <c r="O999" s="182"/>
    </row>
    <row r="1000" spans="1:15" x14ac:dyDescent="0.25">
      <c r="A1000" s="180">
        <f t="shared" ca="1" si="174"/>
        <v>47090</v>
      </c>
      <c r="B1000" s="181">
        <v>986</v>
      </c>
      <c r="C1000" s="182">
        <f t="shared" ca="1" si="167"/>
        <v>53084.017856915576</v>
      </c>
      <c r="D1000" s="182">
        <f t="shared" ca="1" si="175"/>
        <v>35.389345237943715</v>
      </c>
      <c r="E1000" s="182">
        <v>0</v>
      </c>
      <c r="F1000" s="182">
        <f t="shared" ca="1" si="168"/>
        <v>0</v>
      </c>
      <c r="G1000" s="182">
        <f t="shared" ca="1" si="176"/>
        <v>0</v>
      </c>
      <c r="H1000" s="182">
        <f t="shared" ca="1" si="177"/>
        <v>53119.407202153518</v>
      </c>
      <c r="I1000" s="183">
        <v>0</v>
      </c>
      <c r="J1000" s="263">
        <f t="shared" ca="1" si="169"/>
        <v>53119.407202153518</v>
      </c>
      <c r="K1000" s="182">
        <f t="shared" ca="1" si="170"/>
        <v>70</v>
      </c>
      <c r="L1000" s="182"/>
      <c r="M1000" s="182">
        <f t="shared" si="172"/>
        <v>0</v>
      </c>
      <c r="N1000" s="182">
        <f t="shared" ca="1" si="173"/>
        <v>95539.407202153554</v>
      </c>
      <c r="O1000" s="182"/>
    </row>
    <row r="1001" spans="1:15" x14ac:dyDescent="0.25">
      <c r="A1001" s="180">
        <f t="shared" ca="1" si="174"/>
        <v>47091</v>
      </c>
      <c r="B1001" s="181">
        <v>987</v>
      </c>
      <c r="C1001" s="182">
        <f t="shared" ca="1" si="167"/>
        <v>53119.407202153518</v>
      </c>
      <c r="D1001" s="182">
        <f t="shared" ca="1" si="175"/>
        <v>35.412938134769007</v>
      </c>
      <c r="E1001" s="182">
        <v>0</v>
      </c>
      <c r="F1001" s="182">
        <f t="shared" ca="1" si="168"/>
        <v>0</v>
      </c>
      <c r="G1001" s="182">
        <f t="shared" ca="1" si="176"/>
        <v>0</v>
      </c>
      <c r="H1001" s="182">
        <f t="shared" ca="1" si="177"/>
        <v>53154.820140288284</v>
      </c>
      <c r="I1001" s="183">
        <v>0</v>
      </c>
      <c r="J1001" s="263">
        <f t="shared" ca="1" si="169"/>
        <v>53154.820140288284</v>
      </c>
      <c r="K1001" s="182">
        <f t="shared" ca="1" si="170"/>
        <v>70</v>
      </c>
      <c r="L1001" s="182"/>
      <c r="M1001" s="182">
        <f t="shared" si="172"/>
        <v>0</v>
      </c>
      <c r="N1001" s="182">
        <f t="shared" ca="1" si="173"/>
        <v>95644.820140288328</v>
      </c>
      <c r="O1001" s="182"/>
    </row>
    <row r="1002" spans="1:15" x14ac:dyDescent="0.25">
      <c r="A1002" s="180">
        <f t="shared" ca="1" si="174"/>
        <v>47092</v>
      </c>
      <c r="B1002" s="181">
        <v>988</v>
      </c>
      <c r="C1002" s="182">
        <f t="shared" ca="1" si="167"/>
        <v>53154.820140288284</v>
      </c>
      <c r="D1002" s="182">
        <f t="shared" ca="1" si="175"/>
        <v>35.436546760192186</v>
      </c>
      <c r="E1002" s="182">
        <v>0</v>
      </c>
      <c r="F1002" s="182">
        <f t="shared" ca="1" si="168"/>
        <v>0</v>
      </c>
      <c r="G1002" s="182">
        <f t="shared" ca="1" si="176"/>
        <v>0</v>
      </c>
      <c r="H1002" s="182">
        <f t="shared" ca="1" si="177"/>
        <v>53190.256687048473</v>
      </c>
      <c r="I1002" s="183">
        <v>0</v>
      </c>
      <c r="J1002" s="263">
        <f t="shared" ca="1" si="169"/>
        <v>53190.256687048473</v>
      </c>
      <c r="K1002" s="182">
        <f t="shared" ca="1" si="170"/>
        <v>70</v>
      </c>
      <c r="L1002" s="182"/>
      <c r="M1002" s="182">
        <f t="shared" si="172"/>
        <v>0</v>
      </c>
      <c r="N1002" s="182">
        <f t="shared" ca="1" si="173"/>
        <v>95750.256687048517</v>
      </c>
      <c r="O1002" s="182"/>
    </row>
    <row r="1003" spans="1:15" x14ac:dyDescent="0.25">
      <c r="A1003" s="180">
        <f t="shared" ca="1" si="174"/>
        <v>47093</v>
      </c>
      <c r="B1003" s="181">
        <v>989</v>
      </c>
      <c r="C1003" s="182">
        <f t="shared" ref="C1003:C1066" ca="1" si="178">H1002</f>
        <v>53190.256687048473</v>
      </c>
      <c r="D1003" s="182">
        <f t="shared" ca="1" si="175"/>
        <v>35.460171124698981</v>
      </c>
      <c r="E1003" s="182">
        <v>0</v>
      </c>
      <c r="F1003" s="182">
        <f t="shared" ca="1" si="168"/>
        <v>0</v>
      </c>
      <c r="G1003" s="182">
        <f t="shared" ca="1" si="176"/>
        <v>0</v>
      </c>
      <c r="H1003" s="182">
        <f t="shared" ca="1" si="177"/>
        <v>53225.716858173175</v>
      </c>
      <c r="I1003" s="183">
        <v>0</v>
      </c>
      <c r="J1003" s="263">
        <f t="shared" ca="1" si="169"/>
        <v>53225.716858173175</v>
      </c>
      <c r="K1003" s="182">
        <f t="shared" ca="1" si="170"/>
        <v>70</v>
      </c>
      <c r="L1003" s="182"/>
      <c r="M1003" s="182">
        <f t="shared" si="172"/>
        <v>0</v>
      </c>
      <c r="N1003" s="182">
        <f t="shared" ca="1" si="173"/>
        <v>95855.716858173211</v>
      </c>
      <c r="O1003" s="182"/>
    </row>
    <row r="1004" spans="1:15" x14ac:dyDescent="0.25">
      <c r="A1004" s="180">
        <f t="shared" ca="1" si="174"/>
        <v>47094</v>
      </c>
      <c r="B1004" s="181">
        <v>990</v>
      </c>
      <c r="C1004" s="182">
        <f t="shared" ca="1" si="178"/>
        <v>53225.716858173175</v>
      </c>
      <c r="D1004" s="182">
        <f t="shared" ca="1" si="175"/>
        <v>35.483811238782117</v>
      </c>
      <c r="E1004" s="182">
        <v>0</v>
      </c>
      <c r="F1004" s="182">
        <f t="shared" ref="F1004:F1067" ca="1" si="179">IFERROR(-VLOOKUP(A1004,$P$4:$R$31,2,FALSE),0)</f>
        <v>0</v>
      </c>
      <c r="G1004" s="182">
        <f t="shared" ca="1" si="176"/>
        <v>0</v>
      </c>
      <c r="H1004" s="182">
        <f t="shared" ca="1" si="177"/>
        <v>53261.200669411955</v>
      </c>
      <c r="I1004" s="183">
        <v>0</v>
      </c>
      <c r="J1004" s="263">
        <f t="shared" ca="1" si="169"/>
        <v>53261.200669411955</v>
      </c>
      <c r="K1004" s="182">
        <f t="shared" ca="1" si="170"/>
        <v>70</v>
      </c>
      <c r="L1004" s="182"/>
      <c r="M1004" s="182">
        <f t="shared" si="172"/>
        <v>0</v>
      </c>
      <c r="N1004" s="182">
        <f t="shared" ca="1" si="173"/>
        <v>95961.200669411992</v>
      </c>
      <c r="O1004" s="182"/>
    </row>
    <row r="1005" spans="1:15" x14ac:dyDescent="0.25">
      <c r="A1005" s="180">
        <f t="shared" ca="1" si="174"/>
        <v>47095</v>
      </c>
      <c r="B1005" s="181">
        <v>991</v>
      </c>
      <c r="C1005" s="182">
        <f t="shared" ca="1" si="178"/>
        <v>53261.200669411955</v>
      </c>
      <c r="D1005" s="182">
        <f t="shared" ca="1" si="175"/>
        <v>35.507467112941299</v>
      </c>
      <c r="E1005" s="182">
        <v>0</v>
      </c>
      <c r="F1005" s="182">
        <f t="shared" ca="1" si="179"/>
        <v>0</v>
      </c>
      <c r="G1005" s="182">
        <f t="shared" ca="1" si="176"/>
        <v>0</v>
      </c>
      <c r="H1005" s="182">
        <f t="shared" ca="1" si="177"/>
        <v>53296.708136524896</v>
      </c>
      <c r="I1005" s="183">
        <v>0</v>
      </c>
      <c r="J1005" s="263">
        <f t="shared" ca="1" si="169"/>
        <v>53296.708136524896</v>
      </c>
      <c r="K1005" s="182">
        <f t="shared" ca="1" si="170"/>
        <v>70</v>
      </c>
      <c r="L1005" s="182"/>
      <c r="M1005" s="182">
        <f t="shared" si="172"/>
        <v>0</v>
      </c>
      <c r="N1005" s="182">
        <f t="shared" ca="1" si="173"/>
        <v>96066.708136524932</v>
      </c>
      <c r="O1005" s="182"/>
    </row>
    <row r="1006" spans="1:15" x14ac:dyDescent="0.25">
      <c r="A1006" s="180">
        <f t="shared" ca="1" si="174"/>
        <v>47096</v>
      </c>
      <c r="B1006" s="181">
        <v>992</v>
      </c>
      <c r="C1006" s="182">
        <f t="shared" ca="1" si="178"/>
        <v>53296.708136524896</v>
      </c>
      <c r="D1006" s="182">
        <f t="shared" ca="1" si="175"/>
        <v>35.531138757683266</v>
      </c>
      <c r="E1006" s="182">
        <v>0</v>
      </c>
      <c r="F1006" s="182">
        <f t="shared" ca="1" si="179"/>
        <v>0</v>
      </c>
      <c r="G1006" s="182">
        <f t="shared" ca="1" si="176"/>
        <v>0</v>
      </c>
      <c r="H1006" s="182">
        <f t="shared" ca="1" si="177"/>
        <v>53332.239275282576</v>
      </c>
      <c r="I1006" s="183">
        <v>0</v>
      </c>
      <c r="J1006" s="263">
        <f t="shared" ca="1" si="169"/>
        <v>53332.239275282576</v>
      </c>
      <c r="K1006" s="182">
        <f t="shared" ca="1" si="170"/>
        <v>70</v>
      </c>
      <c r="L1006" s="182"/>
      <c r="M1006" s="182">
        <f t="shared" si="172"/>
        <v>0</v>
      </c>
      <c r="N1006" s="182">
        <f t="shared" ca="1" si="173"/>
        <v>96172.239275282613</v>
      </c>
      <c r="O1006" s="182"/>
    </row>
    <row r="1007" spans="1:15" x14ac:dyDescent="0.25">
      <c r="A1007" s="180">
        <f t="shared" ca="1" si="174"/>
        <v>47097</v>
      </c>
      <c r="B1007" s="181">
        <v>993</v>
      </c>
      <c r="C1007" s="182">
        <f t="shared" ca="1" si="178"/>
        <v>53332.239275282576</v>
      </c>
      <c r="D1007" s="182">
        <f t="shared" ca="1" si="175"/>
        <v>35.554826183521719</v>
      </c>
      <c r="E1007" s="182">
        <v>0</v>
      </c>
      <c r="F1007" s="182">
        <f t="shared" ca="1" si="179"/>
        <v>0</v>
      </c>
      <c r="G1007" s="182">
        <f t="shared" ca="1" si="176"/>
        <v>0</v>
      </c>
      <c r="H1007" s="182">
        <f t="shared" ca="1" si="177"/>
        <v>53367.794101466097</v>
      </c>
      <c r="I1007" s="183">
        <v>0</v>
      </c>
      <c r="J1007" s="263">
        <f t="shared" ca="1" si="169"/>
        <v>53367.794101466097</v>
      </c>
      <c r="K1007" s="182">
        <f t="shared" ca="1" si="170"/>
        <v>70</v>
      </c>
      <c r="L1007" s="182"/>
      <c r="M1007" s="182">
        <f t="shared" si="172"/>
        <v>0</v>
      </c>
      <c r="N1007" s="182">
        <f t="shared" ca="1" si="173"/>
        <v>96277.794101466134</v>
      </c>
      <c r="O1007" s="182"/>
    </row>
    <row r="1008" spans="1:15" x14ac:dyDescent="0.25">
      <c r="A1008" s="180">
        <f t="shared" ca="1" si="174"/>
        <v>47098</v>
      </c>
      <c r="B1008" s="181">
        <v>994</v>
      </c>
      <c r="C1008" s="182">
        <f t="shared" ca="1" si="178"/>
        <v>53367.794101466097</v>
      </c>
      <c r="D1008" s="182">
        <f t="shared" ca="1" si="175"/>
        <v>35.578529400977395</v>
      </c>
      <c r="E1008" s="182">
        <v>0</v>
      </c>
      <c r="F1008" s="182">
        <f t="shared" ca="1" si="179"/>
        <v>0</v>
      </c>
      <c r="G1008" s="182">
        <f t="shared" ca="1" si="176"/>
        <v>0</v>
      </c>
      <c r="H1008" s="182">
        <f t="shared" ca="1" si="177"/>
        <v>53403.372630867074</v>
      </c>
      <c r="I1008" s="183">
        <v>0</v>
      </c>
      <c r="J1008" s="263">
        <f t="shared" ca="1" si="169"/>
        <v>53403.372630867074</v>
      </c>
      <c r="K1008" s="182">
        <f t="shared" ca="1" si="170"/>
        <v>70</v>
      </c>
      <c r="L1008" s="182"/>
      <c r="M1008" s="182">
        <f t="shared" si="172"/>
        <v>0</v>
      </c>
      <c r="N1008" s="182">
        <f t="shared" ca="1" si="173"/>
        <v>96383.372630867118</v>
      </c>
      <c r="O1008" s="182"/>
    </row>
    <row r="1009" spans="1:15" x14ac:dyDescent="0.25">
      <c r="A1009" s="180">
        <f t="shared" ca="1" si="174"/>
        <v>47099</v>
      </c>
      <c r="B1009" s="181">
        <v>995</v>
      </c>
      <c r="C1009" s="182">
        <f t="shared" ca="1" si="178"/>
        <v>53403.372630867074</v>
      </c>
      <c r="D1009" s="182">
        <f t="shared" ca="1" si="175"/>
        <v>35.60224842057805</v>
      </c>
      <c r="E1009" s="182">
        <v>0</v>
      </c>
      <c r="F1009" s="182">
        <f t="shared" ca="1" si="179"/>
        <v>0</v>
      </c>
      <c r="G1009" s="182">
        <f t="shared" ca="1" si="176"/>
        <v>0</v>
      </c>
      <c r="H1009" s="182">
        <f t="shared" ca="1" si="177"/>
        <v>53438.974879287649</v>
      </c>
      <c r="I1009" s="183">
        <v>0</v>
      </c>
      <c r="J1009" s="263">
        <f t="shared" ca="1" si="169"/>
        <v>53438.974879287649</v>
      </c>
      <c r="K1009" s="182">
        <f t="shared" ca="1" si="170"/>
        <v>70</v>
      </c>
      <c r="L1009" s="182"/>
      <c r="M1009" s="182">
        <f t="shared" si="172"/>
        <v>0</v>
      </c>
      <c r="N1009" s="182">
        <f t="shared" ca="1" si="173"/>
        <v>96488.974879287693</v>
      </c>
      <c r="O1009" s="182"/>
    </row>
    <row r="1010" spans="1:15" x14ac:dyDescent="0.25">
      <c r="A1010" s="180">
        <f t="shared" ca="1" si="174"/>
        <v>47100</v>
      </c>
      <c r="B1010" s="181">
        <v>996</v>
      </c>
      <c r="C1010" s="182">
        <f t="shared" ca="1" si="178"/>
        <v>53438.974879287649</v>
      </c>
      <c r="D1010" s="182">
        <f t="shared" ca="1" si="175"/>
        <v>35.625983252858433</v>
      </c>
      <c r="E1010" s="182">
        <v>0</v>
      </c>
      <c r="F1010" s="182">
        <f t="shared" ca="1" si="179"/>
        <v>0</v>
      </c>
      <c r="G1010" s="182">
        <f t="shared" ca="1" si="176"/>
        <v>0</v>
      </c>
      <c r="H1010" s="182">
        <f t="shared" ca="1" si="177"/>
        <v>53474.600862540508</v>
      </c>
      <c r="I1010" s="183">
        <v>0</v>
      </c>
      <c r="J1010" s="263">
        <f t="shared" ca="1" si="169"/>
        <v>53474.600862540508</v>
      </c>
      <c r="K1010" s="182">
        <f t="shared" ca="1" si="170"/>
        <v>70</v>
      </c>
      <c r="L1010" s="182"/>
      <c r="M1010" s="182">
        <f t="shared" si="172"/>
        <v>0</v>
      </c>
      <c r="N1010" s="182">
        <f t="shared" ca="1" si="173"/>
        <v>96594.600862540552</v>
      </c>
      <c r="O1010" s="182"/>
    </row>
    <row r="1011" spans="1:15" x14ac:dyDescent="0.25">
      <c r="A1011" s="180">
        <f t="shared" ca="1" si="174"/>
        <v>47101</v>
      </c>
      <c r="B1011" s="181">
        <v>997</v>
      </c>
      <c r="C1011" s="182">
        <f t="shared" ca="1" si="178"/>
        <v>53474.600862540508</v>
      </c>
      <c r="D1011" s="182">
        <f t="shared" ca="1" si="175"/>
        <v>35.649733908360339</v>
      </c>
      <c r="E1011" s="182">
        <v>0</v>
      </c>
      <c r="F1011" s="182">
        <f t="shared" ca="1" si="179"/>
        <v>0</v>
      </c>
      <c r="G1011" s="182">
        <f t="shared" ca="1" si="176"/>
        <v>0</v>
      </c>
      <c r="H1011" s="182">
        <f t="shared" ca="1" si="177"/>
        <v>53510.250596448866</v>
      </c>
      <c r="I1011" s="183">
        <v>0</v>
      </c>
      <c r="J1011" s="263">
        <f t="shared" ca="1" si="169"/>
        <v>53510.250596448866</v>
      </c>
      <c r="K1011" s="182">
        <f t="shared" ca="1" si="170"/>
        <v>70</v>
      </c>
      <c r="L1011" s="182"/>
      <c r="M1011" s="182">
        <f t="shared" si="172"/>
        <v>0</v>
      </c>
      <c r="N1011" s="182">
        <f t="shared" ca="1" si="173"/>
        <v>96700.25059644891</v>
      </c>
      <c r="O1011" s="182"/>
    </row>
    <row r="1012" spans="1:15" x14ac:dyDescent="0.25">
      <c r="A1012" s="180">
        <f t="shared" ca="1" si="174"/>
        <v>47102</v>
      </c>
      <c r="B1012" s="181">
        <v>998</v>
      </c>
      <c r="C1012" s="182">
        <f t="shared" ca="1" si="178"/>
        <v>53510.250596448866</v>
      </c>
      <c r="D1012" s="182">
        <f t="shared" ca="1" si="175"/>
        <v>35.67350039763258</v>
      </c>
      <c r="E1012" s="182">
        <v>0</v>
      </c>
      <c r="F1012" s="182">
        <f t="shared" ca="1" si="179"/>
        <v>0</v>
      </c>
      <c r="G1012" s="182">
        <f t="shared" ca="1" si="176"/>
        <v>0</v>
      </c>
      <c r="H1012" s="182">
        <f t="shared" ca="1" si="177"/>
        <v>53545.924096846502</v>
      </c>
      <c r="I1012" s="183">
        <v>0</v>
      </c>
      <c r="J1012" s="263">
        <f t="shared" ca="1" si="169"/>
        <v>53545.924096846502</v>
      </c>
      <c r="K1012" s="182">
        <f t="shared" ca="1" si="170"/>
        <v>70</v>
      </c>
      <c r="L1012" s="182"/>
      <c r="M1012" s="182">
        <f t="shared" si="172"/>
        <v>0</v>
      </c>
      <c r="N1012" s="182">
        <f t="shared" ca="1" si="173"/>
        <v>96805.924096846546</v>
      </c>
      <c r="O1012" s="182"/>
    </row>
    <row r="1013" spans="1:15" x14ac:dyDescent="0.25">
      <c r="A1013" s="180">
        <f t="shared" ca="1" si="174"/>
        <v>47103</v>
      </c>
      <c r="B1013" s="181">
        <v>999</v>
      </c>
      <c r="C1013" s="182">
        <f t="shared" ca="1" si="178"/>
        <v>53545.924096846502</v>
      </c>
      <c r="D1013" s="182">
        <f t="shared" ca="1" si="175"/>
        <v>35.697282731230999</v>
      </c>
      <c r="E1013" s="182">
        <v>0</v>
      </c>
      <c r="F1013" s="182">
        <f t="shared" ca="1" si="179"/>
        <v>0</v>
      </c>
      <c r="G1013" s="182">
        <f t="shared" ca="1" si="176"/>
        <v>0</v>
      </c>
      <c r="H1013" s="182">
        <f t="shared" ca="1" si="177"/>
        <v>53581.621379577729</v>
      </c>
      <c r="I1013" s="183">
        <v>0</v>
      </c>
      <c r="J1013" s="263">
        <f t="shared" ca="1" si="169"/>
        <v>53581.621379577729</v>
      </c>
      <c r="K1013" s="182">
        <f t="shared" ca="1" si="170"/>
        <v>70</v>
      </c>
      <c r="L1013" s="182"/>
      <c r="M1013" s="182">
        <f t="shared" si="172"/>
        <v>0</v>
      </c>
      <c r="N1013" s="182">
        <f t="shared" ca="1" si="173"/>
        <v>96911.621379577773</v>
      </c>
      <c r="O1013" s="182"/>
    </row>
    <row r="1014" spans="1:15" x14ac:dyDescent="0.25">
      <c r="A1014" s="180">
        <f t="shared" ca="1" si="174"/>
        <v>47104</v>
      </c>
      <c r="B1014" s="181">
        <v>1000</v>
      </c>
      <c r="C1014" s="182">
        <f t="shared" ca="1" si="178"/>
        <v>53581.621379577729</v>
      </c>
      <c r="D1014" s="182">
        <f t="shared" ca="1" si="175"/>
        <v>35.721080919718482</v>
      </c>
      <c r="E1014" s="182">
        <v>0</v>
      </c>
      <c r="F1014" s="182">
        <f t="shared" ca="1" si="179"/>
        <v>0</v>
      </c>
      <c r="G1014" s="182">
        <f t="shared" ca="1" si="176"/>
        <v>0</v>
      </c>
      <c r="H1014" s="182">
        <f t="shared" ca="1" si="177"/>
        <v>53617.34246049745</v>
      </c>
      <c r="I1014" s="183">
        <v>0</v>
      </c>
      <c r="J1014" s="263">
        <f t="shared" ca="1" si="169"/>
        <v>53617.34246049745</v>
      </c>
      <c r="K1014" s="182">
        <f t="shared" ca="1" si="170"/>
        <v>70</v>
      </c>
      <c r="L1014" s="182"/>
      <c r="M1014" s="182">
        <f t="shared" si="172"/>
        <v>0</v>
      </c>
      <c r="N1014" s="182">
        <f t="shared" ca="1" si="173"/>
        <v>97017.342460497486</v>
      </c>
      <c r="O1014" s="182"/>
    </row>
    <row r="1015" spans="1:15" x14ac:dyDescent="0.25">
      <c r="A1015" s="180">
        <f t="shared" ca="1" si="174"/>
        <v>47105</v>
      </c>
      <c r="B1015" s="181">
        <v>1001</v>
      </c>
      <c r="C1015" s="182">
        <f t="shared" ca="1" si="178"/>
        <v>53617.34246049745</v>
      </c>
      <c r="D1015" s="182">
        <f t="shared" ca="1" si="175"/>
        <v>35.744894973664962</v>
      </c>
      <c r="E1015" s="182">
        <v>0</v>
      </c>
      <c r="F1015" s="182">
        <f t="shared" ca="1" si="179"/>
        <v>0</v>
      </c>
      <c r="G1015" s="182">
        <f t="shared" ca="1" si="176"/>
        <v>0</v>
      </c>
      <c r="H1015" s="182">
        <f t="shared" ca="1" si="177"/>
        <v>53653.087355471114</v>
      </c>
      <c r="I1015" s="183">
        <v>0</v>
      </c>
      <c r="J1015" s="263">
        <f t="shared" ca="1" si="169"/>
        <v>53653.087355471114</v>
      </c>
      <c r="K1015" s="182">
        <f t="shared" ca="1" si="170"/>
        <v>70</v>
      </c>
      <c r="L1015" s="182"/>
      <c r="M1015" s="182">
        <f t="shared" si="172"/>
        <v>0</v>
      </c>
      <c r="N1015" s="182">
        <f t="shared" ca="1" si="173"/>
        <v>97123.087355471158</v>
      </c>
      <c r="O1015" s="182"/>
    </row>
    <row r="1016" spans="1:15" x14ac:dyDescent="0.25">
      <c r="A1016" s="180">
        <f t="shared" ca="1" si="174"/>
        <v>47106</v>
      </c>
      <c r="B1016" s="181">
        <v>1002</v>
      </c>
      <c r="C1016" s="182">
        <f t="shared" ca="1" si="178"/>
        <v>53653.087355471114</v>
      </c>
      <c r="D1016" s="182">
        <f t="shared" ca="1" si="175"/>
        <v>35.76872490364741</v>
      </c>
      <c r="E1016" s="182">
        <v>0</v>
      </c>
      <c r="F1016" s="182">
        <f t="shared" ca="1" si="179"/>
        <v>0</v>
      </c>
      <c r="G1016" s="182">
        <f t="shared" ca="1" si="176"/>
        <v>0</v>
      </c>
      <c r="H1016" s="182">
        <f t="shared" ca="1" si="177"/>
        <v>53688.85608037476</v>
      </c>
      <c r="I1016" s="183">
        <v>0</v>
      </c>
      <c r="J1016" s="263">
        <f t="shared" ca="1" si="169"/>
        <v>53688.85608037476</v>
      </c>
      <c r="K1016" s="182">
        <f t="shared" ca="1" si="170"/>
        <v>70</v>
      </c>
      <c r="L1016" s="182"/>
      <c r="M1016" s="182">
        <f t="shared" si="172"/>
        <v>0</v>
      </c>
      <c r="N1016" s="182">
        <f t="shared" ca="1" si="173"/>
        <v>97228.856080374811</v>
      </c>
      <c r="O1016" s="182"/>
    </row>
    <row r="1017" spans="1:15" x14ac:dyDescent="0.25">
      <c r="A1017" s="180">
        <f t="shared" ca="1" si="174"/>
        <v>47107</v>
      </c>
      <c r="B1017" s="181">
        <v>1003</v>
      </c>
      <c r="C1017" s="182">
        <f t="shared" ca="1" si="178"/>
        <v>53688.85608037476</v>
      </c>
      <c r="D1017" s="182">
        <f t="shared" ca="1" si="175"/>
        <v>35.792570720249842</v>
      </c>
      <c r="E1017" s="182">
        <v>0</v>
      </c>
      <c r="F1017" s="182">
        <f t="shared" ca="1" si="179"/>
        <v>0</v>
      </c>
      <c r="G1017" s="182">
        <f t="shared" ca="1" si="176"/>
        <v>0</v>
      </c>
      <c r="H1017" s="182">
        <f t="shared" ca="1" si="177"/>
        <v>53724.648651095013</v>
      </c>
      <c r="I1017" s="183">
        <v>0</v>
      </c>
      <c r="J1017" s="263">
        <f t="shared" ca="1" si="169"/>
        <v>53724.648651095013</v>
      </c>
      <c r="K1017" s="182">
        <f t="shared" ca="1" si="170"/>
        <v>70</v>
      </c>
      <c r="L1017" s="182"/>
      <c r="M1017" s="182">
        <f t="shared" si="172"/>
        <v>0</v>
      </c>
      <c r="N1017" s="182">
        <f t="shared" ca="1" si="173"/>
        <v>97334.648651095064</v>
      </c>
      <c r="O1017" s="182"/>
    </row>
    <row r="1018" spans="1:15" x14ac:dyDescent="0.25">
      <c r="A1018" s="180">
        <f t="shared" ca="1" si="174"/>
        <v>47108</v>
      </c>
      <c r="B1018" s="181">
        <v>1004</v>
      </c>
      <c r="C1018" s="182">
        <f t="shared" ca="1" si="178"/>
        <v>53724.648651095013</v>
      </c>
      <c r="D1018" s="182">
        <f t="shared" ca="1" si="175"/>
        <v>35.816432434063337</v>
      </c>
      <c r="E1018" s="182">
        <v>0</v>
      </c>
      <c r="F1018" s="182">
        <f t="shared" ca="1" si="179"/>
        <v>0</v>
      </c>
      <c r="G1018" s="182">
        <f t="shared" ca="1" si="176"/>
        <v>0</v>
      </c>
      <c r="H1018" s="182">
        <f t="shared" ca="1" si="177"/>
        <v>53760.465083529074</v>
      </c>
      <c r="I1018" s="183">
        <v>0</v>
      </c>
      <c r="J1018" s="263">
        <f t="shared" ca="1" si="169"/>
        <v>53760.465083529074</v>
      </c>
      <c r="K1018" s="182">
        <f t="shared" ca="1" si="170"/>
        <v>70</v>
      </c>
      <c r="L1018" s="182"/>
      <c r="M1018" s="182">
        <f t="shared" si="172"/>
        <v>0</v>
      </c>
      <c r="N1018" s="182">
        <f t="shared" ca="1" si="173"/>
        <v>97440.465083529125</v>
      </c>
      <c r="O1018" s="182"/>
    </row>
    <row r="1019" spans="1:15" x14ac:dyDescent="0.25">
      <c r="A1019" s="180">
        <f t="shared" ca="1" si="174"/>
        <v>47109</v>
      </c>
      <c r="B1019" s="181">
        <v>1005</v>
      </c>
      <c r="C1019" s="182">
        <f t="shared" ca="1" si="178"/>
        <v>53760.465083529074</v>
      </c>
      <c r="D1019" s="182">
        <f t="shared" ca="1" si="175"/>
        <v>35.840310055686047</v>
      </c>
      <c r="E1019" s="182">
        <v>0</v>
      </c>
      <c r="F1019" s="182">
        <f t="shared" ca="1" si="179"/>
        <v>0</v>
      </c>
      <c r="G1019" s="182">
        <f t="shared" ca="1" si="176"/>
        <v>0</v>
      </c>
      <c r="H1019" s="182">
        <f t="shared" ca="1" si="177"/>
        <v>53796.305393584757</v>
      </c>
      <c r="I1019" s="183">
        <v>0</v>
      </c>
      <c r="J1019" s="263">
        <f t="shared" ca="1" si="169"/>
        <v>53796.305393584757</v>
      </c>
      <c r="K1019" s="182">
        <f t="shared" ca="1" si="170"/>
        <v>70</v>
      </c>
      <c r="L1019" s="182"/>
      <c r="M1019" s="182">
        <f t="shared" si="172"/>
        <v>0</v>
      </c>
      <c r="N1019" s="182">
        <f t="shared" ca="1" si="173"/>
        <v>97546.305393584815</v>
      </c>
      <c r="O1019" s="182"/>
    </row>
    <row r="1020" spans="1:15" x14ac:dyDescent="0.25">
      <c r="A1020" s="180">
        <f t="shared" ca="1" si="174"/>
        <v>47110</v>
      </c>
      <c r="B1020" s="181">
        <v>1006</v>
      </c>
      <c r="C1020" s="182">
        <f t="shared" ca="1" si="178"/>
        <v>53796.305393584757</v>
      </c>
      <c r="D1020" s="182">
        <f t="shared" ca="1" si="175"/>
        <v>35.864203595723168</v>
      </c>
      <c r="E1020" s="182">
        <v>0</v>
      </c>
      <c r="F1020" s="182">
        <f t="shared" ca="1" si="179"/>
        <v>0</v>
      </c>
      <c r="G1020" s="182">
        <f t="shared" ca="1" si="176"/>
        <v>0</v>
      </c>
      <c r="H1020" s="182">
        <f t="shared" ca="1" si="177"/>
        <v>53832.16959718048</v>
      </c>
      <c r="I1020" s="183">
        <v>0</v>
      </c>
      <c r="J1020" s="263">
        <f t="shared" ca="1" si="169"/>
        <v>53832.16959718048</v>
      </c>
      <c r="K1020" s="182">
        <f t="shared" ca="1" si="170"/>
        <v>70</v>
      </c>
      <c r="L1020" s="182"/>
      <c r="M1020" s="182">
        <f t="shared" si="172"/>
        <v>0</v>
      </c>
      <c r="N1020" s="182">
        <f t="shared" ca="1" si="173"/>
        <v>97652.169597180531</v>
      </c>
      <c r="O1020" s="182"/>
    </row>
    <row r="1021" spans="1:15" x14ac:dyDescent="0.25">
      <c r="A1021" s="180">
        <f t="shared" ca="1" si="174"/>
        <v>47111</v>
      </c>
      <c r="B1021" s="181">
        <v>1007</v>
      </c>
      <c r="C1021" s="182">
        <f t="shared" ca="1" si="178"/>
        <v>53832.16959718048</v>
      </c>
      <c r="D1021" s="182">
        <f t="shared" ca="1" si="175"/>
        <v>35.888113064786985</v>
      </c>
      <c r="E1021" s="182">
        <v>0</v>
      </c>
      <c r="F1021" s="182">
        <f t="shared" ca="1" si="179"/>
        <v>0</v>
      </c>
      <c r="G1021" s="182">
        <f t="shared" ca="1" si="176"/>
        <v>0</v>
      </c>
      <c r="H1021" s="182">
        <f t="shared" ca="1" si="177"/>
        <v>53868.057710245266</v>
      </c>
      <c r="I1021" s="183">
        <v>0</v>
      </c>
      <c r="J1021" s="263">
        <f t="shared" ca="1" si="169"/>
        <v>53868.057710245266</v>
      </c>
      <c r="K1021" s="182">
        <f t="shared" ca="1" si="170"/>
        <v>70</v>
      </c>
      <c r="L1021" s="182"/>
      <c r="M1021" s="182">
        <f t="shared" si="172"/>
        <v>0</v>
      </c>
      <c r="N1021" s="182">
        <f t="shared" ca="1" si="173"/>
        <v>97758.057710245324</v>
      </c>
      <c r="O1021" s="182"/>
    </row>
    <row r="1022" spans="1:15" x14ac:dyDescent="0.25">
      <c r="A1022" s="180">
        <f t="shared" ca="1" si="174"/>
        <v>47112</v>
      </c>
      <c r="B1022" s="181">
        <v>1008</v>
      </c>
      <c r="C1022" s="182">
        <f t="shared" ca="1" si="178"/>
        <v>53868.057710245266</v>
      </c>
      <c r="D1022" s="182">
        <f t="shared" ca="1" si="175"/>
        <v>35.912038473496843</v>
      </c>
      <c r="E1022" s="182">
        <v>0</v>
      </c>
      <c r="F1022" s="182">
        <f t="shared" ca="1" si="179"/>
        <v>0</v>
      </c>
      <c r="G1022" s="182">
        <f t="shared" ca="1" si="176"/>
        <v>0</v>
      </c>
      <c r="H1022" s="182">
        <f t="shared" ca="1" si="177"/>
        <v>53903.969748718766</v>
      </c>
      <c r="I1022" s="183">
        <v>0</v>
      </c>
      <c r="J1022" s="263">
        <f t="shared" ca="1" si="169"/>
        <v>53903.969748718766</v>
      </c>
      <c r="K1022" s="182">
        <f t="shared" ca="1" si="170"/>
        <v>70</v>
      </c>
      <c r="L1022" s="182"/>
      <c r="M1022" s="182">
        <f t="shared" si="172"/>
        <v>0</v>
      </c>
      <c r="N1022" s="182">
        <f t="shared" ca="1" si="173"/>
        <v>97863.969748718824</v>
      </c>
      <c r="O1022" s="182"/>
    </row>
    <row r="1023" spans="1:15" x14ac:dyDescent="0.25">
      <c r="A1023" s="180">
        <f t="shared" ca="1" si="174"/>
        <v>47113</v>
      </c>
      <c r="B1023" s="181">
        <v>1009</v>
      </c>
      <c r="C1023" s="182">
        <f t="shared" ca="1" si="178"/>
        <v>53903.969748718766</v>
      </c>
      <c r="D1023" s="182">
        <f t="shared" ca="1" si="175"/>
        <v>35.935979832479177</v>
      </c>
      <c r="E1023" s="182">
        <v>0</v>
      </c>
      <c r="F1023" s="182">
        <f t="shared" ca="1" si="179"/>
        <v>0</v>
      </c>
      <c r="G1023" s="182">
        <f t="shared" ca="1" si="176"/>
        <v>0</v>
      </c>
      <c r="H1023" s="182">
        <f t="shared" ca="1" si="177"/>
        <v>53939.905728551246</v>
      </c>
      <c r="I1023" s="183">
        <v>0</v>
      </c>
      <c r="J1023" s="263">
        <f t="shared" ca="1" si="169"/>
        <v>53939.905728551246</v>
      </c>
      <c r="K1023" s="182">
        <f t="shared" ca="1" si="170"/>
        <v>70</v>
      </c>
      <c r="L1023" s="182"/>
      <c r="M1023" s="182">
        <f t="shared" si="172"/>
        <v>0</v>
      </c>
      <c r="N1023" s="182">
        <f t="shared" ca="1" si="173"/>
        <v>97969.905728551297</v>
      </c>
      <c r="O1023" s="182"/>
    </row>
    <row r="1024" spans="1:15" x14ac:dyDescent="0.25">
      <c r="A1024" s="180">
        <f t="shared" ca="1" si="174"/>
        <v>47114</v>
      </c>
      <c r="B1024" s="181">
        <v>1010</v>
      </c>
      <c r="C1024" s="182">
        <f t="shared" ca="1" si="178"/>
        <v>53939.905728551246</v>
      </c>
      <c r="D1024" s="182">
        <f t="shared" ca="1" si="175"/>
        <v>35.959937152367495</v>
      </c>
      <c r="E1024" s="182">
        <v>0</v>
      </c>
      <c r="F1024" s="182">
        <f t="shared" ca="1" si="179"/>
        <v>0</v>
      </c>
      <c r="G1024" s="182">
        <f t="shared" ca="1" si="176"/>
        <v>0</v>
      </c>
      <c r="H1024" s="182">
        <f t="shared" ca="1" si="177"/>
        <v>53975.865665703612</v>
      </c>
      <c r="I1024" s="183">
        <v>0</v>
      </c>
      <c r="J1024" s="263">
        <f t="shared" ca="1" si="169"/>
        <v>53975.865665703612</v>
      </c>
      <c r="K1024" s="182">
        <f t="shared" ca="1" si="170"/>
        <v>70</v>
      </c>
      <c r="L1024" s="182"/>
      <c r="M1024" s="182">
        <f t="shared" si="172"/>
        <v>0</v>
      </c>
      <c r="N1024" s="182">
        <f t="shared" ca="1" si="173"/>
        <v>98075.865665703663</v>
      </c>
      <c r="O1024" s="182"/>
    </row>
    <row r="1025" spans="1:15" x14ac:dyDescent="0.25">
      <c r="A1025" s="180">
        <f t="shared" ca="1" si="174"/>
        <v>47115</v>
      </c>
      <c r="B1025" s="181">
        <v>1011</v>
      </c>
      <c r="C1025" s="182">
        <f t="shared" ca="1" si="178"/>
        <v>53975.865665703612</v>
      </c>
      <c r="D1025" s="182">
        <f t="shared" ca="1" si="175"/>
        <v>35.983910443802408</v>
      </c>
      <c r="E1025" s="182">
        <v>0</v>
      </c>
      <c r="F1025" s="182">
        <f t="shared" ca="1" si="179"/>
        <v>0</v>
      </c>
      <c r="G1025" s="182">
        <f t="shared" ca="1" si="176"/>
        <v>0</v>
      </c>
      <c r="H1025" s="182">
        <f t="shared" ca="1" si="177"/>
        <v>54011.849576147411</v>
      </c>
      <c r="I1025" s="183">
        <v>0</v>
      </c>
      <c r="J1025" s="263">
        <f t="shared" ca="1" si="169"/>
        <v>54011.849576147411</v>
      </c>
      <c r="K1025" s="182">
        <f t="shared" ca="1" si="170"/>
        <v>70</v>
      </c>
      <c r="L1025" s="182"/>
      <c r="M1025" s="182">
        <f t="shared" si="172"/>
        <v>0</v>
      </c>
      <c r="N1025" s="182">
        <f t="shared" ca="1" si="173"/>
        <v>98181.849576147462</v>
      </c>
      <c r="O1025" s="182"/>
    </row>
    <row r="1026" spans="1:15" x14ac:dyDescent="0.25">
      <c r="A1026" s="180">
        <f t="shared" ca="1" si="174"/>
        <v>47116</v>
      </c>
      <c r="B1026" s="181">
        <v>1012</v>
      </c>
      <c r="C1026" s="182">
        <f t="shared" ca="1" si="178"/>
        <v>54011.849576147411</v>
      </c>
      <c r="D1026" s="182">
        <f t="shared" ca="1" si="175"/>
        <v>36.007899717431606</v>
      </c>
      <c r="E1026" s="182">
        <v>0</v>
      </c>
      <c r="F1026" s="182">
        <f t="shared" ca="1" si="179"/>
        <v>0</v>
      </c>
      <c r="G1026" s="182">
        <f t="shared" ca="1" si="176"/>
        <v>0</v>
      </c>
      <c r="H1026" s="182">
        <f t="shared" ca="1" si="177"/>
        <v>54047.857475864846</v>
      </c>
      <c r="I1026" s="183">
        <v>0</v>
      </c>
      <c r="J1026" s="263">
        <f t="shared" ca="1" si="169"/>
        <v>54047.857475864846</v>
      </c>
      <c r="K1026" s="182">
        <f t="shared" ca="1" si="170"/>
        <v>70</v>
      </c>
      <c r="L1026" s="182"/>
      <c r="M1026" s="182">
        <f t="shared" si="172"/>
        <v>0</v>
      </c>
      <c r="N1026" s="182">
        <f t="shared" ca="1" si="173"/>
        <v>98287.85747586489</v>
      </c>
      <c r="O1026" s="182"/>
    </row>
    <row r="1027" spans="1:15" x14ac:dyDescent="0.25">
      <c r="A1027" s="180">
        <f t="shared" ca="1" si="174"/>
        <v>47117</v>
      </c>
      <c r="B1027" s="181">
        <v>1013</v>
      </c>
      <c r="C1027" s="182">
        <f t="shared" ca="1" si="178"/>
        <v>54047.857475864846</v>
      </c>
      <c r="D1027" s="182">
        <f t="shared" ca="1" si="175"/>
        <v>36.031904983909897</v>
      </c>
      <c r="E1027" s="182">
        <v>0</v>
      </c>
      <c r="F1027" s="182">
        <f t="shared" ca="1" si="179"/>
        <v>0</v>
      </c>
      <c r="G1027" s="182">
        <f t="shared" ca="1" si="176"/>
        <v>0</v>
      </c>
      <c r="H1027" s="182">
        <f t="shared" ca="1" si="177"/>
        <v>54083.889380848756</v>
      </c>
      <c r="I1027" s="183">
        <v>0</v>
      </c>
      <c r="J1027" s="263">
        <f t="shared" ca="1" si="169"/>
        <v>54083.889380848756</v>
      </c>
      <c r="K1027" s="182">
        <f t="shared" ca="1" si="170"/>
        <v>70</v>
      </c>
      <c r="L1027" s="182"/>
      <c r="M1027" s="182">
        <f t="shared" si="172"/>
        <v>0</v>
      </c>
      <c r="N1027" s="182">
        <f t="shared" ca="1" si="173"/>
        <v>98393.889380848806</v>
      </c>
      <c r="O1027" s="182"/>
    </row>
    <row r="1028" spans="1:15" x14ac:dyDescent="0.25">
      <c r="A1028" s="180">
        <f t="shared" ca="1" si="174"/>
        <v>47118</v>
      </c>
      <c r="B1028" s="181">
        <v>1014</v>
      </c>
      <c r="C1028" s="182">
        <f t="shared" ca="1" si="178"/>
        <v>54083.889380848756</v>
      </c>
      <c r="D1028" s="182">
        <f t="shared" ca="1" si="175"/>
        <v>36.055926253899166</v>
      </c>
      <c r="E1028" s="182">
        <v>0</v>
      </c>
      <c r="F1028" s="182">
        <f t="shared" ca="1" si="179"/>
        <v>0</v>
      </c>
      <c r="G1028" s="182">
        <f t="shared" ca="1" si="176"/>
        <v>0</v>
      </c>
      <c r="H1028" s="182">
        <f t="shared" ca="1" si="177"/>
        <v>54119.945307102658</v>
      </c>
      <c r="I1028" s="183">
        <v>0</v>
      </c>
      <c r="J1028" s="263">
        <f t="shared" ca="1" si="169"/>
        <v>54119.945307102658</v>
      </c>
      <c r="K1028" s="182">
        <f t="shared" ca="1" si="170"/>
        <v>70</v>
      </c>
      <c r="L1028" s="182"/>
      <c r="M1028" s="182">
        <f t="shared" si="172"/>
        <v>0</v>
      </c>
      <c r="N1028" s="182">
        <f t="shared" ca="1" si="173"/>
        <v>98499.945307102709</v>
      </c>
      <c r="O1028" s="182"/>
    </row>
    <row r="1029" spans="1:15" x14ac:dyDescent="0.25">
      <c r="A1029" s="180">
        <f t="shared" ca="1" si="174"/>
        <v>47119</v>
      </c>
      <c r="B1029" s="181">
        <v>1015</v>
      </c>
      <c r="C1029" s="182">
        <f t="shared" ca="1" si="178"/>
        <v>54119.945307102658</v>
      </c>
      <c r="D1029" s="182">
        <f t="shared" ca="1" si="175"/>
        <v>36.079963538068441</v>
      </c>
      <c r="E1029" s="182">
        <v>0</v>
      </c>
      <c r="F1029" s="182">
        <f t="shared" ca="1" si="179"/>
        <v>0</v>
      </c>
      <c r="G1029" s="182">
        <f t="shared" ca="1" si="176"/>
        <v>0</v>
      </c>
      <c r="H1029" s="182">
        <f t="shared" ca="1" si="177"/>
        <v>54156.025270640726</v>
      </c>
      <c r="I1029" s="183">
        <v>0</v>
      </c>
      <c r="J1029" s="263">
        <f t="shared" ca="1" si="169"/>
        <v>54156.025270640726</v>
      </c>
      <c r="K1029" s="182">
        <f t="shared" ca="1" si="170"/>
        <v>70</v>
      </c>
      <c r="L1029" s="182"/>
      <c r="M1029" s="182">
        <f t="shared" si="172"/>
        <v>0</v>
      </c>
      <c r="N1029" s="182">
        <f t="shared" ca="1" si="173"/>
        <v>98606.025270640777</v>
      </c>
      <c r="O1029" s="182"/>
    </row>
    <row r="1030" spans="1:15" x14ac:dyDescent="0.25">
      <c r="A1030" s="180">
        <f t="shared" ca="1" si="174"/>
        <v>47120</v>
      </c>
      <c r="B1030" s="181">
        <v>1016</v>
      </c>
      <c r="C1030" s="182">
        <f t="shared" ca="1" si="178"/>
        <v>54156.025270640726</v>
      </c>
      <c r="D1030" s="182">
        <f t="shared" ca="1" si="175"/>
        <v>36.104016847093817</v>
      </c>
      <c r="E1030" s="182">
        <v>0</v>
      </c>
      <c r="F1030" s="182">
        <f t="shared" ca="1" si="179"/>
        <v>0</v>
      </c>
      <c r="G1030" s="182">
        <f t="shared" ca="1" si="176"/>
        <v>0</v>
      </c>
      <c r="H1030" s="182">
        <f t="shared" ca="1" si="177"/>
        <v>54192.12928748782</v>
      </c>
      <c r="I1030" s="183">
        <v>0</v>
      </c>
      <c r="J1030" s="263">
        <f t="shared" ca="1" si="169"/>
        <v>54192.12928748782</v>
      </c>
      <c r="K1030" s="182">
        <f t="shared" ca="1" si="170"/>
        <v>70</v>
      </c>
      <c r="L1030" s="182"/>
      <c r="M1030" s="182">
        <f t="shared" si="172"/>
        <v>0</v>
      </c>
      <c r="N1030" s="182">
        <f t="shared" ca="1" si="173"/>
        <v>98712.129287487871</v>
      </c>
      <c r="O1030" s="182"/>
    </row>
    <row r="1031" spans="1:15" x14ac:dyDescent="0.25">
      <c r="A1031" s="180">
        <f t="shared" ca="1" si="174"/>
        <v>47121</v>
      </c>
      <c r="B1031" s="181">
        <v>1017</v>
      </c>
      <c r="C1031" s="182">
        <f t="shared" ca="1" si="178"/>
        <v>54192.12928748782</v>
      </c>
      <c r="D1031" s="182">
        <f t="shared" ca="1" si="175"/>
        <v>36.128086191658547</v>
      </c>
      <c r="E1031" s="182">
        <v>0</v>
      </c>
      <c r="F1031" s="182">
        <f t="shared" ca="1" si="179"/>
        <v>0</v>
      </c>
      <c r="G1031" s="182">
        <f t="shared" ca="1" si="176"/>
        <v>0</v>
      </c>
      <c r="H1031" s="182">
        <f t="shared" ca="1" si="177"/>
        <v>54228.25737367948</v>
      </c>
      <c r="I1031" s="183">
        <v>0</v>
      </c>
      <c r="J1031" s="263">
        <f t="shared" ca="1" si="169"/>
        <v>54228.25737367948</v>
      </c>
      <c r="K1031" s="182">
        <f t="shared" ca="1" si="170"/>
        <v>70</v>
      </c>
      <c r="L1031" s="182"/>
      <c r="M1031" s="182">
        <f t="shared" si="172"/>
        <v>0</v>
      </c>
      <c r="N1031" s="182">
        <f t="shared" ca="1" si="173"/>
        <v>98818.257373679531</v>
      </c>
      <c r="O1031" s="182"/>
    </row>
    <row r="1032" spans="1:15" x14ac:dyDescent="0.25">
      <c r="A1032" s="180">
        <f t="shared" ca="1" si="174"/>
        <v>47122</v>
      </c>
      <c r="B1032" s="181">
        <v>1018</v>
      </c>
      <c r="C1032" s="182">
        <f t="shared" ca="1" si="178"/>
        <v>54228.25737367948</v>
      </c>
      <c r="D1032" s="182">
        <f t="shared" ca="1" si="175"/>
        <v>36.152171582452986</v>
      </c>
      <c r="E1032" s="182">
        <v>0</v>
      </c>
      <c r="F1032" s="182">
        <f t="shared" ca="1" si="179"/>
        <v>0</v>
      </c>
      <c r="G1032" s="182">
        <f t="shared" ca="1" si="176"/>
        <v>0</v>
      </c>
      <c r="H1032" s="182">
        <f t="shared" ca="1" si="177"/>
        <v>54264.409545261937</v>
      </c>
      <c r="I1032" s="183">
        <v>0</v>
      </c>
      <c r="J1032" s="263">
        <f t="shared" ca="1" si="169"/>
        <v>54264.409545261937</v>
      </c>
      <c r="K1032" s="182">
        <f t="shared" ca="1" si="170"/>
        <v>70</v>
      </c>
      <c r="L1032" s="182"/>
      <c r="M1032" s="182">
        <f t="shared" si="172"/>
        <v>0</v>
      </c>
      <c r="N1032" s="182">
        <f t="shared" ca="1" si="173"/>
        <v>98924.40954526198</v>
      </c>
      <c r="O1032" s="182"/>
    </row>
    <row r="1033" spans="1:15" x14ac:dyDescent="0.25">
      <c r="A1033" s="180">
        <f t="shared" ca="1" si="174"/>
        <v>47123</v>
      </c>
      <c r="B1033" s="181">
        <v>1019</v>
      </c>
      <c r="C1033" s="182">
        <f t="shared" ca="1" si="178"/>
        <v>54264.409545261937</v>
      </c>
      <c r="D1033" s="182">
        <f t="shared" ca="1" si="175"/>
        <v>36.17627303017462</v>
      </c>
      <c r="E1033" s="182">
        <v>0</v>
      </c>
      <c r="F1033" s="182">
        <f t="shared" ca="1" si="179"/>
        <v>0</v>
      </c>
      <c r="G1033" s="182">
        <f t="shared" ca="1" si="176"/>
        <v>0</v>
      </c>
      <c r="H1033" s="182">
        <f t="shared" ca="1" si="177"/>
        <v>54300.585818292115</v>
      </c>
      <c r="I1033" s="183">
        <v>0</v>
      </c>
      <c r="J1033" s="263">
        <f t="shared" ca="1" si="169"/>
        <v>54300.585818292115</v>
      </c>
      <c r="K1033" s="182">
        <f t="shared" ca="1" si="170"/>
        <v>70</v>
      </c>
      <c r="L1033" s="182"/>
      <c r="M1033" s="182">
        <f t="shared" si="172"/>
        <v>0</v>
      </c>
      <c r="N1033" s="182">
        <f t="shared" ca="1" si="173"/>
        <v>99030.585818292151</v>
      </c>
      <c r="O1033" s="182"/>
    </row>
    <row r="1034" spans="1:15" x14ac:dyDescent="0.25">
      <c r="A1034" s="180">
        <f t="shared" ca="1" si="174"/>
        <v>47124</v>
      </c>
      <c r="B1034" s="181">
        <v>1020</v>
      </c>
      <c r="C1034" s="182">
        <f t="shared" ca="1" si="178"/>
        <v>54300.585818292115</v>
      </c>
      <c r="D1034" s="182">
        <f t="shared" ca="1" si="175"/>
        <v>36.200390545528073</v>
      </c>
      <c r="E1034" s="182">
        <v>0</v>
      </c>
      <c r="F1034" s="182">
        <f t="shared" ca="1" si="179"/>
        <v>0</v>
      </c>
      <c r="G1034" s="182">
        <f t="shared" ca="1" si="176"/>
        <v>0</v>
      </c>
      <c r="H1034" s="182">
        <f t="shared" ca="1" si="177"/>
        <v>54336.786208837642</v>
      </c>
      <c r="I1034" s="183">
        <v>0</v>
      </c>
      <c r="J1034" s="263">
        <f t="shared" ca="1" si="169"/>
        <v>54336.786208837642</v>
      </c>
      <c r="K1034" s="182">
        <f t="shared" ca="1" si="170"/>
        <v>70</v>
      </c>
      <c r="L1034" s="182"/>
      <c r="M1034" s="182">
        <f t="shared" si="172"/>
        <v>0</v>
      </c>
      <c r="N1034" s="182">
        <f t="shared" ca="1" si="173"/>
        <v>99136.786208837686</v>
      </c>
      <c r="O1034" s="182"/>
    </row>
    <row r="1035" spans="1:15" x14ac:dyDescent="0.25">
      <c r="A1035" s="180">
        <f t="shared" ca="1" si="174"/>
        <v>47125</v>
      </c>
      <c r="B1035" s="181">
        <v>1021</v>
      </c>
      <c r="C1035" s="182">
        <f t="shared" ca="1" si="178"/>
        <v>54336.786208837642</v>
      </c>
      <c r="D1035" s="182">
        <f t="shared" ca="1" si="175"/>
        <v>36.224524139225096</v>
      </c>
      <c r="E1035" s="182">
        <v>0</v>
      </c>
      <c r="F1035" s="182">
        <f t="shared" ca="1" si="179"/>
        <v>0</v>
      </c>
      <c r="G1035" s="182">
        <f t="shared" ca="1" si="176"/>
        <v>0</v>
      </c>
      <c r="H1035" s="182">
        <f t="shared" ca="1" si="177"/>
        <v>54373.010732976865</v>
      </c>
      <c r="I1035" s="183">
        <v>0</v>
      </c>
      <c r="J1035" s="263">
        <f t="shared" ca="1" si="169"/>
        <v>54373.010732976865</v>
      </c>
      <c r="K1035" s="182">
        <f t="shared" ca="1" si="170"/>
        <v>70</v>
      </c>
      <c r="L1035" s="182"/>
      <c r="M1035" s="182">
        <f t="shared" si="172"/>
        <v>0</v>
      </c>
      <c r="N1035" s="182">
        <f t="shared" ca="1" si="173"/>
        <v>99243.010732976909</v>
      </c>
      <c r="O1035" s="182"/>
    </row>
    <row r="1036" spans="1:15" x14ac:dyDescent="0.25">
      <c r="A1036" s="180">
        <f t="shared" ca="1" si="174"/>
        <v>47126</v>
      </c>
      <c r="B1036" s="181">
        <v>1022</v>
      </c>
      <c r="C1036" s="182">
        <f t="shared" ca="1" si="178"/>
        <v>54373.010732976865</v>
      </c>
      <c r="D1036" s="182">
        <f t="shared" ca="1" si="175"/>
        <v>36.248673821984575</v>
      </c>
      <c r="E1036" s="182">
        <v>0</v>
      </c>
      <c r="F1036" s="182">
        <f t="shared" ca="1" si="179"/>
        <v>0</v>
      </c>
      <c r="G1036" s="182">
        <f t="shared" ca="1" si="176"/>
        <v>0</v>
      </c>
      <c r="H1036" s="182">
        <f t="shared" ca="1" si="177"/>
        <v>54409.259406798847</v>
      </c>
      <c r="I1036" s="183">
        <v>0</v>
      </c>
      <c r="J1036" s="263">
        <f t="shared" ca="1" si="169"/>
        <v>54409.259406798847</v>
      </c>
      <c r="K1036" s="182">
        <f t="shared" ca="1" si="170"/>
        <v>70</v>
      </c>
      <c r="L1036" s="182"/>
      <c r="M1036" s="182">
        <f t="shared" si="172"/>
        <v>0</v>
      </c>
      <c r="N1036" s="182">
        <f t="shared" ca="1" si="173"/>
        <v>99349.259406798898</v>
      </c>
      <c r="O1036" s="182"/>
    </row>
    <row r="1037" spans="1:15" x14ac:dyDescent="0.25">
      <c r="A1037" s="180">
        <f t="shared" ca="1" si="174"/>
        <v>47127</v>
      </c>
      <c r="B1037" s="181">
        <v>1023</v>
      </c>
      <c r="C1037" s="182">
        <f t="shared" ca="1" si="178"/>
        <v>54409.259406798847</v>
      </c>
      <c r="D1037" s="182">
        <f t="shared" ca="1" si="175"/>
        <v>36.272839604532564</v>
      </c>
      <c r="E1037" s="182">
        <v>0</v>
      </c>
      <c r="F1037" s="182">
        <f t="shared" ca="1" si="179"/>
        <v>0</v>
      </c>
      <c r="G1037" s="182">
        <f t="shared" ca="1" si="176"/>
        <v>0</v>
      </c>
      <c r="H1037" s="182">
        <f t="shared" ca="1" si="177"/>
        <v>54445.532246403382</v>
      </c>
      <c r="I1037" s="183">
        <v>0</v>
      </c>
      <c r="J1037" s="263">
        <f t="shared" ca="1" si="169"/>
        <v>54445.532246403382</v>
      </c>
      <c r="K1037" s="182">
        <f t="shared" ca="1" si="170"/>
        <v>70</v>
      </c>
      <c r="L1037" s="182"/>
      <c r="M1037" s="182"/>
      <c r="N1037" s="182">
        <f t="shared" ca="1" si="173"/>
        <v>99455.532246403425</v>
      </c>
      <c r="O1037" s="182"/>
    </row>
    <row r="1038" spans="1:15" x14ac:dyDescent="0.25">
      <c r="A1038" s="180">
        <f t="shared" ca="1" si="174"/>
        <v>47128</v>
      </c>
      <c r="B1038" s="181">
        <v>1024</v>
      </c>
      <c r="C1038" s="182">
        <f t="shared" ca="1" si="178"/>
        <v>54445.532246403382</v>
      </c>
      <c r="D1038" s="182">
        <f t="shared" ca="1" si="175"/>
        <v>36.297021497602252</v>
      </c>
      <c r="E1038" s="182">
        <v>0</v>
      </c>
      <c r="F1038" s="182">
        <f t="shared" ca="1" si="179"/>
        <v>0</v>
      </c>
      <c r="G1038" s="182">
        <f t="shared" ca="1" si="176"/>
        <v>0</v>
      </c>
      <c r="H1038" s="182">
        <f t="shared" ca="1" si="177"/>
        <v>54481.829267900983</v>
      </c>
      <c r="I1038" s="183">
        <v>0</v>
      </c>
      <c r="J1038" s="263">
        <f t="shared" ca="1" si="169"/>
        <v>54481.829267900983</v>
      </c>
      <c r="K1038" s="182">
        <f t="shared" ca="1" si="170"/>
        <v>70</v>
      </c>
      <c r="L1038" s="182"/>
      <c r="M1038" s="182"/>
      <c r="N1038" s="182">
        <f t="shared" ca="1" si="173"/>
        <v>99561.829267901034</v>
      </c>
      <c r="O1038" s="182"/>
    </row>
    <row r="1039" spans="1:15" x14ac:dyDescent="0.25">
      <c r="A1039" s="180">
        <f t="shared" ca="1" si="174"/>
        <v>47129</v>
      </c>
      <c r="B1039" s="181">
        <v>1025</v>
      </c>
      <c r="C1039" s="182">
        <f t="shared" ca="1" si="178"/>
        <v>54481.829267900983</v>
      </c>
      <c r="D1039" s="182">
        <f t="shared" ca="1" si="175"/>
        <v>36.32121951193399</v>
      </c>
      <c r="E1039" s="182">
        <v>0</v>
      </c>
      <c r="F1039" s="182">
        <f t="shared" ca="1" si="179"/>
        <v>0</v>
      </c>
      <c r="G1039" s="182">
        <f t="shared" ca="1" si="176"/>
        <v>0</v>
      </c>
      <c r="H1039" s="182">
        <f t="shared" ca="1" si="177"/>
        <v>54518.150487412917</v>
      </c>
      <c r="I1039" s="183">
        <v>0</v>
      </c>
      <c r="J1039" s="263">
        <f t="shared" ref="J1039:J1102" ca="1" si="180">H1039-IF(I$8-G1039&lt;Q$42,I$8-Q$42,G1039)</f>
        <v>54518.150487412917</v>
      </c>
      <c r="K1039" s="182">
        <f t="shared" ca="1" si="170"/>
        <v>70</v>
      </c>
      <c r="L1039" s="182"/>
      <c r="M1039" s="182"/>
      <c r="N1039" s="182">
        <f t="shared" ca="1" si="173"/>
        <v>99668.150487412961</v>
      </c>
      <c r="O1039" s="182"/>
    </row>
    <row r="1040" spans="1:15" x14ac:dyDescent="0.25">
      <c r="A1040" s="180">
        <f t="shared" ca="1" si="174"/>
        <v>47130</v>
      </c>
      <c r="B1040" s="181">
        <v>1026</v>
      </c>
      <c r="C1040" s="182">
        <f t="shared" ca="1" si="178"/>
        <v>54518.150487412917</v>
      </c>
      <c r="D1040" s="182">
        <f t="shared" ca="1" si="175"/>
        <v>36.345433658275276</v>
      </c>
      <c r="E1040" s="182">
        <v>0</v>
      </c>
      <c r="F1040" s="182">
        <f t="shared" ca="1" si="179"/>
        <v>0</v>
      </c>
      <c r="G1040" s="182">
        <f t="shared" ca="1" si="176"/>
        <v>0</v>
      </c>
      <c r="H1040" s="182">
        <f t="shared" ca="1" si="177"/>
        <v>54554.49592107119</v>
      </c>
      <c r="I1040" s="183">
        <v>0</v>
      </c>
      <c r="J1040" s="263">
        <f t="shared" ca="1" si="180"/>
        <v>54554.49592107119</v>
      </c>
      <c r="K1040" s="182">
        <f t="shared" ref="K1040:K1055" ca="1" si="181">$L$3/($C$11-$C$8)</f>
        <v>70</v>
      </c>
      <c r="L1040" s="182"/>
      <c r="M1040" s="182"/>
      <c r="N1040" s="182">
        <f t="shared" ref="N1040:N1055" ca="1" si="182">N1039+D1040+K1040+I1040</f>
        <v>99774.49592107124</v>
      </c>
      <c r="O1040" s="182"/>
    </row>
    <row r="1041" spans="1:15" x14ac:dyDescent="0.25">
      <c r="A1041" s="180">
        <f t="shared" ref="A1041:A1104" ca="1" si="183">A1040+1</f>
        <v>47131</v>
      </c>
      <c r="B1041" s="181">
        <v>1027</v>
      </c>
      <c r="C1041" s="182">
        <f t="shared" ca="1" si="178"/>
        <v>54554.49592107119</v>
      </c>
      <c r="D1041" s="182">
        <f t="shared" ref="D1041:D1104" ca="1" si="184">(($C$6/360))*C1041</f>
        <v>36.369663947380793</v>
      </c>
      <c r="E1041" s="182">
        <v>0</v>
      </c>
      <c r="F1041" s="182">
        <f t="shared" ca="1" si="179"/>
        <v>0</v>
      </c>
      <c r="G1041" s="182">
        <f t="shared" ref="G1041:G1104" ca="1" si="185">IF(G1040-D1041-E1041&gt;0,G1040-D1041-E1041,0)</f>
        <v>0</v>
      </c>
      <c r="H1041" s="182">
        <f t="shared" ca="1" si="177"/>
        <v>54590.865585018568</v>
      </c>
      <c r="I1041" s="183">
        <v>0</v>
      </c>
      <c r="J1041" s="263">
        <f t="shared" ca="1" si="180"/>
        <v>54590.865585018568</v>
      </c>
      <c r="K1041" s="182">
        <f t="shared" ca="1" si="181"/>
        <v>70</v>
      </c>
      <c r="L1041" s="182"/>
      <c r="M1041" s="182"/>
      <c r="N1041" s="182">
        <f t="shared" ca="1" si="182"/>
        <v>99880.865585018619</v>
      </c>
      <c r="O1041" s="182"/>
    </row>
    <row r="1042" spans="1:15" x14ac:dyDescent="0.25">
      <c r="A1042" s="180">
        <f t="shared" ca="1" si="183"/>
        <v>47132</v>
      </c>
      <c r="B1042" s="181">
        <v>1028</v>
      </c>
      <c r="C1042" s="182">
        <f t="shared" ca="1" si="178"/>
        <v>54590.865585018568</v>
      </c>
      <c r="D1042" s="182">
        <f t="shared" ca="1" si="184"/>
        <v>36.39391039001238</v>
      </c>
      <c r="E1042" s="182">
        <v>0</v>
      </c>
      <c r="F1042" s="182">
        <f t="shared" ca="1" si="179"/>
        <v>0</v>
      </c>
      <c r="G1042" s="182">
        <f t="shared" ca="1" si="185"/>
        <v>0</v>
      </c>
      <c r="H1042" s="182">
        <f t="shared" ca="1" si="177"/>
        <v>54627.25949540858</v>
      </c>
      <c r="I1042" s="183">
        <v>0</v>
      </c>
      <c r="J1042" s="263">
        <f t="shared" ca="1" si="180"/>
        <v>54627.25949540858</v>
      </c>
      <c r="K1042" s="182">
        <f t="shared" ca="1" si="181"/>
        <v>70</v>
      </c>
      <c r="L1042" s="182"/>
      <c r="M1042" s="182"/>
      <c r="N1042" s="182">
        <f t="shared" ca="1" si="182"/>
        <v>99987.259495408638</v>
      </c>
      <c r="O1042" s="182"/>
    </row>
    <row r="1043" spans="1:15" x14ac:dyDescent="0.25">
      <c r="A1043" s="180">
        <f t="shared" ca="1" si="183"/>
        <v>47133</v>
      </c>
      <c r="B1043" s="181">
        <v>1029</v>
      </c>
      <c r="C1043" s="182">
        <f t="shared" ca="1" si="178"/>
        <v>54627.25949540858</v>
      </c>
      <c r="D1043" s="182">
        <f t="shared" ca="1" si="184"/>
        <v>36.418172996939049</v>
      </c>
      <c r="E1043" s="182">
        <v>0</v>
      </c>
      <c r="F1043" s="182">
        <f t="shared" ca="1" si="179"/>
        <v>0</v>
      </c>
      <c r="G1043" s="182">
        <f t="shared" ca="1" si="185"/>
        <v>0</v>
      </c>
      <c r="H1043" s="182">
        <f t="shared" ca="1" si="177"/>
        <v>54663.677668405522</v>
      </c>
      <c r="I1043" s="183">
        <v>0</v>
      </c>
      <c r="J1043" s="263">
        <f t="shared" ca="1" si="180"/>
        <v>54663.677668405522</v>
      </c>
      <c r="K1043" s="182">
        <f t="shared" ca="1" si="181"/>
        <v>70</v>
      </c>
      <c r="L1043" s="182"/>
      <c r="M1043" s="182"/>
      <c r="N1043" s="182">
        <f t="shared" ca="1" si="182"/>
        <v>100093.67766840558</v>
      </c>
      <c r="O1043" s="182"/>
    </row>
    <row r="1044" spans="1:15" x14ac:dyDescent="0.25">
      <c r="A1044" s="180">
        <f t="shared" ca="1" si="183"/>
        <v>47134</v>
      </c>
      <c r="B1044" s="181">
        <v>1030</v>
      </c>
      <c r="C1044" s="182">
        <f t="shared" ca="1" si="178"/>
        <v>54663.677668405522</v>
      </c>
      <c r="D1044" s="182">
        <f t="shared" ca="1" si="184"/>
        <v>36.442451778937013</v>
      </c>
      <c r="E1044" s="182">
        <v>0</v>
      </c>
      <c r="F1044" s="182">
        <f t="shared" ca="1" si="179"/>
        <v>0</v>
      </c>
      <c r="G1044" s="182">
        <f t="shared" ca="1" si="185"/>
        <v>0</v>
      </c>
      <c r="H1044" s="182">
        <f t="shared" ca="1" si="177"/>
        <v>54700.12012018446</v>
      </c>
      <c r="I1044" s="183">
        <v>0</v>
      </c>
      <c r="J1044" s="263">
        <f t="shared" ca="1" si="180"/>
        <v>54700.12012018446</v>
      </c>
      <c r="K1044" s="182">
        <f t="shared" ca="1" si="181"/>
        <v>70</v>
      </c>
      <c r="L1044" s="182"/>
      <c r="M1044" s="182"/>
      <c r="N1044" s="182">
        <f t="shared" ca="1" si="182"/>
        <v>100200.12012018451</v>
      </c>
      <c r="O1044" s="182"/>
    </row>
    <row r="1045" spans="1:15" x14ac:dyDescent="0.25">
      <c r="A1045" s="180">
        <f t="shared" ca="1" si="183"/>
        <v>47135</v>
      </c>
      <c r="B1045" s="181">
        <v>1031</v>
      </c>
      <c r="C1045" s="182">
        <f t="shared" ca="1" si="178"/>
        <v>54700.12012018446</v>
      </c>
      <c r="D1045" s="182">
        <f t="shared" ca="1" si="184"/>
        <v>36.466746746789639</v>
      </c>
      <c r="E1045" s="182">
        <v>0</v>
      </c>
      <c r="F1045" s="182">
        <f t="shared" ca="1" si="179"/>
        <v>0</v>
      </c>
      <c r="G1045" s="182">
        <f t="shared" ca="1" si="185"/>
        <v>0</v>
      </c>
      <c r="H1045" s="182">
        <f t="shared" ca="1" si="177"/>
        <v>54736.586866931248</v>
      </c>
      <c r="I1045" s="183">
        <v>0</v>
      </c>
      <c r="J1045" s="263">
        <f t="shared" ca="1" si="180"/>
        <v>54736.586866931248</v>
      </c>
      <c r="K1045" s="182">
        <f t="shared" ca="1" si="181"/>
        <v>70</v>
      </c>
      <c r="L1045" s="182"/>
      <c r="M1045" s="182"/>
      <c r="N1045" s="182">
        <f t="shared" ca="1" si="182"/>
        <v>100306.58686693131</v>
      </c>
      <c r="O1045" s="182"/>
    </row>
    <row r="1046" spans="1:15" x14ac:dyDescent="0.25">
      <c r="A1046" s="180">
        <f t="shared" ca="1" si="183"/>
        <v>47136</v>
      </c>
      <c r="B1046" s="181">
        <v>1032</v>
      </c>
      <c r="C1046" s="182">
        <f t="shared" ca="1" si="178"/>
        <v>54736.586866931248</v>
      </c>
      <c r="D1046" s="182">
        <f t="shared" ca="1" si="184"/>
        <v>36.491057911287498</v>
      </c>
      <c r="E1046" s="182">
        <v>0</v>
      </c>
      <c r="F1046" s="182">
        <f t="shared" ca="1" si="179"/>
        <v>0</v>
      </c>
      <c r="G1046" s="182">
        <f t="shared" ca="1" si="185"/>
        <v>0</v>
      </c>
      <c r="H1046" s="182">
        <f t="shared" ca="1" si="177"/>
        <v>54773.077924842539</v>
      </c>
      <c r="I1046" s="183">
        <v>0</v>
      </c>
      <c r="J1046" s="263">
        <f t="shared" ca="1" si="180"/>
        <v>54773.077924842539</v>
      </c>
      <c r="K1046" s="182">
        <f t="shared" ca="1" si="181"/>
        <v>70</v>
      </c>
      <c r="L1046" s="182"/>
      <c r="M1046" s="182"/>
      <c r="N1046" s="182">
        <f t="shared" ca="1" si="182"/>
        <v>100413.0779248426</v>
      </c>
      <c r="O1046" s="182"/>
    </row>
    <row r="1047" spans="1:15" x14ac:dyDescent="0.25">
      <c r="A1047" s="180">
        <f t="shared" ca="1" si="183"/>
        <v>47137</v>
      </c>
      <c r="B1047" s="181">
        <v>1033</v>
      </c>
      <c r="C1047" s="182">
        <f t="shared" ca="1" si="178"/>
        <v>54773.077924842539</v>
      </c>
      <c r="D1047" s="182">
        <f t="shared" ca="1" si="184"/>
        <v>36.515385283228355</v>
      </c>
      <c r="E1047" s="182">
        <v>0</v>
      </c>
      <c r="F1047" s="182">
        <f t="shared" ca="1" si="179"/>
        <v>0</v>
      </c>
      <c r="G1047" s="182">
        <f t="shared" ca="1" si="185"/>
        <v>0</v>
      </c>
      <c r="H1047" s="182">
        <f t="shared" ca="1" si="177"/>
        <v>54809.593310125769</v>
      </c>
      <c r="I1047" s="183">
        <v>0</v>
      </c>
      <c r="J1047" s="263">
        <f t="shared" ca="1" si="180"/>
        <v>54809.593310125769</v>
      </c>
      <c r="K1047" s="182">
        <f t="shared" ca="1" si="181"/>
        <v>70</v>
      </c>
      <c r="L1047" s="182"/>
      <c r="M1047" s="182"/>
      <c r="N1047" s="182">
        <f t="shared" ca="1" si="182"/>
        <v>100519.59331012583</v>
      </c>
      <c r="O1047" s="182"/>
    </row>
    <row r="1048" spans="1:15" x14ac:dyDescent="0.25">
      <c r="A1048" s="180">
        <f t="shared" ca="1" si="183"/>
        <v>47138</v>
      </c>
      <c r="B1048" s="181">
        <v>1034</v>
      </c>
      <c r="C1048" s="182">
        <f t="shared" ca="1" si="178"/>
        <v>54809.593310125769</v>
      </c>
      <c r="D1048" s="182">
        <f t="shared" ca="1" si="184"/>
        <v>36.539728873417175</v>
      </c>
      <c r="E1048" s="182">
        <v>0</v>
      </c>
      <c r="F1048" s="182">
        <f t="shared" ca="1" si="179"/>
        <v>0</v>
      </c>
      <c r="G1048" s="182">
        <f t="shared" ca="1" si="185"/>
        <v>0</v>
      </c>
      <c r="H1048" s="182">
        <f t="shared" ca="1" si="177"/>
        <v>54846.133038999185</v>
      </c>
      <c r="I1048" s="183">
        <v>0</v>
      </c>
      <c r="J1048" s="263">
        <f t="shared" ca="1" si="180"/>
        <v>54846.133038999185</v>
      </c>
      <c r="K1048" s="182">
        <f t="shared" ca="1" si="181"/>
        <v>70</v>
      </c>
      <c r="L1048" s="182"/>
      <c r="M1048" s="182"/>
      <c r="N1048" s="182">
        <f t="shared" ca="1" si="182"/>
        <v>100626.13303899925</v>
      </c>
      <c r="O1048" s="182"/>
    </row>
    <row r="1049" spans="1:15" x14ac:dyDescent="0.25">
      <c r="A1049" s="180">
        <f t="shared" ca="1" si="183"/>
        <v>47139</v>
      </c>
      <c r="B1049" s="181">
        <v>1035</v>
      </c>
      <c r="C1049" s="182">
        <f t="shared" ca="1" si="178"/>
        <v>54846.133038999185</v>
      </c>
      <c r="D1049" s="182">
        <f t="shared" ca="1" si="184"/>
        <v>36.564088692666125</v>
      </c>
      <c r="E1049" s="182">
        <v>0</v>
      </c>
      <c r="F1049" s="182">
        <f t="shared" ca="1" si="179"/>
        <v>0</v>
      </c>
      <c r="G1049" s="182">
        <f t="shared" ca="1" si="185"/>
        <v>0</v>
      </c>
      <c r="H1049" s="182">
        <f t="shared" ca="1" si="177"/>
        <v>54882.697127691848</v>
      </c>
      <c r="I1049" s="183">
        <v>0</v>
      </c>
      <c r="J1049" s="263">
        <f t="shared" ca="1" si="180"/>
        <v>54882.697127691848</v>
      </c>
      <c r="K1049" s="182">
        <f t="shared" ca="1" si="181"/>
        <v>70</v>
      </c>
      <c r="L1049" s="182"/>
      <c r="M1049" s="182"/>
      <c r="N1049" s="182">
        <f t="shared" ca="1" si="182"/>
        <v>100732.69712769192</v>
      </c>
      <c r="O1049" s="182"/>
    </row>
    <row r="1050" spans="1:15" x14ac:dyDescent="0.25">
      <c r="A1050" s="180">
        <f t="shared" ca="1" si="183"/>
        <v>47140</v>
      </c>
      <c r="B1050" s="181">
        <v>1036</v>
      </c>
      <c r="C1050" s="182">
        <f t="shared" ca="1" si="178"/>
        <v>54882.697127691848</v>
      </c>
      <c r="D1050" s="182">
        <f t="shared" ca="1" si="184"/>
        <v>36.588464751794561</v>
      </c>
      <c r="E1050" s="182">
        <v>0</v>
      </c>
      <c r="F1050" s="182">
        <f t="shared" ca="1" si="179"/>
        <v>0</v>
      </c>
      <c r="G1050" s="182">
        <f t="shared" ca="1" si="185"/>
        <v>0</v>
      </c>
      <c r="H1050" s="182">
        <f t="shared" ca="1" si="177"/>
        <v>54919.285592443644</v>
      </c>
      <c r="I1050" s="183">
        <v>0</v>
      </c>
      <c r="J1050" s="263">
        <f t="shared" ca="1" si="180"/>
        <v>54919.285592443644</v>
      </c>
      <c r="K1050" s="182">
        <f t="shared" ca="1" si="181"/>
        <v>70</v>
      </c>
      <c r="L1050" s="182"/>
      <c r="M1050" s="182"/>
      <c r="N1050" s="182">
        <f t="shared" ca="1" si="182"/>
        <v>100839.28559244372</v>
      </c>
      <c r="O1050" s="182"/>
    </row>
    <row r="1051" spans="1:15" x14ac:dyDescent="0.25">
      <c r="A1051" s="180">
        <f t="shared" ca="1" si="183"/>
        <v>47141</v>
      </c>
      <c r="B1051" s="181">
        <v>1037</v>
      </c>
      <c r="C1051" s="182">
        <f t="shared" ca="1" si="178"/>
        <v>54919.285592443644</v>
      </c>
      <c r="D1051" s="182">
        <f t="shared" ca="1" si="184"/>
        <v>36.612857061629093</v>
      </c>
      <c r="E1051" s="182">
        <v>0</v>
      </c>
      <c r="F1051" s="182">
        <f t="shared" ca="1" si="179"/>
        <v>0</v>
      </c>
      <c r="G1051" s="182">
        <f t="shared" ca="1" si="185"/>
        <v>0</v>
      </c>
      <c r="H1051" s="182">
        <f t="shared" ca="1" si="177"/>
        <v>54955.898449505272</v>
      </c>
      <c r="I1051" s="183">
        <v>0</v>
      </c>
      <c r="J1051" s="263">
        <f t="shared" ca="1" si="180"/>
        <v>54955.898449505272</v>
      </c>
      <c r="K1051" s="182">
        <f t="shared" ca="1" si="181"/>
        <v>70</v>
      </c>
      <c r="L1051" s="182"/>
      <c r="M1051" s="182"/>
      <c r="N1051" s="182">
        <f t="shared" ca="1" si="182"/>
        <v>100945.89844950534</v>
      </c>
      <c r="O1051" s="182"/>
    </row>
    <row r="1052" spans="1:15" x14ac:dyDescent="0.25">
      <c r="A1052" s="180">
        <f t="shared" ca="1" si="183"/>
        <v>47142</v>
      </c>
      <c r="B1052" s="181">
        <v>1038</v>
      </c>
      <c r="C1052" s="182">
        <f t="shared" ca="1" si="178"/>
        <v>54955.898449505272</v>
      </c>
      <c r="D1052" s="182">
        <f t="shared" ca="1" si="184"/>
        <v>36.637265633003516</v>
      </c>
      <c r="E1052" s="182">
        <v>0</v>
      </c>
      <c r="F1052" s="182">
        <f t="shared" ca="1" si="179"/>
        <v>0</v>
      </c>
      <c r="G1052" s="182">
        <f t="shared" ca="1" si="185"/>
        <v>0</v>
      </c>
      <c r="H1052" s="182">
        <f t="shared" ca="1" si="177"/>
        <v>54992.535715138278</v>
      </c>
      <c r="I1052" s="183">
        <v>0</v>
      </c>
      <c r="J1052" s="263">
        <f t="shared" ca="1" si="180"/>
        <v>54992.535715138278</v>
      </c>
      <c r="K1052" s="182">
        <f t="shared" ca="1" si="181"/>
        <v>70</v>
      </c>
      <c r="L1052" s="182"/>
      <c r="M1052" s="182"/>
      <c r="N1052" s="182">
        <f t="shared" ca="1" si="182"/>
        <v>101052.53571513835</v>
      </c>
      <c r="O1052" s="182"/>
    </row>
    <row r="1053" spans="1:15" x14ac:dyDescent="0.25">
      <c r="A1053" s="180">
        <f t="shared" ca="1" si="183"/>
        <v>47143</v>
      </c>
      <c r="B1053" s="181">
        <v>1039</v>
      </c>
      <c r="C1053" s="182">
        <f t="shared" ca="1" si="178"/>
        <v>54992.535715138278</v>
      </c>
      <c r="D1053" s="182">
        <f t="shared" ca="1" si="184"/>
        <v>36.661690476758849</v>
      </c>
      <c r="E1053" s="182">
        <v>0</v>
      </c>
      <c r="F1053" s="182">
        <f t="shared" ca="1" si="179"/>
        <v>0</v>
      </c>
      <c r="G1053" s="182">
        <f t="shared" ca="1" si="185"/>
        <v>0</v>
      </c>
      <c r="H1053" s="182">
        <f t="shared" ca="1" si="177"/>
        <v>55029.197405615036</v>
      </c>
      <c r="I1053" s="183">
        <v>0</v>
      </c>
      <c r="J1053" s="263">
        <f t="shared" ca="1" si="180"/>
        <v>55029.197405615036</v>
      </c>
      <c r="K1053" s="182">
        <f t="shared" ca="1" si="181"/>
        <v>70</v>
      </c>
      <c r="L1053" s="182"/>
      <c r="M1053" s="182"/>
      <c r="N1053" s="182">
        <f t="shared" ca="1" si="182"/>
        <v>101159.19740561511</v>
      </c>
      <c r="O1053" s="182"/>
    </row>
    <row r="1054" spans="1:15" x14ac:dyDescent="0.25">
      <c r="A1054" s="180">
        <f t="shared" ca="1" si="183"/>
        <v>47144</v>
      </c>
      <c r="B1054" s="181">
        <v>1040</v>
      </c>
      <c r="C1054" s="182">
        <f t="shared" ca="1" si="178"/>
        <v>55029.197405615036</v>
      </c>
      <c r="D1054" s="182">
        <f t="shared" ca="1" si="184"/>
        <v>36.686131603743355</v>
      </c>
      <c r="E1054" s="182">
        <v>0</v>
      </c>
      <c r="F1054" s="182">
        <f t="shared" ca="1" si="179"/>
        <v>0</v>
      </c>
      <c r="G1054" s="182">
        <f t="shared" ca="1" si="185"/>
        <v>0</v>
      </c>
      <c r="H1054" s="182">
        <f t="shared" ca="1" si="177"/>
        <v>55065.883537218782</v>
      </c>
      <c r="I1054" s="183">
        <v>0</v>
      </c>
      <c r="J1054" s="263">
        <f t="shared" ca="1" si="180"/>
        <v>55065.883537218782</v>
      </c>
      <c r="K1054" s="182">
        <f t="shared" ca="1" si="181"/>
        <v>70</v>
      </c>
      <c r="L1054" s="182"/>
      <c r="M1054" s="182"/>
      <c r="N1054" s="182">
        <f t="shared" ca="1" si="182"/>
        <v>101265.88353721885</v>
      </c>
      <c r="O1054" s="182"/>
    </row>
    <row r="1055" spans="1:15" x14ac:dyDescent="0.25">
      <c r="A1055" s="180">
        <f t="shared" ca="1" si="183"/>
        <v>47145</v>
      </c>
      <c r="B1055" s="181">
        <v>1041</v>
      </c>
      <c r="C1055" s="182">
        <f t="shared" ca="1" si="178"/>
        <v>55065.883537218782</v>
      </c>
      <c r="D1055" s="182">
        <f t="shared" ca="1" si="184"/>
        <v>36.710589024812521</v>
      </c>
      <c r="E1055" s="182">
        <v>0</v>
      </c>
      <c r="F1055" s="182">
        <f t="shared" ca="1" si="179"/>
        <v>0</v>
      </c>
      <c r="G1055" s="182">
        <f t="shared" ca="1" si="185"/>
        <v>0</v>
      </c>
      <c r="H1055" s="182">
        <f t="shared" ca="1" si="177"/>
        <v>55102.594126243595</v>
      </c>
      <c r="I1055" s="183">
        <v>0</v>
      </c>
      <c r="J1055" s="263">
        <f t="shared" ca="1" si="180"/>
        <v>55102.594126243595</v>
      </c>
      <c r="K1055" s="182">
        <f t="shared" ca="1" si="181"/>
        <v>70</v>
      </c>
      <c r="L1055" s="182"/>
      <c r="M1055" s="182"/>
      <c r="N1055" s="182">
        <f t="shared" ca="1" si="182"/>
        <v>101372.59412624365</v>
      </c>
      <c r="O1055" s="182"/>
    </row>
    <row r="1056" spans="1:15" x14ac:dyDescent="0.25">
      <c r="A1056" s="180">
        <f t="shared" ca="1" si="183"/>
        <v>47146</v>
      </c>
      <c r="B1056" s="181">
        <v>1042</v>
      </c>
      <c r="C1056" s="182">
        <f t="shared" ca="1" si="178"/>
        <v>55102.594126243595</v>
      </c>
      <c r="D1056" s="182">
        <f t="shared" ca="1" si="184"/>
        <v>36.735062750829066</v>
      </c>
      <c r="E1056" s="182">
        <v>0</v>
      </c>
      <c r="F1056" s="182">
        <f t="shared" ca="1" si="179"/>
        <v>0</v>
      </c>
      <c r="G1056" s="182">
        <f t="shared" ca="1" si="185"/>
        <v>0</v>
      </c>
      <c r="H1056" s="182">
        <f t="shared" ca="1" si="177"/>
        <v>55139.329188994423</v>
      </c>
      <c r="I1056" s="183">
        <v>0</v>
      </c>
      <c r="J1056" s="263">
        <f t="shared" ca="1" si="180"/>
        <v>55139.329188994423</v>
      </c>
      <c r="K1056" s="182"/>
      <c r="L1056" s="182"/>
      <c r="M1056" s="182"/>
      <c r="N1056" s="182"/>
      <c r="O1056" s="182"/>
    </row>
    <row r="1057" spans="1:15" x14ac:dyDescent="0.25">
      <c r="A1057" s="180">
        <f t="shared" ca="1" si="183"/>
        <v>47147</v>
      </c>
      <c r="B1057" s="181">
        <v>1043</v>
      </c>
      <c r="C1057" s="182">
        <f t="shared" ca="1" si="178"/>
        <v>55139.329188994423</v>
      </c>
      <c r="D1057" s="182">
        <f t="shared" ca="1" si="184"/>
        <v>36.759552792662944</v>
      </c>
      <c r="E1057" s="182">
        <v>0</v>
      </c>
      <c r="F1057" s="182">
        <f t="shared" ca="1" si="179"/>
        <v>0</v>
      </c>
      <c r="G1057" s="182">
        <f t="shared" ca="1" si="185"/>
        <v>0</v>
      </c>
      <c r="H1057" s="182">
        <f t="shared" ca="1" si="177"/>
        <v>55176.088741787084</v>
      </c>
      <c r="I1057" s="183">
        <v>0</v>
      </c>
      <c r="J1057" s="263">
        <f t="shared" ca="1" si="180"/>
        <v>55176.088741787084</v>
      </c>
      <c r="K1057" s="182"/>
      <c r="L1057" s="182"/>
      <c r="M1057" s="182"/>
      <c r="N1057" s="182"/>
      <c r="O1057" s="182"/>
    </row>
    <row r="1058" spans="1:15" x14ac:dyDescent="0.25">
      <c r="A1058" s="180">
        <f t="shared" ca="1" si="183"/>
        <v>47148</v>
      </c>
      <c r="B1058" s="181">
        <v>1044</v>
      </c>
      <c r="C1058" s="182">
        <f t="shared" ca="1" si="178"/>
        <v>55176.088741787084</v>
      </c>
      <c r="D1058" s="182">
        <f t="shared" ca="1" si="184"/>
        <v>36.784059161191387</v>
      </c>
      <c r="E1058" s="182">
        <v>0</v>
      </c>
      <c r="F1058" s="182">
        <f t="shared" ca="1" si="179"/>
        <v>0</v>
      </c>
      <c r="G1058" s="182">
        <f t="shared" ca="1" si="185"/>
        <v>0</v>
      </c>
      <c r="H1058" s="182">
        <f t="shared" ca="1" si="177"/>
        <v>55212.872800948273</v>
      </c>
      <c r="I1058" s="183">
        <v>0</v>
      </c>
      <c r="J1058" s="263">
        <f t="shared" ca="1" si="180"/>
        <v>55212.872800948273</v>
      </c>
      <c r="K1058" s="182"/>
      <c r="L1058" s="182"/>
      <c r="M1058" s="182"/>
      <c r="N1058" s="182"/>
      <c r="O1058" s="182"/>
    </row>
    <row r="1059" spans="1:15" x14ac:dyDescent="0.25">
      <c r="A1059" s="180">
        <f t="shared" ca="1" si="183"/>
        <v>47149</v>
      </c>
      <c r="B1059" s="181">
        <v>1045</v>
      </c>
      <c r="C1059" s="182">
        <f t="shared" ca="1" si="178"/>
        <v>55212.872800948273</v>
      </c>
      <c r="D1059" s="182">
        <f t="shared" ca="1" si="184"/>
        <v>36.808581867298848</v>
      </c>
      <c r="E1059" s="182">
        <v>0</v>
      </c>
      <c r="F1059" s="182">
        <f t="shared" ca="1" si="179"/>
        <v>0</v>
      </c>
      <c r="G1059" s="182">
        <f t="shared" ca="1" si="185"/>
        <v>0</v>
      </c>
      <c r="H1059" s="182">
        <f t="shared" ref="H1059:H1122" ca="1" si="186">IF(G1059&gt;0,C1059+F1059+I1059,SUM(C1059:F1059)-G1058)</f>
        <v>55249.681382815572</v>
      </c>
      <c r="I1059" s="183">
        <v>0</v>
      </c>
      <c r="J1059" s="263">
        <f t="shared" ca="1" si="180"/>
        <v>55249.681382815572</v>
      </c>
      <c r="K1059" s="182"/>
      <c r="L1059" s="182"/>
      <c r="M1059" s="182"/>
      <c r="N1059" s="182"/>
      <c r="O1059" s="182"/>
    </row>
    <row r="1060" spans="1:15" x14ac:dyDescent="0.25">
      <c r="A1060" s="180">
        <f t="shared" ca="1" si="183"/>
        <v>47150</v>
      </c>
      <c r="B1060" s="181">
        <v>1046</v>
      </c>
      <c r="C1060" s="182">
        <f t="shared" ca="1" si="178"/>
        <v>55249.681382815572</v>
      </c>
      <c r="D1060" s="182">
        <f t="shared" ca="1" si="184"/>
        <v>36.833120921877047</v>
      </c>
      <c r="E1060" s="182">
        <v>0</v>
      </c>
      <c r="F1060" s="182">
        <f t="shared" ca="1" si="179"/>
        <v>0</v>
      </c>
      <c r="G1060" s="182">
        <f t="shared" ca="1" si="185"/>
        <v>0</v>
      </c>
      <c r="H1060" s="182">
        <f t="shared" ca="1" si="186"/>
        <v>55286.514503737446</v>
      </c>
      <c r="I1060" s="183">
        <v>0</v>
      </c>
      <c r="J1060" s="263">
        <f t="shared" ca="1" si="180"/>
        <v>55286.514503737446</v>
      </c>
      <c r="K1060" s="182"/>
      <c r="L1060" s="182"/>
      <c r="M1060" s="182"/>
      <c r="N1060" s="182"/>
      <c r="O1060" s="182"/>
    </row>
    <row r="1061" spans="1:15" x14ac:dyDescent="0.25">
      <c r="A1061" s="180">
        <f t="shared" ca="1" si="183"/>
        <v>47151</v>
      </c>
      <c r="B1061" s="181">
        <v>1047</v>
      </c>
      <c r="C1061" s="182">
        <f t="shared" ca="1" si="178"/>
        <v>55286.514503737446</v>
      </c>
      <c r="D1061" s="182">
        <f t="shared" ca="1" si="184"/>
        <v>36.857676335824962</v>
      </c>
      <c r="E1061" s="182">
        <v>0</v>
      </c>
      <c r="F1061" s="182">
        <f t="shared" ca="1" si="179"/>
        <v>0</v>
      </c>
      <c r="G1061" s="182">
        <f t="shared" ca="1" si="185"/>
        <v>0</v>
      </c>
      <c r="H1061" s="182">
        <f t="shared" ca="1" si="186"/>
        <v>55323.372180073267</v>
      </c>
      <c r="I1061" s="183">
        <v>0</v>
      </c>
      <c r="J1061" s="263">
        <f t="shared" ca="1" si="180"/>
        <v>55323.372180073267</v>
      </c>
      <c r="K1061" s="182"/>
      <c r="L1061" s="182"/>
      <c r="M1061" s="182"/>
      <c r="N1061" s="182"/>
      <c r="O1061" s="182"/>
    </row>
    <row r="1062" spans="1:15" x14ac:dyDescent="0.25">
      <c r="A1062" s="180">
        <f t="shared" ca="1" si="183"/>
        <v>47152</v>
      </c>
      <c r="B1062" s="181">
        <v>1048</v>
      </c>
      <c r="C1062" s="182">
        <f t="shared" ca="1" si="178"/>
        <v>55323.372180073267</v>
      </c>
      <c r="D1062" s="182">
        <f t="shared" ca="1" si="184"/>
        <v>36.882248120048843</v>
      </c>
      <c r="E1062" s="182">
        <v>0</v>
      </c>
      <c r="F1062" s="182">
        <f t="shared" ca="1" si="179"/>
        <v>0</v>
      </c>
      <c r="G1062" s="182">
        <f t="shared" ca="1" si="185"/>
        <v>0</v>
      </c>
      <c r="H1062" s="182">
        <f t="shared" ca="1" si="186"/>
        <v>55360.254428193315</v>
      </c>
      <c r="I1062" s="183">
        <v>0</v>
      </c>
      <c r="J1062" s="263">
        <f t="shared" ca="1" si="180"/>
        <v>55360.254428193315</v>
      </c>
      <c r="K1062" s="182"/>
      <c r="L1062" s="182"/>
      <c r="M1062" s="182"/>
      <c r="N1062" s="182"/>
      <c r="O1062" s="182"/>
    </row>
    <row r="1063" spans="1:15" x14ac:dyDescent="0.25">
      <c r="A1063" s="180">
        <f t="shared" ca="1" si="183"/>
        <v>47153</v>
      </c>
      <c r="B1063" s="181">
        <v>1049</v>
      </c>
      <c r="C1063" s="182">
        <f t="shared" ca="1" si="178"/>
        <v>55360.254428193315</v>
      </c>
      <c r="D1063" s="182">
        <f t="shared" ca="1" si="184"/>
        <v>36.906836285462212</v>
      </c>
      <c r="E1063" s="182">
        <v>0</v>
      </c>
      <c r="F1063" s="182">
        <f t="shared" ca="1" si="179"/>
        <v>0</v>
      </c>
      <c r="G1063" s="182">
        <f t="shared" ca="1" si="185"/>
        <v>0</v>
      </c>
      <c r="H1063" s="182">
        <f t="shared" ca="1" si="186"/>
        <v>55397.161264478775</v>
      </c>
      <c r="I1063" s="183">
        <v>0</v>
      </c>
      <c r="J1063" s="263">
        <f t="shared" ca="1" si="180"/>
        <v>55397.161264478775</v>
      </c>
      <c r="K1063" s="182"/>
      <c r="L1063" s="182"/>
      <c r="M1063" s="182"/>
      <c r="N1063" s="182"/>
      <c r="O1063" s="182"/>
    </row>
    <row r="1064" spans="1:15" x14ac:dyDescent="0.25">
      <c r="A1064" s="180">
        <f t="shared" ca="1" si="183"/>
        <v>47154</v>
      </c>
      <c r="B1064" s="181">
        <v>1050</v>
      </c>
      <c r="C1064" s="182">
        <f t="shared" ca="1" si="178"/>
        <v>55397.161264478775</v>
      </c>
      <c r="D1064" s="182">
        <f t="shared" ca="1" si="184"/>
        <v>36.93144084298585</v>
      </c>
      <c r="E1064" s="182">
        <v>0</v>
      </c>
      <c r="F1064" s="182">
        <f t="shared" ca="1" si="179"/>
        <v>0</v>
      </c>
      <c r="G1064" s="182">
        <f t="shared" ca="1" si="185"/>
        <v>0</v>
      </c>
      <c r="H1064" s="182">
        <f t="shared" ca="1" si="186"/>
        <v>55434.09270532176</v>
      </c>
      <c r="I1064" s="183">
        <v>0</v>
      </c>
      <c r="J1064" s="263">
        <f t="shared" ca="1" si="180"/>
        <v>55434.09270532176</v>
      </c>
      <c r="K1064" s="182"/>
      <c r="L1064" s="182"/>
      <c r="M1064" s="182"/>
      <c r="N1064" s="182"/>
      <c r="O1064" s="182"/>
    </row>
    <row r="1065" spans="1:15" x14ac:dyDescent="0.25">
      <c r="A1065" s="180">
        <f t="shared" ca="1" si="183"/>
        <v>47155</v>
      </c>
      <c r="B1065" s="181">
        <v>1051</v>
      </c>
      <c r="C1065" s="182">
        <f t="shared" ca="1" si="178"/>
        <v>55434.09270532176</v>
      </c>
      <c r="D1065" s="182">
        <f t="shared" ca="1" si="184"/>
        <v>36.95606180354784</v>
      </c>
      <c r="E1065" s="182">
        <v>0</v>
      </c>
      <c r="F1065" s="182">
        <f t="shared" ca="1" si="179"/>
        <v>0</v>
      </c>
      <c r="G1065" s="182">
        <f t="shared" ca="1" si="185"/>
        <v>0</v>
      </c>
      <c r="H1065" s="182">
        <f t="shared" ca="1" si="186"/>
        <v>55471.048767125307</v>
      </c>
      <c r="I1065" s="183">
        <v>0</v>
      </c>
      <c r="J1065" s="263">
        <f t="shared" ca="1" si="180"/>
        <v>55471.048767125307</v>
      </c>
      <c r="K1065" s="182"/>
      <c r="L1065" s="182"/>
      <c r="M1065" s="182"/>
      <c r="N1065" s="182"/>
      <c r="O1065" s="182"/>
    </row>
    <row r="1066" spans="1:15" x14ac:dyDescent="0.25">
      <c r="A1066" s="180">
        <f t="shared" ca="1" si="183"/>
        <v>47156</v>
      </c>
      <c r="B1066" s="181">
        <v>1052</v>
      </c>
      <c r="C1066" s="182">
        <f t="shared" ca="1" si="178"/>
        <v>55471.048767125307</v>
      </c>
      <c r="D1066" s="182">
        <f t="shared" ca="1" si="184"/>
        <v>36.980699178083533</v>
      </c>
      <c r="E1066" s="182">
        <v>0</v>
      </c>
      <c r="F1066" s="182">
        <f t="shared" ca="1" si="179"/>
        <v>0</v>
      </c>
      <c r="G1066" s="182">
        <f t="shared" ca="1" si="185"/>
        <v>0</v>
      </c>
      <c r="H1066" s="182">
        <f t="shared" ca="1" si="186"/>
        <v>55508.029466303393</v>
      </c>
      <c r="I1066" s="183">
        <v>0</v>
      </c>
      <c r="J1066" s="263">
        <f t="shared" ca="1" si="180"/>
        <v>55508.029466303393</v>
      </c>
      <c r="K1066" s="182"/>
      <c r="L1066" s="182"/>
      <c r="M1066" s="182"/>
      <c r="N1066" s="182"/>
      <c r="O1066" s="182"/>
    </row>
    <row r="1067" spans="1:15" x14ac:dyDescent="0.25">
      <c r="A1067" s="180">
        <f t="shared" ca="1" si="183"/>
        <v>47157</v>
      </c>
      <c r="B1067" s="181">
        <v>1053</v>
      </c>
      <c r="C1067" s="182">
        <f t="shared" ref="C1067:C1130" ca="1" si="187">H1066</f>
        <v>55508.029466303393</v>
      </c>
      <c r="D1067" s="182">
        <f t="shared" ca="1" si="184"/>
        <v>37.005352977535594</v>
      </c>
      <c r="E1067" s="182">
        <v>0</v>
      </c>
      <c r="F1067" s="182">
        <f t="shared" ca="1" si="179"/>
        <v>0</v>
      </c>
      <c r="G1067" s="182">
        <f t="shared" ca="1" si="185"/>
        <v>0</v>
      </c>
      <c r="H1067" s="182">
        <f t="shared" ca="1" si="186"/>
        <v>55545.034819280925</v>
      </c>
      <c r="I1067" s="183">
        <v>0</v>
      </c>
      <c r="J1067" s="263">
        <f t="shared" ca="1" si="180"/>
        <v>55545.034819280925</v>
      </c>
      <c r="K1067" s="182"/>
      <c r="L1067" s="182"/>
      <c r="M1067" s="182"/>
      <c r="N1067" s="182"/>
      <c r="O1067" s="182"/>
    </row>
    <row r="1068" spans="1:15" x14ac:dyDescent="0.25">
      <c r="A1068" s="180">
        <f t="shared" ca="1" si="183"/>
        <v>47158</v>
      </c>
      <c r="B1068" s="181">
        <v>1054</v>
      </c>
      <c r="C1068" s="182">
        <f t="shared" ca="1" si="187"/>
        <v>55545.034819280925</v>
      </c>
      <c r="D1068" s="182">
        <f t="shared" ca="1" si="184"/>
        <v>37.030023212853948</v>
      </c>
      <c r="E1068" s="182">
        <v>0</v>
      </c>
      <c r="F1068" s="182">
        <f t="shared" ref="F1068:F1131" ca="1" si="188">IFERROR(-VLOOKUP(A1068,$P$4:$R$31,2,FALSE),0)</f>
        <v>0</v>
      </c>
      <c r="G1068" s="182">
        <f t="shared" ca="1" si="185"/>
        <v>0</v>
      </c>
      <c r="H1068" s="182">
        <f t="shared" ca="1" si="186"/>
        <v>55582.064842493783</v>
      </c>
      <c r="I1068" s="183">
        <v>0</v>
      </c>
      <c r="J1068" s="263">
        <f t="shared" ca="1" si="180"/>
        <v>55582.064842493783</v>
      </c>
      <c r="K1068" s="182"/>
      <c r="L1068" s="182"/>
      <c r="M1068" s="182"/>
      <c r="N1068" s="182"/>
      <c r="O1068" s="182"/>
    </row>
    <row r="1069" spans="1:15" x14ac:dyDescent="0.25">
      <c r="A1069" s="180">
        <f t="shared" ca="1" si="183"/>
        <v>47159</v>
      </c>
      <c r="B1069" s="181">
        <v>1055</v>
      </c>
      <c r="C1069" s="182">
        <f t="shared" ca="1" si="187"/>
        <v>55582.064842493783</v>
      </c>
      <c r="D1069" s="182">
        <f t="shared" ca="1" si="184"/>
        <v>37.054709894995852</v>
      </c>
      <c r="E1069" s="182">
        <v>0</v>
      </c>
      <c r="F1069" s="182">
        <f t="shared" ca="1" si="188"/>
        <v>0</v>
      </c>
      <c r="G1069" s="182">
        <f t="shared" ca="1" si="185"/>
        <v>0</v>
      </c>
      <c r="H1069" s="182">
        <f t="shared" ca="1" si="186"/>
        <v>55619.11955238878</v>
      </c>
      <c r="I1069" s="183">
        <v>0</v>
      </c>
      <c r="J1069" s="263">
        <f t="shared" ca="1" si="180"/>
        <v>55619.11955238878</v>
      </c>
      <c r="K1069" s="182"/>
      <c r="L1069" s="182"/>
      <c r="M1069" s="182"/>
      <c r="N1069" s="182"/>
      <c r="O1069" s="182"/>
    </row>
    <row r="1070" spans="1:15" x14ac:dyDescent="0.25">
      <c r="A1070" s="180">
        <f t="shared" ca="1" si="183"/>
        <v>47160</v>
      </c>
      <c r="B1070" s="181">
        <v>1056</v>
      </c>
      <c r="C1070" s="182">
        <f t="shared" ca="1" si="187"/>
        <v>55619.11955238878</v>
      </c>
      <c r="D1070" s="182">
        <f t="shared" ca="1" si="184"/>
        <v>37.07941303492585</v>
      </c>
      <c r="E1070" s="182">
        <v>0</v>
      </c>
      <c r="F1070" s="182">
        <f t="shared" ca="1" si="188"/>
        <v>0</v>
      </c>
      <c r="G1070" s="182">
        <f t="shared" ca="1" si="185"/>
        <v>0</v>
      </c>
      <c r="H1070" s="182">
        <f t="shared" ca="1" si="186"/>
        <v>55656.198965423704</v>
      </c>
      <c r="I1070" s="183">
        <v>0</v>
      </c>
      <c r="J1070" s="263">
        <f t="shared" ca="1" si="180"/>
        <v>55656.198965423704</v>
      </c>
      <c r="K1070" s="182"/>
      <c r="L1070" s="182"/>
      <c r="M1070" s="182"/>
      <c r="N1070" s="182"/>
      <c r="O1070" s="182"/>
    </row>
    <row r="1071" spans="1:15" x14ac:dyDescent="0.25">
      <c r="A1071" s="180">
        <f t="shared" ca="1" si="183"/>
        <v>47161</v>
      </c>
      <c r="B1071" s="181">
        <v>1057</v>
      </c>
      <c r="C1071" s="182">
        <f t="shared" ca="1" si="187"/>
        <v>55656.198965423704</v>
      </c>
      <c r="D1071" s="182">
        <f t="shared" ca="1" si="184"/>
        <v>37.104132643615799</v>
      </c>
      <c r="E1071" s="182">
        <v>0</v>
      </c>
      <c r="F1071" s="182">
        <f t="shared" ca="1" si="188"/>
        <v>0</v>
      </c>
      <c r="G1071" s="182">
        <f t="shared" ca="1" si="185"/>
        <v>0</v>
      </c>
      <c r="H1071" s="182">
        <f t="shared" ca="1" si="186"/>
        <v>55693.303098067321</v>
      </c>
      <c r="I1071" s="183">
        <v>0</v>
      </c>
      <c r="J1071" s="263">
        <f t="shared" ca="1" si="180"/>
        <v>55693.303098067321</v>
      </c>
      <c r="K1071" s="182"/>
      <c r="L1071" s="182"/>
      <c r="M1071" s="182"/>
      <c r="N1071" s="182"/>
      <c r="O1071" s="182"/>
    </row>
    <row r="1072" spans="1:15" x14ac:dyDescent="0.25">
      <c r="A1072" s="180">
        <f t="shared" ca="1" si="183"/>
        <v>47162</v>
      </c>
      <c r="B1072" s="181">
        <v>1058</v>
      </c>
      <c r="C1072" s="182">
        <f t="shared" ca="1" si="187"/>
        <v>55693.303098067321</v>
      </c>
      <c r="D1072" s="182">
        <f t="shared" ca="1" si="184"/>
        <v>37.128868732044879</v>
      </c>
      <c r="E1072" s="182">
        <v>0</v>
      </c>
      <c r="F1072" s="182">
        <f t="shared" ca="1" si="188"/>
        <v>0</v>
      </c>
      <c r="G1072" s="182">
        <f t="shared" ca="1" si="185"/>
        <v>0</v>
      </c>
      <c r="H1072" s="182">
        <f t="shared" ca="1" si="186"/>
        <v>55730.43196679937</v>
      </c>
      <c r="I1072" s="183">
        <v>0</v>
      </c>
      <c r="J1072" s="263">
        <f t="shared" ca="1" si="180"/>
        <v>55730.43196679937</v>
      </c>
      <c r="K1072" s="182"/>
      <c r="L1072" s="182"/>
      <c r="M1072" s="182"/>
      <c r="N1072" s="182"/>
      <c r="O1072" s="182"/>
    </row>
    <row r="1073" spans="1:15" x14ac:dyDescent="0.25">
      <c r="A1073" s="180">
        <f t="shared" ca="1" si="183"/>
        <v>47163</v>
      </c>
      <c r="B1073" s="181">
        <v>1059</v>
      </c>
      <c r="C1073" s="182">
        <f t="shared" ca="1" si="187"/>
        <v>55730.43196679937</v>
      </c>
      <c r="D1073" s="182">
        <f t="shared" ca="1" si="184"/>
        <v>37.153621311199579</v>
      </c>
      <c r="E1073" s="182">
        <v>0</v>
      </c>
      <c r="F1073" s="182">
        <f t="shared" ca="1" si="188"/>
        <v>0</v>
      </c>
      <c r="G1073" s="182">
        <f t="shared" ca="1" si="185"/>
        <v>0</v>
      </c>
      <c r="H1073" s="182">
        <f t="shared" ca="1" si="186"/>
        <v>55767.585588110567</v>
      </c>
      <c r="I1073" s="183">
        <v>0</v>
      </c>
      <c r="J1073" s="263">
        <f t="shared" ca="1" si="180"/>
        <v>55767.585588110567</v>
      </c>
      <c r="K1073" s="182"/>
      <c r="L1073" s="182"/>
      <c r="M1073" s="182"/>
      <c r="N1073" s="182"/>
      <c r="O1073" s="182"/>
    </row>
    <row r="1074" spans="1:15" x14ac:dyDescent="0.25">
      <c r="A1074" s="180">
        <f t="shared" ca="1" si="183"/>
        <v>47164</v>
      </c>
      <c r="B1074" s="181">
        <v>1060</v>
      </c>
      <c r="C1074" s="182">
        <f t="shared" ca="1" si="187"/>
        <v>55767.585588110567</v>
      </c>
      <c r="D1074" s="182">
        <f t="shared" ca="1" si="184"/>
        <v>37.178390392073709</v>
      </c>
      <c r="E1074" s="182">
        <v>0</v>
      </c>
      <c r="F1074" s="182">
        <f t="shared" ca="1" si="188"/>
        <v>0</v>
      </c>
      <c r="G1074" s="182">
        <f t="shared" ca="1" si="185"/>
        <v>0</v>
      </c>
      <c r="H1074" s="182">
        <f t="shared" ca="1" si="186"/>
        <v>55804.76397850264</v>
      </c>
      <c r="I1074" s="183">
        <v>0</v>
      </c>
      <c r="J1074" s="263">
        <f t="shared" ca="1" si="180"/>
        <v>55804.76397850264</v>
      </c>
      <c r="K1074" s="182"/>
      <c r="L1074" s="182"/>
      <c r="M1074" s="182"/>
      <c r="N1074" s="182"/>
      <c r="O1074" s="182"/>
    </row>
    <row r="1075" spans="1:15" x14ac:dyDescent="0.25">
      <c r="A1075" s="180">
        <f t="shared" ca="1" si="183"/>
        <v>47165</v>
      </c>
      <c r="B1075" s="181">
        <v>1061</v>
      </c>
      <c r="C1075" s="182">
        <f t="shared" ca="1" si="187"/>
        <v>55804.76397850264</v>
      </c>
      <c r="D1075" s="182">
        <f t="shared" ca="1" si="184"/>
        <v>37.203175985668423</v>
      </c>
      <c r="E1075" s="182">
        <v>0</v>
      </c>
      <c r="F1075" s="182">
        <f t="shared" ca="1" si="188"/>
        <v>0</v>
      </c>
      <c r="G1075" s="182">
        <f t="shared" ca="1" si="185"/>
        <v>0</v>
      </c>
      <c r="H1075" s="182">
        <f t="shared" ca="1" si="186"/>
        <v>55841.967154488309</v>
      </c>
      <c r="I1075" s="183">
        <v>0</v>
      </c>
      <c r="J1075" s="263">
        <f t="shared" ca="1" si="180"/>
        <v>55841.967154488309</v>
      </c>
      <c r="K1075" s="182"/>
      <c r="L1075" s="182"/>
      <c r="M1075" s="182"/>
      <c r="N1075" s="182"/>
      <c r="O1075" s="182"/>
    </row>
    <row r="1076" spans="1:15" x14ac:dyDescent="0.25">
      <c r="A1076" s="180">
        <f t="shared" ca="1" si="183"/>
        <v>47166</v>
      </c>
      <c r="B1076" s="181">
        <v>1062</v>
      </c>
      <c r="C1076" s="182">
        <f t="shared" ca="1" si="187"/>
        <v>55841.967154488309</v>
      </c>
      <c r="D1076" s="182">
        <f t="shared" ca="1" si="184"/>
        <v>37.227978102992203</v>
      </c>
      <c r="E1076" s="182">
        <v>0</v>
      </c>
      <c r="F1076" s="182">
        <f t="shared" ca="1" si="188"/>
        <v>0</v>
      </c>
      <c r="G1076" s="182">
        <f t="shared" ca="1" si="185"/>
        <v>0</v>
      </c>
      <c r="H1076" s="182">
        <f t="shared" ca="1" si="186"/>
        <v>55879.195132591303</v>
      </c>
      <c r="I1076" s="183">
        <v>0</v>
      </c>
      <c r="J1076" s="263">
        <f t="shared" ca="1" si="180"/>
        <v>55879.195132591303</v>
      </c>
      <c r="K1076" s="182"/>
      <c r="L1076" s="182"/>
      <c r="M1076" s="182"/>
      <c r="N1076" s="182"/>
      <c r="O1076" s="182"/>
    </row>
    <row r="1077" spans="1:15" x14ac:dyDescent="0.25">
      <c r="A1077" s="180">
        <f t="shared" ca="1" si="183"/>
        <v>47167</v>
      </c>
      <c r="B1077" s="181">
        <v>1063</v>
      </c>
      <c r="C1077" s="182">
        <f t="shared" ca="1" si="187"/>
        <v>55879.195132591303</v>
      </c>
      <c r="D1077" s="182">
        <f t="shared" ca="1" si="184"/>
        <v>37.252796755060871</v>
      </c>
      <c r="E1077" s="182">
        <v>0</v>
      </c>
      <c r="F1077" s="182">
        <f t="shared" ca="1" si="188"/>
        <v>0</v>
      </c>
      <c r="G1077" s="182">
        <f t="shared" ca="1" si="185"/>
        <v>0</v>
      </c>
      <c r="H1077" s="182">
        <f t="shared" ca="1" si="186"/>
        <v>55916.447929346366</v>
      </c>
      <c r="I1077" s="183">
        <v>0</v>
      </c>
      <c r="J1077" s="263">
        <f t="shared" ca="1" si="180"/>
        <v>55916.447929346366</v>
      </c>
      <c r="K1077" s="182"/>
      <c r="L1077" s="182"/>
      <c r="M1077" s="182"/>
      <c r="N1077" s="182"/>
      <c r="O1077" s="182"/>
    </row>
    <row r="1078" spans="1:15" x14ac:dyDescent="0.25">
      <c r="A1078" s="180">
        <f t="shared" ca="1" si="183"/>
        <v>47168</v>
      </c>
      <c r="B1078" s="181">
        <v>1064</v>
      </c>
      <c r="C1078" s="182">
        <f t="shared" ca="1" si="187"/>
        <v>55916.447929346366</v>
      </c>
      <c r="D1078" s="182">
        <f t="shared" ca="1" si="184"/>
        <v>37.277631952897579</v>
      </c>
      <c r="E1078" s="182">
        <v>0</v>
      </c>
      <c r="F1078" s="182">
        <f t="shared" ca="1" si="188"/>
        <v>0</v>
      </c>
      <c r="G1078" s="182">
        <f t="shared" ca="1" si="185"/>
        <v>0</v>
      </c>
      <c r="H1078" s="182">
        <f t="shared" ca="1" si="186"/>
        <v>55953.725561299267</v>
      </c>
      <c r="I1078" s="183">
        <v>0</v>
      </c>
      <c r="J1078" s="263">
        <f t="shared" ca="1" si="180"/>
        <v>55953.725561299267</v>
      </c>
      <c r="K1078" s="182"/>
      <c r="L1078" s="182"/>
      <c r="M1078" s="182"/>
      <c r="N1078" s="182"/>
      <c r="O1078" s="182"/>
    </row>
    <row r="1079" spans="1:15" x14ac:dyDescent="0.25">
      <c r="A1079" s="180">
        <f t="shared" ca="1" si="183"/>
        <v>47169</v>
      </c>
      <c r="B1079" s="181">
        <v>1065</v>
      </c>
      <c r="C1079" s="182">
        <f t="shared" ca="1" si="187"/>
        <v>55953.725561299267</v>
      </c>
      <c r="D1079" s="182">
        <f t="shared" ca="1" si="184"/>
        <v>37.302483707532843</v>
      </c>
      <c r="E1079" s="182">
        <v>0</v>
      </c>
      <c r="F1079" s="182">
        <f t="shared" ca="1" si="188"/>
        <v>0</v>
      </c>
      <c r="G1079" s="182">
        <f t="shared" ca="1" si="185"/>
        <v>0</v>
      </c>
      <c r="H1079" s="182">
        <f t="shared" ca="1" si="186"/>
        <v>55991.028045006802</v>
      </c>
      <c r="I1079" s="183">
        <v>0</v>
      </c>
      <c r="J1079" s="263">
        <f t="shared" ca="1" si="180"/>
        <v>55991.028045006802</v>
      </c>
      <c r="K1079" s="182"/>
      <c r="L1079" s="182"/>
      <c r="M1079" s="182"/>
      <c r="N1079" s="182"/>
      <c r="O1079" s="182"/>
    </row>
    <row r="1080" spans="1:15" x14ac:dyDescent="0.25">
      <c r="A1080" s="180">
        <f t="shared" ca="1" si="183"/>
        <v>47170</v>
      </c>
      <c r="B1080" s="181">
        <v>1066</v>
      </c>
      <c r="C1080" s="182">
        <f t="shared" ca="1" si="187"/>
        <v>55991.028045006802</v>
      </c>
      <c r="D1080" s="182">
        <f t="shared" ca="1" si="184"/>
        <v>37.327352030004533</v>
      </c>
      <c r="E1080" s="182">
        <v>0</v>
      </c>
      <c r="F1080" s="182">
        <f t="shared" ca="1" si="188"/>
        <v>0</v>
      </c>
      <c r="G1080" s="182">
        <f t="shared" ca="1" si="185"/>
        <v>0</v>
      </c>
      <c r="H1080" s="182">
        <f t="shared" ca="1" si="186"/>
        <v>56028.355397036808</v>
      </c>
      <c r="I1080" s="183">
        <v>0</v>
      </c>
      <c r="J1080" s="263">
        <f t="shared" ca="1" si="180"/>
        <v>56028.355397036808</v>
      </c>
      <c r="K1080" s="182"/>
      <c r="L1080" s="182"/>
      <c r="M1080" s="182"/>
      <c r="N1080" s="182"/>
      <c r="O1080" s="182"/>
    </row>
    <row r="1081" spans="1:15" x14ac:dyDescent="0.25">
      <c r="A1081" s="180">
        <f t="shared" ca="1" si="183"/>
        <v>47171</v>
      </c>
      <c r="B1081" s="181">
        <v>1067</v>
      </c>
      <c r="C1081" s="182">
        <f t="shared" ca="1" si="187"/>
        <v>56028.355397036808</v>
      </c>
      <c r="D1081" s="182">
        <f t="shared" ca="1" si="184"/>
        <v>37.352236931357872</v>
      </c>
      <c r="E1081" s="182">
        <v>0</v>
      </c>
      <c r="F1081" s="182">
        <f t="shared" ca="1" si="188"/>
        <v>0</v>
      </c>
      <c r="G1081" s="182">
        <f t="shared" ca="1" si="185"/>
        <v>0</v>
      </c>
      <c r="H1081" s="182">
        <f t="shared" ca="1" si="186"/>
        <v>56065.707633968166</v>
      </c>
      <c r="I1081" s="183">
        <v>0</v>
      </c>
      <c r="J1081" s="263">
        <f t="shared" ca="1" si="180"/>
        <v>56065.707633968166</v>
      </c>
      <c r="K1081" s="182"/>
      <c r="L1081" s="182"/>
      <c r="M1081" s="182"/>
      <c r="N1081" s="182"/>
      <c r="O1081" s="182"/>
    </row>
    <row r="1082" spans="1:15" x14ac:dyDescent="0.25">
      <c r="A1082" s="180">
        <f t="shared" ca="1" si="183"/>
        <v>47172</v>
      </c>
      <c r="B1082" s="181">
        <v>1068</v>
      </c>
      <c r="C1082" s="182">
        <f t="shared" ca="1" si="187"/>
        <v>56065.707633968166</v>
      </c>
      <c r="D1082" s="182">
        <f t="shared" ca="1" si="184"/>
        <v>37.377138422645444</v>
      </c>
      <c r="E1082" s="182">
        <v>0</v>
      </c>
      <c r="F1082" s="182">
        <f t="shared" ca="1" si="188"/>
        <v>0</v>
      </c>
      <c r="G1082" s="182">
        <f t="shared" ca="1" si="185"/>
        <v>0</v>
      </c>
      <c r="H1082" s="182">
        <f t="shared" ca="1" si="186"/>
        <v>56103.084772390808</v>
      </c>
      <c r="I1082" s="183">
        <v>0</v>
      </c>
      <c r="J1082" s="263">
        <f t="shared" ca="1" si="180"/>
        <v>56103.084772390808</v>
      </c>
      <c r="K1082" s="182"/>
      <c r="L1082" s="182"/>
      <c r="M1082" s="182"/>
      <c r="N1082" s="182"/>
      <c r="O1082" s="182"/>
    </row>
    <row r="1083" spans="1:15" x14ac:dyDescent="0.25">
      <c r="A1083" s="180">
        <f t="shared" ca="1" si="183"/>
        <v>47173</v>
      </c>
      <c r="B1083" s="181">
        <v>1069</v>
      </c>
      <c r="C1083" s="182">
        <f t="shared" ca="1" si="187"/>
        <v>56103.084772390808</v>
      </c>
      <c r="D1083" s="182">
        <f t="shared" ca="1" si="184"/>
        <v>37.402056514927203</v>
      </c>
      <c r="E1083" s="182">
        <v>0</v>
      </c>
      <c r="F1083" s="182">
        <f t="shared" ca="1" si="188"/>
        <v>0</v>
      </c>
      <c r="G1083" s="182">
        <f t="shared" ca="1" si="185"/>
        <v>0</v>
      </c>
      <c r="H1083" s="182">
        <f t="shared" ca="1" si="186"/>
        <v>56140.486828905734</v>
      </c>
      <c r="I1083" s="183">
        <v>0</v>
      </c>
      <c r="J1083" s="263">
        <f t="shared" ca="1" si="180"/>
        <v>56140.486828905734</v>
      </c>
      <c r="K1083" s="182"/>
      <c r="L1083" s="182"/>
      <c r="M1083" s="182"/>
      <c r="N1083" s="182"/>
      <c r="O1083" s="182"/>
    </row>
    <row r="1084" spans="1:15" x14ac:dyDescent="0.25">
      <c r="A1084" s="180">
        <f t="shared" ca="1" si="183"/>
        <v>47174</v>
      </c>
      <c r="B1084" s="181">
        <v>1070</v>
      </c>
      <c r="C1084" s="182">
        <f t="shared" ca="1" si="187"/>
        <v>56140.486828905734</v>
      </c>
      <c r="D1084" s="182">
        <f t="shared" ca="1" si="184"/>
        <v>37.426991219270491</v>
      </c>
      <c r="E1084" s="182">
        <v>0</v>
      </c>
      <c r="F1084" s="182">
        <f t="shared" ca="1" si="188"/>
        <v>0</v>
      </c>
      <c r="G1084" s="182">
        <f t="shared" ca="1" si="185"/>
        <v>0</v>
      </c>
      <c r="H1084" s="182">
        <f t="shared" ca="1" si="186"/>
        <v>56177.913820125003</v>
      </c>
      <c r="I1084" s="183">
        <v>0</v>
      </c>
      <c r="J1084" s="263">
        <f t="shared" ca="1" si="180"/>
        <v>56177.913820125003</v>
      </c>
      <c r="K1084" s="182"/>
      <c r="L1084" s="182"/>
      <c r="M1084" s="182"/>
      <c r="N1084" s="182"/>
      <c r="O1084" s="182"/>
    </row>
    <row r="1085" spans="1:15" x14ac:dyDescent="0.25">
      <c r="A1085" s="180">
        <f t="shared" ca="1" si="183"/>
        <v>47175</v>
      </c>
      <c r="B1085" s="181">
        <v>1071</v>
      </c>
      <c r="C1085" s="182">
        <f t="shared" ca="1" si="187"/>
        <v>56177.913820125003</v>
      </c>
      <c r="D1085" s="182">
        <f t="shared" ca="1" si="184"/>
        <v>37.451942546749997</v>
      </c>
      <c r="E1085" s="182">
        <v>0</v>
      </c>
      <c r="F1085" s="182">
        <f t="shared" ca="1" si="188"/>
        <v>0</v>
      </c>
      <c r="G1085" s="182">
        <f t="shared" ca="1" si="185"/>
        <v>0</v>
      </c>
      <c r="H1085" s="182">
        <f t="shared" ca="1" si="186"/>
        <v>56215.365762671754</v>
      </c>
      <c r="I1085" s="183">
        <v>0</v>
      </c>
      <c r="J1085" s="263">
        <f t="shared" ca="1" si="180"/>
        <v>56215.365762671754</v>
      </c>
      <c r="K1085" s="182"/>
      <c r="L1085" s="182"/>
      <c r="M1085" s="182"/>
      <c r="N1085" s="182"/>
      <c r="O1085" s="182"/>
    </row>
    <row r="1086" spans="1:15" x14ac:dyDescent="0.25">
      <c r="A1086" s="180">
        <f t="shared" ca="1" si="183"/>
        <v>47176</v>
      </c>
      <c r="B1086" s="181">
        <v>1072</v>
      </c>
      <c r="C1086" s="182">
        <f t="shared" ca="1" si="187"/>
        <v>56215.365762671754</v>
      </c>
      <c r="D1086" s="182">
        <f t="shared" ca="1" si="184"/>
        <v>37.476910508447837</v>
      </c>
      <c r="E1086" s="182">
        <v>0</v>
      </c>
      <c r="F1086" s="182">
        <f t="shared" ca="1" si="188"/>
        <v>0</v>
      </c>
      <c r="G1086" s="182">
        <f t="shared" ca="1" si="185"/>
        <v>0</v>
      </c>
      <c r="H1086" s="182">
        <f t="shared" ca="1" si="186"/>
        <v>56252.842673180203</v>
      </c>
      <c r="I1086" s="183">
        <v>0</v>
      </c>
      <c r="J1086" s="263">
        <f t="shared" ca="1" si="180"/>
        <v>56252.842673180203</v>
      </c>
      <c r="K1086" s="182"/>
      <c r="L1086" s="182"/>
      <c r="M1086" s="182"/>
      <c r="N1086" s="182"/>
      <c r="O1086" s="182"/>
    </row>
    <row r="1087" spans="1:15" x14ac:dyDescent="0.25">
      <c r="A1087" s="180">
        <f t="shared" ca="1" si="183"/>
        <v>47177</v>
      </c>
      <c r="B1087" s="181">
        <v>1073</v>
      </c>
      <c r="C1087" s="182">
        <f t="shared" ca="1" si="187"/>
        <v>56252.842673180203</v>
      </c>
      <c r="D1087" s="182">
        <f t="shared" ca="1" si="184"/>
        <v>37.501895115453465</v>
      </c>
      <c r="E1087" s="182">
        <v>0</v>
      </c>
      <c r="F1087" s="182">
        <f t="shared" ca="1" si="188"/>
        <v>0</v>
      </c>
      <c r="G1087" s="182">
        <f t="shared" ca="1" si="185"/>
        <v>0</v>
      </c>
      <c r="H1087" s="182">
        <f t="shared" ca="1" si="186"/>
        <v>56290.344568295659</v>
      </c>
      <c r="I1087" s="183">
        <v>0</v>
      </c>
      <c r="J1087" s="263">
        <f t="shared" ca="1" si="180"/>
        <v>56290.344568295659</v>
      </c>
      <c r="K1087" s="182"/>
      <c r="L1087" s="182"/>
      <c r="M1087" s="182"/>
      <c r="N1087" s="182"/>
      <c r="O1087" s="182"/>
    </row>
    <row r="1088" spans="1:15" x14ac:dyDescent="0.25">
      <c r="A1088" s="180">
        <f t="shared" ca="1" si="183"/>
        <v>47178</v>
      </c>
      <c r="B1088" s="181">
        <v>1074</v>
      </c>
      <c r="C1088" s="182">
        <f t="shared" ca="1" si="187"/>
        <v>56290.344568295659</v>
      </c>
      <c r="D1088" s="182">
        <f t="shared" ca="1" si="184"/>
        <v>37.526896378863775</v>
      </c>
      <c r="E1088" s="182">
        <v>0</v>
      </c>
      <c r="F1088" s="182">
        <f t="shared" ca="1" si="188"/>
        <v>0</v>
      </c>
      <c r="G1088" s="182">
        <f t="shared" ca="1" si="185"/>
        <v>0</v>
      </c>
      <c r="H1088" s="182">
        <f t="shared" ca="1" si="186"/>
        <v>56327.871464674521</v>
      </c>
      <c r="I1088" s="183">
        <v>0</v>
      </c>
      <c r="J1088" s="263">
        <f t="shared" ca="1" si="180"/>
        <v>56327.871464674521</v>
      </c>
      <c r="K1088" s="182"/>
      <c r="L1088" s="182"/>
      <c r="M1088" s="182"/>
      <c r="N1088" s="182"/>
      <c r="O1088" s="182"/>
    </row>
    <row r="1089" spans="1:15" x14ac:dyDescent="0.25">
      <c r="A1089" s="180">
        <f t="shared" ca="1" si="183"/>
        <v>47179</v>
      </c>
      <c r="B1089" s="181">
        <v>1075</v>
      </c>
      <c r="C1089" s="182">
        <f t="shared" ca="1" si="187"/>
        <v>56327.871464674521</v>
      </c>
      <c r="D1089" s="182">
        <f t="shared" ca="1" si="184"/>
        <v>37.551914309783015</v>
      </c>
      <c r="E1089" s="182">
        <v>0</v>
      </c>
      <c r="F1089" s="182">
        <f t="shared" ca="1" si="188"/>
        <v>0</v>
      </c>
      <c r="G1089" s="182">
        <f t="shared" ca="1" si="185"/>
        <v>0</v>
      </c>
      <c r="H1089" s="182">
        <f t="shared" ca="1" si="186"/>
        <v>56365.423378984306</v>
      </c>
      <c r="I1089" s="183">
        <v>0</v>
      </c>
      <c r="J1089" s="263">
        <f t="shared" ca="1" si="180"/>
        <v>56365.423378984306</v>
      </c>
      <c r="K1089" s="182"/>
      <c r="L1089" s="182"/>
      <c r="M1089" s="182"/>
      <c r="N1089" s="182"/>
      <c r="O1089" s="182"/>
    </row>
    <row r="1090" spans="1:15" x14ac:dyDescent="0.25">
      <c r="A1090" s="180">
        <f t="shared" ca="1" si="183"/>
        <v>47180</v>
      </c>
      <c r="B1090" s="181">
        <v>1076</v>
      </c>
      <c r="C1090" s="182">
        <f t="shared" ca="1" si="187"/>
        <v>56365.423378984306</v>
      </c>
      <c r="D1090" s="182">
        <f t="shared" ca="1" si="184"/>
        <v>37.576948919322867</v>
      </c>
      <c r="E1090" s="182">
        <v>0</v>
      </c>
      <c r="F1090" s="182">
        <f t="shared" ca="1" si="188"/>
        <v>0</v>
      </c>
      <c r="G1090" s="182">
        <f t="shared" ca="1" si="185"/>
        <v>0</v>
      </c>
      <c r="H1090" s="182">
        <f t="shared" ca="1" si="186"/>
        <v>56403.000327903632</v>
      </c>
      <c r="I1090" s="183">
        <v>0</v>
      </c>
      <c r="J1090" s="263">
        <f t="shared" ca="1" si="180"/>
        <v>56403.000327903632</v>
      </c>
      <c r="K1090" s="182"/>
      <c r="L1090" s="182"/>
      <c r="M1090" s="182"/>
      <c r="N1090" s="182"/>
      <c r="O1090" s="182"/>
    </row>
    <row r="1091" spans="1:15" x14ac:dyDescent="0.25">
      <c r="A1091" s="180">
        <f t="shared" ca="1" si="183"/>
        <v>47181</v>
      </c>
      <c r="B1091" s="181">
        <v>1077</v>
      </c>
      <c r="C1091" s="182">
        <f t="shared" ca="1" si="187"/>
        <v>56403.000327903632</v>
      </c>
      <c r="D1091" s="182">
        <f t="shared" ca="1" si="184"/>
        <v>37.60200021860242</v>
      </c>
      <c r="E1091" s="182">
        <v>0</v>
      </c>
      <c r="F1091" s="182">
        <f t="shared" ca="1" si="188"/>
        <v>0</v>
      </c>
      <c r="G1091" s="182">
        <f t="shared" ca="1" si="185"/>
        <v>0</v>
      </c>
      <c r="H1091" s="182">
        <f t="shared" ca="1" si="186"/>
        <v>56440.602328122237</v>
      </c>
      <c r="I1091" s="183">
        <v>0</v>
      </c>
      <c r="J1091" s="263">
        <f t="shared" ca="1" si="180"/>
        <v>56440.602328122237</v>
      </c>
      <c r="K1091" s="182"/>
      <c r="L1091" s="182"/>
      <c r="M1091" s="182"/>
      <c r="N1091" s="182"/>
      <c r="O1091" s="182"/>
    </row>
    <row r="1092" spans="1:15" x14ac:dyDescent="0.25">
      <c r="A1092" s="180">
        <f t="shared" ca="1" si="183"/>
        <v>47182</v>
      </c>
      <c r="B1092" s="181">
        <v>1078</v>
      </c>
      <c r="C1092" s="182">
        <f t="shared" ca="1" si="187"/>
        <v>56440.602328122237</v>
      </c>
      <c r="D1092" s="182">
        <f t="shared" ca="1" si="184"/>
        <v>37.627068218748157</v>
      </c>
      <c r="E1092" s="182">
        <v>0</v>
      </c>
      <c r="F1092" s="182">
        <f t="shared" ca="1" si="188"/>
        <v>0</v>
      </c>
      <c r="G1092" s="182">
        <f t="shared" ca="1" si="185"/>
        <v>0</v>
      </c>
      <c r="H1092" s="182">
        <f t="shared" ca="1" si="186"/>
        <v>56478.229396340983</v>
      </c>
      <c r="I1092" s="183">
        <v>0</v>
      </c>
      <c r="J1092" s="263">
        <f t="shared" ca="1" si="180"/>
        <v>56478.229396340983</v>
      </c>
      <c r="K1092" s="182"/>
      <c r="L1092" s="182"/>
      <c r="M1092" s="182"/>
      <c r="N1092" s="182"/>
      <c r="O1092" s="182"/>
    </row>
    <row r="1093" spans="1:15" x14ac:dyDescent="0.25">
      <c r="A1093" s="180">
        <f t="shared" ca="1" si="183"/>
        <v>47183</v>
      </c>
      <c r="B1093" s="181">
        <v>1079</v>
      </c>
      <c r="C1093" s="182">
        <f t="shared" ca="1" si="187"/>
        <v>56478.229396340983</v>
      </c>
      <c r="D1093" s="182">
        <f t="shared" ca="1" si="184"/>
        <v>37.65215293089399</v>
      </c>
      <c r="E1093" s="182">
        <v>0</v>
      </c>
      <c r="F1093" s="182">
        <f t="shared" ca="1" si="188"/>
        <v>0</v>
      </c>
      <c r="G1093" s="182">
        <f t="shared" ca="1" si="185"/>
        <v>0</v>
      </c>
      <c r="H1093" s="182">
        <f t="shared" ca="1" si="186"/>
        <v>56515.881549271879</v>
      </c>
      <c r="I1093" s="183">
        <v>0</v>
      </c>
      <c r="J1093" s="263">
        <f t="shared" ca="1" si="180"/>
        <v>56515.881549271879</v>
      </c>
      <c r="K1093" s="182"/>
      <c r="L1093" s="182"/>
      <c r="M1093" s="182"/>
      <c r="N1093" s="182"/>
      <c r="O1093" s="182"/>
    </row>
    <row r="1094" spans="1:15" x14ac:dyDescent="0.25">
      <c r="A1094" s="180">
        <f t="shared" ca="1" si="183"/>
        <v>47184</v>
      </c>
      <c r="B1094" s="181">
        <v>1080</v>
      </c>
      <c r="C1094" s="182">
        <f t="shared" ca="1" si="187"/>
        <v>56515.881549271879</v>
      </c>
      <c r="D1094" s="182">
        <f t="shared" ca="1" si="184"/>
        <v>37.677254366181252</v>
      </c>
      <c r="E1094" s="182">
        <v>0</v>
      </c>
      <c r="F1094" s="182">
        <f t="shared" ca="1" si="188"/>
        <v>0</v>
      </c>
      <c r="G1094" s="182">
        <f t="shared" ca="1" si="185"/>
        <v>0</v>
      </c>
      <c r="H1094" s="182">
        <f t="shared" ca="1" si="186"/>
        <v>56553.558803638058</v>
      </c>
      <c r="I1094" s="183">
        <v>0</v>
      </c>
      <c r="J1094" s="263">
        <f t="shared" ca="1" si="180"/>
        <v>56553.558803638058</v>
      </c>
      <c r="K1094" s="182"/>
      <c r="L1094" s="182"/>
      <c r="M1094" s="182"/>
      <c r="N1094" s="182"/>
      <c r="O1094" s="182"/>
    </row>
    <row r="1095" spans="1:15" x14ac:dyDescent="0.25">
      <c r="A1095" s="180">
        <f t="shared" ca="1" si="183"/>
        <v>47185</v>
      </c>
      <c r="B1095" s="181">
        <v>1081</v>
      </c>
      <c r="C1095" s="182">
        <f t="shared" ca="1" si="187"/>
        <v>56553.558803638058</v>
      </c>
      <c r="D1095" s="182">
        <f t="shared" ca="1" si="184"/>
        <v>37.702372535758705</v>
      </c>
      <c r="E1095" s="182">
        <v>0</v>
      </c>
      <c r="F1095" s="182">
        <f t="shared" ca="1" si="188"/>
        <v>0</v>
      </c>
      <c r="G1095" s="182">
        <f t="shared" ca="1" si="185"/>
        <v>0</v>
      </c>
      <c r="H1095" s="182">
        <f t="shared" ca="1" si="186"/>
        <v>56591.261176173815</v>
      </c>
      <c r="I1095" s="183">
        <v>0</v>
      </c>
      <c r="J1095" s="263">
        <f t="shared" ca="1" si="180"/>
        <v>56591.261176173815</v>
      </c>
      <c r="K1095" s="182"/>
      <c r="L1095" s="182"/>
      <c r="M1095" s="182"/>
      <c r="N1095" s="182"/>
      <c r="O1095" s="182"/>
    </row>
    <row r="1096" spans="1:15" x14ac:dyDescent="0.25">
      <c r="A1096" s="180">
        <f t="shared" ca="1" si="183"/>
        <v>47186</v>
      </c>
      <c r="B1096" s="181">
        <v>1082</v>
      </c>
      <c r="C1096" s="182">
        <f t="shared" ca="1" si="187"/>
        <v>56591.261176173815</v>
      </c>
      <c r="D1096" s="182">
        <f t="shared" ca="1" si="184"/>
        <v>37.727507450782539</v>
      </c>
      <c r="E1096" s="182">
        <v>0</v>
      </c>
      <c r="F1096" s="182">
        <f t="shared" ca="1" si="188"/>
        <v>0</v>
      </c>
      <c r="G1096" s="182">
        <f t="shared" ca="1" si="185"/>
        <v>0</v>
      </c>
      <c r="H1096" s="182">
        <f t="shared" ca="1" si="186"/>
        <v>56628.988683624601</v>
      </c>
      <c r="I1096" s="183">
        <v>0</v>
      </c>
      <c r="J1096" s="263">
        <f t="shared" ca="1" si="180"/>
        <v>56628.988683624601</v>
      </c>
      <c r="K1096" s="182"/>
      <c r="L1096" s="182"/>
      <c r="M1096" s="182"/>
      <c r="N1096" s="182"/>
      <c r="O1096" s="182"/>
    </row>
    <row r="1097" spans="1:15" x14ac:dyDescent="0.25">
      <c r="A1097" s="180">
        <f t="shared" ca="1" si="183"/>
        <v>47187</v>
      </c>
      <c r="B1097" s="181">
        <v>1083</v>
      </c>
      <c r="C1097" s="182">
        <f t="shared" ca="1" si="187"/>
        <v>56628.988683624601</v>
      </c>
      <c r="D1097" s="182">
        <f t="shared" ca="1" si="184"/>
        <v>37.752659122416397</v>
      </c>
      <c r="E1097" s="182">
        <v>0</v>
      </c>
      <c r="F1097" s="182">
        <f t="shared" ca="1" si="188"/>
        <v>0</v>
      </c>
      <c r="G1097" s="182">
        <f t="shared" ca="1" si="185"/>
        <v>0</v>
      </c>
      <c r="H1097" s="182">
        <f t="shared" ca="1" si="186"/>
        <v>56666.741342747016</v>
      </c>
      <c r="I1097" s="183">
        <v>0</v>
      </c>
      <c r="J1097" s="263">
        <f t="shared" ca="1" si="180"/>
        <v>56666.741342747016</v>
      </c>
      <c r="K1097" s="182"/>
      <c r="L1097" s="182"/>
      <c r="M1097" s="182"/>
      <c r="N1097" s="182"/>
      <c r="O1097" s="182"/>
    </row>
    <row r="1098" spans="1:15" x14ac:dyDescent="0.25">
      <c r="A1098" s="180">
        <f t="shared" ca="1" si="183"/>
        <v>47188</v>
      </c>
      <c r="B1098" s="181">
        <v>1084</v>
      </c>
      <c r="C1098" s="182">
        <f t="shared" ca="1" si="187"/>
        <v>56666.741342747016</v>
      </c>
      <c r="D1098" s="182">
        <f t="shared" ca="1" si="184"/>
        <v>37.777827561831344</v>
      </c>
      <c r="E1098" s="182">
        <v>0</v>
      </c>
      <c r="F1098" s="182">
        <f t="shared" ca="1" si="188"/>
        <v>0</v>
      </c>
      <c r="G1098" s="182">
        <f t="shared" ca="1" si="185"/>
        <v>0</v>
      </c>
      <c r="H1098" s="182">
        <f t="shared" ca="1" si="186"/>
        <v>56704.519170308849</v>
      </c>
      <c r="I1098" s="183">
        <v>0</v>
      </c>
      <c r="J1098" s="263">
        <f t="shared" ca="1" si="180"/>
        <v>56704.519170308849</v>
      </c>
      <c r="K1098" s="182"/>
      <c r="L1098" s="182"/>
      <c r="M1098" s="182"/>
      <c r="N1098" s="182"/>
      <c r="O1098" s="182"/>
    </row>
    <row r="1099" spans="1:15" x14ac:dyDescent="0.25">
      <c r="A1099" s="180">
        <f t="shared" ca="1" si="183"/>
        <v>47189</v>
      </c>
      <c r="B1099" s="181">
        <v>1085</v>
      </c>
      <c r="C1099" s="182">
        <f t="shared" ca="1" si="187"/>
        <v>56704.519170308849</v>
      </c>
      <c r="D1099" s="182">
        <f t="shared" ca="1" si="184"/>
        <v>37.803012780205897</v>
      </c>
      <c r="E1099" s="182">
        <v>0</v>
      </c>
      <c r="F1099" s="182">
        <f t="shared" ca="1" si="188"/>
        <v>0</v>
      </c>
      <c r="G1099" s="182">
        <f t="shared" ca="1" si="185"/>
        <v>0</v>
      </c>
      <c r="H1099" s="182">
        <f t="shared" ca="1" si="186"/>
        <v>56742.322183089054</v>
      </c>
      <c r="I1099" s="183">
        <v>0</v>
      </c>
      <c r="J1099" s="263">
        <f t="shared" ca="1" si="180"/>
        <v>56742.322183089054</v>
      </c>
      <c r="K1099" s="182"/>
      <c r="L1099" s="182"/>
      <c r="M1099" s="182"/>
      <c r="N1099" s="182"/>
      <c r="O1099" s="182"/>
    </row>
    <row r="1100" spans="1:15" x14ac:dyDescent="0.25">
      <c r="A1100" s="180">
        <f t="shared" ca="1" si="183"/>
        <v>47190</v>
      </c>
      <c r="B1100" s="181">
        <v>1086</v>
      </c>
      <c r="C1100" s="182">
        <f t="shared" ca="1" si="187"/>
        <v>56742.322183089054</v>
      </c>
      <c r="D1100" s="182">
        <f t="shared" ca="1" si="184"/>
        <v>37.828214788726036</v>
      </c>
      <c r="E1100" s="182">
        <v>0</v>
      </c>
      <c r="F1100" s="182">
        <f t="shared" ca="1" si="188"/>
        <v>0</v>
      </c>
      <c r="G1100" s="182">
        <f t="shared" ca="1" si="185"/>
        <v>0</v>
      </c>
      <c r="H1100" s="182">
        <f t="shared" ca="1" si="186"/>
        <v>56780.150397877784</v>
      </c>
      <c r="I1100" s="183">
        <v>0</v>
      </c>
      <c r="J1100" s="263">
        <f t="shared" ca="1" si="180"/>
        <v>56780.150397877784</v>
      </c>
      <c r="K1100" s="182"/>
      <c r="L1100" s="182"/>
      <c r="M1100" s="182"/>
      <c r="N1100" s="182"/>
      <c r="O1100" s="182"/>
    </row>
    <row r="1101" spans="1:15" x14ac:dyDescent="0.25">
      <c r="A1101" s="180">
        <f t="shared" ca="1" si="183"/>
        <v>47191</v>
      </c>
      <c r="B1101" s="181">
        <v>1087</v>
      </c>
      <c r="C1101" s="182">
        <f t="shared" ca="1" si="187"/>
        <v>56780.150397877784</v>
      </c>
      <c r="D1101" s="182">
        <f t="shared" ca="1" si="184"/>
        <v>37.853433598585191</v>
      </c>
      <c r="E1101" s="182">
        <v>0</v>
      </c>
      <c r="F1101" s="182">
        <f t="shared" ca="1" si="188"/>
        <v>0</v>
      </c>
      <c r="G1101" s="182">
        <f t="shared" ca="1" si="185"/>
        <v>0</v>
      </c>
      <c r="H1101" s="182">
        <f t="shared" ca="1" si="186"/>
        <v>56818.003831476366</v>
      </c>
      <c r="I1101" s="183">
        <v>0</v>
      </c>
      <c r="J1101" s="263">
        <f t="shared" ca="1" si="180"/>
        <v>56818.003831476366</v>
      </c>
      <c r="K1101" s="182"/>
      <c r="L1101" s="182"/>
      <c r="M1101" s="182"/>
      <c r="N1101" s="182"/>
      <c r="O1101" s="182"/>
    </row>
    <row r="1102" spans="1:15" x14ac:dyDescent="0.25">
      <c r="A1102" s="180">
        <f t="shared" ca="1" si="183"/>
        <v>47192</v>
      </c>
      <c r="B1102" s="181">
        <v>1088</v>
      </c>
      <c r="C1102" s="182">
        <f t="shared" ca="1" si="187"/>
        <v>56818.003831476366</v>
      </c>
      <c r="D1102" s="182">
        <f t="shared" ca="1" si="184"/>
        <v>37.878669220984243</v>
      </c>
      <c r="E1102" s="182">
        <v>0</v>
      </c>
      <c r="F1102" s="182">
        <f t="shared" ca="1" si="188"/>
        <v>0</v>
      </c>
      <c r="G1102" s="182">
        <f t="shared" ca="1" si="185"/>
        <v>0</v>
      </c>
      <c r="H1102" s="182">
        <f t="shared" ca="1" si="186"/>
        <v>56855.882500697349</v>
      </c>
      <c r="I1102" s="183">
        <v>0</v>
      </c>
      <c r="J1102" s="263">
        <f t="shared" ca="1" si="180"/>
        <v>56855.882500697349</v>
      </c>
      <c r="K1102" s="182"/>
      <c r="L1102" s="182"/>
      <c r="M1102" s="182"/>
      <c r="N1102" s="182"/>
      <c r="O1102" s="182"/>
    </row>
    <row r="1103" spans="1:15" x14ac:dyDescent="0.25">
      <c r="A1103" s="180">
        <f t="shared" ca="1" si="183"/>
        <v>47193</v>
      </c>
      <c r="B1103" s="181">
        <v>1089</v>
      </c>
      <c r="C1103" s="182">
        <f t="shared" ca="1" si="187"/>
        <v>56855.882500697349</v>
      </c>
      <c r="D1103" s="182">
        <f t="shared" ca="1" si="184"/>
        <v>37.903921667131563</v>
      </c>
      <c r="E1103" s="182">
        <v>0</v>
      </c>
      <c r="F1103" s="182">
        <f t="shared" ca="1" si="188"/>
        <v>0</v>
      </c>
      <c r="G1103" s="182">
        <f t="shared" ca="1" si="185"/>
        <v>0</v>
      </c>
      <c r="H1103" s="182">
        <f t="shared" ca="1" si="186"/>
        <v>56893.786422364479</v>
      </c>
      <c r="I1103" s="183">
        <v>0</v>
      </c>
      <c r="J1103" s="263">
        <f t="shared" ref="J1103:J1166" ca="1" si="189">H1103-IF(I$8-G1103&lt;Q$42,I$8-Q$42,G1103)</f>
        <v>56893.786422364479</v>
      </c>
      <c r="K1103" s="182"/>
      <c r="L1103" s="182"/>
      <c r="M1103" s="182"/>
      <c r="N1103" s="182"/>
      <c r="O1103" s="182"/>
    </row>
    <row r="1104" spans="1:15" x14ac:dyDescent="0.25">
      <c r="A1104" s="180">
        <f t="shared" ca="1" si="183"/>
        <v>47194</v>
      </c>
      <c r="B1104" s="181">
        <v>1090</v>
      </c>
      <c r="C1104" s="182">
        <f t="shared" ca="1" si="187"/>
        <v>56893.786422364479</v>
      </c>
      <c r="D1104" s="182">
        <f t="shared" ca="1" si="184"/>
        <v>37.929190948242983</v>
      </c>
      <c r="E1104" s="182">
        <v>0</v>
      </c>
      <c r="F1104" s="182">
        <f t="shared" ca="1" si="188"/>
        <v>0</v>
      </c>
      <c r="G1104" s="182">
        <f t="shared" ca="1" si="185"/>
        <v>0</v>
      </c>
      <c r="H1104" s="182">
        <f t="shared" ca="1" si="186"/>
        <v>56931.715613312721</v>
      </c>
      <c r="I1104" s="183">
        <v>0</v>
      </c>
      <c r="J1104" s="263">
        <f t="shared" ca="1" si="189"/>
        <v>56931.715613312721</v>
      </c>
      <c r="K1104" s="182"/>
      <c r="L1104" s="182"/>
      <c r="M1104" s="182"/>
      <c r="N1104" s="182"/>
      <c r="O1104" s="182"/>
    </row>
    <row r="1105" spans="1:15" x14ac:dyDescent="0.25">
      <c r="A1105" s="180">
        <f t="shared" ref="A1105:A1168" ca="1" si="190">A1104+1</f>
        <v>47195</v>
      </c>
      <c r="B1105" s="181">
        <v>1091</v>
      </c>
      <c r="C1105" s="182">
        <f t="shared" ca="1" si="187"/>
        <v>56931.715613312721</v>
      </c>
      <c r="D1105" s="182">
        <f t="shared" ref="D1105:D1168" ca="1" si="191">(($C$6/360))*C1105</f>
        <v>37.95447707554181</v>
      </c>
      <c r="E1105" s="182">
        <v>0</v>
      </c>
      <c r="F1105" s="182">
        <f t="shared" ca="1" si="188"/>
        <v>0</v>
      </c>
      <c r="G1105" s="182">
        <f t="shared" ref="G1105:G1168" ca="1" si="192">IF(G1104-D1105-E1105&gt;0,G1104-D1105-E1105,0)</f>
        <v>0</v>
      </c>
      <c r="H1105" s="182">
        <f t="shared" ca="1" si="186"/>
        <v>56969.670090388259</v>
      </c>
      <c r="I1105" s="183">
        <v>0</v>
      </c>
      <c r="J1105" s="263">
        <f t="shared" ca="1" si="189"/>
        <v>56969.670090388259</v>
      </c>
      <c r="K1105" s="182"/>
      <c r="L1105" s="182"/>
      <c r="M1105" s="182"/>
      <c r="N1105" s="182"/>
      <c r="O1105" s="182"/>
    </row>
    <row r="1106" spans="1:15" x14ac:dyDescent="0.25">
      <c r="A1106" s="180">
        <f t="shared" ca="1" si="190"/>
        <v>47196</v>
      </c>
      <c r="B1106" s="181">
        <v>1092</v>
      </c>
      <c r="C1106" s="182">
        <f t="shared" ca="1" si="187"/>
        <v>56969.670090388259</v>
      </c>
      <c r="D1106" s="182">
        <f t="shared" ca="1" si="191"/>
        <v>37.97978006025884</v>
      </c>
      <c r="E1106" s="182">
        <v>0</v>
      </c>
      <c r="F1106" s="182">
        <f t="shared" ca="1" si="188"/>
        <v>0</v>
      </c>
      <c r="G1106" s="182">
        <f t="shared" ca="1" si="192"/>
        <v>0</v>
      </c>
      <c r="H1106" s="182">
        <f t="shared" ca="1" si="186"/>
        <v>57007.64987044852</v>
      </c>
      <c r="I1106" s="183">
        <v>0</v>
      </c>
      <c r="J1106" s="263">
        <f t="shared" ca="1" si="189"/>
        <v>57007.64987044852</v>
      </c>
      <c r="K1106" s="182"/>
      <c r="L1106" s="182"/>
      <c r="M1106" s="182"/>
      <c r="N1106" s="182"/>
      <c r="O1106" s="182"/>
    </row>
    <row r="1107" spans="1:15" x14ac:dyDescent="0.25">
      <c r="A1107" s="180">
        <f t="shared" ca="1" si="190"/>
        <v>47197</v>
      </c>
      <c r="B1107" s="181">
        <v>1093</v>
      </c>
      <c r="C1107" s="182">
        <f t="shared" ca="1" si="187"/>
        <v>57007.64987044852</v>
      </c>
      <c r="D1107" s="182">
        <f t="shared" ca="1" si="191"/>
        <v>38.005099913632343</v>
      </c>
      <c r="E1107" s="182">
        <v>0</v>
      </c>
      <c r="F1107" s="182">
        <f t="shared" ca="1" si="188"/>
        <v>0</v>
      </c>
      <c r="G1107" s="182">
        <f t="shared" ca="1" si="192"/>
        <v>0</v>
      </c>
      <c r="H1107" s="182">
        <f t="shared" ca="1" si="186"/>
        <v>57045.654970362149</v>
      </c>
      <c r="I1107" s="183">
        <v>0</v>
      </c>
      <c r="J1107" s="263">
        <f t="shared" ca="1" si="189"/>
        <v>57045.654970362149</v>
      </c>
      <c r="K1107" s="182"/>
      <c r="L1107" s="182"/>
      <c r="M1107" s="182"/>
      <c r="N1107" s="182"/>
      <c r="O1107" s="182"/>
    </row>
    <row r="1108" spans="1:15" x14ac:dyDescent="0.25">
      <c r="A1108" s="180">
        <f t="shared" ca="1" si="190"/>
        <v>47198</v>
      </c>
      <c r="B1108" s="181">
        <v>1094</v>
      </c>
      <c r="C1108" s="182">
        <f t="shared" ca="1" si="187"/>
        <v>57045.654970362149</v>
      </c>
      <c r="D1108" s="182">
        <f t="shared" ca="1" si="191"/>
        <v>38.0304366469081</v>
      </c>
      <c r="E1108" s="182">
        <v>0</v>
      </c>
      <c r="F1108" s="182">
        <f t="shared" ca="1" si="188"/>
        <v>0</v>
      </c>
      <c r="G1108" s="182">
        <f t="shared" ca="1" si="192"/>
        <v>0</v>
      </c>
      <c r="H1108" s="182">
        <f t="shared" ca="1" si="186"/>
        <v>57083.685407009056</v>
      </c>
      <c r="I1108" s="183">
        <v>0</v>
      </c>
      <c r="J1108" s="263">
        <f t="shared" ca="1" si="189"/>
        <v>57083.685407009056</v>
      </c>
      <c r="K1108" s="182"/>
      <c r="L1108" s="182"/>
      <c r="M1108" s="182"/>
      <c r="N1108" s="182"/>
      <c r="O1108" s="182"/>
    </row>
    <row r="1109" spans="1:15" x14ac:dyDescent="0.25">
      <c r="A1109" s="180">
        <f t="shared" ca="1" si="190"/>
        <v>47199</v>
      </c>
      <c r="B1109" s="181">
        <v>1095</v>
      </c>
      <c r="C1109" s="182">
        <f t="shared" ca="1" si="187"/>
        <v>57083.685407009056</v>
      </c>
      <c r="D1109" s="182">
        <f t="shared" ca="1" si="191"/>
        <v>38.055790271339369</v>
      </c>
      <c r="E1109" s="182">
        <v>0</v>
      </c>
      <c r="F1109" s="182">
        <f t="shared" ca="1" si="188"/>
        <v>0</v>
      </c>
      <c r="G1109" s="182">
        <f t="shared" ca="1" si="192"/>
        <v>0</v>
      </c>
      <c r="H1109" s="182">
        <f t="shared" ca="1" si="186"/>
        <v>57121.741197280397</v>
      </c>
      <c r="I1109" s="183">
        <v>0</v>
      </c>
      <c r="J1109" s="263">
        <f t="shared" ca="1" si="189"/>
        <v>57121.741197280397</v>
      </c>
      <c r="K1109" s="182"/>
      <c r="L1109" s="182"/>
      <c r="M1109" s="182"/>
      <c r="N1109" s="182"/>
      <c r="O1109" s="182"/>
    </row>
    <row r="1110" spans="1:15" x14ac:dyDescent="0.25">
      <c r="A1110" s="180">
        <f t="shared" ca="1" si="190"/>
        <v>47200</v>
      </c>
      <c r="B1110" s="181">
        <v>1096</v>
      </c>
      <c r="C1110" s="182">
        <f t="shared" ca="1" si="187"/>
        <v>57121.741197280397</v>
      </c>
      <c r="D1110" s="182">
        <f t="shared" ca="1" si="191"/>
        <v>38.081160798186929</v>
      </c>
      <c r="E1110" s="182">
        <v>0</v>
      </c>
      <c r="F1110" s="182">
        <f t="shared" ca="1" si="188"/>
        <v>0</v>
      </c>
      <c r="G1110" s="182">
        <f t="shared" ca="1" si="192"/>
        <v>0</v>
      </c>
      <c r="H1110" s="182">
        <f t="shared" ca="1" si="186"/>
        <v>57159.822358078585</v>
      </c>
      <c r="I1110" s="183">
        <v>0</v>
      </c>
      <c r="J1110" s="263">
        <f t="shared" ca="1" si="189"/>
        <v>57159.822358078585</v>
      </c>
      <c r="K1110" s="182"/>
      <c r="L1110" s="182"/>
      <c r="M1110" s="182"/>
      <c r="N1110" s="182"/>
      <c r="O1110" s="182"/>
    </row>
    <row r="1111" spans="1:15" x14ac:dyDescent="0.25">
      <c r="A1111" s="180">
        <f t="shared" ca="1" si="190"/>
        <v>47201</v>
      </c>
      <c r="B1111" s="181">
        <v>1097</v>
      </c>
      <c r="C1111" s="182">
        <f t="shared" ca="1" si="187"/>
        <v>57159.822358078585</v>
      </c>
      <c r="D1111" s="182">
        <f t="shared" ca="1" si="191"/>
        <v>38.106548238719057</v>
      </c>
      <c r="E1111" s="182">
        <v>0</v>
      </c>
      <c r="F1111" s="182">
        <f t="shared" ca="1" si="188"/>
        <v>0</v>
      </c>
      <c r="G1111" s="182">
        <f t="shared" ca="1" si="192"/>
        <v>0</v>
      </c>
      <c r="H1111" s="182">
        <f t="shared" ca="1" si="186"/>
        <v>57197.928906317306</v>
      </c>
      <c r="I1111" s="183">
        <v>0</v>
      </c>
      <c r="J1111" s="263">
        <f t="shared" ca="1" si="189"/>
        <v>57197.928906317306</v>
      </c>
      <c r="K1111" s="182"/>
      <c r="L1111" s="182"/>
      <c r="M1111" s="182"/>
      <c r="N1111" s="182"/>
      <c r="O1111" s="182"/>
    </row>
    <row r="1112" spans="1:15" x14ac:dyDescent="0.25">
      <c r="A1112" s="180">
        <f t="shared" ca="1" si="190"/>
        <v>47202</v>
      </c>
      <c r="B1112" s="181">
        <v>1098</v>
      </c>
      <c r="C1112" s="182">
        <f t="shared" ca="1" si="187"/>
        <v>57197.928906317306</v>
      </c>
      <c r="D1112" s="182">
        <f t="shared" ca="1" si="191"/>
        <v>38.131952604211534</v>
      </c>
      <c r="E1112" s="182">
        <v>0</v>
      </c>
      <c r="F1112" s="182">
        <f t="shared" ca="1" si="188"/>
        <v>0</v>
      </c>
      <c r="G1112" s="182">
        <f t="shared" ca="1" si="192"/>
        <v>0</v>
      </c>
      <c r="H1112" s="182">
        <f t="shared" ca="1" si="186"/>
        <v>57236.060858921519</v>
      </c>
      <c r="I1112" s="183">
        <v>0</v>
      </c>
      <c r="J1112" s="263">
        <f t="shared" ca="1" si="189"/>
        <v>57236.060858921519</v>
      </c>
      <c r="K1112" s="182"/>
      <c r="L1112" s="182"/>
      <c r="M1112" s="182"/>
      <c r="N1112" s="182"/>
      <c r="O1112" s="182"/>
    </row>
    <row r="1113" spans="1:15" x14ac:dyDescent="0.25">
      <c r="A1113" s="180">
        <f t="shared" ca="1" si="190"/>
        <v>47203</v>
      </c>
      <c r="B1113" s="181">
        <v>1099</v>
      </c>
      <c r="C1113" s="182">
        <f t="shared" ca="1" si="187"/>
        <v>57236.060858921519</v>
      </c>
      <c r="D1113" s="182">
        <f t="shared" ca="1" si="191"/>
        <v>38.157373905947679</v>
      </c>
      <c r="E1113" s="182">
        <v>0</v>
      </c>
      <c r="F1113" s="182">
        <f t="shared" ca="1" si="188"/>
        <v>0</v>
      </c>
      <c r="G1113" s="182">
        <f t="shared" ca="1" si="192"/>
        <v>0</v>
      </c>
      <c r="H1113" s="182">
        <f t="shared" ca="1" si="186"/>
        <v>57274.218232827465</v>
      </c>
      <c r="I1113" s="183">
        <v>0</v>
      </c>
      <c r="J1113" s="263">
        <f t="shared" ca="1" si="189"/>
        <v>57274.218232827465</v>
      </c>
      <c r="K1113" s="182"/>
      <c r="L1113" s="182"/>
      <c r="M1113" s="182"/>
      <c r="N1113" s="182"/>
      <c r="O1113" s="182"/>
    </row>
    <row r="1114" spans="1:15" x14ac:dyDescent="0.25">
      <c r="A1114" s="180">
        <f t="shared" ca="1" si="190"/>
        <v>47204</v>
      </c>
      <c r="B1114" s="181">
        <v>1100</v>
      </c>
      <c r="C1114" s="182">
        <f t="shared" ca="1" si="187"/>
        <v>57274.218232827465</v>
      </c>
      <c r="D1114" s="182">
        <f t="shared" ca="1" si="191"/>
        <v>38.182812155218308</v>
      </c>
      <c r="E1114" s="182">
        <v>0</v>
      </c>
      <c r="F1114" s="182">
        <f t="shared" ca="1" si="188"/>
        <v>0</v>
      </c>
      <c r="G1114" s="182">
        <f t="shared" ca="1" si="192"/>
        <v>0</v>
      </c>
      <c r="H1114" s="182">
        <f t="shared" ca="1" si="186"/>
        <v>57312.401044982682</v>
      </c>
      <c r="I1114" s="183">
        <v>0</v>
      </c>
      <c r="J1114" s="263">
        <f t="shared" ca="1" si="189"/>
        <v>57312.401044982682</v>
      </c>
      <c r="K1114" s="182"/>
      <c r="L1114" s="182"/>
      <c r="M1114" s="182"/>
      <c r="N1114" s="182"/>
      <c r="O1114" s="182"/>
    </row>
    <row r="1115" spans="1:15" x14ac:dyDescent="0.25">
      <c r="A1115" s="180">
        <f t="shared" ca="1" si="190"/>
        <v>47205</v>
      </c>
      <c r="B1115" s="181">
        <v>1101</v>
      </c>
      <c r="C1115" s="182">
        <f t="shared" ca="1" si="187"/>
        <v>57312.401044982682</v>
      </c>
      <c r="D1115" s="182">
        <f t="shared" ca="1" si="191"/>
        <v>38.208267363321788</v>
      </c>
      <c r="E1115" s="182">
        <v>0</v>
      </c>
      <c r="F1115" s="182">
        <f t="shared" ca="1" si="188"/>
        <v>0</v>
      </c>
      <c r="G1115" s="182">
        <f t="shared" ca="1" si="192"/>
        <v>0</v>
      </c>
      <c r="H1115" s="182">
        <f t="shared" ca="1" si="186"/>
        <v>57350.609312346001</v>
      </c>
      <c r="I1115" s="183">
        <v>0</v>
      </c>
      <c r="J1115" s="263">
        <f t="shared" ca="1" si="189"/>
        <v>57350.609312346001</v>
      </c>
      <c r="K1115" s="182"/>
      <c r="L1115" s="182"/>
      <c r="M1115" s="182"/>
      <c r="N1115" s="182"/>
      <c r="O1115" s="182"/>
    </row>
    <row r="1116" spans="1:15" x14ac:dyDescent="0.25">
      <c r="A1116" s="180">
        <f t="shared" ca="1" si="190"/>
        <v>47206</v>
      </c>
      <c r="B1116" s="181">
        <v>1102</v>
      </c>
      <c r="C1116" s="182">
        <f t="shared" ca="1" si="187"/>
        <v>57350.609312346001</v>
      </c>
      <c r="D1116" s="182">
        <f t="shared" ca="1" si="191"/>
        <v>38.233739541563999</v>
      </c>
      <c r="E1116" s="182">
        <v>0</v>
      </c>
      <c r="F1116" s="182">
        <f t="shared" ca="1" si="188"/>
        <v>0</v>
      </c>
      <c r="G1116" s="182">
        <f t="shared" ca="1" si="192"/>
        <v>0</v>
      </c>
      <c r="H1116" s="182">
        <f t="shared" ca="1" si="186"/>
        <v>57388.843051887568</v>
      </c>
      <c r="I1116" s="183">
        <v>0</v>
      </c>
      <c r="J1116" s="263">
        <f t="shared" ca="1" si="189"/>
        <v>57388.843051887568</v>
      </c>
      <c r="K1116" s="182"/>
      <c r="L1116" s="182"/>
      <c r="M1116" s="182"/>
      <c r="N1116" s="182"/>
      <c r="O1116" s="182"/>
    </row>
    <row r="1117" spans="1:15" x14ac:dyDescent="0.25">
      <c r="A1117" s="180">
        <f t="shared" ca="1" si="190"/>
        <v>47207</v>
      </c>
      <c r="B1117" s="181">
        <v>1103</v>
      </c>
      <c r="C1117" s="182">
        <f t="shared" ca="1" si="187"/>
        <v>57388.843051887568</v>
      </c>
      <c r="D1117" s="182">
        <f t="shared" ca="1" si="191"/>
        <v>38.25922870125838</v>
      </c>
      <c r="E1117" s="182">
        <v>0</v>
      </c>
      <c r="F1117" s="182">
        <f t="shared" ca="1" si="188"/>
        <v>0</v>
      </c>
      <c r="G1117" s="182">
        <f t="shared" ca="1" si="192"/>
        <v>0</v>
      </c>
      <c r="H1117" s="182">
        <f t="shared" ca="1" si="186"/>
        <v>57427.102280588828</v>
      </c>
      <c r="I1117" s="183">
        <v>0</v>
      </c>
      <c r="J1117" s="263">
        <f t="shared" ca="1" si="189"/>
        <v>57427.102280588828</v>
      </c>
      <c r="K1117" s="182"/>
      <c r="L1117" s="182"/>
      <c r="M1117" s="182"/>
      <c r="N1117" s="182"/>
      <c r="O1117" s="182"/>
    </row>
    <row r="1118" spans="1:15" x14ac:dyDescent="0.25">
      <c r="A1118" s="180">
        <f t="shared" ca="1" si="190"/>
        <v>47208</v>
      </c>
      <c r="B1118" s="181">
        <v>1104</v>
      </c>
      <c r="C1118" s="182">
        <f t="shared" ca="1" si="187"/>
        <v>57427.102280588828</v>
      </c>
      <c r="D1118" s="182">
        <f t="shared" ca="1" si="191"/>
        <v>38.284734853725887</v>
      </c>
      <c r="E1118" s="182">
        <v>0</v>
      </c>
      <c r="F1118" s="182">
        <f t="shared" ca="1" si="188"/>
        <v>0</v>
      </c>
      <c r="G1118" s="182">
        <f t="shared" ca="1" si="192"/>
        <v>0</v>
      </c>
      <c r="H1118" s="182">
        <f t="shared" ca="1" si="186"/>
        <v>57465.387015442553</v>
      </c>
      <c r="I1118" s="183">
        <v>0</v>
      </c>
      <c r="J1118" s="263">
        <f t="shared" ca="1" si="189"/>
        <v>57465.387015442553</v>
      </c>
      <c r="K1118" s="182"/>
      <c r="L1118" s="182"/>
      <c r="M1118" s="182"/>
      <c r="N1118" s="182"/>
      <c r="O1118" s="182"/>
    </row>
    <row r="1119" spans="1:15" x14ac:dyDescent="0.25">
      <c r="A1119" s="180">
        <f t="shared" ca="1" si="190"/>
        <v>47209</v>
      </c>
      <c r="B1119" s="181">
        <v>1105</v>
      </c>
      <c r="C1119" s="182">
        <f t="shared" ca="1" si="187"/>
        <v>57465.387015442553</v>
      </c>
      <c r="D1119" s="182">
        <f t="shared" ca="1" si="191"/>
        <v>38.310258010295037</v>
      </c>
      <c r="E1119" s="182">
        <v>0</v>
      </c>
      <c r="F1119" s="182">
        <f t="shared" ca="1" si="188"/>
        <v>0</v>
      </c>
      <c r="G1119" s="182">
        <f t="shared" ca="1" si="192"/>
        <v>0</v>
      </c>
      <c r="H1119" s="182">
        <f t="shared" ca="1" si="186"/>
        <v>57503.697273452846</v>
      </c>
      <c r="I1119" s="183">
        <v>0</v>
      </c>
      <c r="J1119" s="263">
        <f t="shared" ca="1" si="189"/>
        <v>57503.697273452846</v>
      </c>
      <c r="K1119" s="182"/>
      <c r="L1119" s="182"/>
      <c r="M1119" s="182"/>
      <c r="N1119" s="182"/>
      <c r="O1119" s="182"/>
    </row>
    <row r="1120" spans="1:15" x14ac:dyDescent="0.25">
      <c r="A1120" s="180">
        <f t="shared" ca="1" si="190"/>
        <v>47210</v>
      </c>
      <c r="B1120" s="181">
        <v>1106</v>
      </c>
      <c r="C1120" s="182">
        <f t="shared" ca="1" si="187"/>
        <v>57503.697273452846</v>
      </c>
      <c r="D1120" s="182">
        <f t="shared" ca="1" si="191"/>
        <v>38.335798182301893</v>
      </c>
      <c r="E1120" s="182">
        <v>0</v>
      </c>
      <c r="F1120" s="182">
        <f t="shared" ca="1" si="188"/>
        <v>0</v>
      </c>
      <c r="G1120" s="182">
        <f t="shared" ca="1" si="192"/>
        <v>0</v>
      </c>
      <c r="H1120" s="182">
        <f t="shared" ca="1" si="186"/>
        <v>57542.033071635145</v>
      </c>
      <c r="I1120" s="183">
        <v>0</v>
      </c>
      <c r="J1120" s="263">
        <f t="shared" ca="1" si="189"/>
        <v>57542.033071635145</v>
      </c>
      <c r="K1120" s="182"/>
      <c r="L1120" s="182"/>
      <c r="M1120" s="182"/>
      <c r="N1120" s="182"/>
      <c r="O1120" s="182"/>
    </row>
    <row r="1121" spans="1:15" x14ac:dyDescent="0.25">
      <c r="A1121" s="180">
        <f t="shared" ca="1" si="190"/>
        <v>47211</v>
      </c>
      <c r="B1121" s="181">
        <v>1107</v>
      </c>
      <c r="C1121" s="182">
        <f t="shared" ca="1" si="187"/>
        <v>57542.033071635145</v>
      </c>
      <c r="D1121" s="182">
        <f t="shared" ca="1" si="191"/>
        <v>38.361355381090092</v>
      </c>
      <c r="E1121" s="182">
        <v>0</v>
      </c>
      <c r="F1121" s="182">
        <f t="shared" ca="1" si="188"/>
        <v>0</v>
      </c>
      <c r="G1121" s="182">
        <f t="shared" ca="1" si="192"/>
        <v>0</v>
      </c>
      <c r="H1121" s="182">
        <f t="shared" ca="1" si="186"/>
        <v>57580.394427016232</v>
      </c>
      <c r="I1121" s="183">
        <v>0</v>
      </c>
      <c r="J1121" s="263">
        <f t="shared" ca="1" si="189"/>
        <v>57580.394427016232</v>
      </c>
      <c r="K1121" s="182"/>
      <c r="L1121" s="182"/>
      <c r="M1121" s="182"/>
      <c r="N1121" s="182"/>
      <c r="O1121" s="182"/>
    </row>
    <row r="1122" spans="1:15" x14ac:dyDescent="0.25">
      <c r="A1122" s="180">
        <f t="shared" ca="1" si="190"/>
        <v>47212</v>
      </c>
      <c r="B1122" s="181">
        <v>1108</v>
      </c>
      <c r="C1122" s="182">
        <f t="shared" ca="1" si="187"/>
        <v>57580.394427016232</v>
      </c>
      <c r="D1122" s="182">
        <f t="shared" ca="1" si="191"/>
        <v>38.386929618010818</v>
      </c>
      <c r="E1122" s="182">
        <v>0</v>
      </c>
      <c r="F1122" s="182">
        <f t="shared" ca="1" si="188"/>
        <v>0</v>
      </c>
      <c r="G1122" s="182">
        <f t="shared" ca="1" si="192"/>
        <v>0</v>
      </c>
      <c r="H1122" s="182">
        <f t="shared" ca="1" si="186"/>
        <v>57618.781356634245</v>
      </c>
      <c r="I1122" s="183">
        <v>0</v>
      </c>
      <c r="J1122" s="263">
        <f t="shared" ca="1" si="189"/>
        <v>57618.781356634245</v>
      </c>
      <c r="K1122" s="182"/>
      <c r="L1122" s="182"/>
      <c r="M1122" s="182"/>
      <c r="N1122" s="182"/>
      <c r="O1122" s="182"/>
    </row>
    <row r="1123" spans="1:15" x14ac:dyDescent="0.25">
      <c r="A1123" s="180">
        <f t="shared" ca="1" si="190"/>
        <v>47213</v>
      </c>
      <c r="B1123" s="181">
        <v>1109</v>
      </c>
      <c r="C1123" s="182">
        <f t="shared" ca="1" si="187"/>
        <v>57618.781356634245</v>
      </c>
      <c r="D1123" s="182">
        <f t="shared" ca="1" si="191"/>
        <v>38.412520904422827</v>
      </c>
      <c r="E1123" s="182">
        <v>0</v>
      </c>
      <c r="F1123" s="182">
        <f t="shared" ca="1" si="188"/>
        <v>0</v>
      </c>
      <c r="G1123" s="182">
        <f t="shared" ca="1" si="192"/>
        <v>0</v>
      </c>
      <c r="H1123" s="182">
        <f t="shared" ref="H1123:H1186" ca="1" si="193">IF(G1123&gt;0,C1123+F1123+I1123,SUM(C1123:F1123)-G1122)</f>
        <v>57657.193877538666</v>
      </c>
      <c r="I1123" s="183">
        <v>0</v>
      </c>
      <c r="J1123" s="263">
        <f t="shared" ca="1" si="189"/>
        <v>57657.193877538666</v>
      </c>
      <c r="K1123" s="182"/>
      <c r="L1123" s="182"/>
      <c r="M1123" s="182"/>
      <c r="N1123" s="182"/>
      <c r="O1123" s="182"/>
    </row>
    <row r="1124" spans="1:15" x14ac:dyDescent="0.25">
      <c r="A1124" s="180">
        <f t="shared" ca="1" si="190"/>
        <v>47214</v>
      </c>
      <c r="B1124" s="181">
        <v>1110</v>
      </c>
      <c r="C1124" s="182">
        <f t="shared" ca="1" si="187"/>
        <v>57657.193877538666</v>
      </c>
      <c r="D1124" s="182">
        <f t="shared" ca="1" si="191"/>
        <v>38.438129251692445</v>
      </c>
      <c r="E1124" s="182">
        <v>0</v>
      </c>
      <c r="F1124" s="182">
        <f t="shared" ca="1" si="188"/>
        <v>0</v>
      </c>
      <c r="G1124" s="182">
        <f t="shared" ca="1" si="192"/>
        <v>0</v>
      </c>
      <c r="H1124" s="182">
        <f t="shared" ca="1" si="193"/>
        <v>57695.632006790358</v>
      </c>
      <c r="I1124" s="183">
        <v>0</v>
      </c>
      <c r="J1124" s="263">
        <f t="shared" ca="1" si="189"/>
        <v>57695.632006790358</v>
      </c>
      <c r="K1124" s="182"/>
      <c r="L1124" s="182"/>
      <c r="M1124" s="182"/>
      <c r="N1124" s="182"/>
      <c r="O1124" s="182"/>
    </row>
    <row r="1125" spans="1:15" x14ac:dyDescent="0.25">
      <c r="A1125" s="180">
        <f t="shared" ca="1" si="190"/>
        <v>47215</v>
      </c>
      <c r="B1125" s="181">
        <v>1111</v>
      </c>
      <c r="C1125" s="182">
        <f t="shared" ca="1" si="187"/>
        <v>57695.632006790358</v>
      </c>
      <c r="D1125" s="182">
        <f t="shared" ca="1" si="191"/>
        <v>38.46375467119357</v>
      </c>
      <c r="E1125" s="182">
        <v>0</v>
      </c>
      <c r="F1125" s="182">
        <f t="shared" ca="1" si="188"/>
        <v>0</v>
      </c>
      <c r="G1125" s="182">
        <f t="shared" ca="1" si="192"/>
        <v>0</v>
      </c>
      <c r="H1125" s="182">
        <f t="shared" ca="1" si="193"/>
        <v>57734.095761461555</v>
      </c>
      <c r="I1125" s="183">
        <v>0</v>
      </c>
      <c r="J1125" s="263">
        <f t="shared" ca="1" si="189"/>
        <v>57734.095761461555</v>
      </c>
      <c r="K1125" s="182"/>
      <c r="L1125" s="182"/>
      <c r="M1125" s="182"/>
      <c r="N1125" s="182"/>
      <c r="O1125" s="182"/>
    </row>
    <row r="1126" spans="1:15" x14ac:dyDescent="0.25">
      <c r="A1126" s="180">
        <f t="shared" ca="1" si="190"/>
        <v>47216</v>
      </c>
      <c r="B1126" s="181">
        <v>1112</v>
      </c>
      <c r="C1126" s="182">
        <f t="shared" ca="1" si="187"/>
        <v>57734.095761461555</v>
      </c>
      <c r="D1126" s="182">
        <f t="shared" ca="1" si="191"/>
        <v>38.489397174307705</v>
      </c>
      <c r="E1126" s="182">
        <v>0</v>
      </c>
      <c r="F1126" s="182">
        <f t="shared" ca="1" si="188"/>
        <v>0</v>
      </c>
      <c r="G1126" s="182">
        <f t="shared" ca="1" si="192"/>
        <v>0</v>
      </c>
      <c r="H1126" s="182">
        <f t="shared" ca="1" si="193"/>
        <v>57772.585158635862</v>
      </c>
      <c r="I1126" s="183">
        <v>0</v>
      </c>
      <c r="J1126" s="263">
        <f t="shared" ca="1" si="189"/>
        <v>57772.585158635862</v>
      </c>
      <c r="K1126" s="182"/>
      <c r="L1126" s="182"/>
      <c r="M1126" s="182"/>
      <c r="N1126" s="182"/>
      <c r="O1126" s="182"/>
    </row>
    <row r="1127" spans="1:15" x14ac:dyDescent="0.25">
      <c r="A1127" s="180">
        <f t="shared" ca="1" si="190"/>
        <v>47217</v>
      </c>
      <c r="B1127" s="181">
        <v>1113</v>
      </c>
      <c r="C1127" s="182">
        <f t="shared" ca="1" si="187"/>
        <v>57772.585158635862</v>
      </c>
      <c r="D1127" s="182">
        <f t="shared" ca="1" si="191"/>
        <v>38.515056772423904</v>
      </c>
      <c r="E1127" s="182">
        <v>0</v>
      </c>
      <c r="F1127" s="182">
        <f t="shared" ca="1" si="188"/>
        <v>0</v>
      </c>
      <c r="G1127" s="182">
        <f t="shared" ca="1" si="192"/>
        <v>0</v>
      </c>
      <c r="H1127" s="182">
        <f t="shared" ca="1" si="193"/>
        <v>57811.100215408289</v>
      </c>
      <c r="I1127" s="183">
        <v>0</v>
      </c>
      <c r="J1127" s="263">
        <f t="shared" ca="1" si="189"/>
        <v>57811.100215408289</v>
      </c>
      <c r="K1127" s="182"/>
      <c r="L1127" s="182"/>
      <c r="M1127" s="182"/>
      <c r="N1127" s="182"/>
      <c r="O1127" s="182"/>
    </row>
    <row r="1128" spans="1:15" x14ac:dyDescent="0.25">
      <c r="A1128" s="180">
        <f t="shared" ca="1" si="190"/>
        <v>47218</v>
      </c>
      <c r="B1128" s="181">
        <v>1114</v>
      </c>
      <c r="C1128" s="182">
        <f t="shared" ca="1" si="187"/>
        <v>57811.100215408289</v>
      </c>
      <c r="D1128" s="182">
        <f t="shared" ca="1" si="191"/>
        <v>38.540733476938861</v>
      </c>
      <c r="E1128" s="182">
        <v>0</v>
      </c>
      <c r="F1128" s="182">
        <f t="shared" ca="1" si="188"/>
        <v>0</v>
      </c>
      <c r="G1128" s="182">
        <f t="shared" ca="1" si="192"/>
        <v>0</v>
      </c>
      <c r="H1128" s="182">
        <f t="shared" ca="1" si="193"/>
        <v>57849.64094888523</v>
      </c>
      <c r="I1128" s="183">
        <v>0</v>
      </c>
      <c r="J1128" s="263">
        <f t="shared" ca="1" si="189"/>
        <v>57849.64094888523</v>
      </c>
      <c r="K1128" s="182"/>
      <c r="L1128" s="182"/>
      <c r="M1128" s="182"/>
      <c r="N1128" s="182"/>
      <c r="O1128" s="182"/>
    </row>
    <row r="1129" spans="1:15" x14ac:dyDescent="0.25">
      <c r="A1129" s="180">
        <f t="shared" ca="1" si="190"/>
        <v>47219</v>
      </c>
      <c r="B1129" s="181">
        <v>1115</v>
      </c>
      <c r="C1129" s="182">
        <f t="shared" ca="1" si="187"/>
        <v>57849.64094888523</v>
      </c>
      <c r="D1129" s="182">
        <f t="shared" ca="1" si="191"/>
        <v>38.566427299256816</v>
      </c>
      <c r="E1129" s="182">
        <v>0</v>
      </c>
      <c r="F1129" s="182">
        <f t="shared" ca="1" si="188"/>
        <v>0</v>
      </c>
      <c r="G1129" s="182">
        <f t="shared" ca="1" si="192"/>
        <v>0</v>
      </c>
      <c r="H1129" s="182">
        <f t="shared" ca="1" si="193"/>
        <v>57888.207376184488</v>
      </c>
      <c r="I1129" s="183">
        <v>0</v>
      </c>
      <c r="J1129" s="263">
        <f t="shared" ca="1" si="189"/>
        <v>57888.207376184488</v>
      </c>
      <c r="K1129" s="182"/>
      <c r="L1129" s="182"/>
      <c r="M1129" s="182"/>
      <c r="N1129" s="182"/>
      <c r="O1129" s="182"/>
    </row>
    <row r="1130" spans="1:15" x14ac:dyDescent="0.25">
      <c r="A1130" s="180">
        <f t="shared" ca="1" si="190"/>
        <v>47220</v>
      </c>
      <c r="B1130" s="181">
        <v>1116</v>
      </c>
      <c r="C1130" s="182">
        <f t="shared" ca="1" si="187"/>
        <v>57888.207376184488</v>
      </c>
      <c r="D1130" s="182">
        <f t="shared" ca="1" si="191"/>
        <v>38.59213825078966</v>
      </c>
      <c r="E1130" s="182">
        <v>0</v>
      </c>
      <c r="F1130" s="182">
        <f t="shared" ca="1" si="188"/>
        <v>0</v>
      </c>
      <c r="G1130" s="182">
        <f t="shared" ca="1" si="192"/>
        <v>0</v>
      </c>
      <c r="H1130" s="182">
        <f t="shared" ca="1" si="193"/>
        <v>57926.799514435275</v>
      </c>
      <c r="I1130" s="183">
        <v>0</v>
      </c>
      <c r="J1130" s="263">
        <f t="shared" ca="1" si="189"/>
        <v>57926.799514435275</v>
      </c>
      <c r="K1130" s="182"/>
      <c r="L1130" s="182"/>
      <c r="M1130" s="182"/>
      <c r="N1130" s="182"/>
      <c r="O1130" s="182"/>
    </row>
    <row r="1131" spans="1:15" x14ac:dyDescent="0.25">
      <c r="A1131" s="180">
        <f t="shared" ca="1" si="190"/>
        <v>47221</v>
      </c>
      <c r="B1131" s="181">
        <v>1117</v>
      </c>
      <c r="C1131" s="182">
        <f t="shared" ref="C1131:C1194" ca="1" si="194">H1130</f>
        <v>57926.799514435275</v>
      </c>
      <c r="D1131" s="182">
        <f t="shared" ca="1" si="191"/>
        <v>38.617866342956852</v>
      </c>
      <c r="E1131" s="182">
        <v>0</v>
      </c>
      <c r="F1131" s="182">
        <f t="shared" ca="1" si="188"/>
        <v>0</v>
      </c>
      <c r="G1131" s="182">
        <f t="shared" ca="1" si="192"/>
        <v>0</v>
      </c>
      <c r="H1131" s="182">
        <f t="shared" ca="1" si="193"/>
        <v>57965.417380778235</v>
      </c>
      <c r="I1131" s="183">
        <v>0</v>
      </c>
      <c r="J1131" s="263">
        <f t="shared" ca="1" si="189"/>
        <v>57965.417380778235</v>
      </c>
      <c r="K1131" s="182"/>
      <c r="L1131" s="182"/>
      <c r="M1131" s="182"/>
      <c r="N1131" s="182"/>
      <c r="O1131" s="182"/>
    </row>
    <row r="1132" spans="1:15" x14ac:dyDescent="0.25">
      <c r="A1132" s="180">
        <f t="shared" ca="1" si="190"/>
        <v>47222</v>
      </c>
      <c r="B1132" s="181">
        <v>1118</v>
      </c>
      <c r="C1132" s="182">
        <f t="shared" ca="1" si="194"/>
        <v>57965.417380778235</v>
      </c>
      <c r="D1132" s="182">
        <f t="shared" ca="1" si="191"/>
        <v>38.643611587185489</v>
      </c>
      <c r="E1132" s="182">
        <v>0</v>
      </c>
      <c r="F1132" s="182">
        <f t="shared" ref="F1132:F1195" ca="1" si="195">IFERROR(-VLOOKUP(A1132,$P$4:$R$31,2,FALSE),0)</f>
        <v>0</v>
      </c>
      <c r="G1132" s="182">
        <f t="shared" ca="1" si="192"/>
        <v>0</v>
      </c>
      <c r="H1132" s="182">
        <f t="shared" ca="1" si="193"/>
        <v>58004.060992365419</v>
      </c>
      <c r="I1132" s="183">
        <v>0</v>
      </c>
      <c r="J1132" s="263">
        <f t="shared" ca="1" si="189"/>
        <v>58004.060992365419</v>
      </c>
      <c r="K1132" s="182"/>
      <c r="L1132" s="182"/>
      <c r="M1132" s="182"/>
      <c r="N1132" s="182"/>
      <c r="O1132" s="182"/>
    </row>
    <row r="1133" spans="1:15" x14ac:dyDescent="0.25">
      <c r="A1133" s="180">
        <f t="shared" ca="1" si="190"/>
        <v>47223</v>
      </c>
      <c r="B1133" s="181">
        <v>1119</v>
      </c>
      <c r="C1133" s="182">
        <f t="shared" ca="1" si="194"/>
        <v>58004.060992365419</v>
      </c>
      <c r="D1133" s="182">
        <f t="shared" ca="1" si="191"/>
        <v>38.669373994910281</v>
      </c>
      <c r="E1133" s="182">
        <v>0</v>
      </c>
      <c r="F1133" s="182">
        <f t="shared" ca="1" si="195"/>
        <v>0</v>
      </c>
      <c r="G1133" s="182">
        <f t="shared" ca="1" si="192"/>
        <v>0</v>
      </c>
      <c r="H1133" s="182">
        <f t="shared" ca="1" si="193"/>
        <v>58042.730366360331</v>
      </c>
      <c r="I1133" s="183">
        <v>0</v>
      </c>
      <c r="J1133" s="263">
        <f t="shared" ca="1" si="189"/>
        <v>58042.730366360331</v>
      </c>
      <c r="K1133" s="182"/>
      <c r="L1133" s="182"/>
      <c r="M1133" s="182"/>
      <c r="N1133" s="182"/>
      <c r="O1133" s="182"/>
    </row>
    <row r="1134" spans="1:15" x14ac:dyDescent="0.25">
      <c r="A1134" s="180">
        <f t="shared" ca="1" si="190"/>
        <v>47224</v>
      </c>
      <c r="B1134" s="181">
        <v>1120</v>
      </c>
      <c r="C1134" s="182">
        <f t="shared" ca="1" si="194"/>
        <v>58042.730366360331</v>
      </c>
      <c r="D1134" s="182">
        <f t="shared" ca="1" si="191"/>
        <v>38.695153577573549</v>
      </c>
      <c r="E1134" s="182">
        <v>0</v>
      </c>
      <c r="F1134" s="182">
        <f t="shared" ca="1" si="195"/>
        <v>0</v>
      </c>
      <c r="G1134" s="182">
        <f t="shared" ca="1" si="192"/>
        <v>0</v>
      </c>
      <c r="H1134" s="182">
        <f t="shared" ca="1" si="193"/>
        <v>58081.425519937904</v>
      </c>
      <c r="I1134" s="183">
        <v>0</v>
      </c>
      <c r="J1134" s="263">
        <f t="shared" ca="1" si="189"/>
        <v>58081.425519937904</v>
      </c>
      <c r="K1134" s="182"/>
      <c r="L1134" s="182"/>
      <c r="M1134" s="182"/>
      <c r="N1134" s="182"/>
      <c r="O1134" s="182"/>
    </row>
    <row r="1135" spans="1:15" x14ac:dyDescent="0.25">
      <c r="A1135" s="180">
        <f t="shared" ca="1" si="190"/>
        <v>47225</v>
      </c>
      <c r="B1135" s="181">
        <v>1121</v>
      </c>
      <c r="C1135" s="182">
        <f t="shared" ca="1" si="194"/>
        <v>58081.425519937904</v>
      </c>
      <c r="D1135" s="182">
        <f t="shared" ca="1" si="191"/>
        <v>38.720950346625266</v>
      </c>
      <c r="E1135" s="182">
        <v>0</v>
      </c>
      <c r="F1135" s="182">
        <f t="shared" ca="1" si="195"/>
        <v>0</v>
      </c>
      <c r="G1135" s="182">
        <f t="shared" ca="1" si="192"/>
        <v>0</v>
      </c>
      <c r="H1135" s="182">
        <f t="shared" ca="1" si="193"/>
        <v>58120.146470284526</v>
      </c>
      <c r="I1135" s="183">
        <v>0</v>
      </c>
      <c r="J1135" s="263">
        <f t="shared" ca="1" si="189"/>
        <v>58120.146470284526</v>
      </c>
      <c r="K1135" s="182"/>
      <c r="L1135" s="182"/>
      <c r="M1135" s="182"/>
      <c r="N1135" s="182"/>
      <c r="O1135" s="182"/>
    </row>
    <row r="1136" spans="1:15" x14ac:dyDescent="0.25">
      <c r="A1136" s="180">
        <f t="shared" ca="1" si="190"/>
        <v>47226</v>
      </c>
      <c r="B1136" s="181">
        <v>1122</v>
      </c>
      <c r="C1136" s="182">
        <f t="shared" ca="1" si="194"/>
        <v>58120.146470284526</v>
      </c>
      <c r="D1136" s="182">
        <f t="shared" ca="1" si="191"/>
        <v>38.746764313523016</v>
      </c>
      <c r="E1136" s="182">
        <v>0</v>
      </c>
      <c r="F1136" s="182">
        <f t="shared" ca="1" si="195"/>
        <v>0</v>
      </c>
      <c r="G1136" s="182">
        <f t="shared" ca="1" si="192"/>
        <v>0</v>
      </c>
      <c r="H1136" s="182">
        <f t="shared" ca="1" si="193"/>
        <v>58158.89323459805</v>
      </c>
      <c r="I1136" s="183">
        <v>0</v>
      </c>
      <c r="J1136" s="263">
        <f t="shared" ca="1" si="189"/>
        <v>58158.89323459805</v>
      </c>
      <c r="K1136" s="182"/>
      <c r="L1136" s="182"/>
      <c r="M1136" s="182"/>
      <c r="N1136" s="182"/>
      <c r="O1136" s="182"/>
    </row>
    <row r="1137" spans="1:15" x14ac:dyDescent="0.25">
      <c r="A1137" s="180">
        <f t="shared" ca="1" si="190"/>
        <v>47227</v>
      </c>
      <c r="B1137" s="181">
        <v>1123</v>
      </c>
      <c r="C1137" s="182">
        <f t="shared" ca="1" si="194"/>
        <v>58158.89323459805</v>
      </c>
      <c r="D1137" s="182">
        <f t="shared" ca="1" si="191"/>
        <v>38.772595489732034</v>
      </c>
      <c r="E1137" s="182">
        <v>0</v>
      </c>
      <c r="F1137" s="182">
        <f t="shared" ca="1" si="195"/>
        <v>0</v>
      </c>
      <c r="G1137" s="182">
        <f t="shared" ca="1" si="192"/>
        <v>0</v>
      </c>
      <c r="H1137" s="182">
        <f t="shared" ca="1" si="193"/>
        <v>58197.665830087783</v>
      </c>
      <c r="I1137" s="183">
        <v>0</v>
      </c>
      <c r="J1137" s="263">
        <f t="shared" ca="1" si="189"/>
        <v>58197.665830087783</v>
      </c>
      <c r="K1137" s="182"/>
      <c r="L1137" s="182"/>
      <c r="M1137" s="182"/>
      <c r="N1137" s="182"/>
      <c r="O1137" s="182"/>
    </row>
    <row r="1138" spans="1:15" x14ac:dyDescent="0.25">
      <c r="A1138" s="180">
        <f t="shared" ca="1" si="190"/>
        <v>47228</v>
      </c>
      <c r="B1138" s="181">
        <v>1124</v>
      </c>
      <c r="C1138" s="182">
        <f t="shared" ca="1" si="194"/>
        <v>58197.665830087783</v>
      </c>
      <c r="D1138" s="182">
        <f t="shared" ca="1" si="191"/>
        <v>38.798443886725188</v>
      </c>
      <c r="E1138" s="182">
        <v>0</v>
      </c>
      <c r="F1138" s="182">
        <f t="shared" ca="1" si="195"/>
        <v>0</v>
      </c>
      <c r="G1138" s="182">
        <f t="shared" ca="1" si="192"/>
        <v>0</v>
      </c>
      <c r="H1138" s="182">
        <f t="shared" ca="1" si="193"/>
        <v>58236.46427397451</v>
      </c>
      <c r="I1138" s="183">
        <v>0</v>
      </c>
      <c r="J1138" s="263">
        <f t="shared" ca="1" si="189"/>
        <v>58236.46427397451</v>
      </c>
      <c r="K1138" s="182"/>
      <c r="L1138" s="182"/>
      <c r="M1138" s="182"/>
      <c r="N1138" s="182"/>
      <c r="O1138" s="182"/>
    </row>
    <row r="1139" spans="1:15" x14ac:dyDescent="0.25">
      <c r="A1139" s="180">
        <f t="shared" ca="1" si="190"/>
        <v>47229</v>
      </c>
      <c r="B1139" s="181">
        <v>1125</v>
      </c>
      <c r="C1139" s="182">
        <f t="shared" ca="1" si="194"/>
        <v>58236.46427397451</v>
      </c>
      <c r="D1139" s="182">
        <f t="shared" ca="1" si="191"/>
        <v>38.824309515983003</v>
      </c>
      <c r="E1139" s="182">
        <v>0</v>
      </c>
      <c r="F1139" s="182">
        <f t="shared" ca="1" si="195"/>
        <v>0</v>
      </c>
      <c r="G1139" s="182">
        <f t="shared" ca="1" si="192"/>
        <v>0</v>
      </c>
      <c r="H1139" s="182">
        <f t="shared" ca="1" si="193"/>
        <v>58275.288583490496</v>
      </c>
      <c r="I1139" s="183">
        <v>0</v>
      </c>
      <c r="J1139" s="263">
        <f t="shared" ca="1" si="189"/>
        <v>58275.288583490496</v>
      </c>
      <c r="K1139" s="182"/>
      <c r="L1139" s="182"/>
      <c r="M1139" s="182"/>
      <c r="N1139" s="182"/>
      <c r="O1139" s="182"/>
    </row>
    <row r="1140" spans="1:15" x14ac:dyDescent="0.25">
      <c r="A1140" s="180">
        <f t="shared" ca="1" si="190"/>
        <v>47230</v>
      </c>
      <c r="B1140" s="181">
        <v>1126</v>
      </c>
      <c r="C1140" s="182">
        <f t="shared" ca="1" si="194"/>
        <v>58275.288583490496</v>
      </c>
      <c r="D1140" s="182">
        <f t="shared" ca="1" si="191"/>
        <v>38.850192388993662</v>
      </c>
      <c r="E1140" s="182">
        <v>0</v>
      </c>
      <c r="F1140" s="182">
        <f t="shared" ca="1" si="195"/>
        <v>0</v>
      </c>
      <c r="G1140" s="182">
        <f t="shared" ca="1" si="192"/>
        <v>0</v>
      </c>
      <c r="H1140" s="182">
        <f t="shared" ca="1" si="193"/>
        <v>58314.138775879488</v>
      </c>
      <c r="I1140" s="183">
        <v>0</v>
      </c>
      <c r="J1140" s="263">
        <f t="shared" ca="1" si="189"/>
        <v>58314.138775879488</v>
      </c>
      <c r="K1140" s="182"/>
      <c r="L1140" s="182"/>
      <c r="M1140" s="182"/>
      <c r="N1140" s="182"/>
      <c r="O1140" s="182"/>
    </row>
    <row r="1141" spans="1:15" x14ac:dyDescent="0.25">
      <c r="A1141" s="180">
        <f t="shared" ca="1" si="190"/>
        <v>47231</v>
      </c>
      <c r="B1141" s="181">
        <v>1127</v>
      </c>
      <c r="C1141" s="182">
        <f t="shared" ca="1" si="194"/>
        <v>58314.138775879488</v>
      </c>
      <c r="D1141" s="182">
        <f t="shared" ca="1" si="191"/>
        <v>38.876092517252992</v>
      </c>
      <c r="E1141" s="182">
        <v>0</v>
      </c>
      <c r="F1141" s="182">
        <f t="shared" ca="1" si="195"/>
        <v>0</v>
      </c>
      <c r="G1141" s="182">
        <f t="shared" ca="1" si="192"/>
        <v>0</v>
      </c>
      <c r="H1141" s="182">
        <f t="shared" ca="1" si="193"/>
        <v>58353.014868396742</v>
      </c>
      <c r="I1141" s="183">
        <v>0</v>
      </c>
      <c r="J1141" s="263">
        <f t="shared" ca="1" si="189"/>
        <v>58353.014868396742</v>
      </c>
      <c r="K1141" s="182"/>
      <c r="L1141" s="182"/>
      <c r="M1141" s="182"/>
      <c r="N1141" s="182"/>
      <c r="O1141" s="182"/>
    </row>
    <row r="1142" spans="1:15" x14ac:dyDescent="0.25">
      <c r="A1142" s="180">
        <f t="shared" ca="1" si="190"/>
        <v>47232</v>
      </c>
      <c r="B1142" s="181">
        <v>1128</v>
      </c>
      <c r="C1142" s="182">
        <f t="shared" ca="1" si="194"/>
        <v>58353.014868396742</v>
      </c>
      <c r="D1142" s="182">
        <f t="shared" ca="1" si="191"/>
        <v>38.902009912264496</v>
      </c>
      <c r="E1142" s="182">
        <v>0</v>
      </c>
      <c r="F1142" s="182">
        <f t="shared" ca="1" si="195"/>
        <v>0</v>
      </c>
      <c r="G1142" s="182">
        <f t="shared" ca="1" si="192"/>
        <v>0</v>
      </c>
      <c r="H1142" s="182">
        <f t="shared" ca="1" si="193"/>
        <v>58391.916878309006</v>
      </c>
      <c r="I1142" s="183">
        <v>0</v>
      </c>
      <c r="J1142" s="263">
        <f t="shared" ca="1" si="189"/>
        <v>58391.916878309006</v>
      </c>
      <c r="K1142" s="182"/>
      <c r="L1142" s="182"/>
      <c r="M1142" s="182"/>
      <c r="N1142" s="182"/>
      <c r="O1142" s="182"/>
    </row>
    <row r="1143" spans="1:15" x14ac:dyDescent="0.25">
      <c r="A1143" s="180">
        <f t="shared" ca="1" si="190"/>
        <v>47233</v>
      </c>
      <c r="B1143" s="181">
        <v>1129</v>
      </c>
      <c r="C1143" s="182">
        <f t="shared" ca="1" si="194"/>
        <v>58391.916878309006</v>
      </c>
      <c r="D1143" s="182">
        <f t="shared" ca="1" si="191"/>
        <v>38.927944585539336</v>
      </c>
      <c r="E1143" s="182">
        <v>0</v>
      </c>
      <c r="F1143" s="182">
        <f t="shared" ca="1" si="195"/>
        <v>0</v>
      </c>
      <c r="G1143" s="182">
        <f t="shared" ca="1" si="192"/>
        <v>0</v>
      </c>
      <c r="H1143" s="182">
        <f t="shared" ca="1" si="193"/>
        <v>58430.844822894549</v>
      </c>
      <c r="I1143" s="183">
        <v>0</v>
      </c>
      <c r="J1143" s="263">
        <f t="shared" ca="1" si="189"/>
        <v>58430.844822894549</v>
      </c>
      <c r="K1143" s="182"/>
      <c r="L1143" s="182"/>
      <c r="M1143" s="182"/>
      <c r="N1143" s="182"/>
      <c r="O1143" s="182"/>
    </row>
    <row r="1144" spans="1:15" x14ac:dyDescent="0.25">
      <c r="A1144" s="180">
        <f t="shared" ca="1" si="190"/>
        <v>47234</v>
      </c>
      <c r="B1144" s="181">
        <v>1130</v>
      </c>
      <c r="C1144" s="182">
        <f t="shared" ca="1" si="194"/>
        <v>58430.844822894549</v>
      </c>
      <c r="D1144" s="182">
        <f t="shared" ca="1" si="191"/>
        <v>38.953896548596362</v>
      </c>
      <c r="E1144" s="182">
        <v>0</v>
      </c>
      <c r="F1144" s="182">
        <f t="shared" ca="1" si="195"/>
        <v>0</v>
      </c>
      <c r="G1144" s="182">
        <f t="shared" ca="1" si="192"/>
        <v>0</v>
      </c>
      <c r="H1144" s="182">
        <f t="shared" ca="1" si="193"/>
        <v>58469.798719443148</v>
      </c>
      <c r="I1144" s="183">
        <v>0</v>
      </c>
      <c r="J1144" s="263">
        <f t="shared" ca="1" si="189"/>
        <v>58469.798719443148</v>
      </c>
      <c r="K1144" s="182"/>
      <c r="L1144" s="182"/>
      <c r="M1144" s="182"/>
      <c r="N1144" s="182"/>
      <c r="O1144" s="182"/>
    </row>
    <row r="1145" spans="1:15" x14ac:dyDescent="0.25">
      <c r="A1145" s="180">
        <f t="shared" ca="1" si="190"/>
        <v>47235</v>
      </c>
      <c r="B1145" s="181">
        <v>1131</v>
      </c>
      <c r="C1145" s="182">
        <f t="shared" ca="1" si="194"/>
        <v>58469.798719443148</v>
      </c>
      <c r="D1145" s="182">
        <f t="shared" ca="1" si="191"/>
        <v>38.979865812962096</v>
      </c>
      <c r="E1145" s="182">
        <v>0</v>
      </c>
      <c r="F1145" s="182">
        <f t="shared" ca="1" si="195"/>
        <v>0</v>
      </c>
      <c r="G1145" s="182">
        <f t="shared" ca="1" si="192"/>
        <v>0</v>
      </c>
      <c r="H1145" s="182">
        <f t="shared" ca="1" si="193"/>
        <v>58508.778585256114</v>
      </c>
      <c r="I1145" s="183">
        <v>0</v>
      </c>
      <c r="J1145" s="263">
        <f t="shared" ca="1" si="189"/>
        <v>58508.778585256114</v>
      </c>
      <c r="K1145" s="182"/>
      <c r="L1145" s="182"/>
      <c r="M1145" s="182"/>
      <c r="N1145" s="182"/>
      <c r="O1145" s="182"/>
    </row>
    <row r="1146" spans="1:15" x14ac:dyDescent="0.25">
      <c r="A1146" s="180">
        <f t="shared" ca="1" si="190"/>
        <v>47236</v>
      </c>
      <c r="B1146" s="181">
        <v>1132</v>
      </c>
      <c r="C1146" s="182">
        <f t="shared" ca="1" si="194"/>
        <v>58508.778585256114</v>
      </c>
      <c r="D1146" s="182">
        <f t="shared" ca="1" si="191"/>
        <v>39.005852390170745</v>
      </c>
      <c r="E1146" s="182">
        <v>0</v>
      </c>
      <c r="F1146" s="182">
        <f t="shared" ca="1" si="195"/>
        <v>0</v>
      </c>
      <c r="G1146" s="182">
        <f t="shared" ca="1" si="192"/>
        <v>0</v>
      </c>
      <c r="H1146" s="182">
        <f t="shared" ca="1" si="193"/>
        <v>58547.784437646282</v>
      </c>
      <c r="I1146" s="183">
        <v>0</v>
      </c>
      <c r="J1146" s="263">
        <f t="shared" ca="1" si="189"/>
        <v>58547.784437646282</v>
      </c>
      <c r="K1146" s="182"/>
      <c r="L1146" s="182"/>
      <c r="M1146" s="182"/>
      <c r="N1146" s="182"/>
      <c r="O1146" s="182"/>
    </row>
    <row r="1147" spans="1:15" x14ac:dyDescent="0.25">
      <c r="A1147" s="180">
        <f t="shared" ca="1" si="190"/>
        <v>47237</v>
      </c>
      <c r="B1147" s="181">
        <v>1133</v>
      </c>
      <c r="C1147" s="182">
        <f t="shared" ca="1" si="194"/>
        <v>58547.784437646282</v>
      </c>
      <c r="D1147" s="182">
        <f t="shared" ca="1" si="191"/>
        <v>39.031856291764186</v>
      </c>
      <c r="E1147" s="182">
        <v>0</v>
      </c>
      <c r="F1147" s="182">
        <f t="shared" ca="1" si="195"/>
        <v>0</v>
      </c>
      <c r="G1147" s="182">
        <f t="shared" ca="1" si="192"/>
        <v>0</v>
      </c>
      <c r="H1147" s="182">
        <f t="shared" ca="1" si="193"/>
        <v>58586.816293938049</v>
      </c>
      <c r="I1147" s="183">
        <v>0</v>
      </c>
      <c r="J1147" s="263">
        <f t="shared" ca="1" si="189"/>
        <v>58586.816293938049</v>
      </c>
      <c r="K1147" s="182"/>
      <c r="L1147" s="182"/>
      <c r="M1147" s="182"/>
      <c r="N1147" s="182"/>
      <c r="O1147" s="182"/>
    </row>
    <row r="1148" spans="1:15" x14ac:dyDescent="0.25">
      <c r="A1148" s="180">
        <f t="shared" ca="1" si="190"/>
        <v>47238</v>
      </c>
      <c r="B1148" s="181">
        <v>1134</v>
      </c>
      <c r="C1148" s="182">
        <f t="shared" ca="1" si="194"/>
        <v>58586.816293938049</v>
      </c>
      <c r="D1148" s="182">
        <f t="shared" ca="1" si="191"/>
        <v>39.057877529292028</v>
      </c>
      <c r="E1148" s="182">
        <v>0</v>
      </c>
      <c r="F1148" s="182">
        <f t="shared" ca="1" si="195"/>
        <v>0</v>
      </c>
      <c r="G1148" s="182">
        <f t="shared" ca="1" si="192"/>
        <v>0</v>
      </c>
      <c r="H1148" s="182">
        <f t="shared" ca="1" si="193"/>
        <v>58625.874171467338</v>
      </c>
      <c r="I1148" s="183">
        <v>0</v>
      </c>
      <c r="J1148" s="263">
        <f t="shared" ca="1" si="189"/>
        <v>58625.874171467338</v>
      </c>
      <c r="K1148" s="182"/>
      <c r="L1148" s="182"/>
      <c r="M1148" s="182"/>
      <c r="N1148" s="182"/>
      <c r="O1148" s="182"/>
    </row>
    <row r="1149" spans="1:15" x14ac:dyDescent="0.25">
      <c r="A1149" s="180">
        <f t="shared" ca="1" si="190"/>
        <v>47239</v>
      </c>
      <c r="B1149" s="181">
        <v>1135</v>
      </c>
      <c r="C1149" s="182">
        <f t="shared" ca="1" si="194"/>
        <v>58625.874171467338</v>
      </c>
      <c r="D1149" s="182">
        <f t="shared" ca="1" si="191"/>
        <v>39.083916114311556</v>
      </c>
      <c r="E1149" s="182">
        <v>0</v>
      </c>
      <c r="F1149" s="182">
        <f t="shared" ca="1" si="195"/>
        <v>0</v>
      </c>
      <c r="G1149" s="182">
        <f t="shared" ca="1" si="192"/>
        <v>0</v>
      </c>
      <c r="H1149" s="182">
        <f t="shared" ca="1" si="193"/>
        <v>58664.958087581646</v>
      </c>
      <c r="I1149" s="183">
        <v>0</v>
      </c>
      <c r="J1149" s="263">
        <f t="shared" ca="1" si="189"/>
        <v>58664.958087581646</v>
      </c>
      <c r="K1149" s="182"/>
      <c r="L1149" s="182"/>
      <c r="M1149" s="182"/>
      <c r="N1149" s="182"/>
      <c r="O1149" s="182"/>
    </row>
    <row r="1150" spans="1:15" x14ac:dyDescent="0.25">
      <c r="A1150" s="180">
        <f t="shared" ca="1" si="190"/>
        <v>47240</v>
      </c>
      <c r="B1150" s="181">
        <v>1136</v>
      </c>
      <c r="C1150" s="182">
        <f t="shared" ca="1" si="194"/>
        <v>58664.958087581646</v>
      </c>
      <c r="D1150" s="182">
        <f t="shared" ca="1" si="191"/>
        <v>39.109972058387761</v>
      </c>
      <c r="E1150" s="182">
        <v>0</v>
      </c>
      <c r="F1150" s="182">
        <f t="shared" ca="1" si="195"/>
        <v>0</v>
      </c>
      <c r="G1150" s="182">
        <f t="shared" ca="1" si="192"/>
        <v>0</v>
      </c>
      <c r="H1150" s="182">
        <f t="shared" ca="1" si="193"/>
        <v>58704.068059640034</v>
      </c>
      <c r="I1150" s="183">
        <v>0</v>
      </c>
      <c r="J1150" s="263">
        <f t="shared" ca="1" si="189"/>
        <v>58704.068059640034</v>
      </c>
      <c r="K1150" s="182"/>
      <c r="L1150" s="182"/>
      <c r="M1150" s="182"/>
      <c r="N1150" s="182"/>
      <c r="O1150" s="182"/>
    </row>
    <row r="1151" spans="1:15" x14ac:dyDescent="0.25">
      <c r="A1151" s="180">
        <f t="shared" ca="1" si="190"/>
        <v>47241</v>
      </c>
      <c r="B1151" s="181">
        <v>1137</v>
      </c>
      <c r="C1151" s="182">
        <f t="shared" ca="1" si="194"/>
        <v>58704.068059640034</v>
      </c>
      <c r="D1151" s="182">
        <f t="shared" ca="1" si="191"/>
        <v>39.136045373093353</v>
      </c>
      <c r="E1151" s="182">
        <v>0</v>
      </c>
      <c r="F1151" s="182">
        <f t="shared" ca="1" si="195"/>
        <v>0</v>
      </c>
      <c r="G1151" s="182">
        <f t="shared" ca="1" si="192"/>
        <v>0</v>
      </c>
      <c r="H1151" s="182">
        <f t="shared" ca="1" si="193"/>
        <v>58743.20410501313</v>
      </c>
      <c r="I1151" s="183">
        <v>0</v>
      </c>
      <c r="J1151" s="263">
        <f t="shared" ca="1" si="189"/>
        <v>58743.20410501313</v>
      </c>
      <c r="K1151" s="182"/>
      <c r="L1151" s="182"/>
      <c r="M1151" s="182"/>
      <c r="N1151" s="182"/>
      <c r="O1151" s="182"/>
    </row>
    <row r="1152" spans="1:15" x14ac:dyDescent="0.25">
      <c r="A1152" s="180">
        <f t="shared" ca="1" si="190"/>
        <v>47242</v>
      </c>
      <c r="B1152" s="181">
        <v>1138</v>
      </c>
      <c r="C1152" s="182">
        <f t="shared" ca="1" si="194"/>
        <v>58743.20410501313</v>
      </c>
      <c r="D1152" s="182">
        <f t="shared" ca="1" si="191"/>
        <v>39.162136070008749</v>
      </c>
      <c r="E1152" s="182">
        <v>0</v>
      </c>
      <c r="F1152" s="182">
        <f t="shared" ca="1" si="195"/>
        <v>0</v>
      </c>
      <c r="G1152" s="182">
        <f t="shared" ca="1" si="192"/>
        <v>0</v>
      </c>
      <c r="H1152" s="182">
        <f t="shared" ca="1" si="193"/>
        <v>58782.366241083138</v>
      </c>
      <c r="I1152" s="183">
        <v>0</v>
      </c>
      <c r="J1152" s="263">
        <f t="shared" ca="1" si="189"/>
        <v>58782.366241083138</v>
      </c>
      <c r="K1152" s="182"/>
      <c r="L1152" s="182"/>
      <c r="M1152" s="182"/>
      <c r="N1152" s="182"/>
      <c r="O1152" s="182"/>
    </row>
    <row r="1153" spans="1:15" x14ac:dyDescent="0.25">
      <c r="A1153" s="180">
        <f t="shared" ca="1" si="190"/>
        <v>47243</v>
      </c>
      <c r="B1153" s="181">
        <v>1139</v>
      </c>
      <c r="C1153" s="182">
        <f t="shared" ca="1" si="194"/>
        <v>58782.366241083138</v>
      </c>
      <c r="D1153" s="182">
        <f t="shared" ca="1" si="191"/>
        <v>39.188244160722093</v>
      </c>
      <c r="E1153" s="182">
        <v>0</v>
      </c>
      <c r="F1153" s="182">
        <f t="shared" ca="1" si="195"/>
        <v>0</v>
      </c>
      <c r="G1153" s="182">
        <f t="shared" ca="1" si="192"/>
        <v>0</v>
      </c>
      <c r="H1153" s="182">
        <f t="shared" ca="1" si="193"/>
        <v>58821.554485243862</v>
      </c>
      <c r="I1153" s="183">
        <v>0</v>
      </c>
      <c r="J1153" s="263">
        <f t="shared" ca="1" si="189"/>
        <v>58821.554485243862</v>
      </c>
      <c r="K1153" s="182"/>
      <c r="L1153" s="182"/>
      <c r="M1153" s="182"/>
      <c r="N1153" s="182"/>
      <c r="O1153" s="182"/>
    </row>
    <row r="1154" spans="1:15" x14ac:dyDescent="0.25">
      <c r="A1154" s="180">
        <f t="shared" ca="1" si="190"/>
        <v>47244</v>
      </c>
      <c r="B1154" s="181">
        <v>1140</v>
      </c>
      <c r="C1154" s="182">
        <f t="shared" ca="1" si="194"/>
        <v>58821.554485243862</v>
      </c>
      <c r="D1154" s="182">
        <f t="shared" ca="1" si="191"/>
        <v>39.214369656829241</v>
      </c>
      <c r="E1154" s="182">
        <v>0</v>
      </c>
      <c r="F1154" s="182">
        <f t="shared" ca="1" si="195"/>
        <v>0</v>
      </c>
      <c r="G1154" s="182">
        <f t="shared" ca="1" si="192"/>
        <v>0</v>
      </c>
      <c r="H1154" s="182">
        <f t="shared" ca="1" si="193"/>
        <v>58860.768854900693</v>
      </c>
      <c r="I1154" s="183">
        <v>0</v>
      </c>
      <c r="J1154" s="263">
        <f t="shared" ca="1" si="189"/>
        <v>58860.768854900693</v>
      </c>
      <c r="K1154" s="182"/>
      <c r="L1154" s="182"/>
      <c r="M1154" s="182"/>
      <c r="N1154" s="182"/>
      <c r="O1154" s="182"/>
    </row>
    <row r="1155" spans="1:15" x14ac:dyDescent="0.25">
      <c r="A1155" s="180">
        <f t="shared" ca="1" si="190"/>
        <v>47245</v>
      </c>
      <c r="B1155" s="181">
        <v>1141</v>
      </c>
      <c r="C1155" s="182">
        <f t="shared" ca="1" si="194"/>
        <v>58860.768854900693</v>
      </c>
      <c r="D1155" s="182">
        <f t="shared" ca="1" si="191"/>
        <v>39.240512569933792</v>
      </c>
      <c r="E1155" s="182">
        <v>0</v>
      </c>
      <c r="F1155" s="182">
        <f t="shared" ca="1" si="195"/>
        <v>0</v>
      </c>
      <c r="G1155" s="182">
        <f t="shared" ca="1" si="192"/>
        <v>0</v>
      </c>
      <c r="H1155" s="182">
        <f t="shared" ca="1" si="193"/>
        <v>58900.00936747063</v>
      </c>
      <c r="I1155" s="183">
        <v>0</v>
      </c>
      <c r="J1155" s="263">
        <f t="shared" ca="1" si="189"/>
        <v>58900.00936747063</v>
      </c>
      <c r="K1155" s="182"/>
      <c r="L1155" s="182"/>
      <c r="M1155" s="182"/>
      <c r="N1155" s="182"/>
      <c r="O1155" s="182"/>
    </row>
    <row r="1156" spans="1:15" x14ac:dyDescent="0.25">
      <c r="A1156" s="180">
        <f t="shared" ca="1" si="190"/>
        <v>47246</v>
      </c>
      <c r="B1156" s="181">
        <v>1142</v>
      </c>
      <c r="C1156" s="182">
        <f t="shared" ca="1" si="194"/>
        <v>58900.00936747063</v>
      </c>
      <c r="D1156" s="182">
        <f t="shared" ca="1" si="191"/>
        <v>39.266672911647085</v>
      </c>
      <c r="E1156" s="182">
        <v>0</v>
      </c>
      <c r="F1156" s="182">
        <f t="shared" ca="1" si="195"/>
        <v>0</v>
      </c>
      <c r="G1156" s="182">
        <f t="shared" ca="1" si="192"/>
        <v>0</v>
      </c>
      <c r="H1156" s="182">
        <f t="shared" ca="1" si="193"/>
        <v>58939.276040382276</v>
      </c>
      <c r="I1156" s="183">
        <v>0</v>
      </c>
      <c r="J1156" s="263">
        <f t="shared" ca="1" si="189"/>
        <v>58939.276040382276</v>
      </c>
      <c r="K1156" s="182"/>
      <c r="L1156" s="182"/>
      <c r="M1156" s="182"/>
      <c r="N1156" s="182"/>
      <c r="O1156" s="182"/>
    </row>
    <row r="1157" spans="1:15" x14ac:dyDescent="0.25">
      <c r="A1157" s="180">
        <f t="shared" ca="1" si="190"/>
        <v>47247</v>
      </c>
      <c r="B1157" s="181">
        <v>1143</v>
      </c>
      <c r="C1157" s="182">
        <f t="shared" ca="1" si="194"/>
        <v>58939.276040382276</v>
      </c>
      <c r="D1157" s="182">
        <f t="shared" ca="1" si="191"/>
        <v>39.292850693588186</v>
      </c>
      <c r="E1157" s="182">
        <v>0</v>
      </c>
      <c r="F1157" s="182">
        <f t="shared" ca="1" si="195"/>
        <v>0</v>
      </c>
      <c r="G1157" s="182">
        <f t="shared" ca="1" si="192"/>
        <v>0</v>
      </c>
      <c r="H1157" s="182">
        <f t="shared" ca="1" si="193"/>
        <v>58978.568891075862</v>
      </c>
      <c r="I1157" s="183">
        <v>0</v>
      </c>
      <c r="J1157" s="263">
        <f t="shared" ca="1" si="189"/>
        <v>58978.568891075862</v>
      </c>
      <c r="K1157" s="182"/>
      <c r="L1157" s="182"/>
      <c r="M1157" s="182"/>
      <c r="N1157" s="182"/>
      <c r="O1157" s="182"/>
    </row>
    <row r="1158" spans="1:15" x14ac:dyDescent="0.25">
      <c r="A1158" s="180">
        <f t="shared" ca="1" si="190"/>
        <v>47248</v>
      </c>
      <c r="B1158" s="181">
        <v>1144</v>
      </c>
      <c r="C1158" s="182">
        <f t="shared" ca="1" si="194"/>
        <v>58978.568891075862</v>
      </c>
      <c r="D1158" s="182">
        <f t="shared" ca="1" si="191"/>
        <v>39.319045927383904</v>
      </c>
      <c r="E1158" s="182">
        <v>0</v>
      </c>
      <c r="F1158" s="182">
        <f t="shared" ca="1" si="195"/>
        <v>0</v>
      </c>
      <c r="G1158" s="182">
        <f t="shared" ca="1" si="192"/>
        <v>0</v>
      </c>
      <c r="H1158" s="182">
        <f t="shared" ca="1" si="193"/>
        <v>59017.887937003245</v>
      </c>
      <c r="I1158" s="183">
        <v>0</v>
      </c>
      <c r="J1158" s="263">
        <f t="shared" ca="1" si="189"/>
        <v>59017.887937003245</v>
      </c>
      <c r="K1158" s="182"/>
      <c r="L1158" s="182"/>
      <c r="M1158" s="182"/>
      <c r="N1158" s="182"/>
      <c r="O1158" s="182"/>
    </row>
    <row r="1159" spans="1:15" x14ac:dyDescent="0.25">
      <c r="A1159" s="180">
        <f t="shared" ca="1" si="190"/>
        <v>47249</v>
      </c>
      <c r="B1159" s="181">
        <v>1145</v>
      </c>
      <c r="C1159" s="182">
        <f t="shared" ca="1" si="194"/>
        <v>59017.887937003245</v>
      </c>
      <c r="D1159" s="182">
        <f t="shared" ca="1" si="191"/>
        <v>39.34525862466883</v>
      </c>
      <c r="E1159" s="182">
        <v>0</v>
      </c>
      <c r="F1159" s="182">
        <f t="shared" ca="1" si="195"/>
        <v>0</v>
      </c>
      <c r="G1159" s="182">
        <f t="shared" ca="1" si="192"/>
        <v>0</v>
      </c>
      <c r="H1159" s="182">
        <f t="shared" ca="1" si="193"/>
        <v>59057.233195627916</v>
      </c>
      <c r="I1159" s="183">
        <v>0</v>
      </c>
      <c r="J1159" s="263">
        <f t="shared" ca="1" si="189"/>
        <v>59057.233195627916</v>
      </c>
      <c r="K1159" s="182"/>
      <c r="L1159" s="182"/>
      <c r="M1159" s="182"/>
      <c r="N1159" s="182"/>
      <c r="O1159" s="182"/>
    </row>
    <row r="1160" spans="1:15" x14ac:dyDescent="0.25">
      <c r="A1160" s="180">
        <f t="shared" ca="1" si="190"/>
        <v>47250</v>
      </c>
      <c r="B1160" s="181">
        <v>1146</v>
      </c>
      <c r="C1160" s="182">
        <f t="shared" ca="1" si="194"/>
        <v>59057.233195627916</v>
      </c>
      <c r="D1160" s="182">
        <f t="shared" ca="1" si="191"/>
        <v>39.371488797085277</v>
      </c>
      <c r="E1160" s="182">
        <v>0</v>
      </c>
      <c r="F1160" s="182">
        <f t="shared" ca="1" si="195"/>
        <v>0</v>
      </c>
      <c r="G1160" s="182">
        <f t="shared" ca="1" si="192"/>
        <v>0</v>
      </c>
      <c r="H1160" s="182">
        <f t="shared" ca="1" si="193"/>
        <v>59096.604684425001</v>
      </c>
      <c r="I1160" s="183">
        <v>0</v>
      </c>
      <c r="J1160" s="263">
        <f t="shared" ca="1" si="189"/>
        <v>59096.604684425001</v>
      </c>
      <c r="K1160" s="182"/>
      <c r="L1160" s="182"/>
      <c r="M1160" s="182"/>
      <c r="N1160" s="182"/>
      <c r="O1160" s="182"/>
    </row>
    <row r="1161" spans="1:15" x14ac:dyDescent="0.25">
      <c r="A1161" s="180">
        <f t="shared" ca="1" si="190"/>
        <v>47251</v>
      </c>
      <c r="B1161" s="181">
        <v>1147</v>
      </c>
      <c r="C1161" s="182">
        <f t="shared" ca="1" si="194"/>
        <v>59096.604684425001</v>
      </c>
      <c r="D1161" s="182">
        <f t="shared" ca="1" si="191"/>
        <v>39.397736456283333</v>
      </c>
      <c r="E1161" s="182">
        <v>0</v>
      </c>
      <c r="F1161" s="182">
        <f t="shared" ca="1" si="195"/>
        <v>0</v>
      </c>
      <c r="G1161" s="182">
        <f t="shared" ca="1" si="192"/>
        <v>0</v>
      </c>
      <c r="H1161" s="182">
        <f t="shared" ca="1" si="193"/>
        <v>59136.002420881283</v>
      </c>
      <c r="I1161" s="183">
        <v>0</v>
      </c>
      <c r="J1161" s="263">
        <f t="shared" ca="1" si="189"/>
        <v>59136.002420881283</v>
      </c>
      <c r="K1161" s="182"/>
      <c r="L1161" s="182"/>
      <c r="M1161" s="182"/>
      <c r="N1161" s="182"/>
      <c r="O1161" s="182"/>
    </row>
    <row r="1162" spans="1:15" x14ac:dyDescent="0.25">
      <c r="A1162" s="180">
        <f t="shared" ca="1" si="190"/>
        <v>47252</v>
      </c>
      <c r="B1162" s="181">
        <v>1148</v>
      </c>
      <c r="C1162" s="182">
        <f t="shared" ca="1" si="194"/>
        <v>59136.002420881283</v>
      </c>
      <c r="D1162" s="182">
        <f t="shared" ca="1" si="191"/>
        <v>39.424001613920851</v>
      </c>
      <c r="E1162" s="182">
        <v>0</v>
      </c>
      <c r="F1162" s="182">
        <f t="shared" ca="1" si="195"/>
        <v>0</v>
      </c>
      <c r="G1162" s="182">
        <f t="shared" ca="1" si="192"/>
        <v>0</v>
      </c>
      <c r="H1162" s="182">
        <f t="shared" ca="1" si="193"/>
        <v>59175.426422495206</v>
      </c>
      <c r="I1162" s="183">
        <v>0</v>
      </c>
      <c r="J1162" s="263">
        <f t="shared" ca="1" si="189"/>
        <v>59175.426422495206</v>
      </c>
      <c r="K1162" s="182"/>
      <c r="L1162" s="182"/>
      <c r="M1162" s="182"/>
      <c r="N1162" s="182"/>
      <c r="O1162" s="182"/>
    </row>
    <row r="1163" spans="1:15" x14ac:dyDescent="0.25">
      <c r="A1163" s="180">
        <f t="shared" ca="1" si="190"/>
        <v>47253</v>
      </c>
      <c r="B1163" s="181">
        <v>1149</v>
      </c>
      <c r="C1163" s="182">
        <f t="shared" ca="1" si="194"/>
        <v>59175.426422495206</v>
      </c>
      <c r="D1163" s="182">
        <f t="shared" ca="1" si="191"/>
        <v>39.450284281663471</v>
      </c>
      <c r="E1163" s="182">
        <v>0</v>
      </c>
      <c r="F1163" s="182">
        <f t="shared" ca="1" si="195"/>
        <v>0</v>
      </c>
      <c r="G1163" s="182">
        <f t="shared" ca="1" si="192"/>
        <v>0</v>
      </c>
      <c r="H1163" s="182">
        <f t="shared" ca="1" si="193"/>
        <v>59214.876706776871</v>
      </c>
      <c r="I1163" s="183">
        <v>0</v>
      </c>
      <c r="J1163" s="263">
        <f t="shared" ca="1" si="189"/>
        <v>59214.876706776871</v>
      </c>
      <c r="K1163" s="182"/>
      <c r="L1163" s="182"/>
      <c r="M1163" s="182"/>
      <c r="N1163" s="182"/>
      <c r="O1163" s="182"/>
    </row>
    <row r="1164" spans="1:15" x14ac:dyDescent="0.25">
      <c r="A1164" s="180">
        <f t="shared" ca="1" si="190"/>
        <v>47254</v>
      </c>
      <c r="B1164" s="181">
        <v>1150</v>
      </c>
      <c r="C1164" s="182">
        <f t="shared" ca="1" si="194"/>
        <v>59214.876706776871</v>
      </c>
      <c r="D1164" s="182">
        <f t="shared" ca="1" si="191"/>
        <v>39.47658447118458</v>
      </c>
      <c r="E1164" s="182">
        <v>0</v>
      </c>
      <c r="F1164" s="182">
        <f t="shared" ca="1" si="195"/>
        <v>0</v>
      </c>
      <c r="G1164" s="182">
        <f t="shared" ca="1" si="192"/>
        <v>0</v>
      </c>
      <c r="H1164" s="182">
        <f t="shared" ca="1" si="193"/>
        <v>59254.353291248059</v>
      </c>
      <c r="I1164" s="183">
        <v>0</v>
      </c>
      <c r="J1164" s="263">
        <f t="shared" ca="1" si="189"/>
        <v>59254.353291248059</v>
      </c>
      <c r="K1164" s="182"/>
      <c r="L1164" s="182"/>
      <c r="M1164" s="182"/>
      <c r="N1164" s="182"/>
      <c r="O1164" s="182"/>
    </row>
    <row r="1165" spans="1:15" x14ac:dyDescent="0.25">
      <c r="A1165" s="180">
        <f t="shared" ca="1" si="190"/>
        <v>47255</v>
      </c>
      <c r="B1165" s="181">
        <v>1151</v>
      </c>
      <c r="C1165" s="182">
        <f t="shared" ca="1" si="194"/>
        <v>59254.353291248059</v>
      </c>
      <c r="D1165" s="182">
        <f t="shared" ca="1" si="191"/>
        <v>39.502902194165372</v>
      </c>
      <c r="E1165" s="182">
        <v>0</v>
      </c>
      <c r="F1165" s="182">
        <f t="shared" ca="1" si="195"/>
        <v>0</v>
      </c>
      <c r="G1165" s="182">
        <f t="shared" ca="1" si="192"/>
        <v>0</v>
      </c>
      <c r="H1165" s="182">
        <f t="shared" ca="1" si="193"/>
        <v>59293.856193442225</v>
      </c>
      <c r="I1165" s="183">
        <v>0</v>
      </c>
      <c r="J1165" s="263">
        <f t="shared" ca="1" si="189"/>
        <v>59293.856193442225</v>
      </c>
      <c r="K1165" s="182"/>
      <c r="L1165" s="182"/>
      <c r="M1165" s="182"/>
      <c r="N1165" s="182"/>
      <c r="O1165" s="182"/>
    </row>
    <row r="1166" spans="1:15" x14ac:dyDescent="0.25">
      <c r="A1166" s="180">
        <f t="shared" ca="1" si="190"/>
        <v>47256</v>
      </c>
      <c r="B1166" s="181">
        <v>1152</v>
      </c>
      <c r="C1166" s="182">
        <f t="shared" ca="1" si="194"/>
        <v>59293.856193442225</v>
      </c>
      <c r="D1166" s="182">
        <f t="shared" ca="1" si="191"/>
        <v>39.529237462294816</v>
      </c>
      <c r="E1166" s="182">
        <v>0</v>
      </c>
      <c r="F1166" s="182">
        <f t="shared" ca="1" si="195"/>
        <v>0</v>
      </c>
      <c r="G1166" s="182">
        <f t="shared" ca="1" si="192"/>
        <v>0</v>
      </c>
      <c r="H1166" s="182">
        <f t="shared" ca="1" si="193"/>
        <v>59333.38543090452</v>
      </c>
      <c r="I1166" s="183">
        <v>0</v>
      </c>
      <c r="J1166" s="263">
        <f t="shared" ca="1" si="189"/>
        <v>59333.38543090452</v>
      </c>
      <c r="K1166" s="182"/>
      <c r="L1166" s="182"/>
      <c r="M1166" s="182"/>
      <c r="N1166" s="182"/>
      <c r="O1166" s="182"/>
    </row>
    <row r="1167" spans="1:15" x14ac:dyDescent="0.25">
      <c r="A1167" s="180">
        <f t="shared" ca="1" si="190"/>
        <v>47257</v>
      </c>
      <c r="B1167" s="181">
        <v>1153</v>
      </c>
      <c r="C1167" s="182">
        <f t="shared" ca="1" si="194"/>
        <v>59333.38543090452</v>
      </c>
      <c r="D1167" s="182">
        <f t="shared" ca="1" si="191"/>
        <v>39.555590287269681</v>
      </c>
      <c r="E1167" s="182">
        <v>0</v>
      </c>
      <c r="F1167" s="182">
        <f t="shared" ca="1" si="195"/>
        <v>0</v>
      </c>
      <c r="G1167" s="182">
        <f t="shared" ca="1" si="192"/>
        <v>0</v>
      </c>
      <c r="H1167" s="182">
        <f t="shared" ca="1" si="193"/>
        <v>59372.941021191793</v>
      </c>
      <c r="I1167" s="183">
        <v>0</v>
      </c>
      <c r="J1167" s="263">
        <f t="shared" ref="J1167:J1230" ca="1" si="196">H1167-IF(I$8-G1167&lt;Q$42,I$8-Q$42,G1167)</f>
        <v>59372.941021191793</v>
      </c>
      <c r="K1167" s="182"/>
      <c r="L1167" s="182"/>
      <c r="M1167" s="182"/>
      <c r="N1167" s="182"/>
      <c r="O1167" s="182"/>
    </row>
    <row r="1168" spans="1:15" x14ac:dyDescent="0.25">
      <c r="A1168" s="180">
        <f t="shared" ca="1" si="190"/>
        <v>47258</v>
      </c>
      <c r="B1168" s="181">
        <v>1154</v>
      </c>
      <c r="C1168" s="182">
        <f t="shared" ca="1" si="194"/>
        <v>59372.941021191793</v>
      </c>
      <c r="D1168" s="182">
        <f t="shared" ca="1" si="191"/>
        <v>39.581960680794531</v>
      </c>
      <c r="E1168" s="182">
        <v>0</v>
      </c>
      <c r="F1168" s="182">
        <f t="shared" ca="1" si="195"/>
        <v>0</v>
      </c>
      <c r="G1168" s="182">
        <f t="shared" ca="1" si="192"/>
        <v>0</v>
      </c>
      <c r="H1168" s="182">
        <f t="shared" ca="1" si="193"/>
        <v>59412.522981872586</v>
      </c>
      <c r="I1168" s="183">
        <v>0</v>
      </c>
      <c r="J1168" s="263">
        <f t="shared" ca="1" si="196"/>
        <v>59412.522981872586</v>
      </c>
      <c r="K1168" s="182"/>
      <c r="L1168" s="182"/>
      <c r="M1168" s="182"/>
      <c r="N1168" s="182"/>
      <c r="O1168" s="182"/>
    </row>
    <row r="1169" spans="1:15" x14ac:dyDescent="0.25">
      <c r="A1169" s="180">
        <f t="shared" ref="A1169:A1232" ca="1" si="197">A1168+1</f>
        <v>47259</v>
      </c>
      <c r="B1169" s="181">
        <v>1155</v>
      </c>
      <c r="C1169" s="182">
        <f t="shared" ca="1" si="194"/>
        <v>59412.522981872586</v>
      </c>
      <c r="D1169" s="182">
        <f t="shared" ref="D1169:D1232" ca="1" si="198">(($C$6/360))*C1169</f>
        <v>39.608348654581725</v>
      </c>
      <c r="E1169" s="182">
        <v>0</v>
      </c>
      <c r="F1169" s="182">
        <f t="shared" ca="1" si="195"/>
        <v>0</v>
      </c>
      <c r="G1169" s="182">
        <f t="shared" ref="G1169:G1232" ca="1" si="199">IF(G1168-D1169-E1169&gt;0,G1168-D1169-E1169,0)</f>
        <v>0</v>
      </c>
      <c r="H1169" s="182">
        <f t="shared" ca="1" si="193"/>
        <v>59452.131330527169</v>
      </c>
      <c r="I1169" s="183">
        <v>0</v>
      </c>
      <c r="J1169" s="263">
        <f t="shared" ca="1" si="196"/>
        <v>59452.131330527169</v>
      </c>
      <c r="K1169" s="182"/>
      <c r="L1169" s="182"/>
      <c r="M1169" s="182"/>
      <c r="N1169" s="182"/>
      <c r="O1169" s="182"/>
    </row>
    <row r="1170" spans="1:15" x14ac:dyDescent="0.25">
      <c r="A1170" s="180">
        <f t="shared" ca="1" si="197"/>
        <v>47260</v>
      </c>
      <c r="B1170" s="181">
        <v>1156</v>
      </c>
      <c r="C1170" s="182">
        <f t="shared" ca="1" si="194"/>
        <v>59452.131330527169</v>
      </c>
      <c r="D1170" s="182">
        <f t="shared" ca="1" si="198"/>
        <v>39.634754220351446</v>
      </c>
      <c r="E1170" s="182">
        <v>0</v>
      </c>
      <c r="F1170" s="182">
        <f t="shared" ca="1" si="195"/>
        <v>0</v>
      </c>
      <c r="G1170" s="182">
        <f t="shared" ca="1" si="199"/>
        <v>0</v>
      </c>
      <c r="H1170" s="182">
        <f t="shared" ca="1" si="193"/>
        <v>59491.76608474752</v>
      </c>
      <c r="I1170" s="183">
        <v>0</v>
      </c>
      <c r="J1170" s="263">
        <f t="shared" ca="1" si="196"/>
        <v>59491.76608474752</v>
      </c>
      <c r="K1170" s="182"/>
      <c r="L1170" s="182"/>
      <c r="M1170" s="182"/>
      <c r="N1170" s="182"/>
      <c r="O1170" s="182"/>
    </row>
    <row r="1171" spans="1:15" x14ac:dyDescent="0.25">
      <c r="A1171" s="180">
        <f t="shared" ca="1" si="197"/>
        <v>47261</v>
      </c>
      <c r="B1171" s="181">
        <v>1157</v>
      </c>
      <c r="C1171" s="182">
        <f t="shared" ca="1" si="194"/>
        <v>59491.76608474752</v>
      </c>
      <c r="D1171" s="182">
        <f t="shared" ca="1" si="198"/>
        <v>39.661177389831678</v>
      </c>
      <c r="E1171" s="182">
        <v>0</v>
      </c>
      <c r="F1171" s="182">
        <f t="shared" ca="1" si="195"/>
        <v>0</v>
      </c>
      <c r="G1171" s="182">
        <f t="shared" ca="1" si="199"/>
        <v>0</v>
      </c>
      <c r="H1171" s="182">
        <f t="shared" ca="1" si="193"/>
        <v>59531.427262137353</v>
      </c>
      <c r="I1171" s="183">
        <v>0</v>
      </c>
      <c r="J1171" s="263">
        <f t="shared" ca="1" si="196"/>
        <v>59531.427262137353</v>
      </c>
      <c r="K1171" s="182"/>
      <c r="L1171" s="182"/>
      <c r="M1171" s="182"/>
      <c r="N1171" s="182"/>
      <c r="O1171" s="182"/>
    </row>
    <row r="1172" spans="1:15" x14ac:dyDescent="0.25">
      <c r="A1172" s="180">
        <f t="shared" ca="1" si="197"/>
        <v>47262</v>
      </c>
      <c r="B1172" s="181">
        <v>1158</v>
      </c>
      <c r="C1172" s="182">
        <f t="shared" ca="1" si="194"/>
        <v>59531.427262137353</v>
      </c>
      <c r="D1172" s="182">
        <f t="shared" ca="1" si="198"/>
        <v>39.687618174758235</v>
      </c>
      <c r="E1172" s="182">
        <v>0</v>
      </c>
      <c r="F1172" s="182">
        <f t="shared" ca="1" si="195"/>
        <v>0</v>
      </c>
      <c r="G1172" s="182">
        <f t="shared" ca="1" si="199"/>
        <v>0</v>
      </c>
      <c r="H1172" s="182">
        <f t="shared" ca="1" si="193"/>
        <v>59571.11488031211</v>
      </c>
      <c r="I1172" s="183">
        <v>0</v>
      </c>
      <c r="J1172" s="263">
        <f t="shared" ca="1" si="196"/>
        <v>59571.11488031211</v>
      </c>
      <c r="K1172" s="182"/>
      <c r="L1172" s="182"/>
      <c r="M1172" s="182"/>
      <c r="N1172" s="182"/>
      <c r="O1172" s="182"/>
    </row>
    <row r="1173" spans="1:15" x14ac:dyDescent="0.25">
      <c r="A1173" s="180">
        <f t="shared" ca="1" si="197"/>
        <v>47263</v>
      </c>
      <c r="B1173" s="181">
        <v>1159</v>
      </c>
      <c r="C1173" s="182">
        <f t="shared" ca="1" si="194"/>
        <v>59571.11488031211</v>
      </c>
      <c r="D1173" s="182">
        <f t="shared" ca="1" si="198"/>
        <v>39.714076586874739</v>
      </c>
      <c r="E1173" s="182">
        <v>0</v>
      </c>
      <c r="F1173" s="182">
        <f t="shared" ca="1" si="195"/>
        <v>0</v>
      </c>
      <c r="G1173" s="182">
        <f t="shared" ca="1" si="199"/>
        <v>0</v>
      </c>
      <c r="H1173" s="182">
        <f t="shared" ca="1" si="193"/>
        <v>59610.828956898986</v>
      </c>
      <c r="I1173" s="183">
        <v>0</v>
      </c>
      <c r="J1173" s="263">
        <f t="shared" ca="1" si="196"/>
        <v>59610.828956898986</v>
      </c>
      <c r="K1173" s="182"/>
      <c r="L1173" s="182"/>
      <c r="M1173" s="182"/>
      <c r="N1173" s="182"/>
      <c r="O1173" s="182"/>
    </row>
    <row r="1174" spans="1:15" x14ac:dyDescent="0.25">
      <c r="A1174" s="180">
        <f t="shared" ca="1" si="197"/>
        <v>47264</v>
      </c>
      <c r="B1174" s="181">
        <v>1160</v>
      </c>
      <c r="C1174" s="182">
        <f t="shared" ca="1" si="194"/>
        <v>59610.828956898986</v>
      </c>
      <c r="D1174" s="182">
        <f t="shared" ca="1" si="198"/>
        <v>39.740552637932659</v>
      </c>
      <c r="E1174" s="182">
        <v>0</v>
      </c>
      <c r="F1174" s="182">
        <f t="shared" ca="1" si="195"/>
        <v>0</v>
      </c>
      <c r="G1174" s="182">
        <f t="shared" ca="1" si="199"/>
        <v>0</v>
      </c>
      <c r="H1174" s="182">
        <f t="shared" ca="1" si="193"/>
        <v>59650.569509536916</v>
      </c>
      <c r="I1174" s="183">
        <v>0</v>
      </c>
      <c r="J1174" s="263">
        <f t="shared" ca="1" si="196"/>
        <v>59650.569509536916</v>
      </c>
      <c r="K1174" s="182"/>
      <c r="L1174" s="182"/>
      <c r="M1174" s="182"/>
      <c r="N1174" s="182"/>
      <c r="O1174" s="182"/>
    </row>
    <row r="1175" spans="1:15" x14ac:dyDescent="0.25">
      <c r="A1175" s="180">
        <f t="shared" ca="1" si="197"/>
        <v>47265</v>
      </c>
      <c r="B1175" s="181">
        <v>1161</v>
      </c>
      <c r="C1175" s="182">
        <f t="shared" ca="1" si="194"/>
        <v>59650.569509536916</v>
      </c>
      <c r="D1175" s="182">
        <f t="shared" ca="1" si="198"/>
        <v>39.767046339691277</v>
      </c>
      <c r="E1175" s="182">
        <v>0</v>
      </c>
      <c r="F1175" s="182">
        <f t="shared" ca="1" si="195"/>
        <v>0</v>
      </c>
      <c r="G1175" s="182">
        <f t="shared" ca="1" si="199"/>
        <v>0</v>
      </c>
      <c r="H1175" s="182">
        <f t="shared" ca="1" si="193"/>
        <v>59690.336555876609</v>
      </c>
      <c r="I1175" s="183">
        <v>0</v>
      </c>
      <c r="J1175" s="263">
        <f t="shared" ca="1" si="196"/>
        <v>59690.336555876609</v>
      </c>
      <c r="K1175" s="182"/>
      <c r="L1175" s="182"/>
      <c r="M1175" s="182"/>
      <c r="N1175" s="182"/>
      <c r="O1175" s="182"/>
    </row>
    <row r="1176" spans="1:15" x14ac:dyDescent="0.25">
      <c r="A1176" s="180">
        <f t="shared" ca="1" si="197"/>
        <v>47266</v>
      </c>
      <c r="B1176" s="181">
        <v>1162</v>
      </c>
      <c r="C1176" s="182">
        <f t="shared" ca="1" si="194"/>
        <v>59690.336555876609</v>
      </c>
      <c r="D1176" s="182">
        <f t="shared" ca="1" si="198"/>
        <v>39.793557703917735</v>
      </c>
      <c r="E1176" s="182">
        <v>0</v>
      </c>
      <c r="F1176" s="182">
        <f t="shared" ca="1" si="195"/>
        <v>0</v>
      </c>
      <c r="G1176" s="182">
        <f t="shared" ca="1" si="199"/>
        <v>0</v>
      </c>
      <c r="H1176" s="182">
        <f t="shared" ca="1" si="193"/>
        <v>59730.130113580526</v>
      </c>
      <c r="I1176" s="183">
        <v>0</v>
      </c>
      <c r="J1176" s="263">
        <f t="shared" ca="1" si="196"/>
        <v>59730.130113580526</v>
      </c>
      <c r="K1176" s="182"/>
      <c r="L1176" s="182"/>
      <c r="M1176" s="182"/>
      <c r="N1176" s="182"/>
      <c r="O1176" s="182"/>
    </row>
    <row r="1177" spans="1:15" x14ac:dyDescent="0.25">
      <c r="A1177" s="180">
        <f t="shared" ca="1" si="197"/>
        <v>47267</v>
      </c>
      <c r="B1177" s="181">
        <v>1163</v>
      </c>
      <c r="C1177" s="182">
        <f t="shared" ca="1" si="194"/>
        <v>59730.130113580526</v>
      </c>
      <c r="D1177" s="182">
        <f t="shared" ca="1" si="198"/>
        <v>39.820086742387019</v>
      </c>
      <c r="E1177" s="182">
        <v>0</v>
      </c>
      <c r="F1177" s="182">
        <f t="shared" ca="1" si="195"/>
        <v>0</v>
      </c>
      <c r="G1177" s="182">
        <f t="shared" ca="1" si="199"/>
        <v>0</v>
      </c>
      <c r="H1177" s="182">
        <f t="shared" ca="1" si="193"/>
        <v>59769.950200322914</v>
      </c>
      <c r="I1177" s="183">
        <v>0</v>
      </c>
      <c r="J1177" s="263">
        <f t="shared" ca="1" si="196"/>
        <v>59769.950200322914</v>
      </c>
      <c r="K1177" s="182"/>
      <c r="L1177" s="182"/>
      <c r="M1177" s="182"/>
      <c r="N1177" s="182"/>
      <c r="O1177" s="182"/>
    </row>
    <row r="1178" spans="1:15" x14ac:dyDescent="0.25">
      <c r="A1178" s="180">
        <f t="shared" ca="1" si="197"/>
        <v>47268</v>
      </c>
      <c r="B1178" s="181">
        <v>1164</v>
      </c>
      <c r="C1178" s="182">
        <f t="shared" ca="1" si="194"/>
        <v>59769.950200322914</v>
      </c>
      <c r="D1178" s="182">
        <f t="shared" ca="1" si="198"/>
        <v>39.84663346688194</v>
      </c>
      <c r="E1178" s="182">
        <v>0</v>
      </c>
      <c r="F1178" s="182">
        <f t="shared" ca="1" si="195"/>
        <v>0</v>
      </c>
      <c r="G1178" s="182">
        <f t="shared" ca="1" si="199"/>
        <v>0</v>
      </c>
      <c r="H1178" s="182">
        <f t="shared" ca="1" si="193"/>
        <v>59809.796833789798</v>
      </c>
      <c r="I1178" s="183">
        <v>0</v>
      </c>
      <c r="J1178" s="263">
        <f t="shared" ca="1" si="196"/>
        <v>59809.796833789798</v>
      </c>
      <c r="K1178" s="182"/>
      <c r="L1178" s="182"/>
      <c r="M1178" s="182"/>
      <c r="N1178" s="182"/>
      <c r="O1178" s="182"/>
    </row>
    <row r="1179" spans="1:15" x14ac:dyDescent="0.25">
      <c r="A1179" s="180">
        <f t="shared" ca="1" si="197"/>
        <v>47269</v>
      </c>
      <c r="B1179" s="181">
        <v>1165</v>
      </c>
      <c r="C1179" s="182">
        <f t="shared" ca="1" si="194"/>
        <v>59809.796833789798</v>
      </c>
      <c r="D1179" s="182">
        <f t="shared" ca="1" si="198"/>
        <v>39.8731978891932</v>
      </c>
      <c r="E1179" s="182">
        <v>0</v>
      </c>
      <c r="F1179" s="182">
        <f t="shared" ca="1" si="195"/>
        <v>0</v>
      </c>
      <c r="G1179" s="182">
        <f t="shared" ca="1" si="199"/>
        <v>0</v>
      </c>
      <c r="H1179" s="182">
        <f t="shared" ca="1" si="193"/>
        <v>59849.670031678994</v>
      </c>
      <c r="I1179" s="183">
        <v>0</v>
      </c>
      <c r="J1179" s="263">
        <f t="shared" ca="1" si="196"/>
        <v>59849.670031678994</v>
      </c>
      <c r="K1179" s="182"/>
      <c r="L1179" s="182"/>
      <c r="M1179" s="182"/>
      <c r="N1179" s="182"/>
      <c r="O1179" s="182"/>
    </row>
    <row r="1180" spans="1:15" x14ac:dyDescent="0.25">
      <c r="A1180" s="180">
        <f t="shared" ca="1" si="197"/>
        <v>47270</v>
      </c>
      <c r="B1180" s="181">
        <v>1166</v>
      </c>
      <c r="C1180" s="182">
        <f t="shared" ca="1" si="194"/>
        <v>59849.670031678994</v>
      </c>
      <c r="D1180" s="182">
        <f t="shared" ca="1" si="198"/>
        <v>39.899780021119327</v>
      </c>
      <c r="E1180" s="182">
        <v>0</v>
      </c>
      <c r="F1180" s="182">
        <f t="shared" ca="1" si="195"/>
        <v>0</v>
      </c>
      <c r="G1180" s="182">
        <f t="shared" ca="1" si="199"/>
        <v>0</v>
      </c>
      <c r="H1180" s="182">
        <f t="shared" ca="1" si="193"/>
        <v>59889.569811700116</v>
      </c>
      <c r="I1180" s="183">
        <v>0</v>
      </c>
      <c r="J1180" s="263">
        <f t="shared" ca="1" si="196"/>
        <v>59889.569811700116</v>
      </c>
      <c r="K1180" s="182"/>
      <c r="L1180" s="182"/>
      <c r="M1180" s="182"/>
      <c r="N1180" s="182"/>
      <c r="O1180" s="182"/>
    </row>
    <row r="1181" spans="1:15" x14ac:dyDescent="0.25">
      <c r="A1181" s="180">
        <f t="shared" ca="1" si="197"/>
        <v>47271</v>
      </c>
      <c r="B1181" s="181">
        <v>1167</v>
      </c>
      <c r="C1181" s="182">
        <f t="shared" ca="1" si="194"/>
        <v>59889.569811700116</v>
      </c>
      <c r="D1181" s="182">
        <f t="shared" ca="1" si="198"/>
        <v>39.92637987446674</v>
      </c>
      <c r="E1181" s="182">
        <v>0</v>
      </c>
      <c r="F1181" s="182">
        <f t="shared" ca="1" si="195"/>
        <v>0</v>
      </c>
      <c r="G1181" s="182">
        <f t="shared" ca="1" si="199"/>
        <v>0</v>
      </c>
      <c r="H1181" s="182">
        <f t="shared" ca="1" si="193"/>
        <v>59929.496191574581</v>
      </c>
      <c r="I1181" s="183">
        <v>0</v>
      </c>
      <c r="J1181" s="263">
        <f t="shared" ca="1" si="196"/>
        <v>59929.496191574581</v>
      </c>
      <c r="K1181" s="182"/>
      <c r="L1181" s="182"/>
      <c r="M1181" s="182"/>
      <c r="N1181" s="182"/>
      <c r="O1181" s="182"/>
    </row>
    <row r="1182" spans="1:15" x14ac:dyDescent="0.25">
      <c r="A1182" s="180">
        <f t="shared" ca="1" si="197"/>
        <v>47272</v>
      </c>
      <c r="B1182" s="181">
        <v>1168</v>
      </c>
      <c r="C1182" s="182">
        <f t="shared" ca="1" si="194"/>
        <v>59929.496191574581</v>
      </c>
      <c r="D1182" s="182">
        <f t="shared" ca="1" si="198"/>
        <v>39.952997461049719</v>
      </c>
      <c r="E1182" s="182">
        <v>0</v>
      </c>
      <c r="F1182" s="182">
        <f t="shared" ca="1" si="195"/>
        <v>0</v>
      </c>
      <c r="G1182" s="182">
        <f t="shared" ca="1" si="199"/>
        <v>0</v>
      </c>
      <c r="H1182" s="182">
        <f t="shared" ca="1" si="193"/>
        <v>59969.449189035629</v>
      </c>
      <c r="I1182" s="183">
        <v>0</v>
      </c>
      <c r="J1182" s="263">
        <f t="shared" ca="1" si="196"/>
        <v>59969.449189035629</v>
      </c>
      <c r="K1182" s="182"/>
      <c r="L1182" s="182"/>
      <c r="M1182" s="182"/>
      <c r="N1182" s="182"/>
      <c r="O1182" s="182"/>
    </row>
    <row r="1183" spans="1:15" x14ac:dyDescent="0.25">
      <c r="A1183" s="180">
        <f t="shared" ca="1" si="197"/>
        <v>47273</v>
      </c>
      <c r="B1183" s="181">
        <v>1169</v>
      </c>
      <c r="C1183" s="182">
        <f t="shared" ca="1" si="194"/>
        <v>59969.449189035629</v>
      </c>
      <c r="D1183" s="182">
        <f t="shared" ca="1" si="198"/>
        <v>39.979632792690417</v>
      </c>
      <c r="E1183" s="182">
        <v>0</v>
      </c>
      <c r="F1183" s="182">
        <f t="shared" ca="1" si="195"/>
        <v>0</v>
      </c>
      <c r="G1183" s="182">
        <f t="shared" ca="1" si="199"/>
        <v>0</v>
      </c>
      <c r="H1183" s="182">
        <f t="shared" ca="1" si="193"/>
        <v>60009.428821828318</v>
      </c>
      <c r="I1183" s="183">
        <v>0</v>
      </c>
      <c r="J1183" s="263">
        <f t="shared" ca="1" si="196"/>
        <v>60009.428821828318</v>
      </c>
      <c r="K1183" s="182"/>
      <c r="L1183" s="182"/>
      <c r="M1183" s="182"/>
      <c r="N1183" s="182"/>
      <c r="O1183" s="182"/>
    </row>
    <row r="1184" spans="1:15" x14ac:dyDescent="0.25">
      <c r="A1184" s="180">
        <f t="shared" ca="1" si="197"/>
        <v>47274</v>
      </c>
      <c r="B1184" s="181">
        <v>1170</v>
      </c>
      <c r="C1184" s="182">
        <f t="shared" ca="1" si="194"/>
        <v>60009.428821828318</v>
      </c>
      <c r="D1184" s="182">
        <f t="shared" ca="1" si="198"/>
        <v>40.006285881218879</v>
      </c>
      <c r="E1184" s="182">
        <v>0</v>
      </c>
      <c r="F1184" s="182">
        <f t="shared" ca="1" si="195"/>
        <v>0</v>
      </c>
      <c r="G1184" s="182">
        <f t="shared" ca="1" si="199"/>
        <v>0</v>
      </c>
      <c r="H1184" s="182">
        <f t="shared" ca="1" si="193"/>
        <v>60049.435107709534</v>
      </c>
      <c r="I1184" s="183">
        <v>0</v>
      </c>
      <c r="J1184" s="263">
        <f t="shared" ca="1" si="196"/>
        <v>60049.435107709534</v>
      </c>
      <c r="K1184" s="182"/>
      <c r="L1184" s="182"/>
      <c r="M1184" s="182"/>
      <c r="N1184" s="182"/>
      <c r="O1184" s="182"/>
    </row>
    <row r="1185" spans="1:15" x14ac:dyDescent="0.25">
      <c r="A1185" s="180">
        <f t="shared" ca="1" si="197"/>
        <v>47275</v>
      </c>
      <c r="B1185" s="181">
        <v>1171</v>
      </c>
      <c r="C1185" s="182">
        <f t="shared" ca="1" si="194"/>
        <v>60049.435107709534</v>
      </c>
      <c r="D1185" s="182">
        <f t="shared" ca="1" si="198"/>
        <v>40.032956738473018</v>
      </c>
      <c r="E1185" s="182">
        <v>0</v>
      </c>
      <c r="F1185" s="182">
        <f t="shared" ca="1" si="195"/>
        <v>0</v>
      </c>
      <c r="G1185" s="182">
        <f t="shared" ca="1" si="199"/>
        <v>0</v>
      </c>
      <c r="H1185" s="182">
        <f t="shared" ca="1" si="193"/>
        <v>60089.46806444801</v>
      </c>
      <c r="I1185" s="183">
        <v>0</v>
      </c>
      <c r="J1185" s="263">
        <f t="shared" ca="1" si="196"/>
        <v>60089.46806444801</v>
      </c>
      <c r="K1185" s="182"/>
      <c r="L1185" s="182"/>
      <c r="M1185" s="182"/>
      <c r="N1185" s="182"/>
      <c r="O1185" s="182"/>
    </row>
    <row r="1186" spans="1:15" x14ac:dyDescent="0.25">
      <c r="A1186" s="180">
        <f t="shared" ca="1" si="197"/>
        <v>47276</v>
      </c>
      <c r="B1186" s="181">
        <v>1172</v>
      </c>
      <c r="C1186" s="182">
        <f t="shared" ca="1" si="194"/>
        <v>60089.46806444801</v>
      </c>
      <c r="D1186" s="182">
        <f t="shared" ca="1" si="198"/>
        <v>40.059645376298676</v>
      </c>
      <c r="E1186" s="182">
        <v>0</v>
      </c>
      <c r="F1186" s="182">
        <f t="shared" ca="1" si="195"/>
        <v>0</v>
      </c>
      <c r="G1186" s="182">
        <f t="shared" ca="1" si="199"/>
        <v>0</v>
      </c>
      <c r="H1186" s="182">
        <f t="shared" ca="1" si="193"/>
        <v>60129.52770982431</v>
      </c>
      <c r="I1186" s="183">
        <v>0</v>
      </c>
      <c r="J1186" s="263">
        <f t="shared" ca="1" si="196"/>
        <v>60129.52770982431</v>
      </c>
      <c r="K1186" s="182"/>
      <c r="L1186" s="182"/>
      <c r="M1186" s="182"/>
      <c r="N1186" s="182"/>
      <c r="O1186" s="182"/>
    </row>
    <row r="1187" spans="1:15" x14ac:dyDescent="0.25">
      <c r="A1187" s="180">
        <f t="shared" ca="1" si="197"/>
        <v>47277</v>
      </c>
      <c r="B1187" s="181">
        <v>1173</v>
      </c>
      <c r="C1187" s="182">
        <f t="shared" ca="1" si="194"/>
        <v>60129.52770982431</v>
      </c>
      <c r="D1187" s="182">
        <f t="shared" ca="1" si="198"/>
        <v>40.086351806549537</v>
      </c>
      <c r="E1187" s="182">
        <v>0</v>
      </c>
      <c r="F1187" s="182">
        <f t="shared" ca="1" si="195"/>
        <v>0</v>
      </c>
      <c r="G1187" s="182">
        <f t="shared" ca="1" si="199"/>
        <v>0</v>
      </c>
      <c r="H1187" s="182">
        <f t="shared" ref="H1187:H1250" ca="1" si="200">IF(G1187&gt;0,C1187+F1187+I1187,SUM(C1187:F1187)-G1186)</f>
        <v>60169.614061630862</v>
      </c>
      <c r="I1187" s="183">
        <v>0</v>
      </c>
      <c r="J1187" s="263">
        <f t="shared" ca="1" si="196"/>
        <v>60169.614061630862</v>
      </c>
      <c r="K1187" s="182"/>
      <c r="L1187" s="182"/>
      <c r="M1187" s="182"/>
      <c r="N1187" s="182"/>
      <c r="O1187" s="182"/>
    </row>
    <row r="1188" spans="1:15" x14ac:dyDescent="0.25">
      <c r="A1188" s="180">
        <f t="shared" ca="1" si="197"/>
        <v>47278</v>
      </c>
      <c r="B1188" s="181">
        <v>1174</v>
      </c>
      <c r="C1188" s="182">
        <f t="shared" ca="1" si="194"/>
        <v>60169.614061630862</v>
      </c>
      <c r="D1188" s="182">
        <f t="shared" ca="1" si="198"/>
        <v>40.11307604108724</v>
      </c>
      <c r="E1188" s="182">
        <v>0</v>
      </c>
      <c r="F1188" s="182">
        <f t="shared" ca="1" si="195"/>
        <v>0</v>
      </c>
      <c r="G1188" s="182">
        <f t="shared" ca="1" si="199"/>
        <v>0</v>
      </c>
      <c r="H1188" s="182">
        <f t="shared" ca="1" si="200"/>
        <v>60209.727137671951</v>
      </c>
      <c r="I1188" s="183">
        <v>0</v>
      </c>
      <c r="J1188" s="263">
        <f t="shared" ca="1" si="196"/>
        <v>60209.727137671951</v>
      </c>
      <c r="K1188" s="182"/>
      <c r="L1188" s="182"/>
      <c r="M1188" s="182"/>
      <c r="N1188" s="182"/>
      <c r="O1188" s="182"/>
    </row>
    <row r="1189" spans="1:15" x14ac:dyDescent="0.25">
      <c r="A1189" s="180">
        <f t="shared" ca="1" si="197"/>
        <v>47279</v>
      </c>
      <c r="B1189" s="181">
        <v>1175</v>
      </c>
      <c r="C1189" s="182">
        <f t="shared" ca="1" si="194"/>
        <v>60209.727137671951</v>
      </c>
      <c r="D1189" s="182">
        <f t="shared" ca="1" si="198"/>
        <v>40.139818091781301</v>
      </c>
      <c r="E1189" s="182">
        <v>0</v>
      </c>
      <c r="F1189" s="182">
        <f t="shared" ca="1" si="195"/>
        <v>0</v>
      </c>
      <c r="G1189" s="182">
        <f t="shared" ca="1" si="199"/>
        <v>0</v>
      </c>
      <c r="H1189" s="182">
        <f t="shared" ca="1" si="200"/>
        <v>60249.866955763733</v>
      </c>
      <c r="I1189" s="183">
        <v>0</v>
      </c>
      <c r="J1189" s="263">
        <f t="shared" ca="1" si="196"/>
        <v>60249.866955763733</v>
      </c>
      <c r="K1189" s="182"/>
      <c r="L1189" s="182"/>
      <c r="M1189" s="182"/>
      <c r="N1189" s="182"/>
      <c r="O1189" s="182"/>
    </row>
    <row r="1190" spans="1:15" x14ac:dyDescent="0.25">
      <c r="A1190" s="180">
        <f t="shared" ca="1" si="197"/>
        <v>47280</v>
      </c>
      <c r="B1190" s="181">
        <v>1176</v>
      </c>
      <c r="C1190" s="182">
        <f t="shared" ca="1" si="194"/>
        <v>60249.866955763733</v>
      </c>
      <c r="D1190" s="182">
        <f t="shared" ca="1" si="198"/>
        <v>40.166577970509152</v>
      </c>
      <c r="E1190" s="182">
        <v>0</v>
      </c>
      <c r="F1190" s="182">
        <f t="shared" ca="1" si="195"/>
        <v>0</v>
      </c>
      <c r="G1190" s="182">
        <f t="shared" ca="1" si="199"/>
        <v>0</v>
      </c>
      <c r="H1190" s="182">
        <f t="shared" ca="1" si="200"/>
        <v>60290.03353373424</v>
      </c>
      <c r="I1190" s="183">
        <v>0</v>
      </c>
      <c r="J1190" s="263">
        <f t="shared" ca="1" si="196"/>
        <v>60290.03353373424</v>
      </c>
      <c r="K1190" s="182"/>
      <c r="L1190" s="182"/>
      <c r="M1190" s="182"/>
      <c r="N1190" s="182"/>
      <c r="O1190" s="182"/>
    </row>
    <row r="1191" spans="1:15" x14ac:dyDescent="0.25">
      <c r="A1191" s="180">
        <f t="shared" ca="1" si="197"/>
        <v>47281</v>
      </c>
      <c r="B1191" s="181">
        <v>1177</v>
      </c>
      <c r="C1191" s="182">
        <f t="shared" ca="1" si="194"/>
        <v>60290.03353373424</v>
      </c>
      <c r="D1191" s="182">
        <f t="shared" ca="1" si="198"/>
        <v>40.193355689156157</v>
      </c>
      <c r="E1191" s="182">
        <v>0</v>
      </c>
      <c r="F1191" s="182">
        <f t="shared" ca="1" si="195"/>
        <v>0</v>
      </c>
      <c r="G1191" s="182">
        <f t="shared" ca="1" si="199"/>
        <v>0</v>
      </c>
      <c r="H1191" s="182">
        <f t="shared" ca="1" si="200"/>
        <v>60330.226889423393</v>
      </c>
      <c r="I1191" s="183">
        <v>0</v>
      </c>
      <c r="J1191" s="263">
        <f t="shared" ca="1" si="196"/>
        <v>60330.226889423393</v>
      </c>
      <c r="K1191" s="182"/>
      <c r="L1191" s="182"/>
      <c r="M1191" s="182"/>
      <c r="N1191" s="182"/>
      <c r="O1191" s="182"/>
    </row>
    <row r="1192" spans="1:15" x14ac:dyDescent="0.25">
      <c r="A1192" s="180">
        <f t="shared" ca="1" si="197"/>
        <v>47282</v>
      </c>
      <c r="B1192" s="181">
        <v>1178</v>
      </c>
      <c r="C1192" s="182">
        <f t="shared" ca="1" si="194"/>
        <v>60330.226889423393</v>
      </c>
      <c r="D1192" s="182">
        <f t="shared" ca="1" si="198"/>
        <v>40.220151259615591</v>
      </c>
      <c r="E1192" s="182">
        <v>0</v>
      </c>
      <c r="F1192" s="182">
        <f t="shared" ca="1" si="195"/>
        <v>0</v>
      </c>
      <c r="G1192" s="182">
        <f t="shared" ca="1" si="199"/>
        <v>0</v>
      </c>
      <c r="H1192" s="182">
        <f t="shared" ca="1" si="200"/>
        <v>60370.447040683008</v>
      </c>
      <c r="I1192" s="183">
        <v>0</v>
      </c>
      <c r="J1192" s="263">
        <f t="shared" ca="1" si="196"/>
        <v>60370.447040683008</v>
      </c>
      <c r="K1192" s="182"/>
      <c r="L1192" s="182"/>
      <c r="M1192" s="182"/>
      <c r="N1192" s="182"/>
      <c r="O1192" s="182"/>
    </row>
    <row r="1193" spans="1:15" x14ac:dyDescent="0.25">
      <c r="A1193" s="180">
        <f t="shared" ca="1" si="197"/>
        <v>47283</v>
      </c>
      <c r="B1193" s="181">
        <v>1179</v>
      </c>
      <c r="C1193" s="182">
        <f t="shared" ca="1" si="194"/>
        <v>60370.447040683008</v>
      </c>
      <c r="D1193" s="182">
        <f t="shared" ca="1" si="198"/>
        <v>40.246964693788669</v>
      </c>
      <c r="E1193" s="182">
        <v>0</v>
      </c>
      <c r="F1193" s="182">
        <f t="shared" ca="1" si="195"/>
        <v>0</v>
      </c>
      <c r="G1193" s="182">
        <f t="shared" ca="1" si="199"/>
        <v>0</v>
      </c>
      <c r="H1193" s="182">
        <f t="shared" ca="1" si="200"/>
        <v>60410.694005376798</v>
      </c>
      <c r="I1193" s="183">
        <v>0</v>
      </c>
      <c r="J1193" s="263">
        <f t="shared" ca="1" si="196"/>
        <v>60410.694005376798</v>
      </c>
      <c r="K1193" s="182"/>
      <c r="L1193" s="182"/>
      <c r="M1193" s="182"/>
      <c r="N1193" s="182"/>
      <c r="O1193" s="182"/>
    </row>
    <row r="1194" spans="1:15" x14ac:dyDescent="0.25">
      <c r="A1194" s="180">
        <f t="shared" ca="1" si="197"/>
        <v>47284</v>
      </c>
      <c r="B1194" s="181">
        <v>1180</v>
      </c>
      <c r="C1194" s="182">
        <f t="shared" ca="1" si="194"/>
        <v>60410.694005376798</v>
      </c>
      <c r="D1194" s="182">
        <f t="shared" ca="1" si="198"/>
        <v>40.273796003584529</v>
      </c>
      <c r="E1194" s="182">
        <v>0</v>
      </c>
      <c r="F1194" s="182">
        <f t="shared" ca="1" si="195"/>
        <v>0</v>
      </c>
      <c r="G1194" s="182">
        <f t="shared" ca="1" si="199"/>
        <v>0</v>
      </c>
      <c r="H1194" s="182">
        <f t="shared" ca="1" si="200"/>
        <v>60450.967801380379</v>
      </c>
      <c r="I1194" s="183">
        <v>0</v>
      </c>
      <c r="J1194" s="263">
        <f t="shared" ca="1" si="196"/>
        <v>60450.967801380379</v>
      </c>
      <c r="K1194" s="182"/>
      <c r="L1194" s="182"/>
      <c r="M1194" s="182"/>
      <c r="N1194" s="182"/>
      <c r="O1194" s="182"/>
    </row>
    <row r="1195" spans="1:15" x14ac:dyDescent="0.25">
      <c r="A1195" s="180">
        <f t="shared" ca="1" si="197"/>
        <v>47285</v>
      </c>
      <c r="B1195" s="181">
        <v>1181</v>
      </c>
      <c r="C1195" s="182">
        <f t="shared" ref="C1195:C1258" ca="1" si="201">H1194</f>
        <v>60450.967801380379</v>
      </c>
      <c r="D1195" s="182">
        <f t="shared" ca="1" si="198"/>
        <v>40.30064520092025</v>
      </c>
      <c r="E1195" s="182">
        <v>0</v>
      </c>
      <c r="F1195" s="182">
        <f t="shared" ca="1" si="195"/>
        <v>0</v>
      </c>
      <c r="G1195" s="182">
        <f t="shared" ca="1" si="199"/>
        <v>0</v>
      </c>
      <c r="H1195" s="182">
        <f t="shared" ca="1" si="200"/>
        <v>60491.2684465813</v>
      </c>
      <c r="I1195" s="183">
        <v>0</v>
      </c>
      <c r="J1195" s="263">
        <f t="shared" ca="1" si="196"/>
        <v>60491.2684465813</v>
      </c>
      <c r="K1195" s="182"/>
      <c r="L1195" s="182"/>
      <c r="M1195" s="182"/>
      <c r="N1195" s="182"/>
      <c r="O1195" s="182"/>
    </row>
    <row r="1196" spans="1:15" x14ac:dyDescent="0.25">
      <c r="A1196" s="180">
        <f t="shared" ca="1" si="197"/>
        <v>47286</v>
      </c>
      <c r="B1196" s="181">
        <v>1182</v>
      </c>
      <c r="C1196" s="182">
        <f t="shared" ca="1" si="201"/>
        <v>60491.2684465813</v>
      </c>
      <c r="D1196" s="182">
        <f t="shared" ca="1" si="198"/>
        <v>40.327512297720865</v>
      </c>
      <c r="E1196" s="182">
        <v>0</v>
      </c>
      <c r="F1196" s="182">
        <f t="shared" ref="F1196:F1259" ca="1" si="202">IFERROR(-VLOOKUP(A1196,$P$4:$R$31,2,FALSE),0)</f>
        <v>0</v>
      </c>
      <c r="G1196" s="182">
        <f t="shared" ca="1" si="199"/>
        <v>0</v>
      </c>
      <c r="H1196" s="182">
        <f t="shared" ca="1" si="200"/>
        <v>60531.595958879021</v>
      </c>
      <c r="I1196" s="183">
        <v>0</v>
      </c>
      <c r="J1196" s="263">
        <f t="shared" ca="1" si="196"/>
        <v>60531.595958879021</v>
      </c>
      <c r="K1196" s="182"/>
      <c r="L1196" s="182"/>
      <c r="M1196" s="182"/>
      <c r="N1196" s="182"/>
      <c r="O1196" s="182"/>
    </row>
    <row r="1197" spans="1:15" x14ac:dyDescent="0.25">
      <c r="A1197" s="180">
        <f t="shared" ca="1" si="197"/>
        <v>47287</v>
      </c>
      <c r="B1197" s="181">
        <v>1183</v>
      </c>
      <c r="C1197" s="182">
        <f t="shared" ca="1" si="201"/>
        <v>60531.595958879021</v>
      </c>
      <c r="D1197" s="182">
        <f t="shared" ca="1" si="198"/>
        <v>40.354397305919349</v>
      </c>
      <c r="E1197" s="182">
        <v>0</v>
      </c>
      <c r="F1197" s="182">
        <f t="shared" ca="1" si="202"/>
        <v>0</v>
      </c>
      <c r="G1197" s="182">
        <f t="shared" ca="1" si="199"/>
        <v>0</v>
      </c>
      <c r="H1197" s="182">
        <f t="shared" ca="1" si="200"/>
        <v>60571.950356184941</v>
      </c>
      <c r="I1197" s="183">
        <v>0</v>
      </c>
      <c r="J1197" s="263">
        <f t="shared" ca="1" si="196"/>
        <v>60571.950356184941</v>
      </c>
      <c r="K1197" s="182"/>
      <c r="L1197" s="182"/>
      <c r="M1197" s="182"/>
      <c r="N1197" s="182"/>
      <c r="O1197" s="182"/>
    </row>
    <row r="1198" spans="1:15" x14ac:dyDescent="0.25">
      <c r="A1198" s="180">
        <f t="shared" ca="1" si="197"/>
        <v>47288</v>
      </c>
      <c r="B1198" s="181">
        <v>1184</v>
      </c>
      <c r="C1198" s="182">
        <f t="shared" ca="1" si="201"/>
        <v>60571.950356184941</v>
      </c>
      <c r="D1198" s="182">
        <f t="shared" ca="1" si="198"/>
        <v>40.381300237456628</v>
      </c>
      <c r="E1198" s="182">
        <v>0</v>
      </c>
      <c r="F1198" s="182">
        <f t="shared" ca="1" si="202"/>
        <v>0</v>
      </c>
      <c r="G1198" s="182">
        <f t="shared" ca="1" si="199"/>
        <v>0</v>
      </c>
      <c r="H1198" s="182">
        <f t="shared" ca="1" si="200"/>
        <v>60612.331656422401</v>
      </c>
      <c r="I1198" s="183">
        <v>0</v>
      </c>
      <c r="J1198" s="263">
        <f t="shared" ca="1" si="196"/>
        <v>60612.331656422401</v>
      </c>
      <c r="K1198" s="182"/>
      <c r="L1198" s="182"/>
      <c r="M1198" s="182"/>
      <c r="N1198" s="182"/>
      <c r="O1198" s="182"/>
    </row>
    <row r="1199" spans="1:15" x14ac:dyDescent="0.25">
      <c r="A1199" s="180">
        <f t="shared" ca="1" si="197"/>
        <v>47289</v>
      </c>
      <c r="B1199" s="181">
        <v>1185</v>
      </c>
      <c r="C1199" s="182">
        <f t="shared" ca="1" si="201"/>
        <v>60612.331656422401</v>
      </c>
      <c r="D1199" s="182">
        <f t="shared" ca="1" si="198"/>
        <v>40.408221104281601</v>
      </c>
      <c r="E1199" s="182">
        <v>0</v>
      </c>
      <c r="F1199" s="182">
        <f t="shared" ca="1" si="202"/>
        <v>0</v>
      </c>
      <c r="G1199" s="182">
        <f t="shared" ca="1" si="199"/>
        <v>0</v>
      </c>
      <c r="H1199" s="182">
        <f t="shared" ca="1" si="200"/>
        <v>60652.739877526685</v>
      </c>
      <c r="I1199" s="183">
        <v>0</v>
      </c>
      <c r="J1199" s="263">
        <f t="shared" ca="1" si="196"/>
        <v>60652.739877526685</v>
      </c>
      <c r="K1199" s="182"/>
      <c r="L1199" s="182"/>
      <c r="M1199" s="182"/>
      <c r="N1199" s="182"/>
      <c r="O1199" s="182"/>
    </row>
    <row r="1200" spans="1:15" x14ac:dyDescent="0.25">
      <c r="A1200" s="180">
        <f t="shared" ca="1" si="197"/>
        <v>47290</v>
      </c>
      <c r="B1200" s="181">
        <v>1186</v>
      </c>
      <c r="C1200" s="182">
        <f t="shared" ca="1" si="201"/>
        <v>60652.739877526685</v>
      </c>
      <c r="D1200" s="182">
        <f t="shared" ca="1" si="198"/>
        <v>40.435159918351118</v>
      </c>
      <c r="E1200" s="182">
        <v>0</v>
      </c>
      <c r="F1200" s="182">
        <f t="shared" ca="1" si="202"/>
        <v>0</v>
      </c>
      <c r="G1200" s="182">
        <f t="shared" ca="1" si="199"/>
        <v>0</v>
      </c>
      <c r="H1200" s="182">
        <f t="shared" ca="1" si="200"/>
        <v>60693.175037445035</v>
      </c>
      <c r="I1200" s="183">
        <v>0</v>
      </c>
      <c r="J1200" s="263">
        <f t="shared" ca="1" si="196"/>
        <v>60693.175037445035</v>
      </c>
      <c r="K1200" s="182"/>
      <c r="L1200" s="182"/>
      <c r="M1200" s="182"/>
      <c r="N1200" s="182"/>
      <c r="O1200" s="182"/>
    </row>
    <row r="1201" spans="1:15" x14ac:dyDescent="0.25">
      <c r="A1201" s="180">
        <f t="shared" ca="1" si="197"/>
        <v>47291</v>
      </c>
      <c r="B1201" s="181">
        <v>1187</v>
      </c>
      <c r="C1201" s="182">
        <f t="shared" ca="1" si="201"/>
        <v>60693.175037445035</v>
      </c>
      <c r="D1201" s="182">
        <f t="shared" ca="1" si="198"/>
        <v>40.462116691630023</v>
      </c>
      <c r="E1201" s="182">
        <v>0</v>
      </c>
      <c r="F1201" s="182">
        <f t="shared" ca="1" si="202"/>
        <v>0</v>
      </c>
      <c r="G1201" s="182">
        <f t="shared" ca="1" si="199"/>
        <v>0</v>
      </c>
      <c r="H1201" s="182">
        <f t="shared" ca="1" si="200"/>
        <v>60733.637154136668</v>
      </c>
      <c r="I1201" s="183">
        <v>0</v>
      </c>
      <c r="J1201" s="263">
        <f t="shared" ca="1" si="196"/>
        <v>60733.637154136668</v>
      </c>
      <c r="K1201" s="182"/>
      <c r="L1201" s="182"/>
      <c r="M1201" s="182"/>
      <c r="N1201" s="182"/>
      <c r="O1201" s="182"/>
    </row>
    <row r="1202" spans="1:15" x14ac:dyDescent="0.25">
      <c r="A1202" s="180">
        <f t="shared" ca="1" si="197"/>
        <v>47292</v>
      </c>
      <c r="B1202" s="181">
        <v>1188</v>
      </c>
      <c r="C1202" s="182">
        <f t="shared" ca="1" si="201"/>
        <v>60733.637154136668</v>
      </c>
      <c r="D1202" s="182">
        <f t="shared" ca="1" si="198"/>
        <v>40.489091436091108</v>
      </c>
      <c r="E1202" s="182">
        <v>0</v>
      </c>
      <c r="F1202" s="182">
        <f t="shared" ca="1" si="202"/>
        <v>0</v>
      </c>
      <c r="G1202" s="182">
        <f t="shared" ca="1" si="199"/>
        <v>0</v>
      </c>
      <c r="H1202" s="182">
        <f t="shared" ca="1" si="200"/>
        <v>60774.126245572756</v>
      </c>
      <c r="I1202" s="183">
        <v>0</v>
      </c>
      <c r="J1202" s="263">
        <f t="shared" ca="1" si="196"/>
        <v>60774.126245572756</v>
      </c>
      <c r="K1202" s="182"/>
      <c r="L1202" s="182"/>
      <c r="M1202" s="182"/>
      <c r="N1202" s="182"/>
      <c r="O1202" s="182"/>
    </row>
    <row r="1203" spans="1:15" x14ac:dyDescent="0.25">
      <c r="A1203" s="180">
        <f t="shared" ca="1" si="197"/>
        <v>47293</v>
      </c>
      <c r="B1203" s="181">
        <v>1189</v>
      </c>
      <c r="C1203" s="182">
        <f t="shared" ca="1" si="201"/>
        <v>60774.126245572756</v>
      </c>
      <c r="D1203" s="182">
        <f t="shared" ca="1" si="198"/>
        <v>40.516084163715171</v>
      </c>
      <c r="E1203" s="182">
        <v>0</v>
      </c>
      <c r="F1203" s="182">
        <f t="shared" ca="1" si="202"/>
        <v>0</v>
      </c>
      <c r="G1203" s="182">
        <f t="shared" ca="1" si="199"/>
        <v>0</v>
      </c>
      <c r="H1203" s="182">
        <f t="shared" ca="1" si="200"/>
        <v>60814.642329736467</v>
      </c>
      <c r="I1203" s="183">
        <v>0</v>
      </c>
      <c r="J1203" s="263">
        <f t="shared" ca="1" si="196"/>
        <v>60814.642329736467</v>
      </c>
      <c r="K1203" s="182"/>
      <c r="L1203" s="182"/>
      <c r="M1203" s="182"/>
      <c r="N1203" s="182"/>
      <c r="O1203" s="182"/>
    </row>
    <row r="1204" spans="1:15" x14ac:dyDescent="0.25">
      <c r="A1204" s="180">
        <f t="shared" ca="1" si="197"/>
        <v>47294</v>
      </c>
      <c r="B1204" s="181">
        <v>1190</v>
      </c>
      <c r="C1204" s="182">
        <f t="shared" ca="1" si="201"/>
        <v>60814.642329736467</v>
      </c>
      <c r="D1204" s="182">
        <f t="shared" ca="1" si="198"/>
        <v>40.543094886490977</v>
      </c>
      <c r="E1204" s="182">
        <v>0</v>
      </c>
      <c r="F1204" s="182">
        <f t="shared" ca="1" si="202"/>
        <v>0</v>
      </c>
      <c r="G1204" s="182">
        <f t="shared" ca="1" si="199"/>
        <v>0</v>
      </c>
      <c r="H1204" s="182">
        <f t="shared" ca="1" si="200"/>
        <v>60855.185424622956</v>
      </c>
      <c r="I1204" s="183">
        <v>0</v>
      </c>
      <c r="J1204" s="263">
        <f t="shared" ca="1" si="196"/>
        <v>60855.185424622956</v>
      </c>
      <c r="K1204" s="182"/>
      <c r="L1204" s="182"/>
      <c r="M1204" s="182"/>
      <c r="N1204" s="182"/>
      <c r="O1204" s="182"/>
    </row>
    <row r="1205" spans="1:15" x14ac:dyDescent="0.25">
      <c r="A1205" s="180">
        <f t="shared" ca="1" si="197"/>
        <v>47295</v>
      </c>
      <c r="B1205" s="181">
        <v>1191</v>
      </c>
      <c r="C1205" s="182">
        <f t="shared" ca="1" si="201"/>
        <v>60855.185424622956</v>
      </c>
      <c r="D1205" s="182">
        <f t="shared" ca="1" si="198"/>
        <v>40.570123616415302</v>
      </c>
      <c r="E1205" s="182">
        <v>0</v>
      </c>
      <c r="F1205" s="182">
        <f t="shared" ca="1" si="202"/>
        <v>0</v>
      </c>
      <c r="G1205" s="182">
        <f t="shared" ca="1" si="199"/>
        <v>0</v>
      </c>
      <c r="H1205" s="182">
        <f t="shared" ca="1" si="200"/>
        <v>60895.755548239373</v>
      </c>
      <c r="I1205" s="183">
        <v>0</v>
      </c>
      <c r="J1205" s="263">
        <f t="shared" ca="1" si="196"/>
        <v>60895.755548239373</v>
      </c>
      <c r="K1205" s="182"/>
      <c r="L1205" s="182"/>
      <c r="M1205" s="182"/>
      <c r="N1205" s="182"/>
      <c r="O1205" s="182"/>
    </row>
    <row r="1206" spans="1:15" x14ac:dyDescent="0.25">
      <c r="A1206" s="180">
        <f t="shared" ca="1" si="197"/>
        <v>47296</v>
      </c>
      <c r="B1206" s="181">
        <v>1192</v>
      </c>
      <c r="C1206" s="182">
        <f t="shared" ca="1" si="201"/>
        <v>60895.755548239373</v>
      </c>
      <c r="D1206" s="182">
        <f t="shared" ca="1" si="198"/>
        <v>40.597170365492914</v>
      </c>
      <c r="E1206" s="182">
        <v>0</v>
      </c>
      <c r="F1206" s="182">
        <f t="shared" ca="1" si="202"/>
        <v>0</v>
      </c>
      <c r="G1206" s="182">
        <f t="shared" ca="1" si="199"/>
        <v>0</v>
      </c>
      <c r="H1206" s="182">
        <f t="shared" ca="1" si="200"/>
        <v>60936.352718604867</v>
      </c>
      <c r="I1206" s="183">
        <v>0</v>
      </c>
      <c r="J1206" s="263">
        <f t="shared" ca="1" si="196"/>
        <v>60936.352718604867</v>
      </c>
      <c r="K1206" s="182"/>
      <c r="L1206" s="182"/>
      <c r="M1206" s="182"/>
      <c r="N1206" s="182"/>
      <c r="O1206" s="182"/>
    </row>
    <row r="1207" spans="1:15" x14ac:dyDescent="0.25">
      <c r="A1207" s="180">
        <f t="shared" ca="1" si="197"/>
        <v>47297</v>
      </c>
      <c r="B1207" s="181">
        <v>1193</v>
      </c>
      <c r="C1207" s="182">
        <f t="shared" ca="1" si="201"/>
        <v>60936.352718604867</v>
      </c>
      <c r="D1207" s="182">
        <f t="shared" ca="1" si="198"/>
        <v>40.624235145736577</v>
      </c>
      <c r="E1207" s="182">
        <v>0</v>
      </c>
      <c r="F1207" s="182">
        <f t="shared" ca="1" si="202"/>
        <v>0</v>
      </c>
      <c r="G1207" s="182">
        <f t="shared" ca="1" si="199"/>
        <v>0</v>
      </c>
      <c r="H1207" s="182">
        <f t="shared" ca="1" si="200"/>
        <v>60976.9769537506</v>
      </c>
      <c r="I1207" s="183">
        <v>0</v>
      </c>
      <c r="J1207" s="263">
        <f t="shared" ca="1" si="196"/>
        <v>60976.9769537506</v>
      </c>
      <c r="K1207" s="182"/>
      <c r="L1207" s="182"/>
      <c r="M1207" s="182"/>
      <c r="N1207" s="182"/>
      <c r="O1207" s="182"/>
    </row>
    <row r="1208" spans="1:15" x14ac:dyDescent="0.25">
      <c r="A1208" s="180">
        <f t="shared" ca="1" si="197"/>
        <v>47298</v>
      </c>
      <c r="B1208" s="181">
        <v>1194</v>
      </c>
      <c r="C1208" s="182">
        <f t="shared" ca="1" si="201"/>
        <v>60976.9769537506</v>
      </c>
      <c r="D1208" s="182">
        <f t="shared" ca="1" si="198"/>
        <v>40.651317969167067</v>
      </c>
      <c r="E1208" s="182">
        <v>0</v>
      </c>
      <c r="F1208" s="182">
        <f t="shared" ca="1" si="202"/>
        <v>0</v>
      </c>
      <c r="G1208" s="182">
        <f t="shared" ca="1" si="199"/>
        <v>0</v>
      </c>
      <c r="H1208" s="182">
        <f t="shared" ca="1" si="200"/>
        <v>61017.628271719768</v>
      </c>
      <c r="I1208" s="183">
        <v>0</v>
      </c>
      <c r="J1208" s="263">
        <f t="shared" ca="1" si="196"/>
        <v>61017.628271719768</v>
      </c>
      <c r="K1208" s="182"/>
      <c r="L1208" s="182"/>
      <c r="M1208" s="182"/>
      <c r="N1208" s="182"/>
      <c r="O1208" s="182"/>
    </row>
    <row r="1209" spans="1:15" x14ac:dyDescent="0.25">
      <c r="A1209" s="180">
        <f t="shared" ca="1" si="197"/>
        <v>47299</v>
      </c>
      <c r="B1209" s="181">
        <v>1195</v>
      </c>
      <c r="C1209" s="182">
        <f t="shared" ca="1" si="201"/>
        <v>61017.628271719768</v>
      </c>
      <c r="D1209" s="182">
        <f t="shared" ca="1" si="198"/>
        <v>40.678418847813177</v>
      </c>
      <c r="E1209" s="182">
        <v>0</v>
      </c>
      <c r="F1209" s="182">
        <f t="shared" ca="1" si="202"/>
        <v>0</v>
      </c>
      <c r="G1209" s="182">
        <f t="shared" ca="1" si="199"/>
        <v>0</v>
      </c>
      <c r="H1209" s="182">
        <f t="shared" ca="1" si="200"/>
        <v>61058.306690567581</v>
      </c>
      <c r="I1209" s="183">
        <v>0</v>
      </c>
      <c r="J1209" s="263">
        <f t="shared" ca="1" si="196"/>
        <v>61058.306690567581</v>
      </c>
      <c r="K1209" s="182"/>
      <c r="L1209" s="182"/>
      <c r="M1209" s="182"/>
      <c r="N1209" s="182"/>
      <c r="O1209" s="182"/>
    </row>
    <row r="1210" spans="1:15" x14ac:dyDescent="0.25">
      <c r="A1210" s="180">
        <f t="shared" ca="1" si="197"/>
        <v>47300</v>
      </c>
      <c r="B1210" s="181">
        <v>1196</v>
      </c>
      <c r="C1210" s="182">
        <f t="shared" ca="1" si="201"/>
        <v>61058.306690567581</v>
      </c>
      <c r="D1210" s="182">
        <f t="shared" ca="1" si="198"/>
        <v>40.70553779371172</v>
      </c>
      <c r="E1210" s="182">
        <v>0</v>
      </c>
      <c r="F1210" s="182">
        <f t="shared" ca="1" si="202"/>
        <v>0</v>
      </c>
      <c r="G1210" s="182">
        <f t="shared" ca="1" si="199"/>
        <v>0</v>
      </c>
      <c r="H1210" s="182">
        <f t="shared" ca="1" si="200"/>
        <v>61099.012228361295</v>
      </c>
      <c r="I1210" s="183">
        <v>0</v>
      </c>
      <c r="J1210" s="263">
        <f t="shared" ca="1" si="196"/>
        <v>61099.012228361295</v>
      </c>
      <c r="K1210" s="182"/>
      <c r="L1210" s="182"/>
      <c r="M1210" s="182"/>
      <c r="N1210" s="182"/>
      <c r="O1210" s="182"/>
    </row>
    <row r="1211" spans="1:15" x14ac:dyDescent="0.25">
      <c r="A1211" s="180">
        <f t="shared" ca="1" si="197"/>
        <v>47301</v>
      </c>
      <c r="B1211" s="181">
        <v>1197</v>
      </c>
      <c r="C1211" s="182">
        <f t="shared" ca="1" si="201"/>
        <v>61099.012228361295</v>
      </c>
      <c r="D1211" s="182">
        <f t="shared" ca="1" si="198"/>
        <v>40.732674818907526</v>
      </c>
      <c r="E1211" s="182">
        <v>0</v>
      </c>
      <c r="F1211" s="182">
        <f t="shared" ca="1" si="202"/>
        <v>0</v>
      </c>
      <c r="G1211" s="182">
        <f t="shared" ca="1" si="199"/>
        <v>0</v>
      </c>
      <c r="H1211" s="182">
        <f t="shared" ca="1" si="200"/>
        <v>61139.744903180203</v>
      </c>
      <c r="I1211" s="183">
        <v>0</v>
      </c>
      <c r="J1211" s="263">
        <f t="shared" ca="1" si="196"/>
        <v>61139.744903180203</v>
      </c>
      <c r="K1211" s="182"/>
      <c r="L1211" s="182"/>
      <c r="M1211" s="182"/>
      <c r="N1211" s="182"/>
      <c r="O1211" s="182"/>
    </row>
    <row r="1212" spans="1:15" x14ac:dyDescent="0.25">
      <c r="A1212" s="180">
        <f t="shared" ca="1" si="197"/>
        <v>47302</v>
      </c>
      <c r="B1212" s="181">
        <v>1198</v>
      </c>
      <c r="C1212" s="182">
        <f t="shared" ca="1" si="201"/>
        <v>61139.744903180203</v>
      </c>
      <c r="D1212" s="182">
        <f t="shared" ca="1" si="198"/>
        <v>40.759829935453467</v>
      </c>
      <c r="E1212" s="182">
        <v>0</v>
      </c>
      <c r="F1212" s="182">
        <f t="shared" ca="1" si="202"/>
        <v>0</v>
      </c>
      <c r="G1212" s="182">
        <f t="shared" ca="1" si="199"/>
        <v>0</v>
      </c>
      <c r="H1212" s="182">
        <f t="shared" ca="1" si="200"/>
        <v>61180.504733115653</v>
      </c>
      <c r="I1212" s="183">
        <v>0</v>
      </c>
      <c r="J1212" s="263">
        <f t="shared" ca="1" si="196"/>
        <v>61180.504733115653</v>
      </c>
      <c r="K1212" s="182"/>
      <c r="L1212" s="182"/>
      <c r="M1212" s="182"/>
      <c r="N1212" s="182"/>
      <c r="O1212" s="182"/>
    </row>
    <row r="1213" spans="1:15" x14ac:dyDescent="0.25">
      <c r="A1213" s="180">
        <f t="shared" ca="1" si="197"/>
        <v>47303</v>
      </c>
      <c r="B1213" s="181">
        <v>1199</v>
      </c>
      <c r="C1213" s="182">
        <f t="shared" ca="1" si="201"/>
        <v>61180.504733115653</v>
      </c>
      <c r="D1213" s="182">
        <f t="shared" ca="1" si="198"/>
        <v>40.787003155410432</v>
      </c>
      <c r="E1213" s="182">
        <v>0</v>
      </c>
      <c r="F1213" s="182">
        <f t="shared" ca="1" si="202"/>
        <v>0</v>
      </c>
      <c r="G1213" s="182">
        <f t="shared" ca="1" si="199"/>
        <v>0</v>
      </c>
      <c r="H1213" s="182">
        <f t="shared" ca="1" si="200"/>
        <v>61221.291736271065</v>
      </c>
      <c r="I1213" s="183">
        <v>0</v>
      </c>
      <c r="J1213" s="263">
        <f t="shared" ca="1" si="196"/>
        <v>61221.291736271065</v>
      </c>
      <c r="K1213" s="182"/>
      <c r="L1213" s="182"/>
      <c r="M1213" s="182"/>
      <c r="N1213" s="182"/>
      <c r="O1213" s="182"/>
    </row>
    <row r="1214" spans="1:15" x14ac:dyDescent="0.25">
      <c r="A1214" s="180">
        <f t="shared" ca="1" si="197"/>
        <v>47304</v>
      </c>
      <c r="B1214" s="181">
        <v>1200</v>
      </c>
      <c r="C1214" s="182">
        <f t="shared" ca="1" si="201"/>
        <v>61221.291736271065</v>
      </c>
      <c r="D1214" s="182">
        <f t="shared" ca="1" si="198"/>
        <v>40.814194490847377</v>
      </c>
      <c r="E1214" s="182">
        <v>0</v>
      </c>
      <c r="F1214" s="182">
        <f t="shared" ca="1" si="202"/>
        <v>0</v>
      </c>
      <c r="G1214" s="182">
        <f t="shared" ca="1" si="199"/>
        <v>0</v>
      </c>
      <c r="H1214" s="182">
        <f t="shared" ca="1" si="200"/>
        <v>61262.105930761914</v>
      </c>
      <c r="I1214" s="183">
        <v>0</v>
      </c>
      <c r="J1214" s="263">
        <f t="shared" ca="1" si="196"/>
        <v>61262.105930761914</v>
      </c>
      <c r="K1214" s="182"/>
      <c r="L1214" s="182"/>
      <c r="M1214" s="182"/>
      <c r="N1214" s="182"/>
      <c r="O1214" s="182"/>
    </row>
    <row r="1215" spans="1:15" x14ac:dyDescent="0.25">
      <c r="A1215" s="180">
        <f t="shared" ca="1" si="197"/>
        <v>47305</v>
      </c>
      <c r="B1215" s="181">
        <v>1201</v>
      </c>
      <c r="C1215" s="182">
        <f t="shared" ca="1" si="201"/>
        <v>61262.105930761914</v>
      </c>
      <c r="D1215" s="182">
        <f t="shared" ca="1" si="198"/>
        <v>40.841403953841272</v>
      </c>
      <c r="E1215" s="182">
        <v>0</v>
      </c>
      <c r="F1215" s="182">
        <f t="shared" ca="1" si="202"/>
        <v>0</v>
      </c>
      <c r="G1215" s="182">
        <f t="shared" ca="1" si="199"/>
        <v>0</v>
      </c>
      <c r="H1215" s="182">
        <f t="shared" ca="1" si="200"/>
        <v>61302.947334715755</v>
      </c>
      <c r="I1215" s="183">
        <v>0</v>
      </c>
      <c r="J1215" s="263">
        <f t="shared" ca="1" si="196"/>
        <v>61302.947334715755</v>
      </c>
      <c r="K1215" s="182"/>
      <c r="L1215" s="182"/>
      <c r="M1215" s="182"/>
      <c r="N1215" s="182"/>
      <c r="O1215" s="182"/>
    </row>
    <row r="1216" spans="1:15" x14ac:dyDescent="0.25">
      <c r="A1216" s="180">
        <f t="shared" ca="1" si="197"/>
        <v>47306</v>
      </c>
      <c r="B1216" s="181">
        <v>1202</v>
      </c>
      <c r="C1216" s="182">
        <f t="shared" ca="1" si="201"/>
        <v>61302.947334715755</v>
      </c>
      <c r="D1216" s="182">
        <f t="shared" ca="1" si="198"/>
        <v>40.868631556477169</v>
      </c>
      <c r="E1216" s="182">
        <v>0</v>
      </c>
      <c r="F1216" s="182">
        <f t="shared" ca="1" si="202"/>
        <v>0</v>
      </c>
      <c r="G1216" s="182">
        <f t="shared" ca="1" si="199"/>
        <v>0</v>
      </c>
      <c r="H1216" s="182">
        <f t="shared" ca="1" si="200"/>
        <v>61343.815966272232</v>
      </c>
      <c r="I1216" s="183">
        <v>0</v>
      </c>
      <c r="J1216" s="263">
        <f t="shared" ca="1" si="196"/>
        <v>61343.815966272232</v>
      </c>
      <c r="K1216" s="182"/>
      <c r="L1216" s="182"/>
      <c r="M1216" s="182"/>
      <c r="N1216" s="182"/>
      <c r="O1216" s="182"/>
    </row>
    <row r="1217" spans="1:15" x14ac:dyDescent="0.25">
      <c r="A1217" s="180">
        <f t="shared" ca="1" si="197"/>
        <v>47307</v>
      </c>
      <c r="B1217" s="181">
        <v>1203</v>
      </c>
      <c r="C1217" s="182">
        <f t="shared" ca="1" si="201"/>
        <v>61343.815966272232</v>
      </c>
      <c r="D1217" s="182">
        <f t="shared" ca="1" si="198"/>
        <v>40.895877310848157</v>
      </c>
      <c r="E1217" s="182">
        <v>0</v>
      </c>
      <c r="F1217" s="182">
        <f t="shared" ca="1" si="202"/>
        <v>0</v>
      </c>
      <c r="G1217" s="182">
        <f t="shared" ca="1" si="199"/>
        <v>0</v>
      </c>
      <c r="H1217" s="182">
        <f t="shared" ca="1" si="200"/>
        <v>61384.711843583078</v>
      </c>
      <c r="I1217" s="183">
        <v>0</v>
      </c>
      <c r="J1217" s="263">
        <f t="shared" ca="1" si="196"/>
        <v>61384.711843583078</v>
      </c>
      <c r="K1217" s="182"/>
      <c r="L1217" s="182"/>
      <c r="M1217" s="182"/>
      <c r="N1217" s="182"/>
      <c r="O1217" s="182"/>
    </row>
    <row r="1218" spans="1:15" x14ac:dyDescent="0.25">
      <c r="A1218" s="180">
        <f t="shared" ca="1" si="197"/>
        <v>47308</v>
      </c>
      <c r="B1218" s="181">
        <v>1204</v>
      </c>
      <c r="C1218" s="182">
        <f t="shared" ca="1" si="201"/>
        <v>61384.711843583078</v>
      </c>
      <c r="D1218" s="182">
        <f t="shared" ca="1" si="198"/>
        <v>40.923141229055382</v>
      </c>
      <c r="E1218" s="182">
        <v>0</v>
      </c>
      <c r="F1218" s="182">
        <f t="shared" ca="1" si="202"/>
        <v>0</v>
      </c>
      <c r="G1218" s="182">
        <f t="shared" ca="1" si="199"/>
        <v>0</v>
      </c>
      <c r="H1218" s="182">
        <f t="shared" ca="1" si="200"/>
        <v>61425.634984812132</v>
      </c>
      <c r="I1218" s="183">
        <v>0</v>
      </c>
      <c r="J1218" s="263">
        <f t="shared" ca="1" si="196"/>
        <v>61425.634984812132</v>
      </c>
      <c r="K1218" s="182"/>
      <c r="L1218" s="182"/>
      <c r="M1218" s="182"/>
      <c r="N1218" s="182"/>
      <c r="O1218" s="182"/>
    </row>
    <row r="1219" spans="1:15" x14ac:dyDescent="0.25">
      <c r="A1219" s="180">
        <f t="shared" ca="1" si="197"/>
        <v>47309</v>
      </c>
      <c r="B1219" s="181">
        <v>1205</v>
      </c>
      <c r="C1219" s="182">
        <f t="shared" ca="1" si="201"/>
        <v>61425.634984812132</v>
      </c>
      <c r="D1219" s="182">
        <f t="shared" ca="1" si="198"/>
        <v>40.950423323208085</v>
      </c>
      <c r="E1219" s="182">
        <v>0</v>
      </c>
      <c r="F1219" s="182">
        <f t="shared" ca="1" si="202"/>
        <v>0</v>
      </c>
      <c r="G1219" s="182">
        <f t="shared" ca="1" si="199"/>
        <v>0</v>
      </c>
      <c r="H1219" s="182">
        <f t="shared" ca="1" si="200"/>
        <v>61466.585408135339</v>
      </c>
      <c r="I1219" s="183">
        <v>0</v>
      </c>
      <c r="J1219" s="263">
        <f t="shared" ca="1" si="196"/>
        <v>61466.585408135339</v>
      </c>
      <c r="K1219" s="182"/>
      <c r="L1219" s="182"/>
      <c r="M1219" s="182"/>
      <c r="N1219" s="182"/>
      <c r="O1219" s="182"/>
    </row>
    <row r="1220" spans="1:15" x14ac:dyDescent="0.25">
      <c r="A1220" s="180">
        <f t="shared" ca="1" si="197"/>
        <v>47310</v>
      </c>
      <c r="B1220" s="181">
        <v>1206</v>
      </c>
      <c r="C1220" s="182">
        <f t="shared" ca="1" si="201"/>
        <v>61466.585408135339</v>
      </c>
      <c r="D1220" s="182">
        <f t="shared" ca="1" si="198"/>
        <v>40.977723605423556</v>
      </c>
      <c r="E1220" s="182">
        <v>0</v>
      </c>
      <c r="F1220" s="182">
        <f t="shared" ca="1" si="202"/>
        <v>0</v>
      </c>
      <c r="G1220" s="182">
        <f t="shared" ca="1" si="199"/>
        <v>0</v>
      </c>
      <c r="H1220" s="182">
        <f t="shared" ca="1" si="200"/>
        <v>61507.563131740761</v>
      </c>
      <c r="I1220" s="183">
        <v>0</v>
      </c>
      <c r="J1220" s="263">
        <f t="shared" ca="1" si="196"/>
        <v>61507.563131740761</v>
      </c>
      <c r="K1220" s="182"/>
      <c r="L1220" s="182"/>
      <c r="M1220" s="182"/>
      <c r="N1220" s="182"/>
      <c r="O1220" s="182"/>
    </row>
    <row r="1221" spans="1:15" x14ac:dyDescent="0.25">
      <c r="A1221" s="180">
        <f t="shared" ca="1" si="197"/>
        <v>47311</v>
      </c>
      <c r="B1221" s="181">
        <v>1207</v>
      </c>
      <c r="C1221" s="182">
        <f t="shared" ca="1" si="201"/>
        <v>61507.563131740761</v>
      </c>
      <c r="D1221" s="182">
        <f t="shared" ca="1" si="198"/>
        <v>41.005042087827171</v>
      </c>
      <c r="E1221" s="182">
        <v>0</v>
      </c>
      <c r="F1221" s="182">
        <f t="shared" ca="1" si="202"/>
        <v>0</v>
      </c>
      <c r="G1221" s="182">
        <f t="shared" ca="1" si="199"/>
        <v>0</v>
      </c>
      <c r="H1221" s="182">
        <f t="shared" ca="1" si="200"/>
        <v>61548.568173828586</v>
      </c>
      <c r="I1221" s="183">
        <v>0</v>
      </c>
      <c r="J1221" s="263">
        <f t="shared" ca="1" si="196"/>
        <v>61548.568173828586</v>
      </c>
      <c r="K1221" s="182"/>
      <c r="L1221" s="182"/>
      <c r="M1221" s="182"/>
      <c r="N1221" s="182"/>
      <c r="O1221" s="182"/>
    </row>
    <row r="1222" spans="1:15" x14ac:dyDescent="0.25">
      <c r="A1222" s="180">
        <f t="shared" ca="1" si="197"/>
        <v>47312</v>
      </c>
      <c r="B1222" s="181">
        <v>1208</v>
      </c>
      <c r="C1222" s="182">
        <f t="shared" ca="1" si="201"/>
        <v>61548.568173828586</v>
      </c>
      <c r="D1222" s="182">
        <f t="shared" ca="1" si="198"/>
        <v>41.032378782552392</v>
      </c>
      <c r="E1222" s="182">
        <v>0</v>
      </c>
      <c r="F1222" s="182">
        <f t="shared" ca="1" si="202"/>
        <v>0</v>
      </c>
      <c r="G1222" s="182">
        <f t="shared" ca="1" si="199"/>
        <v>0</v>
      </c>
      <c r="H1222" s="182">
        <f t="shared" ca="1" si="200"/>
        <v>61589.60055261114</v>
      </c>
      <c r="I1222" s="183">
        <v>0</v>
      </c>
      <c r="J1222" s="263">
        <f t="shared" ca="1" si="196"/>
        <v>61589.60055261114</v>
      </c>
      <c r="K1222" s="182"/>
      <c r="L1222" s="182"/>
      <c r="M1222" s="182"/>
      <c r="N1222" s="182"/>
      <c r="O1222" s="182"/>
    </row>
    <row r="1223" spans="1:15" x14ac:dyDescent="0.25">
      <c r="A1223" s="180">
        <f t="shared" ca="1" si="197"/>
        <v>47313</v>
      </c>
      <c r="B1223" s="181">
        <v>1209</v>
      </c>
      <c r="C1223" s="182">
        <f t="shared" ca="1" si="201"/>
        <v>61589.60055261114</v>
      </c>
      <c r="D1223" s="182">
        <f t="shared" ca="1" si="198"/>
        <v>41.059733701740761</v>
      </c>
      <c r="E1223" s="182">
        <v>0</v>
      </c>
      <c r="F1223" s="182">
        <f t="shared" ca="1" si="202"/>
        <v>0</v>
      </c>
      <c r="G1223" s="182">
        <f t="shared" ca="1" si="199"/>
        <v>0</v>
      </c>
      <c r="H1223" s="182">
        <f t="shared" ca="1" si="200"/>
        <v>61630.660286312879</v>
      </c>
      <c r="I1223" s="183">
        <v>0</v>
      </c>
      <c r="J1223" s="263">
        <f t="shared" ca="1" si="196"/>
        <v>61630.660286312879</v>
      </c>
      <c r="K1223" s="182"/>
      <c r="L1223" s="182"/>
      <c r="M1223" s="182"/>
      <c r="N1223" s="182"/>
      <c r="O1223" s="182"/>
    </row>
    <row r="1224" spans="1:15" x14ac:dyDescent="0.25">
      <c r="A1224" s="180">
        <f t="shared" ca="1" si="197"/>
        <v>47314</v>
      </c>
      <c r="B1224" s="181">
        <v>1210</v>
      </c>
      <c r="C1224" s="182">
        <f t="shared" ca="1" si="201"/>
        <v>61630.660286312879</v>
      </c>
      <c r="D1224" s="182">
        <f t="shared" ca="1" si="198"/>
        <v>41.087106857541919</v>
      </c>
      <c r="E1224" s="182">
        <v>0</v>
      </c>
      <c r="F1224" s="182">
        <f t="shared" ca="1" si="202"/>
        <v>0</v>
      </c>
      <c r="G1224" s="182">
        <f t="shared" ca="1" si="199"/>
        <v>0</v>
      </c>
      <c r="H1224" s="182">
        <f t="shared" ca="1" si="200"/>
        <v>61671.747393170423</v>
      </c>
      <c r="I1224" s="183">
        <v>0</v>
      </c>
      <c r="J1224" s="263">
        <f t="shared" ca="1" si="196"/>
        <v>61671.747393170423</v>
      </c>
      <c r="K1224" s="182"/>
      <c r="L1224" s="182"/>
      <c r="M1224" s="182"/>
      <c r="N1224" s="182"/>
      <c r="O1224" s="182"/>
    </row>
    <row r="1225" spans="1:15" x14ac:dyDescent="0.25">
      <c r="A1225" s="180">
        <f t="shared" ca="1" si="197"/>
        <v>47315</v>
      </c>
      <c r="B1225" s="181">
        <v>1211</v>
      </c>
      <c r="C1225" s="182">
        <f t="shared" ca="1" si="201"/>
        <v>61671.747393170423</v>
      </c>
      <c r="D1225" s="182">
        <f t="shared" ca="1" si="198"/>
        <v>41.114498262113614</v>
      </c>
      <c r="E1225" s="182">
        <v>0</v>
      </c>
      <c r="F1225" s="182">
        <f t="shared" ca="1" si="202"/>
        <v>0</v>
      </c>
      <c r="G1225" s="182">
        <f t="shared" ca="1" si="199"/>
        <v>0</v>
      </c>
      <c r="H1225" s="182">
        <f t="shared" ca="1" si="200"/>
        <v>61712.861891432534</v>
      </c>
      <c r="I1225" s="183">
        <v>0</v>
      </c>
      <c r="J1225" s="263">
        <f t="shared" ca="1" si="196"/>
        <v>61712.861891432534</v>
      </c>
      <c r="K1225" s="182"/>
      <c r="L1225" s="182"/>
      <c r="M1225" s="182"/>
      <c r="N1225" s="182"/>
      <c r="O1225" s="182"/>
    </row>
    <row r="1226" spans="1:15" x14ac:dyDescent="0.25">
      <c r="A1226" s="180">
        <f t="shared" ca="1" si="197"/>
        <v>47316</v>
      </c>
      <c r="B1226" s="181">
        <v>1212</v>
      </c>
      <c r="C1226" s="182">
        <f t="shared" ca="1" si="201"/>
        <v>61712.861891432534</v>
      </c>
      <c r="D1226" s="182">
        <f t="shared" ca="1" si="198"/>
        <v>41.141907927621688</v>
      </c>
      <c r="E1226" s="182">
        <v>0</v>
      </c>
      <c r="F1226" s="182">
        <f t="shared" ca="1" si="202"/>
        <v>0</v>
      </c>
      <c r="G1226" s="182">
        <f t="shared" ca="1" si="199"/>
        <v>0</v>
      </c>
      <c r="H1226" s="182">
        <f t="shared" ca="1" si="200"/>
        <v>61754.003799360158</v>
      </c>
      <c r="I1226" s="183">
        <v>0</v>
      </c>
      <c r="J1226" s="263">
        <f t="shared" ca="1" si="196"/>
        <v>61754.003799360158</v>
      </c>
      <c r="K1226" s="182"/>
      <c r="L1226" s="182"/>
      <c r="M1226" s="182"/>
      <c r="N1226" s="182"/>
      <c r="O1226" s="182"/>
    </row>
    <row r="1227" spans="1:15" x14ac:dyDescent="0.25">
      <c r="A1227" s="180">
        <f t="shared" ca="1" si="197"/>
        <v>47317</v>
      </c>
      <c r="B1227" s="181">
        <v>1213</v>
      </c>
      <c r="C1227" s="182">
        <f t="shared" ca="1" si="201"/>
        <v>61754.003799360158</v>
      </c>
      <c r="D1227" s="182">
        <f t="shared" ca="1" si="198"/>
        <v>41.169335866240104</v>
      </c>
      <c r="E1227" s="182">
        <v>0</v>
      </c>
      <c r="F1227" s="182">
        <f t="shared" ca="1" si="202"/>
        <v>0</v>
      </c>
      <c r="G1227" s="182">
        <f t="shared" ca="1" si="199"/>
        <v>0</v>
      </c>
      <c r="H1227" s="182">
        <f t="shared" ca="1" si="200"/>
        <v>61795.173135226396</v>
      </c>
      <c r="I1227" s="183">
        <v>0</v>
      </c>
      <c r="J1227" s="263">
        <f t="shared" ca="1" si="196"/>
        <v>61795.173135226396</v>
      </c>
      <c r="K1227" s="182"/>
      <c r="L1227" s="182"/>
      <c r="M1227" s="182"/>
      <c r="N1227" s="182"/>
      <c r="O1227" s="182"/>
    </row>
    <row r="1228" spans="1:15" x14ac:dyDescent="0.25">
      <c r="A1228" s="180">
        <f t="shared" ca="1" si="197"/>
        <v>47318</v>
      </c>
      <c r="B1228" s="181">
        <v>1214</v>
      </c>
      <c r="C1228" s="182">
        <f t="shared" ca="1" si="201"/>
        <v>61795.173135226396</v>
      </c>
      <c r="D1228" s="182">
        <f t="shared" ca="1" si="198"/>
        <v>41.196782090150933</v>
      </c>
      <c r="E1228" s="182">
        <v>0</v>
      </c>
      <c r="F1228" s="182">
        <f t="shared" ca="1" si="202"/>
        <v>0</v>
      </c>
      <c r="G1228" s="182">
        <f t="shared" ca="1" si="199"/>
        <v>0</v>
      </c>
      <c r="H1228" s="182">
        <f t="shared" ca="1" si="200"/>
        <v>61836.369917316544</v>
      </c>
      <c r="I1228" s="183">
        <v>0</v>
      </c>
      <c r="J1228" s="263">
        <f t="shared" ca="1" si="196"/>
        <v>61836.369917316544</v>
      </c>
      <c r="K1228" s="182"/>
      <c r="L1228" s="182"/>
      <c r="M1228" s="182"/>
      <c r="N1228" s="182"/>
      <c r="O1228" s="182"/>
    </row>
    <row r="1229" spans="1:15" x14ac:dyDescent="0.25">
      <c r="A1229" s="180">
        <f t="shared" ca="1" si="197"/>
        <v>47319</v>
      </c>
      <c r="B1229" s="181">
        <v>1215</v>
      </c>
      <c r="C1229" s="182">
        <f t="shared" ca="1" si="201"/>
        <v>61836.369917316544</v>
      </c>
      <c r="D1229" s="182">
        <f t="shared" ca="1" si="198"/>
        <v>41.224246611544359</v>
      </c>
      <c r="E1229" s="182">
        <v>0</v>
      </c>
      <c r="F1229" s="182">
        <f t="shared" ca="1" si="202"/>
        <v>0</v>
      </c>
      <c r="G1229" s="182">
        <f t="shared" ca="1" si="199"/>
        <v>0</v>
      </c>
      <c r="H1229" s="182">
        <f t="shared" ca="1" si="200"/>
        <v>61877.594163928086</v>
      </c>
      <c r="I1229" s="183">
        <v>0</v>
      </c>
      <c r="J1229" s="263">
        <f t="shared" ca="1" si="196"/>
        <v>61877.594163928086</v>
      </c>
      <c r="K1229" s="182"/>
      <c r="L1229" s="182"/>
      <c r="M1229" s="182"/>
      <c r="N1229" s="182"/>
      <c r="O1229" s="182"/>
    </row>
    <row r="1230" spans="1:15" x14ac:dyDescent="0.25">
      <c r="A1230" s="180">
        <f t="shared" ca="1" si="197"/>
        <v>47320</v>
      </c>
      <c r="B1230" s="181">
        <v>1216</v>
      </c>
      <c r="C1230" s="182">
        <f t="shared" ca="1" si="201"/>
        <v>61877.594163928086</v>
      </c>
      <c r="D1230" s="182">
        <f t="shared" ca="1" si="198"/>
        <v>41.251729442618725</v>
      </c>
      <c r="E1230" s="182">
        <v>0</v>
      </c>
      <c r="F1230" s="182">
        <f t="shared" ca="1" si="202"/>
        <v>0</v>
      </c>
      <c r="G1230" s="182">
        <f t="shared" ca="1" si="199"/>
        <v>0</v>
      </c>
      <c r="H1230" s="182">
        <f t="shared" ca="1" si="200"/>
        <v>61918.845893370708</v>
      </c>
      <c r="I1230" s="183">
        <v>0</v>
      </c>
      <c r="J1230" s="263">
        <f t="shared" ca="1" si="196"/>
        <v>61918.845893370708</v>
      </c>
      <c r="K1230" s="182"/>
      <c r="L1230" s="182"/>
      <c r="M1230" s="182"/>
      <c r="N1230" s="182"/>
      <c r="O1230" s="182"/>
    </row>
    <row r="1231" spans="1:15" x14ac:dyDescent="0.25">
      <c r="A1231" s="180">
        <f t="shared" ca="1" si="197"/>
        <v>47321</v>
      </c>
      <c r="B1231" s="181">
        <v>1217</v>
      </c>
      <c r="C1231" s="182">
        <f t="shared" ca="1" si="201"/>
        <v>61918.845893370708</v>
      </c>
      <c r="D1231" s="182">
        <f t="shared" ca="1" si="198"/>
        <v>41.279230595580472</v>
      </c>
      <c r="E1231" s="182">
        <v>0</v>
      </c>
      <c r="F1231" s="182">
        <f t="shared" ca="1" si="202"/>
        <v>0</v>
      </c>
      <c r="G1231" s="182">
        <f t="shared" ca="1" si="199"/>
        <v>0</v>
      </c>
      <c r="H1231" s="182">
        <f t="shared" ca="1" si="200"/>
        <v>61960.125123966289</v>
      </c>
      <c r="I1231" s="183">
        <v>0</v>
      </c>
      <c r="J1231" s="263">
        <f t="shared" ref="J1231:J1294" ca="1" si="203">H1231-IF(I$8-G1231&lt;Q$42,I$8-Q$42,G1231)</f>
        <v>61960.125123966289</v>
      </c>
      <c r="K1231" s="182"/>
      <c r="L1231" s="182"/>
      <c r="M1231" s="182"/>
      <c r="N1231" s="182"/>
      <c r="O1231" s="182"/>
    </row>
    <row r="1232" spans="1:15" x14ac:dyDescent="0.25">
      <c r="A1232" s="180">
        <f t="shared" ca="1" si="197"/>
        <v>47322</v>
      </c>
      <c r="B1232" s="181">
        <v>1218</v>
      </c>
      <c r="C1232" s="182">
        <f t="shared" ca="1" si="201"/>
        <v>61960.125123966289</v>
      </c>
      <c r="D1232" s="182">
        <f t="shared" ca="1" si="198"/>
        <v>41.306750082644193</v>
      </c>
      <c r="E1232" s="182">
        <v>0</v>
      </c>
      <c r="F1232" s="182">
        <f t="shared" ca="1" si="202"/>
        <v>0</v>
      </c>
      <c r="G1232" s="182">
        <f t="shared" ca="1" si="199"/>
        <v>0</v>
      </c>
      <c r="H1232" s="182">
        <f t="shared" ca="1" si="200"/>
        <v>62001.431874048933</v>
      </c>
      <c r="I1232" s="183">
        <v>0</v>
      </c>
      <c r="J1232" s="263">
        <f t="shared" ca="1" si="203"/>
        <v>62001.431874048933</v>
      </c>
      <c r="K1232" s="182"/>
      <c r="L1232" s="182"/>
      <c r="M1232" s="182"/>
      <c r="N1232" s="182"/>
      <c r="O1232" s="182"/>
    </row>
    <row r="1233" spans="1:15" x14ac:dyDescent="0.25">
      <c r="A1233" s="180">
        <f t="shared" ref="A1233:A1296" ca="1" si="204">A1232+1</f>
        <v>47323</v>
      </c>
      <c r="B1233" s="181">
        <v>1219</v>
      </c>
      <c r="C1233" s="182">
        <f t="shared" ca="1" si="201"/>
        <v>62001.431874048933</v>
      </c>
      <c r="D1233" s="182">
        <f t="shared" ref="D1233:D1296" ca="1" si="205">(($C$6/360))*C1233</f>
        <v>41.334287916032622</v>
      </c>
      <c r="E1233" s="182">
        <v>0</v>
      </c>
      <c r="F1233" s="182">
        <f t="shared" ca="1" si="202"/>
        <v>0</v>
      </c>
      <c r="G1233" s="182">
        <f t="shared" ref="G1233:G1296" ca="1" si="206">IF(G1232-D1233-E1233&gt;0,G1232-D1233-E1233,0)</f>
        <v>0</v>
      </c>
      <c r="H1233" s="182">
        <f t="shared" ca="1" si="200"/>
        <v>62042.766161964966</v>
      </c>
      <c r="I1233" s="183">
        <v>0</v>
      </c>
      <c r="J1233" s="263">
        <f t="shared" ca="1" si="203"/>
        <v>62042.766161964966</v>
      </c>
      <c r="K1233" s="182"/>
      <c r="L1233" s="182"/>
      <c r="M1233" s="182"/>
      <c r="N1233" s="182"/>
      <c r="O1233" s="182"/>
    </row>
    <row r="1234" spans="1:15" x14ac:dyDescent="0.25">
      <c r="A1234" s="180">
        <f t="shared" ca="1" si="204"/>
        <v>47324</v>
      </c>
      <c r="B1234" s="181">
        <v>1220</v>
      </c>
      <c r="C1234" s="182">
        <f t="shared" ca="1" si="201"/>
        <v>62042.766161964966</v>
      </c>
      <c r="D1234" s="182">
        <f t="shared" ca="1" si="205"/>
        <v>41.361844107976644</v>
      </c>
      <c r="E1234" s="182">
        <v>0</v>
      </c>
      <c r="F1234" s="182">
        <f t="shared" ca="1" si="202"/>
        <v>0</v>
      </c>
      <c r="G1234" s="182">
        <f t="shared" ca="1" si="206"/>
        <v>0</v>
      </c>
      <c r="H1234" s="182">
        <f t="shared" ca="1" si="200"/>
        <v>62084.12800607294</v>
      </c>
      <c r="I1234" s="183">
        <v>0</v>
      </c>
      <c r="J1234" s="263">
        <f t="shared" ca="1" si="203"/>
        <v>62084.12800607294</v>
      </c>
      <c r="K1234" s="182"/>
      <c r="L1234" s="182"/>
      <c r="M1234" s="182"/>
      <c r="N1234" s="182"/>
      <c r="O1234" s="182"/>
    </row>
    <row r="1235" spans="1:15" x14ac:dyDescent="0.25">
      <c r="A1235" s="180">
        <f t="shared" ca="1" si="204"/>
        <v>47325</v>
      </c>
      <c r="B1235" s="181">
        <v>1221</v>
      </c>
      <c r="C1235" s="182">
        <f t="shared" ca="1" si="201"/>
        <v>62084.12800607294</v>
      </c>
      <c r="D1235" s="182">
        <f t="shared" ca="1" si="205"/>
        <v>41.389418670715294</v>
      </c>
      <c r="E1235" s="182">
        <v>0</v>
      </c>
      <c r="F1235" s="182">
        <f t="shared" ca="1" si="202"/>
        <v>0</v>
      </c>
      <c r="G1235" s="182">
        <f t="shared" ca="1" si="206"/>
        <v>0</v>
      </c>
      <c r="H1235" s="182">
        <f t="shared" ca="1" si="200"/>
        <v>62125.517424743659</v>
      </c>
      <c r="I1235" s="183">
        <v>0</v>
      </c>
      <c r="J1235" s="263">
        <f t="shared" ca="1" si="203"/>
        <v>62125.517424743659</v>
      </c>
      <c r="K1235" s="182"/>
      <c r="L1235" s="182"/>
      <c r="M1235" s="182"/>
      <c r="N1235" s="182"/>
      <c r="O1235" s="182"/>
    </row>
    <row r="1236" spans="1:15" x14ac:dyDescent="0.25">
      <c r="A1236" s="180">
        <f t="shared" ca="1" si="204"/>
        <v>47326</v>
      </c>
      <c r="B1236" s="181">
        <v>1222</v>
      </c>
      <c r="C1236" s="182">
        <f t="shared" ca="1" si="201"/>
        <v>62125.517424743659</v>
      </c>
      <c r="D1236" s="182">
        <f t="shared" ca="1" si="205"/>
        <v>41.41701161649577</v>
      </c>
      <c r="E1236" s="182">
        <v>0</v>
      </c>
      <c r="F1236" s="182">
        <f t="shared" ca="1" si="202"/>
        <v>0</v>
      </c>
      <c r="G1236" s="182">
        <f t="shared" ca="1" si="206"/>
        <v>0</v>
      </c>
      <c r="H1236" s="182">
        <f t="shared" ca="1" si="200"/>
        <v>62166.934436360156</v>
      </c>
      <c r="I1236" s="183">
        <v>0</v>
      </c>
      <c r="J1236" s="263">
        <f t="shared" ca="1" si="203"/>
        <v>62166.934436360156</v>
      </c>
      <c r="K1236" s="182"/>
      <c r="L1236" s="182"/>
      <c r="M1236" s="182"/>
      <c r="N1236" s="182"/>
      <c r="O1236" s="182"/>
    </row>
    <row r="1237" spans="1:15" x14ac:dyDescent="0.25">
      <c r="A1237" s="180">
        <f t="shared" ca="1" si="204"/>
        <v>47327</v>
      </c>
      <c r="B1237" s="181">
        <v>1223</v>
      </c>
      <c r="C1237" s="182">
        <f t="shared" ca="1" si="201"/>
        <v>62166.934436360156</v>
      </c>
      <c r="D1237" s="182">
        <f t="shared" ca="1" si="205"/>
        <v>41.444622957573436</v>
      </c>
      <c r="E1237" s="182">
        <v>0</v>
      </c>
      <c r="F1237" s="182">
        <f t="shared" ca="1" si="202"/>
        <v>0</v>
      </c>
      <c r="G1237" s="182">
        <f t="shared" ca="1" si="206"/>
        <v>0</v>
      </c>
      <c r="H1237" s="182">
        <f t="shared" ca="1" si="200"/>
        <v>62208.379059317733</v>
      </c>
      <c r="I1237" s="183">
        <v>0</v>
      </c>
      <c r="J1237" s="263">
        <f t="shared" ca="1" si="203"/>
        <v>62208.379059317733</v>
      </c>
      <c r="K1237" s="182"/>
      <c r="L1237" s="182"/>
      <c r="M1237" s="182"/>
      <c r="N1237" s="182"/>
      <c r="O1237" s="182"/>
    </row>
    <row r="1238" spans="1:15" x14ac:dyDescent="0.25">
      <c r="A1238" s="180">
        <f t="shared" ca="1" si="204"/>
        <v>47328</v>
      </c>
      <c r="B1238" s="181">
        <v>1224</v>
      </c>
      <c r="C1238" s="182">
        <f t="shared" ca="1" si="201"/>
        <v>62208.379059317733</v>
      </c>
      <c r="D1238" s="182">
        <f t="shared" ca="1" si="205"/>
        <v>41.472252706211819</v>
      </c>
      <c r="E1238" s="182">
        <v>0</v>
      </c>
      <c r="F1238" s="182">
        <f t="shared" ca="1" si="202"/>
        <v>0</v>
      </c>
      <c r="G1238" s="182">
        <f t="shared" ca="1" si="206"/>
        <v>0</v>
      </c>
      <c r="H1238" s="182">
        <f t="shared" ca="1" si="200"/>
        <v>62249.851312023944</v>
      </c>
      <c r="I1238" s="183">
        <v>0</v>
      </c>
      <c r="J1238" s="263">
        <f t="shared" ca="1" si="203"/>
        <v>62249.851312023944</v>
      </c>
      <c r="K1238" s="182"/>
      <c r="L1238" s="182"/>
      <c r="M1238" s="182"/>
      <c r="N1238" s="182"/>
      <c r="O1238" s="182"/>
    </row>
    <row r="1239" spans="1:15" x14ac:dyDescent="0.25">
      <c r="A1239" s="180">
        <f t="shared" ca="1" si="204"/>
        <v>47329</v>
      </c>
      <c r="B1239" s="181">
        <v>1225</v>
      </c>
      <c r="C1239" s="182">
        <f t="shared" ca="1" si="201"/>
        <v>62249.851312023944</v>
      </c>
      <c r="D1239" s="182">
        <f t="shared" ca="1" si="205"/>
        <v>41.499900874682631</v>
      </c>
      <c r="E1239" s="182">
        <v>0</v>
      </c>
      <c r="F1239" s="182">
        <f t="shared" ca="1" si="202"/>
        <v>0</v>
      </c>
      <c r="G1239" s="182">
        <f t="shared" ca="1" si="206"/>
        <v>0</v>
      </c>
      <c r="H1239" s="182">
        <f t="shared" ca="1" si="200"/>
        <v>62291.351212898626</v>
      </c>
      <c r="I1239" s="183">
        <v>0</v>
      </c>
      <c r="J1239" s="263">
        <f t="shared" ca="1" si="203"/>
        <v>62291.351212898626</v>
      </c>
      <c r="K1239" s="182"/>
      <c r="L1239" s="182"/>
      <c r="M1239" s="182"/>
      <c r="N1239" s="182"/>
      <c r="O1239" s="182"/>
    </row>
    <row r="1240" spans="1:15" x14ac:dyDescent="0.25">
      <c r="A1240" s="180">
        <f t="shared" ca="1" si="204"/>
        <v>47330</v>
      </c>
      <c r="B1240" s="181">
        <v>1226</v>
      </c>
      <c r="C1240" s="182">
        <f t="shared" ca="1" si="201"/>
        <v>62291.351212898626</v>
      </c>
      <c r="D1240" s="182">
        <f t="shared" ca="1" si="205"/>
        <v>41.527567475265748</v>
      </c>
      <c r="E1240" s="182">
        <v>0</v>
      </c>
      <c r="F1240" s="182">
        <f t="shared" ca="1" si="202"/>
        <v>0</v>
      </c>
      <c r="G1240" s="182">
        <f t="shared" ca="1" si="206"/>
        <v>0</v>
      </c>
      <c r="H1240" s="182">
        <f t="shared" ca="1" si="200"/>
        <v>62332.878780373889</v>
      </c>
      <c r="I1240" s="183">
        <v>0</v>
      </c>
      <c r="J1240" s="263">
        <f t="shared" ca="1" si="203"/>
        <v>62332.878780373889</v>
      </c>
      <c r="K1240" s="182"/>
      <c r="L1240" s="182"/>
      <c r="M1240" s="182"/>
      <c r="N1240" s="182"/>
      <c r="O1240" s="182"/>
    </row>
    <row r="1241" spans="1:15" x14ac:dyDescent="0.25">
      <c r="A1241" s="180">
        <f t="shared" ca="1" si="204"/>
        <v>47331</v>
      </c>
      <c r="B1241" s="181">
        <v>1227</v>
      </c>
      <c r="C1241" s="182">
        <f t="shared" ca="1" si="201"/>
        <v>62332.878780373889</v>
      </c>
      <c r="D1241" s="182">
        <f t="shared" ca="1" si="205"/>
        <v>41.555252520249255</v>
      </c>
      <c r="E1241" s="182">
        <v>0</v>
      </c>
      <c r="F1241" s="182">
        <f t="shared" ca="1" si="202"/>
        <v>0</v>
      </c>
      <c r="G1241" s="182">
        <f t="shared" ca="1" si="206"/>
        <v>0</v>
      </c>
      <c r="H1241" s="182">
        <f t="shared" ca="1" si="200"/>
        <v>62374.43403289414</v>
      </c>
      <c r="I1241" s="183">
        <v>0</v>
      </c>
      <c r="J1241" s="263">
        <f t="shared" ca="1" si="203"/>
        <v>62374.43403289414</v>
      </c>
      <c r="K1241" s="182"/>
      <c r="L1241" s="182"/>
      <c r="M1241" s="182"/>
      <c r="N1241" s="182"/>
      <c r="O1241" s="182"/>
    </row>
    <row r="1242" spans="1:15" x14ac:dyDescent="0.25">
      <c r="A1242" s="180">
        <f t="shared" ca="1" si="204"/>
        <v>47332</v>
      </c>
      <c r="B1242" s="181">
        <v>1228</v>
      </c>
      <c r="C1242" s="182">
        <f t="shared" ca="1" si="201"/>
        <v>62374.43403289414</v>
      </c>
      <c r="D1242" s="182">
        <f t="shared" ca="1" si="205"/>
        <v>41.582956021929427</v>
      </c>
      <c r="E1242" s="182">
        <v>0</v>
      </c>
      <c r="F1242" s="182">
        <f t="shared" ca="1" si="202"/>
        <v>0</v>
      </c>
      <c r="G1242" s="182">
        <f t="shared" ca="1" si="206"/>
        <v>0</v>
      </c>
      <c r="H1242" s="182">
        <f t="shared" ca="1" si="200"/>
        <v>62416.016988916068</v>
      </c>
      <c r="I1242" s="183">
        <v>0</v>
      </c>
      <c r="J1242" s="263">
        <f t="shared" ca="1" si="203"/>
        <v>62416.016988916068</v>
      </c>
      <c r="K1242" s="182"/>
      <c r="L1242" s="182"/>
      <c r="M1242" s="182"/>
      <c r="N1242" s="182"/>
      <c r="O1242" s="182"/>
    </row>
    <row r="1243" spans="1:15" x14ac:dyDescent="0.25">
      <c r="A1243" s="180">
        <f t="shared" ca="1" si="204"/>
        <v>47333</v>
      </c>
      <c r="B1243" s="181">
        <v>1229</v>
      </c>
      <c r="C1243" s="182">
        <f t="shared" ca="1" si="201"/>
        <v>62416.016988916068</v>
      </c>
      <c r="D1243" s="182">
        <f t="shared" ca="1" si="205"/>
        <v>41.610677992610711</v>
      </c>
      <c r="E1243" s="182">
        <v>0</v>
      </c>
      <c r="F1243" s="182">
        <f t="shared" ca="1" si="202"/>
        <v>0</v>
      </c>
      <c r="G1243" s="182">
        <f t="shared" ca="1" si="206"/>
        <v>0</v>
      </c>
      <c r="H1243" s="182">
        <f t="shared" ca="1" si="200"/>
        <v>62457.62766690868</v>
      </c>
      <c r="I1243" s="183">
        <v>0</v>
      </c>
      <c r="J1243" s="263">
        <f t="shared" ca="1" si="203"/>
        <v>62457.62766690868</v>
      </c>
      <c r="K1243" s="182"/>
      <c r="L1243" s="182"/>
      <c r="M1243" s="182"/>
      <c r="N1243" s="182"/>
      <c r="O1243" s="182"/>
    </row>
    <row r="1244" spans="1:15" x14ac:dyDescent="0.25">
      <c r="A1244" s="180">
        <f t="shared" ca="1" si="204"/>
        <v>47334</v>
      </c>
      <c r="B1244" s="181">
        <v>1230</v>
      </c>
      <c r="C1244" s="182">
        <f t="shared" ca="1" si="201"/>
        <v>62457.62766690868</v>
      </c>
      <c r="D1244" s="182">
        <f t="shared" ca="1" si="205"/>
        <v>41.638418444605783</v>
      </c>
      <c r="E1244" s="182">
        <v>0</v>
      </c>
      <c r="F1244" s="182">
        <f t="shared" ca="1" si="202"/>
        <v>0</v>
      </c>
      <c r="G1244" s="182">
        <f t="shared" ca="1" si="206"/>
        <v>0</v>
      </c>
      <c r="H1244" s="182">
        <f t="shared" ca="1" si="200"/>
        <v>62499.266085353287</v>
      </c>
      <c r="I1244" s="183">
        <v>0</v>
      </c>
      <c r="J1244" s="263">
        <f t="shared" ca="1" si="203"/>
        <v>62499.266085353287</v>
      </c>
      <c r="K1244" s="182"/>
      <c r="L1244" s="182"/>
      <c r="M1244" s="182"/>
      <c r="N1244" s="182"/>
      <c r="O1244" s="182"/>
    </row>
    <row r="1245" spans="1:15" x14ac:dyDescent="0.25">
      <c r="A1245" s="180">
        <f t="shared" ca="1" si="204"/>
        <v>47335</v>
      </c>
      <c r="B1245" s="181">
        <v>1231</v>
      </c>
      <c r="C1245" s="182">
        <f t="shared" ca="1" si="201"/>
        <v>62499.266085353287</v>
      </c>
      <c r="D1245" s="182">
        <f t="shared" ca="1" si="205"/>
        <v>41.666177390235525</v>
      </c>
      <c r="E1245" s="182">
        <v>0</v>
      </c>
      <c r="F1245" s="182">
        <f t="shared" ca="1" si="202"/>
        <v>0</v>
      </c>
      <c r="G1245" s="182">
        <f t="shared" ca="1" si="206"/>
        <v>0</v>
      </c>
      <c r="H1245" s="182">
        <f t="shared" ca="1" si="200"/>
        <v>62540.932262743525</v>
      </c>
      <c r="I1245" s="183">
        <v>0</v>
      </c>
      <c r="J1245" s="263">
        <f t="shared" ca="1" si="203"/>
        <v>62540.932262743525</v>
      </c>
      <c r="K1245" s="182"/>
      <c r="L1245" s="182"/>
      <c r="M1245" s="182"/>
      <c r="N1245" s="182"/>
      <c r="O1245" s="182"/>
    </row>
    <row r="1246" spans="1:15" x14ac:dyDescent="0.25">
      <c r="A1246" s="180">
        <f t="shared" ca="1" si="204"/>
        <v>47336</v>
      </c>
      <c r="B1246" s="181">
        <v>1232</v>
      </c>
      <c r="C1246" s="182">
        <f t="shared" ca="1" si="201"/>
        <v>62540.932262743525</v>
      </c>
      <c r="D1246" s="182">
        <f t="shared" ca="1" si="205"/>
        <v>41.693954841829019</v>
      </c>
      <c r="E1246" s="182">
        <v>0</v>
      </c>
      <c r="F1246" s="182">
        <f t="shared" ca="1" si="202"/>
        <v>0</v>
      </c>
      <c r="G1246" s="182">
        <f t="shared" ca="1" si="206"/>
        <v>0</v>
      </c>
      <c r="H1246" s="182">
        <f t="shared" ca="1" si="200"/>
        <v>62582.626217585355</v>
      </c>
      <c r="I1246" s="183">
        <v>0</v>
      </c>
      <c r="J1246" s="263">
        <f t="shared" ca="1" si="203"/>
        <v>62582.626217585355</v>
      </c>
      <c r="K1246" s="182"/>
      <c r="L1246" s="182"/>
      <c r="M1246" s="182"/>
      <c r="N1246" s="182"/>
      <c r="O1246" s="182"/>
    </row>
    <row r="1247" spans="1:15" x14ac:dyDescent="0.25">
      <c r="A1247" s="180">
        <f t="shared" ca="1" si="204"/>
        <v>47337</v>
      </c>
      <c r="B1247" s="181">
        <v>1233</v>
      </c>
      <c r="C1247" s="182">
        <f t="shared" ca="1" si="201"/>
        <v>62582.626217585355</v>
      </c>
      <c r="D1247" s="182">
        <f t="shared" ca="1" si="205"/>
        <v>41.721750811723567</v>
      </c>
      <c r="E1247" s="182">
        <v>0</v>
      </c>
      <c r="F1247" s="182">
        <f t="shared" ca="1" si="202"/>
        <v>0</v>
      </c>
      <c r="G1247" s="182">
        <f t="shared" ca="1" si="206"/>
        <v>0</v>
      </c>
      <c r="H1247" s="182">
        <f t="shared" ca="1" si="200"/>
        <v>62624.34796839708</v>
      </c>
      <c r="I1247" s="183">
        <v>0</v>
      </c>
      <c r="J1247" s="263">
        <f t="shared" ca="1" si="203"/>
        <v>62624.34796839708</v>
      </c>
      <c r="K1247" s="182"/>
      <c r="L1247" s="182"/>
      <c r="M1247" s="182"/>
      <c r="N1247" s="182"/>
      <c r="O1247" s="182"/>
    </row>
    <row r="1248" spans="1:15" x14ac:dyDescent="0.25">
      <c r="A1248" s="180">
        <f t="shared" ca="1" si="204"/>
        <v>47338</v>
      </c>
      <c r="B1248" s="181">
        <v>1234</v>
      </c>
      <c r="C1248" s="182">
        <f t="shared" ca="1" si="201"/>
        <v>62624.34796839708</v>
      </c>
      <c r="D1248" s="182">
        <f t="shared" ca="1" si="205"/>
        <v>41.749565312264721</v>
      </c>
      <c r="E1248" s="182">
        <v>0</v>
      </c>
      <c r="F1248" s="182">
        <f t="shared" ca="1" si="202"/>
        <v>0</v>
      </c>
      <c r="G1248" s="182">
        <f t="shared" ca="1" si="206"/>
        <v>0</v>
      </c>
      <c r="H1248" s="182">
        <f t="shared" ca="1" si="200"/>
        <v>62666.097533709348</v>
      </c>
      <c r="I1248" s="183">
        <v>0</v>
      </c>
      <c r="J1248" s="263">
        <f t="shared" ca="1" si="203"/>
        <v>62666.097533709348</v>
      </c>
      <c r="K1248" s="182"/>
      <c r="L1248" s="182"/>
      <c r="M1248" s="182"/>
      <c r="N1248" s="182"/>
      <c r="O1248" s="182"/>
    </row>
    <row r="1249" spans="1:15" x14ac:dyDescent="0.25">
      <c r="A1249" s="180">
        <f t="shared" ca="1" si="204"/>
        <v>47339</v>
      </c>
      <c r="B1249" s="181">
        <v>1235</v>
      </c>
      <c r="C1249" s="182">
        <f t="shared" ca="1" si="201"/>
        <v>62666.097533709348</v>
      </c>
      <c r="D1249" s="182">
        <f t="shared" ca="1" si="205"/>
        <v>41.777398355806227</v>
      </c>
      <c r="E1249" s="182">
        <v>0</v>
      </c>
      <c r="F1249" s="182">
        <f t="shared" ca="1" si="202"/>
        <v>0</v>
      </c>
      <c r="G1249" s="182">
        <f t="shared" ca="1" si="206"/>
        <v>0</v>
      </c>
      <c r="H1249" s="182">
        <f t="shared" ca="1" si="200"/>
        <v>62707.874932065155</v>
      </c>
      <c r="I1249" s="183">
        <v>0</v>
      </c>
      <c r="J1249" s="263">
        <f t="shared" ca="1" si="203"/>
        <v>62707.874932065155</v>
      </c>
      <c r="K1249" s="182"/>
      <c r="L1249" s="182"/>
      <c r="M1249" s="182"/>
      <c r="N1249" s="182"/>
      <c r="O1249" s="182"/>
    </row>
    <row r="1250" spans="1:15" x14ac:dyDescent="0.25">
      <c r="A1250" s="180">
        <f t="shared" ca="1" si="204"/>
        <v>47340</v>
      </c>
      <c r="B1250" s="181">
        <v>1236</v>
      </c>
      <c r="C1250" s="182">
        <f t="shared" ca="1" si="201"/>
        <v>62707.874932065155</v>
      </c>
      <c r="D1250" s="182">
        <f t="shared" ca="1" si="205"/>
        <v>41.805249954710099</v>
      </c>
      <c r="E1250" s="182">
        <v>0</v>
      </c>
      <c r="F1250" s="182">
        <f t="shared" ca="1" si="202"/>
        <v>0</v>
      </c>
      <c r="G1250" s="182">
        <f t="shared" ca="1" si="206"/>
        <v>0</v>
      </c>
      <c r="H1250" s="182">
        <f t="shared" ca="1" si="200"/>
        <v>62749.680182019867</v>
      </c>
      <c r="I1250" s="183">
        <v>0</v>
      </c>
      <c r="J1250" s="263">
        <f t="shared" ca="1" si="203"/>
        <v>62749.680182019867</v>
      </c>
      <c r="K1250" s="182"/>
      <c r="L1250" s="182"/>
      <c r="M1250" s="182"/>
      <c r="N1250" s="182"/>
      <c r="O1250" s="182"/>
    </row>
    <row r="1251" spans="1:15" x14ac:dyDescent="0.25">
      <c r="A1251" s="180">
        <f t="shared" ca="1" si="204"/>
        <v>47341</v>
      </c>
      <c r="B1251" s="181">
        <v>1237</v>
      </c>
      <c r="C1251" s="182">
        <f t="shared" ca="1" si="201"/>
        <v>62749.680182019867</v>
      </c>
      <c r="D1251" s="182">
        <f t="shared" ca="1" si="205"/>
        <v>41.833120121346575</v>
      </c>
      <c r="E1251" s="182">
        <v>0</v>
      </c>
      <c r="F1251" s="182">
        <f t="shared" ca="1" si="202"/>
        <v>0</v>
      </c>
      <c r="G1251" s="182">
        <f t="shared" ca="1" si="206"/>
        <v>0</v>
      </c>
      <c r="H1251" s="182">
        <f t="shared" ref="H1251:H1314" ca="1" si="207">IF(G1251&gt;0,C1251+F1251+I1251,SUM(C1251:F1251)-G1250)</f>
        <v>62791.513302141211</v>
      </c>
      <c r="I1251" s="183">
        <v>0</v>
      </c>
      <c r="J1251" s="263">
        <f t="shared" ca="1" si="203"/>
        <v>62791.513302141211</v>
      </c>
      <c r="K1251" s="182"/>
      <c r="L1251" s="182"/>
      <c r="M1251" s="182"/>
      <c r="N1251" s="182"/>
      <c r="O1251" s="182"/>
    </row>
    <row r="1252" spans="1:15" x14ac:dyDescent="0.25">
      <c r="A1252" s="180">
        <f t="shared" ca="1" si="204"/>
        <v>47342</v>
      </c>
      <c r="B1252" s="181">
        <v>1238</v>
      </c>
      <c r="C1252" s="182">
        <f t="shared" ca="1" si="201"/>
        <v>62791.513302141211</v>
      </c>
      <c r="D1252" s="182">
        <f t="shared" ca="1" si="205"/>
        <v>41.861008868094139</v>
      </c>
      <c r="E1252" s="182">
        <v>0</v>
      </c>
      <c r="F1252" s="182">
        <f t="shared" ca="1" si="202"/>
        <v>0</v>
      </c>
      <c r="G1252" s="182">
        <f t="shared" ca="1" si="206"/>
        <v>0</v>
      </c>
      <c r="H1252" s="182">
        <f t="shared" ca="1" si="207"/>
        <v>62833.374311009306</v>
      </c>
      <c r="I1252" s="183">
        <v>0</v>
      </c>
      <c r="J1252" s="263">
        <f t="shared" ca="1" si="203"/>
        <v>62833.374311009306</v>
      </c>
      <c r="K1252" s="182"/>
      <c r="L1252" s="182"/>
      <c r="M1252" s="182"/>
      <c r="N1252" s="182"/>
      <c r="O1252" s="182"/>
    </row>
    <row r="1253" spans="1:15" x14ac:dyDescent="0.25">
      <c r="A1253" s="180">
        <f t="shared" ca="1" si="204"/>
        <v>47343</v>
      </c>
      <c r="B1253" s="181">
        <v>1239</v>
      </c>
      <c r="C1253" s="182">
        <f t="shared" ca="1" si="201"/>
        <v>62833.374311009306</v>
      </c>
      <c r="D1253" s="182">
        <f t="shared" ca="1" si="205"/>
        <v>41.888916207339534</v>
      </c>
      <c r="E1253" s="182">
        <v>0</v>
      </c>
      <c r="F1253" s="182">
        <f t="shared" ca="1" si="202"/>
        <v>0</v>
      </c>
      <c r="G1253" s="182">
        <f t="shared" ca="1" si="206"/>
        <v>0</v>
      </c>
      <c r="H1253" s="182">
        <f t="shared" ca="1" si="207"/>
        <v>62875.263227216645</v>
      </c>
      <c r="I1253" s="183">
        <v>0</v>
      </c>
      <c r="J1253" s="263">
        <f t="shared" ca="1" si="203"/>
        <v>62875.263227216645</v>
      </c>
      <c r="K1253" s="182"/>
      <c r="L1253" s="182"/>
      <c r="M1253" s="182"/>
      <c r="N1253" s="182"/>
      <c r="O1253" s="182"/>
    </row>
    <row r="1254" spans="1:15" x14ac:dyDescent="0.25">
      <c r="A1254" s="180">
        <f t="shared" ca="1" si="204"/>
        <v>47344</v>
      </c>
      <c r="B1254" s="181">
        <v>1240</v>
      </c>
      <c r="C1254" s="182">
        <f t="shared" ca="1" si="201"/>
        <v>62875.263227216645</v>
      </c>
      <c r="D1254" s="182">
        <f t="shared" ca="1" si="205"/>
        <v>41.916842151477759</v>
      </c>
      <c r="E1254" s="182">
        <v>0</v>
      </c>
      <c r="F1254" s="182">
        <f t="shared" ca="1" si="202"/>
        <v>0</v>
      </c>
      <c r="G1254" s="182">
        <f t="shared" ca="1" si="206"/>
        <v>0</v>
      </c>
      <c r="H1254" s="182">
        <f t="shared" ca="1" si="207"/>
        <v>62917.180069368122</v>
      </c>
      <c r="I1254" s="183">
        <v>0</v>
      </c>
      <c r="J1254" s="263">
        <f t="shared" ca="1" si="203"/>
        <v>62917.180069368122</v>
      </c>
      <c r="K1254" s="182"/>
      <c r="L1254" s="182"/>
      <c r="M1254" s="182"/>
      <c r="N1254" s="182"/>
      <c r="O1254" s="182"/>
    </row>
    <row r="1255" spans="1:15" x14ac:dyDescent="0.25">
      <c r="A1255" s="180">
        <f t="shared" ca="1" si="204"/>
        <v>47345</v>
      </c>
      <c r="B1255" s="181">
        <v>1241</v>
      </c>
      <c r="C1255" s="182">
        <f t="shared" ca="1" si="201"/>
        <v>62917.180069368122</v>
      </c>
      <c r="D1255" s="182">
        <f t="shared" ca="1" si="205"/>
        <v>41.944786712912077</v>
      </c>
      <c r="E1255" s="182">
        <v>0</v>
      </c>
      <c r="F1255" s="182">
        <f t="shared" ca="1" si="202"/>
        <v>0</v>
      </c>
      <c r="G1255" s="182">
        <f t="shared" ca="1" si="206"/>
        <v>0</v>
      </c>
      <c r="H1255" s="182">
        <f t="shared" ca="1" si="207"/>
        <v>62959.124856081035</v>
      </c>
      <c r="I1255" s="183">
        <v>0</v>
      </c>
      <c r="J1255" s="263">
        <f t="shared" ca="1" si="203"/>
        <v>62959.124856081035</v>
      </c>
      <c r="K1255" s="182"/>
      <c r="L1255" s="182"/>
      <c r="M1255" s="182"/>
      <c r="N1255" s="182"/>
      <c r="O1255" s="182"/>
    </row>
    <row r="1256" spans="1:15" x14ac:dyDescent="0.25">
      <c r="A1256" s="180">
        <f t="shared" ca="1" si="204"/>
        <v>47346</v>
      </c>
      <c r="B1256" s="181">
        <v>1242</v>
      </c>
      <c r="C1256" s="182">
        <f t="shared" ca="1" si="201"/>
        <v>62959.124856081035</v>
      </c>
      <c r="D1256" s="182">
        <f t="shared" ca="1" si="205"/>
        <v>41.97274990405402</v>
      </c>
      <c r="E1256" s="182">
        <v>0</v>
      </c>
      <c r="F1256" s="182">
        <f t="shared" ca="1" si="202"/>
        <v>0</v>
      </c>
      <c r="G1256" s="182">
        <f t="shared" ca="1" si="206"/>
        <v>0</v>
      </c>
      <c r="H1256" s="182">
        <f t="shared" ca="1" si="207"/>
        <v>63001.097605985087</v>
      </c>
      <c r="I1256" s="183">
        <v>0</v>
      </c>
      <c r="J1256" s="263">
        <f t="shared" ca="1" si="203"/>
        <v>63001.097605985087</v>
      </c>
      <c r="K1256" s="182"/>
      <c r="L1256" s="182"/>
      <c r="M1256" s="182"/>
      <c r="N1256" s="182"/>
      <c r="O1256" s="182"/>
    </row>
    <row r="1257" spans="1:15" x14ac:dyDescent="0.25">
      <c r="A1257" s="180">
        <f t="shared" ca="1" si="204"/>
        <v>47347</v>
      </c>
      <c r="B1257" s="181">
        <v>1243</v>
      </c>
      <c r="C1257" s="182">
        <f t="shared" ca="1" si="201"/>
        <v>63001.097605985087</v>
      </c>
      <c r="D1257" s="182">
        <f t="shared" ca="1" si="205"/>
        <v>42.000731737323392</v>
      </c>
      <c r="E1257" s="182">
        <v>0</v>
      </c>
      <c r="F1257" s="182">
        <f t="shared" ca="1" si="202"/>
        <v>0</v>
      </c>
      <c r="G1257" s="182">
        <f t="shared" ca="1" si="206"/>
        <v>0</v>
      </c>
      <c r="H1257" s="182">
        <f t="shared" ca="1" si="207"/>
        <v>63043.098337722411</v>
      </c>
      <c r="I1257" s="183">
        <v>0</v>
      </c>
      <c r="J1257" s="263">
        <f t="shared" ca="1" si="203"/>
        <v>63043.098337722411</v>
      </c>
      <c r="K1257" s="182"/>
      <c r="L1257" s="182"/>
      <c r="M1257" s="182"/>
      <c r="N1257" s="182"/>
      <c r="O1257" s="182"/>
    </row>
    <row r="1258" spans="1:15" x14ac:dyDescent="0.25">
      <c r="A1258" s="180">
        <f t="shared" ca="1" si="204"/>
        <v>47348</v>
      </c>
      <c r="B1258" s="181">
        <v>1244</v>
      </c>
      <c r="C1258" s="182">
        <f t="shared" ca="1" si="201"/>
        <v>63043.098337722411</v>
      </c>
      <c r="D1258" s="182">
        <f t="shared" ca="1" si="205"/>
        <v>42.028732225148275</v>
      </c>
      <c r="E1258" s="182">
        <v>0</v>
      </c>
      <c r="F1258" s="182">
        <f t="shared" ca="1" si="202"/>
        <v>0</v>
      </c>
      <c r="G1258" s="182">
        <f t="shared" ca="1" si="206"/>
        <v>0</v>
      </c>
      <c r="H1258" s="182">
        <f t="shared" ca="1" si="207"/>
        <v>63085.127069947557</v>
      </c>
      <c r="I1258" s="183">
        <v>0</v>
      </c>
      <c r="J1258" s="263">
        <f t="shared" ca="1" si="203"/>
        <v>63085.127069947557</v>
      </c>
      <c r="K1258" s="182"/>
      <c r="L1258" s="182"/>
      <c r="M1258" s="182"/>
      <c r="N1258" s="182"/>
      <c r="O1258" s="182"/>
    </row>
    <row r="1259" spans="1:15" x14ac:dyDescent="0.25">
      <c r="A1259" s="180">
        <f t="shared" ca="1" si="204"/>
        <v>47349</v>
      </c>
      <c r="B1259" s="181">
        <v>1245</v>
      </c>
      <c r="C1259" s="182">
        <f t="shared" ref="C1259:C1322" ca="1" si="208">H1258</f>
        <v>63085.127069947557</v>
      </c>
      <c r="D1259" s="182">
        <f t="shared" ca="1" si="205"/>
        <v>42.056751379965036</v>
      </c>
      <c r="E1259" s="182">
        <v>0</v>
      </c>
      <c r="F1259" s="182">
        <f t="shared" ca="1" si="202"/>
        <v>0</v>
      </c>
      <c r="G1259" s="182">
        <f t="shared" ca="1" si="206"/>
        <v>0</v>
      </c>
      <c r="H1259" s="182">
        <f t="shared" ca="1" si="207"/>
        <v>63127.183821327519</v>
      </c>
      <c r="I1259" s="183">
        <v>0</v>
      </c>
      <c r="J1259" s="263">
        <f t="shared" ca="1" si="203"/>
        <v>63127.183821327519</v>
      </c>
      <c r="K1259" s="182"/>
      <c r="L1259" s="182"/>
      <c r="M1259" s="182"/>
      <c r="N1259" s="182"/>
      <c r="O1259" s="182"/>
    </row>
    <row r="1260" spans="1:15" x14ac:dyDescent="0.25">
      <c r="A1260" s="180">
        <f t="shared" ca="1" si="204"/>
        <v>47350</v>
      </c>
      <c r="B1260" s="181">
        <v>1246</v>
      </c>
      <c r="C1260" s="182">
        <f t="shared" ca="1" si="208"/>
        <v>63127.183821327519</v>
      </c>
      <c r="D1260" s="182">
        <f t="shared" ca="1" si="205"/>
        <v>42.084789214218347</v>
      </c>
      <c r="E1260" s="182">
        <v>0</v>
      </c>
      <c r="F1260" s="182">
        <f t="shared" ref="F1260:F1323" ca="1" si="209">IFERROR(-VLOOKUP(A1260,$P$4:$R$31,2,FALSE),0)</f>
        <v>0</v>
      </c>
      <c r="G1260" s="182">
        <f t="shared" ca="1" si="206"/>
        <v>0</v>
      </c>
      <c r="H1260" s="182">
        <f t="shared" ca="1" si="207"/>
        <v>63169.268610541738</v>
      </c>
      <c r="I1260" s="183">
        <v>0</v>
      </c>
      <c r="J1260" s="263">
        <f t="shared" ca="1" si="203"/>
        <v>63169.268610541738</v>
      </c>
      <c r="K1260" s="182"/>
      <c r="L1260" s="182"/>
      <c r="M1260" s="182"/>
      <c r="N1260" s="182"/>
      <c r="O1260" s="182"/>
    </row>
    <row r="1261" spans="1:15" x14ac:dyDescent="0.25">
      <c r="A1261" s="180">
        <f t="shared" ca="1" si="204"/>
        <v>47351</v>
      </c>
      <c r="B1261" s="181">
        <v>1247</v>
      </c>
      <c r="C1261" s="182">
        <f t="shared" ca="1" si="208"/>
        <v>63169.268610541738</v>
      </c>
      <c r="D1261" s="182">
        <f t="shared" ca="1" si="205"/>
        <v>42.112845740361159</v>
      </c>
      <c r="E1261" s="182">
        <v>0</v>
      </c>
      <c r="F1261" s="182">
        <f t="shared" ca="1" si="209"/>
        <v>0</v>
      </c>
      <c r="G1261" s="182">
        <f t="shared" ca="1" si="206"/>
        <v>0</v>
      </c>
      <c r="H1261" s="182">
        <f t="shared" ca="1" si="207"/>
        <v>63211.381456282099</v>
      </c>
      <c r="I1261" s="183">
        <v>0</v>
      </c>
      <c r="J1261" s="263">
        <f t="shared" ca="1" si="203"/>
        <v>63211.381456282099</v>
      </c>
      <c r="K1261" s="182"/>
      <c r="L1261" s="182"/>
      <c r="M1261" s="182"/>
      <c r="N1261" s="182"/>
      <c r="O1261" s="182"/>
    </row>
    <row r="1262" spans="1:15" x14ac:dyDescent="0.25">
      <c r="A1262" s="180">
        <f t="shared" ca="1" si="204"/>
        <v>47352</v>
      </c>
      <c r="B1262" s="181">
        <v>1248</v>
      </c>
      <c r="C1262" s="182">
        <f t="shared" ca="1" si="208"/>
        <v>63211.381456282099</v>
      </c>
      <c r="D1262" s="182">
        <f t="shared" ca="1" si="205"/>
        <v>42.140920970854729</v>
      </c>
      <c r="E1262" s="182">
        <v>0</v>
      </c>
      <c r="F1262" s="182">
        <f t="shared" ca="1" si="209"/>
        <v>0</v>
      </c>
      <c r="G1262" s="182">
        <f t="shared" ca="1" si="206"/>
        <v>0</v>
      </c>
      <c r="H1262" s="182">
        <f t="shared" ca="1" si="207"/>
        <v>63253.522377252957</v>
      </c>
      <c r="I1262" s="183">
        <v>0</v>
      </c>
      <c r="J1262" s="263">
        <f t="shared" ca="1" si="203"/>
        <v>63253.522377252957</v>
      </c>
      <c r="K1262" s="182"/>
      <c r="L1262" s="182"/>
      <c r="M1262" s="182"/>
      <c r="N1262" s="182"/>
      <c r="O1262" s="182"/>
    </row>
    <row r="1263" spans="1:15" x14ac:dyDescent="0.25">
      <c r="A1263" s="180">
        <f t="shared" ca="1" si="204"/>
        <v>47353</v>
      </c>
      <c r="B1263" s="181">
        <v>1249</v>
      </c>
      <c r="C1263" s="182">
        <f t="shared" ca="1" si="208"/>
        <v>63253.522377252957</v>
      </c>
      <c r="D1263" s="182">
        <f t="shared" ca="1" si="205"/>
        <v>42.169014918168635</v>
      </c>
      <c r="E1263" s="182">
        <v>0</v>
      </c>
      <c r="F1263" s="182">
        <f t="shared" ca="1" si="209"/>
        <v>0</v>
      </c>
      <c r="G1263" s="182">
        <f t="shared" ca="1" si="206"/>
        <v>0</v>
      </c>
      <c r="H1263" s="182">
        <f t="shared" ca="1" si="207"/>
        <v>63295.691392171124</v>
      </c>
      <c r="I1263" s="183">
        <v>0</v>
      </c>
      <c r="J1263" s="263">
        <f t="shared" ca="1" si="203"/>
        <v>63295.691392171124</v>
      </c>
      <c r="K1263" s="182"/>
      <c r="L1263" s="182"/>
      <c r="M1263" s="182"/>
      <c r="N1263" s="182"/>
      <c r="O1263" s="182"/>
    </row>
    <row r="1264" spans="1:15" x14ac:dyDescent="0.25">
      <c r="A1264" s="180">
        <f t="shared" ca="1" si="204"/>
        <v>47354</v>
      </c>
      <c r="B1264" s="181">
        <v>1250</v>
      </c>
      <c r="C1264" s="182">
        <f t="shared" ca="1" si="208"/>
        <v>63295.691392171124</v>
      </c>
      <c r="D1264" s="182">
        <f t="shared" ca="1" si="205"/>
        <v>42.197127594780746</v>
      </c>
      <c r="E1264" s="182">
        <v>0</v>
      </c>
      <c r="F1264" s="182">
        <f t="shared" ca="1" si="209"/>
        <v>0</v>
      </c>
      <c r="G1264" s="182">
        <f t="shared" ca="1" si="206"/>
        <v>0</v>
      </c>
      <c r="H1264" s="182">
        <f t="shared" ca="1" si="207"/>
        <v>63337.888519765904</v>
      </c>
      <c r="I1264" s="183">
        <v>0</v>
      </c>
      <c r="J1264" s="263">
        <f t="shared" ca="1" si="203"/>
        <v>63337.888519765904</v>
      </c>
      <c r="K1264" s="182"/>
      <c r="L1264" s="182"/>
      <c r="M1264" s="182"/>
      <c r="N1264" s="182"/>
      <c r="O1264" s="182"/>
    </row>
    <row r="1265" spans="1:15" x14ac:dyDescent="0.25">
      <c r="A1265" s="180">
        <f t="shared" ca="1" si="204"/>
        <v>47355</v>
      </c>
      <c r="B1265" s="181">
        <v>1251</v>
      </c>
      <c r="C1265" s="182">
        <f t="shared" ca="1" si="208"/>
        <v>63337.888519765904</v>
      </c>
      <c r="D1265" s="182">
        <f t="shared" ca="1" si="205"/>
        <v>42.225259013177265</v>
      </c>
      <c r="E1265" s="182">
        <v>0</v>
      </c>
      <c r="F1265" s="182">
        <f t="shared" ca="1" si="209"/>
        <v>0</v>
      </c>
      <c r="G1265" s="182">
        <f t="shared" ca="1" si="206"/>
        <v>0</v>
      </c>
      <c r="H1265" s="182">
        <f t="shared" ca="1" si="207"/>
        <v>63380.113778779079</v>
      </c>
      <c r="I1265" s="183">
        <v>0</v>
      </c>
      <c r="J1265" s="263">
        <f t="shared" ca="1" si="203"/>
        <v>63380.113778779079</v>
      </c>
      <c r="K1265" s="182"/>
      <c r="L1265" s="182"/>
      <c r="M1265" s="182"/>
      <c r="N1265" s="182"/>
      <c r="O1265" s="182"/>
    </row>
    <row r="1266" spans="1:15" x14ac:dyDescent="0.25">
      <c r="A1266" s="180">
        <f t="shared" ca="1" si="204"/>
        <v>47356</v>
      </c>
      <c r="B1266" s="181">
        <v>1252</v>
      </c>
      <c r="C1266" s="182">
        <f t="shared" ca="1" si="208"/>
        <v>63380.113778779079</v>
      </c>
      <c r="D1266" s="182">
        <f t="shared" ca="1" si="205"/>
        <v>42.253409185852718</v>
      </c>
      <c r="E1266" s="182">
        <v>0</v>
      </c>
      <c r="F1266" s="182">
        <f t="shared" ca="1" si="209"/>
        <v>0</v>
      </c>
      <c r="G1266" s="182">
        <f t="shared" ca="1" si="206"/>
        <v>0</v>
      </c>
      <c r="H1266" s="182">
        <f t="shared" ca="1" si="207"/>
        <v>63422.367187964934</v>
      </c>
      <c r="I1266" s="183">
        <v>0</v>
      </c>
      <c r="J1266" s="263">
        <f t="shared" ca="1" si="203"/>
        <v>63422.367187964934</v>
      </c>
      <c r="K1266" s="182"/>
      <c r="L1266" s="182"/>
      <c r="M1266" s="182"/>
      <c r="N1266" s="182"/>
      <c r="O1266" s="182"/>
    </row>
    <row r="1267" spans="1:15" x14ac:dyDescent="0.25">
      <c r="A1267" s="180">
        <f t="shared" ca="1" si="204"/>
        <v>47357</v>
      </c>
      <c r="B1267" s="181">
        <v>1253</v>
      </c>
      <c r="C1267" s="182">
        <f t="shared" ca="1" si="208"/>
        <v>63422.367187964934</v>
      </c>
      <c r="D1267" s="182">
        <f t="shared" ca="1" si="205"/>
        <v>42.281578125309956</v>
      </c>
      <c r="E1267" s="182">
        <v>0</v>
      </c>
      <c r="F1267" s="182">
        <f t="shared" ca="1" si="209"/>
        <v>0</v>
      </c>
      <c r="G1267" s="182">
        <f t="shared" ca="1" si="206"/>
        <v>0</v>
      </c>
      <c r="H1267" s="182">
        <f t="shared" ca="1" si="207"/>
        <v>63464.648766090242</v>
      </c>
      <c r="I1267" s="183">
        <v>0</v>
      </c>
      <c r="J1267" s="263">
        <f t="shared" ca="1" si="203"/>
        <v>63464.648766090242</v>
      </c>
      <c r="K1267" s="182"/>
      <c r="L1267" s="182"/>
      <c r="M1267" s="182"/>
      <c r="N1267" s="182"/>
      <c r="O1267" s="182"/>
    </row>
    <row r="1268" spans="1:15" x14ac:dyDescent="0.25">
      <c r="A1268" s="180">
        <f t="shared" ca="1" si="204"/>
        <v>47358</v>
      </c>
      <c r="B1268" s="181">
        <v>1254</v>
      </c>
      <c r="C1268" s="182">
        <f t="shared" ca="1" si="208"/>
        <v>63464.648766090242</v>
      </c>
      <c r="D1268" s="182">
        <f t="shared" ca="1" si="205"/>
        <v>42.309765844060159</v>
      </c>
      <c r="E1268" s="182">
        <v>0</v>
      </c>
      <c r="F1268" s="182">
        <f t="shared" ca="1" si="209"/>
        <v>0</v>
      </c>
      <c r="G1268" s="182">
        <f t="shared" ca="1" si="206"/>
        <v>0</v>
      </c>
      <c r="H1268" s="182">
        <f t="shared" ca="1" si="207"/>
        <v>63506.958531934302</v>
      </c>
      <c r="I1268" s="183">
        <v>0</v>
      </c>
      <c r="J1268" s="263">
        <f t="shared" ca="1" si="203"/>
        <v>63506.958531934302</v>
      </c>
      <c r="K1268" s="182"/>
      <c r="L1268" s="182"/>
      <c r="M1268" s="182"/>
      <c r="N1268" s="182"/>
      <c r="O1268" s="182"/>
    </row>
    <row r="1269" spans="1:15" x14ac:dyDescent="0.25">
      <c r="A1269" s="180">
        <f t="shared" ca="1" si="204"/>
        <v>47359</v>
      </c>
      <c r="B1269" s="181">
        <v>1255</v>
      </c>
      <c r="C1269" s="182">
        <f t="shared" ca="1" si="208"/>
        <v>63506.958531934302</v>
      </c>
      <c r="D1269" s="182">
        <f t="shared" ca="1" si="205"/>
        <v>42.337972354622863</v>
      </c>
      <c r="E1269" s="182">
        <v>0</v>
      </c>
      <c r="F1269" s="182">
        <f t="shared" ca="1" si="209"/>
        <v>0</v>
      </c>
      <c r="G1269" s="182">
        <f t="shared" ca="1" si="206"/>
        <v>0</v>
      </c>
      <c r="H1269" s="182">
        <f t="shared" ca="1" si="207"/>
        <v>63549.296504288926</v>
      </c>
      <c r="I1269" s="183">
        <v>0</v>
      </c>
      <c r="J1269" s="263">
        <f t="shared" ca="1" si="203"/>
        <v>63549.296504288926</v>
      </c>
      <c r="K1269" s="182"/>
      <c r="L1269" s="182"/>
      <c r="M1269" s="182"/>
      <c r="N1269" s="182"/>
      <c r="O1269" s="182"/>
    </row>
    <row r="1270" spans="1:15" x14ac:dyDescent="0.25">
      <c r="A1270" s="180">
        <f t="shared" ca="1" si="204"/>
        <v>47360</v>
      </c>
      <c r="B1270" s="181">
        <v>1256</v>
      </c>
      <c r="C1270" s="182">
        <f t="shared" ca="1" si="208"/>
        <v>63549.296504288926</v>
      </c>
      <c r="D1270" s="182">
        <f t="shared" ca="1" si="205"/>
        <v>42.366197669525953</v>
      </c>
      <c r="E1270" s="182">
        <v>0</v>
      </c>
      <c r="F1270" s="182">
        <f t="shared" ca="1" si="209"/>
        <v>0</v>
      </c>
      <c r="G1270" s="182">
        <f t="shared" ca="1" si="206"/>
        <v>0</v>
      </c>
      <c r="H1270" s="182">
        <f t="shared" ca="1" si="207"/>
        <v>63591.662701958456</v>
      </c>
      <c r="I1270" s="183">
        <v>0</v>
      </c>
      <c r="J1270" s="263">
        <f t="shared" ca="1" si="203"/>
        <v>63591.662701958456</v>
      </c>
      <c r="K1270" s="182"/>
      <c r="L1270" s="182"/>
      <c r="M1270" s="182"/>
      <c r="N1270" s="182"/>
      <c r="O1270" s="182"/>
    </row>
    <row r="1271" spans="1:15" x14ac:dyDescent="0.25">
      <c r="A1271" s="180">
        <f t="shared" ca="1" si="204"/>
        <v>47361</v>
      </c>
      <c r="B1271" s="181">
        <v>1257</v>
      </c>
      <c r="C1271" s="182">
        <f t="shared" ca="1" si="208"/>
        <v>63591.662701958456</v>
      </c>
      <c r="D1271" s="182">
        <f t="shared" ca="1" si="205"/>
        <v>42.394441801305639</v>
      </c>
      <c r="E1271" s="182">
        <v>0</v>
      </c>
      <c r="F1271" s="182">
        <f t="shared" ca="1" si="209"/>
        <v>0</v>
      </c>
      <c r="G1271" s="182">
        <f t="shared" ca="1" si="206"/>
        <v>0</v>
      </c>
      <c r="H1271" s="182">
        <f t="shared" ca="1" si="207"/>
        <v>63634.057143759761</v>
      </c>
      <c r="I1271" s="183">
        <v>0</v>
      </c>
      <c r="J1271" s="263">
        <f t="shared" ca="1" si="203"/>
        <v>63634.057143759761</v>
      </c>
      <c r="K1271" s="182"/>
      <c r="L1271" s="182"/>
      <c r="M1271" s="182"/>
      <c r="N1271" s="182"/>
      <c r="O1271" s="182"/>
    </row>
    <row r="1272" spans="1:15" x14ac:dyDescent="0.25">
      <c r="A1272" s="180">
        <f t="shared" ca="1" si="204"/>
        <v>47362</v>
      </c>
      <c r="B1272" s="181">
        <v>1258</v>
      </c>
      <c r="C1272" s="182">
        <f t="shared" ca="1" si="208"/>
        <v>63634.057143759761</v>
      </c>
      <c r="D1272" s="182">
        <f t="shared" ca="1" si="205"/>
        <v>42.422704762506505</v>
      </c>
      <c r="E1272" s="182">
        <v>0</v>
      </c>
      <c r="F1272" s="182">
        <f t="shared" ca="1" si="209"/>
        <v>0</v>
      </c>
      <c r="G1272" s="182">
        <f t="shared" ca="1" si="206"/>
        <v>0</v>
      </c>
      <c r="H1272" s="182">
        <f t="shared" ca="1" si="207"/>
        <v>63676.479848522271</v>
      </c>
      <c r="I1272" s="183">
        <v>0</v>
      </c>
      <c r="J1272" s="263">
        <f t="shared" ca="1" si="203"/>
        <v>63676.479848522271</v>
      </c>
      <c r="K1272" s="182"/>
      <c r="L1272" s="182"/>
      <c r="M1272" s="182"/>
      <c r="N1272" s="182"/>
      <c r="O1272" s="182"/>
    </row>
    <row r="1273" spans="1:15" x14ac:dyDescent="0.25">
      <c r="A1273" s="180">
        <f t="shared" ca="1" si="204"/>
        <v>47363</v>
      </c>
      <c r="B1273" s="181">
        <v>1259</v>
      </c>
      <c r="C1273" s="182">
        <f t="shared" ca="1" si="208"/>
        <v>63676.479848522271</v>
      </c>
      <c r="D1273" s="182">
        <f t="shared" ca="1" si="205"/>
        <v>42.450986565681511</v>
      </c>
      <c r="E1273" s="182">
        <v>0</v>
      </c>
      <c r="F1273" s="182">
        <f t="shared" ca="1" si="209"/>
        <v>0</v>
      </c>
      <c r="G1273" s="182">
        <f t="shared" ca="1" si="206"/>
        <v>0</v>
      </c>
      <c r="H1273" s="182">
        <f t="shared" ca="1" si="207"/>
        <v>63718.930835087951</v>
      </c>
      <c r="I1273" s="183">
        <v>0</v>
      </c>
      <c r="J1273" s="263">
        <f t="shared" ca="1" si="203"/>
        <v>63718.930835087951</v>
      </c>
      <c r="K1273" s="182"/>
      <c r="L1273" s="182"/>
      <c r="M1273" s="182"/>
      <c r="N1273" s="182"/>
      <c r="O1273" s="182"/>
    </row>
    <row r="1274" spans="1:15" x14ac:dyDescent="0.25">
      <c r="A1274" s="180">
        <f t="shared" ca="1" si="204"/>
        <v>47364</v>
      </c>
      <c r="B1274" s="181">
        <v>1260</v>
      </c>
      <c r="C1274" s="182">
        <f t="shared" ca="1" si="208"/>
        <v>63718.930835087951</v>
      </c>
      <c r="D1274" s="182">
        <f t="shared" ca="1" si="205"/>
        <v>42.479287223391964</v>
      </c>
      <c r="E1274" s="182">
        <v>0</v>
      </c>
      <c r="F1274" s="182">
        <f t="shared" ca="1" si="209"/>
        <v>0</v>
      </c>
      <c r="G1274" s="182">
        <f t="shared" ca="1" si="206"/>
        <v>0</v>
      </c>
      <c r="H1274" s="182">
        <f t="shared" ca="1" si="207"/>
        <v>63761.410122311339</v>
      </c>
      <c r="I1274" s="183">
        <v>0</v>
      </c>
      <c r="J1274" s="263">
        <f t="shared" ca="1" si="203"/>
        <v>63761.410122311339</v>
      </c>
      <c r="K1274" s="182"/>
      <c r="L1274" s="182"/>
      <c r="M1274" s="182"/>
      <c r="N1274" s="182"/>
      <c r="O1274" s="182"/>
    </row>
    <row r="1275" spans="1:15" x14ac:dyDescent="0.25">
      <c r="A1275" s="180">
        <f t="shared" ca="1" si="204"/>
        <v>47365</v>
      </c>
      <c r="B1275" s="181">
        <v>1261</v>
      </c>
      <c r="C1275" s="182">
        <f t="shared" ca="1" si="208"/>
        <v>63761.410122311339</v>
      </c>
      <c r="D1275" s="182">
        <f t="shared" ca="1" si="205"/>
        <v>42.507606748207557</v>
      </c>
      <c r="E1275" s="182">
        <v>0</v>
      </c>
      <c r="F1275" s="182">
        <f t="shared" ca="1" si="209"/>
        <v>0</v>
      </c>
      <c r="G1275" s="182">
        <f t="shared" ca="1" si="206"/>
        <v>0</v>
      </c>
      <c r="H1275" s="182">
        <f t="shared" ca="1" si="207"/>
        <v>63803.917729059547</v>
      </c>
      <c r="I1275" s="183">
        <v>0</v>
      </c>
      <c r="J1275" s="263">
        <f t="shared" ca="1" si="203"/>
        <v>63803.917729059547</v>
      </c>
      <c r="K1275" s="182"/>
      <c r="L1275" s="182"/>
      <c r="M1275" s="182"/>
      <c r="N1275" s="182"/>
      <c r="O1275" s="182"/>
    </row>
    <row r="1276" spans="1:15" x14ac:dyDescent="0.25">
      <c r="A1276" s="180">
        <f t="shared" ca="1" si="204"/>
        <v>47366</v>
      </c>
      <c r="B1276" s="181">
        <v>1262</v>
      </c>
      <c r="C1276" s="182">
        <f t="shared" ca="1" si="208"/>
        <v>63803.917729059547</v>
      </c>
      <c r="D1276" s="182">
        <f t="shared" ca="1" si="205"/>
        <v>42.535945152706361</v>
      </c>
      <c r="E1276" s="182">
        <v>0</v>
      </c>
      <c r="F1276" s="182">
        <f t="shared" ca="1" si="209"/>
        <v>0</v>
      </c>
      <c r="G1276" s="182">
        <f t="shared" ca="1" si="206"/>
        <v>0</v>
      </c>
      <c r="H1276" s="182">
        <f t="shared" ca="1" si="207"/>
        <v>63846.453674212251</v>
      </c>
      <c r="I1276" s="183">
        <v>0</v>
      </c>
      <c r="J1276" s="263">
        <f t="shared" ca="1" si="203"/>
        <v>63846.453674212251</v>
      </c>
      <c r="K1276" s="182"/>
      <c r="L1276" s="182"/>
      <c r="M1276" s="182"/>
      <c r="N1276" s="182"/>
      <c r="O1276" s="182"/>
    </row>
    <row r="1277" spans="1:15" x14ac:dyDescent="0.25">
      <c r="A1277" s="180">
        <f t="shared" ca="1" si="204"/>
        <v>47367</v>
      </c>
      <c r="B1277" s="181">
        <v>1263</v>
      </c>
      <c r="C1277" s="182">
        <f t="shared" ca="1" si="208"/>
        <v>63846.453674212251</v>
      </c>
      <c r="D1277" s="182">
        <f t="shared" ca="1" si="205"/>
        <v>42.56430244947483</v>
      </c>
      <c r="E1277" s="182">
        <v>0</v>
      </c>
      <c r="F1277" s="182">
        <f t="shared" ca="1" si="209"/>
        <v>0</v>
      </c>
      <c r="G1277" s="182">
        <f t="shared" ca="1" si="206"/>
        <v>0</v>
      </c>
      <c r="H1277" s="182">
        <f t="shared" ca="1" si="207"/>
        <v>63889.017976661729</v>
      </c>
      <c r="I1277" s="183">
        <v>0</v>
      </c>
      <c r="J1277" s="263">
        <f t="shared" ca="1" si="203"/>
        <v>63889.017976661729</v>
      </c>
      <c r="K1277" s="182"/>
      <c r="L1277" s="182"/>
      <c r="M1277" s="182"/>
      <c r="N1277" s="182"/>
      <c r="O1277" s="182"/>
    </row>
    <row r="1278" spans="1:15" x14ac:dyDescent="0.25">
      <c r="A1278" s="180">
        <f t="shared" ca="1" si="204"/>
        <v>47368</v>
      </c>
      <c r="B1278" s="181">
        <v>1264</v>
      </c>
      <c r="C1278" s="182">
        <f t="shared" ca="1" si="208"/>
        <v>63889.017976661729</v>
      </c>
      <c r="D1278" s="182">
        <f t="shared" ca="1" si="205"/>
        <v>42.592678651107818</v>
      </c>
      <c r="E1278" s="182">
        <v>0</v>
      </c>
      <c r="F1278" s="182">
        <f t="shared" ca="1" si="209"/>
        <v>0</v>
      </c>
      <c r="G1278" s="182">
        <f t="shared" ca="1" si="206"/>
        <v>0</v>
      </c>
      <c r="H1278" s="182">
        <f t="shared" ca="1" si="207"/>
        <v>63931.610655312834</v>
      </c>
      <c r="I1278" s="183">
        <v>0</v>
      </c>
      <c r="J1278" s="263">
        <f t="shared" ca="1" si="203"/>
        <v>63931.610655312834</v>
      </c>
      <c r="K1278" s="182"/>
      <c r="L1278" s="182"/>
      <c r="M1278" s="182"/>
      <c r="N1278" s="182"/>
      <c r="O1278" s="182"/>
    </row>
    <row r="1279" spans="1:15" x14ac:dyDescent="0.25">
      <c r="A1279" s="180">
        <f t="shared" ca="1" si="204"/>
        <v>47369</v>
      </c>
      <c r="B1279" s="181">
        <v>1265</v>
      </c>
      <c r="C1279" s="182">
        <f t="shared" ca="1" si="208"/>
        <v>63931.610655312834</v>
      </c>
      <c r="D1279" s="182">
        <f t="shared" ca="1" si="205"/>
        <v>42.621073770208554</v>
      </c>
      <c r="E1279" s="182">
        <v>0</v>
      </c>
      <c r="F1279" s="182">
        <f t="shared" ca="1" si="209"/>
        <v>0</v>
      </c>
      <c r="G1279" s="182">
        <f t="shared" ca="1" si="206"/>
        <v>0</v>
      </c>
      <c r="H1279" s="182">
        <f t="shared" ca="1" si="207"/>
        <v>63974.23172908304</v>
      </c>
      <c r="I1279" s="183">
        <v>0</v>
      </c>
      <c r="J1279" s="263">
        <f t="shared" ca="1" si="203"/>
        <v>63974.23172908304</v>
      </c>
      <c r="K1279" s="182"/>
      <c r="L1279" s="182"/>
      <c r="M1279" s="182"/>
      <c r="N1279" s="182"/>
      <c r="O1279" s="182"/>
    </row>
    <row r="1280" spans="1:15" x14ac:dyDescent="0.25">
      <c r="A1280" s="180">
        <f t="shared" ca="1" si="204"/>
        <v>47370</v>
      </c>
      <c r="B1280" s="181">
        <v>1266</v>
      </c>
      <c r="C1280" s="182">
        <f t="shared" ca="1" si="208"/>
        <v>63974.23172908304</v>
      </c>
      <c r="D1280" s="182">
        <f t="shared" ca="1" si="205"/>
        <v>42.649487819388689</v>
      </c>
      <c r="E1280" s="182">
        <v>0</v>
      </c>
      <c r="F1280" s="182">
        <f t="shared" ca="1" si="209"/>
        <v>0</v>
      </c>
      <c r="G1280" s="182">
        <f t="shared" ca="1" si="206"/>
        <v>0</v>
      </c>
      <c r="H1280" s="182">
        <f t="shared" ca="1" si="207"/>
        <v>64016.881216902431</v>
      </c>
      <c r="I1280" s="183">
        <v>0</v>
      </c>
      <c r="J1280" s="263">
        <f t="shared" ca="1" si="203"/>
        <v>64016.881216902431</v>
      </c>
      <c r="K1280" s="182"/>
      <c r="L1280" s="182"/>
      <c r="M1280" s="182"/>
      <c r="N1280" s="182"/>
      <c r="O1280" s="182"/>
    </row>
    <row r="1281" spans="1:15" x14ac:dyDescent="0.25">
      <c r="A1281" s="180">
        <f t="shared" ca="1" si="204"/>
        <v>47371</v>
      </c>
      <c r="B1281" s="181">
        <v>1267</v>
      </c>
      <c r="C1281" s="182">
        <f t="shared" ca="1" si="208"/>
        <v>64016.881216902431</v>
      </c>
      <c r="D1281" s="182">
        <f t="shared" ca="1" si="205"/>
        <v>42.677920811268287</v>
      </c>
      <c r="E1281" s="182">
        <v>0</v>
      </c>
      <c r="F1281" s="182">
        <f t="shared" ca="1" si="209"/>
        <v>0</v>
      </c>
      <c r="G1281" s="182">
        <f t="shared" ca="1" si="206"/>
        <v>0</v>
      </c>
      <c r="H1281" s="182">
        <f t="shared" ca="1" si="207"/>
        <v>64059.559137713703</v>
      </c>
      <c r="I1281" s="183">
        <v>0</v>
      </c>
      <c r="J1281" s="263">
        <f t="shared" ca="1" si="203"/>
        <v>64059.559137713703</v>
      </c>
      <c r="K1281" s="182"/>
      <c r="L1281" s="182"/>
      <c r="M1281" s="182"/>
      <c r="N1281" s="182"/>
      <c r="O1281" s="182"/>
    </row>
    <row r="1282" spans="1:15" x14ac:dyDescent="0.25">
      <c r="A1282" s="180">
        <f t="shared" ca="1" si="204"/>
        <v>47372</v>
      </c>
      <c r="B1282" s="181">
        <v>1268</v>
      </c>
      <c r="C1282" s="182">
        <f t="shared" ca="1" si="208"/>
        <v>64059.559137713703</v>
      </c>
      <c r="D1282" s="182">
        <f t="shared" ca="1" si="205"/>
        <v>42.706372758475801</v>
      </c>
      <c r="E1282" s="182">
        <v>0</v>
      </c>
      <c r="F1282" s="182">
        <f t="shared" ca="1" si="209"/>
        <v>0</v>
      </c>
      <c r="G1282" s="182">
        <f t="shared" ca="1" si="206"/>
        <v>0</v>
      </c>
      <c r="H1282" s="182">
        <f t="shared" ca="1" si="207"/>
        <v>64102.265510472178</v>
      </c>
      <c r="I1282" s="183">
        <v>0</v>
      </c>
      <c r="J1282" s="263">
        <f t="shared" ca="1" si="203"/>
        <v>64102.265510472178</v>
      </c>
      <c r="K1282" s="182"/>
      <c r="L1282" s="182"/>
      <c r="M1282" s="182"/>
      <c r="N1282" s="182"/>
      <c r="O1282" s="182"/>
    </row>
    <row r="1283" spans="1:15" x14ac:dyDescent="0.25">
      <c r="A1283" s="180">
        <f t="shared" ca="1" si="204"/>
        <v>47373</v>
      </c>
      <c r="B1283" s="181">
        <v>1269</v>
      </c>
      <c r="C1283" s="182">
        <f t="shared" ca="1" si="208"/>
        <v>64102.265510472178</v>
      </c>
      <c r="D1283" s="182">
        <f t="shared" ca="1" si="205"/>
        <v>42.734843673648115</v>
      </c>
      <c r="E1283" s="182">
        <v>0</v>
      </c>
      <c r="F1283" s="182">
        <f t="shared" ca="1" si="209"/>
        <v>0</v>
      </c>
      <c r="G1283" s="182">
        <f t="shared" ca="1" si="206"/>
        <v>0</v>
      </c>
      <c r="H1283" s="182">
        <f t="shared" ca="1" si="207"/>
        <v>64145.000354145828</v>
      </c>
      <c r="I1283" s="183">
        <v>0</v>
      </c>
      <c r="J1283" s="263">
        <f t="shared" ca="1" si="203"/>
        <v>64145.000354145828</v>
      </c>
      <c r="K1283" s="182"/>
      <c r="L1283" s="182"/>
      <c r="M1283" s="182"/>
      <c r="N1283" s="182"/>
      <c r="O1283" s="182"/>
    </row>
    <row r="1284" spans="1:15" x14ac:dyDescent="0.25">
      <c r="A1284" s="180">
        <f t="shared" ca="1" si="204"/>
        <v>47374</v>
      </c>
      <c r="B1284" s="181">
        <v>1270</v>
      </c>
      <c r="C1284" s="182">
        <f t="shared" ca="1" si="208"/>
        <v>64145.000354145828</v>
      </c>
      <c r="D1284" s="182">
        <f t="shared" ca="1" si="205"/>
        <v>42.76333356943055</v>
      </c>
      <c r="E1284" s="182">
        <v>0</v>
      </c>
      <c r="F1284" s="182">
        <f t="shared" ca="1" si="209"/>
        <v>0</v>
      </c>
      <c r="G1284" s="182">
        <f t="shared" ca="1" si="206"/>
        <v>0</v>
      </c>
      <c r="H1284" s="182">
        <f t="shared" ca="1" si="207"/>
        <v>64187.763687715262</v>
      </c>
      <c r="I1284" s="183">
        <v>0</v>
      </c>
      <c r="J1284" s="263">
        <f t="shared" ca="1" si="203"/>
        <v>64187.763687715262</v>
      </c>
      <c r="K1284" s="182"/>
      <c r="L1284" s="182"/>
      <c r="M1284" s="182"/>
      <c r="N1284" s="182"/>
      <c r="O1284" s="182"/>
    </row>
    <row r="1285" spans="1:15" x14ac:dyDescent="0.25">
      <c r="A1285" s="180">
        <f t="shared" ca="1" si="204"/>
        <v>47375</v>
      </c>
      <c r="B1285" s="181">
        <v>1271</v>
      </c>
      <c r="C1285" s="182">
        <f t="shared" ca="1" si="208"/>
        <v>64187.763687715262</v>
      </c>
      <c r="D1285" s="182">
        <f t="shared" ca="1" si="205"/>
        <v>42.791842458476843</v>
      </c>
      <c r="E1285" s="182">
        <v>0</v>
      </c>
      <c r="F1285" s="182">
        <f t="shared" ca="1" si="209"/>
        <v>0</v>
      </c>
      <c r="G1285" s="182">
        <f t="shared" ca="1" si="206"/>
        <v>0</v>
      </c>
      <c r="H1285" s="182">
        <f t="shared" ca="1" si="207"/>
        <v>64230.55553017374</v>
      </c>
      <c r="I1285" s="183">
        <v>0</v>
      </c>
      <c r="J1285" s="263">
        <f t="shared" ca="1" si="203"/>
        <v>64230.55553017374</v>
      </c>
      <c r="K1285" s="182"/>
      <c r="L1285" s="182"/>
      <c r="M1285" s="182"/>
      <c r="N1285" s="182"/>
      <c r="O1285" s="182"/>
    </row>
    <row r="1286" spans="1:15" x14ac:dyDescent="0.25">
      <c r="A1286" s="180">
        <f t="shared" ca="1" si="204"/>
        <v>47376</v>
      </c>
      <c r="B1286" s="181">
        <v>1272</v>
      </c>
      <c r="C1286" s="182">
        <f t="shared" ca="1" si="208"/>
        <v>64230.55553017374</v>
      </c>
      <c r="D1286" s="182">
        <f t="shared" ca="1" si="205"/>
        <v>42.820370353449157</v>
      </c>
      <c r="E1286" s="182">
        <v>0</v>
      </c>
      <c r="F1286" s="182">
        <f t="shared" ca="1" si="209"/>
        <v>0</v>
      </c>
      <c r="G1286" s="182">
        <f t="shared" ca="1" si="206"/>
        <v>0</v>
      </c>
      <c r="H1286" s="182">
        <f t="shared" ca="1" si="207"/>
        <v>64273.375900527193</v>
      </c>
      <c r="I1286" s="183">
        <v>0</v>
      </c>
      <c r="J1286" s="263">
        <f t="shared" ca="1" si="203"/>
        <v>64273.375900527193</v>
      </c>
      <c r="K1286" s="182"/>
      <c r="L1286" s="182"/>
      <c r="M1286" s="182"/>
      <c r="N1286" s="182"/>
      <c r="O1286" s="182"/>
    </row>
    <row r="1287" spans="1:15" x14ac:dyDescent="0.25">
      <c r="A1287" s="180">
        <f t="shared" ca="1" si="204"/>
        <v>47377</v>
      </c>
      <c r="B1287" s="181">
        <v>1273</v>
      </c>
      <c r="C1287" s="182">
        <f t="shared" ca="1" si="208"/>
        <v>64273.375900527193</v>
      </c>
      <c r="D1287" s="182">
        <f t="shared" ca="1" si="205"/>
        <v>42.84891726701813</v>
      </c>
      <c r="E1287" s="182">
        <v>0</v>
      </c>
      <c r="F1287" s="182">
        <f t="shared" ca="1" si="209"/>
        <v>0</v>
      </c>
      <c r="G1287" s="182">
        <f t="shared" ca="1" si="206"/>
        <v>0</v>
      </c>
      <c r="H1287" s="182">
        <f t="shared" ca="1" si="207"/>
        <v>64316.224817794209</v>
      </c>
      <c r="I1287" s="183">
        <v>0</v>
      </c>
      <c r="J1287" s="263">
        <f t="shared" ca="1" si="203"/>
        <v>64316.224817794209</v>
      </c>
      <c r="K1287" s="182"/>
      <c r="L1287" s="182"/>
      <c r="M1287" s="182"/>
      <c r="N1287" s="182"/>
      <c r="O1287" s="182"/>
    </row>
    <row r="1288" spans="1:15" x14ac:dyDescent="0.25">
      <c r="A1288" s="180">
        <f t="shared" ca="1" si="204"/>
        <v>47378</v>
      </c>
      <c r="B1288" s="181">
        <v>1274</v>
      </c>
      <c r="C1288" s="182">
        <f t="shared" ca="1" si="208"/>
        <v>64316.224817794209</v>
      </c>
      <c r="D1288" s="182">
        <f t="shared" ca="1" si="205"/>
        <v>42.877483211862803</v>
      </c>
      <c r="E1288" s="182">
        <v>0</v>
      </c>
      <c r="F1288" s="182">
        <f t="shared" ca="1" si="209"/>
        <v>0</v>
      </c>
      <c r="G1288" s="182">
        <f t="shared" ca="1" si="206"/>
        <v>0</v>
      </c>
      <c r="H1288" s="182">
        <f t="shared" ca="1" si="207"/>
        <v>64359.102301006074</v>
      </c>
      <c r="I1288" s="183">
        <v>0</v>
      </c>
      <c r="J1288" s="263">
        <f t="shared" ca="1" si="203"/>
        <v>64359.102301006074</v>
      </c>
      <c r="K1288" s="182"/>
      <c r="L1288" s="182"/>
      <c r="M1288" s="182"/>
      <c r="N1288" s="182"/>
      <c r="O1288" s="182"/>
    </row>
    <row r="1289" spans="1:15" x14ac:dyDescent="0.25">
      <c r="A1289" s="180">
        <f t="shared" ca="1" si="204"/>
        <v>47379</v>
      </c>
      <c r="B1289" s="181">
        <v>1275</v>
      </c>
      <c r="C1289" s="182">
        <f t="shared" ca="1" si="208"/>
        <v>64359.102301006074</v>
      </c>
      <c r="D1289" s="182">
        <f t="shared" ca="1" si="205"/>
        <v>42.906068200670717</v>
      </c>
      <c r="E1289" s="182">
        <v>0</v>
      </c>
      <c r="F1289" s="182">
        <f t="shared" ca="1" si="209"/>
        <v>0</v>
      </c>
      <c r="G1289" s="182">
        <f t="shared" ca="1" si="206"/>
        <v>0</v>
      </c>
      <c r="H1289" s="182">
        <f t="shared" ca="1" si="207"/>
        <v>64402.008369206742</v>
      </c>
      <c r="I1289" s="183">
        <v>0</v>
      </c>
      <c r="J1289" s="263">
        <f t="shared" ca="1" si="203"/>
        <v>64402.008369206742</v>
      </c>
      <c r="K1289" s="182"/>
      <c r="L1289" s="182"/>
      <c r="M1289" s="182"/>
      <c r="N1289" s="182"/>
      <c r="O1289" s="182"/>
    </row>
    <row r="1290" spans="1:15" x14ac:dyDescent="0.25">
      <c r="A1290" s="180">
        <f t="shared" ca="1" si="204"/>
        <v>47380</v>
      </c>
      <c r="B1290" s="181">
        <v>1276</v>
      </c>
      <c r="C1290" s="182">
        <f t="shared" ca="1" si="208"/>
        <v>64402.008369206742</v>
      </c>
      <c r="D1290" s="182">
        <f t="shared" ca="1" si="205"/>
        <v>42.934672246137829</v>
      </c>
      <c r="E1290" s="182">
        <v>0</v>
      </c>
      <c r="F1290" s="182">
        <f t="shared" ca="1" si="209"/>
        <v>0</v>
      </c>
      <c r="G1290" s="182">
        <f t="shared" ca="1" si="206"/>
        <v>0</v>
      </c>
      <c r="H1290" s="182">
        <f t="shared" ca="1" si="207"/>
        <v>64444.943041452883</v>
      </c>
      <c r="I1290" s="183">
        <v>0</v>
      </c>
      <c r="J1290" s="263">
        <f t="shared" ca="1" si="203"/>
        <v>64444.943041452883</v>
      </c>
      <c r="K1290" s="182"/>
      <c r="L1290" s="182"/>
      <c r="M1290" s="182"/>
      <c r="N1290" s="182"/>
      <c r="O1290" s="182"/>
    </row>
    <row r="1291" spans="1:15" x14ac:dyDescent="0.25">
      <c r="A1291" s="180">
        <f t="shared" ca="1" si="204"/>
        <v>47381</v>
      </c>
      <c r="B1291" s="181">
        <v>1277</v>
      </c>
      <c r="C1291" s="182">
        <f t="shared" ca="1" si="208"/>
        <v>64444.943041452883</v>
      </c>
      <c r="D1291" s="182">
        <f t="shared" ca="1" si="205"/>
        <v>42.963295360968587</v>
      </c>
      <c r="E1291" s="182">
        <v>0</v>
      </c>
      <c r="F1291" s="182">
        <f t="shared" ca="1" si="209"/>
        <v>0</v>
      </c>
      <c r="G1291" s="182">
        <f t="shared" ca="1" si="206"/>
        <v>0</v>
      </c>
      <c r="H1291" s="182">
        <f t="shared" ca="1" si="207"/>
        <v>64487.906336813852</v>
      </c>
      <c r="I1291" s="183">
        <v>0</v>
      </c>
      <c r="J1291" s="263">
        <f t="shared" ca="1" si="203"/>
        <v>64487.906336813852</v>
      </c>
      <c r="K1291" s="182"/>
      <c r="L1291" s="182"/>
      <c r="M1291" s="182"/>
      <c r="N1291" s="182"/>
      <c r="O1291" s="182"/>
    </row>
    <row r="1292" spans="1:15" x14ac:dyDescent="0.25">
      <c r="A1292" s="180">
        <f t="shared" ca="1" si="204"/>
        <v>47382</v>
      </c>
      <c r="B1292" s="181">
        <v>1278</v>
      </c>
      <c r="C1292" s="182">
        <f t="shared" ca="1" si="208"/>
        <v>64487.906336813852</v>
      </c>
      <c r="D1292" s="182">
        <f t="shared" ca="1" si="205"/>
        <v>42.9919375578759</v>
      </c>
      <c r="E1292" s="182">
        <v>0</v>
      </c>
      <c r="F1292" s="182">
        <f t="shared" ca="1" si="209"/>
        <v>0</v>
      </c>
      <c r="G1292" s="182">
        <f t="shared" ca="1" si="206"/>
        <v>0</v>
      </c>
      <c r="H1292" s="182">
        <f t="shared" ca="1" si="207"/>
        <v>64530.898274371728</v>
      </c>
      <c r="I1292" s="183">
        <v>0</v>
      </c>
      <c r="J1292" s="263">
        <f t="shared" ca="1" si="203"/>
        <v>64530.898274371728</v>
      </c>
      <c r="K1292" s="182"/>
      <c r="L1292" s="182"/>
      <c r="M1292" s="182"/>
      <c r="N1292" s="182"/>
      <c r="O1292" s="182"/>
    </row>
    <row r="1293" spans="1:15" x14ac:dyDescent="0.25">
      <c r="A1293" s="180">
        <f t="shared" ca="1" si="204"/>
        <v>47383</v>
      </c>
      <c r="B1293" s="181">
        <v>1279</v>
      </c>
      <c r="C1293" s="182">
        <f t="shared" ca="1" si="208"/>
        <v>64530.898274371728</v>
      </c>
      <c r="D1293" s="182">
        <f t="shared" ca="1" si="205"/>
        <v>43.020598849581148</v>
      </c>
      <c r="E1293" s="182">
        <v>0</v>
      </c>
      <c r="F1293" s="182">
        <f t="shared" ca="1" si="209"/>
        <v>0</v>
      </c>
      <c r="G1293" s="182">
        <f t="shared" ca="1" si="206"/>
        <v>0</v>
      </c>
      <c r="H1293" s="182">
        <f t="shared" ca="1" si="207"/>
        <v>64573.918873221308</v>
      </c>
      <c r="I1293" s="183">
        <v>0</v>
      </c>
      <c r="J1293" s="263">
        <f t="shared" ca="1" si="203"/>
        <v>64573.918873221308</v>
      </c>
      <c r="K1293" s="182"/>
      <c r="L1293" s="182"/>
      <c r="M1293" s="182"/>
      <c r="N1293" s="182"/>
      <c r="O1293" s="182"/>
    </row>
    <row r="1294" spans="1:15" x14ac:dyDescent="0.25">
      <c r="A1294" s="180">
        <f t="shared" ca="1" si="204"/>
        <v>47384</v>
      </c>
      <c r="B1294" s="181">
        <v>1280</v>
      </c>
      <c r="C1294" s="182">
        <f t="shared" ca="1" si="208"/>
        <v>64573.918873221308</v>
      </c>
      <c r="D1294" s="182">
        <f t="shared" ca="1" si="205"/>
        <v>43.049279248814202</v>
      </c>
      <c r="E1294" s="182">
        <v>0</v>
      </c>
      <c r="F1294" s="182">
        <f t="shared" ca="1" si="209"/>
        <v>0</v>
      </c>
      <c r="G1294" s="182">
        <f t="shared" ca="1" si="206"/>
        <v>0</v>
      </c>
      <c r="H1294" s="182">
        <f t="shared" ca="1" si="207"/>
        <v>64616.968152470123</v>
      </c>
      <c r="I1294" s="183">
        <v>0</v>
      </c>
      <c r="J1294" s="263">
        <f t="shared" ca="1" si="203"/>
        <v>64616.968152470123</v>
      </c>
      <c r="K1294" s="182"/>
      <c r="L1294" s="182"/>
      <c r="M1294" s="182"/>
      <c r="N1294" s="182"/>
      <c r="O1294" s="182"/>
    </row>
    <row r="1295" spans="1:15" x14ac:dyDescent="0.25">
      <c r="A1295" s="180">
        <f t="shared" ca="1" si="204"/>
        <v>47385</v>
      </c>
      <c r="B1295" s="181">
        <v>1281</v>
      </c>
      <c r="C1295" s="182">
        <f t="shared" ca="1" si="208"/>
        <v>64616.968152470123</v>
      </c>
      <c r="D1295" s="182">
        <f t="shared" ca="1" si="205"/>
        <v>43.077978768313415</v>
      </c>
      <c r="E1295" s="182">
        <v>0</v>
      </c>
      <c r="F1295" s="182">
        <f t="shared" ca="1" si="209"/>
        <v>0</v>
      </c>
      <c r="G1295" s="182">
        <f t="shared" ca="1" si="206"/>
        <v>0</v>
      </c>
      <c r="H1295" s="182">
        <f t="shared" ca="1" si="207"/>
        <v>64660.046131238436</v>
      </c>
      <c r="I1295" s="183">
        <v>0</v>
      </c>
      <c r="J1295" s="263">
        <f t="shared" ref="J1295:J1358" ca="1" si="210">H1295-IF(I$8-G1295&lt;Q$42,I$8-Q$42,G1295)</f>
        <v>64660.046131238436</v>
      </c>
      <c r="K1295" s="182"/>
      <c r="L1295" s="182"/>
      <c r="M1295" s="182"/>
      <c r="N1295" s="182"/>
      <c r="O1295" s="182"/>
    </row>
    <row r="1296" spans="1:15" x14ac:dyDescent="0.25">
      <c r="A1296" s="180">
        <f t="shared" ca="1" si="204"/>
        <v>47386</v>
      </c>
      <c r="B1296" s="181">
        <v>1282</v>
      </c>
      <c r="C1296" s="182">
        <f t="shared" ca="1" si="208"/>
        <v>64660.046131238436</v>
      </c>
      <c r="D1296" s="182">
        <f t="shared" ca="1" si="205"/>
        <v>43.106697420825625</v>
      </c>
      <c r="E1296" s="182">
        <v>0</v>
      </c>
      <c r="F1296" s="182">
        <f t="shared" ca="1" si="209"/>
        <v>0</v>
      </c>
      <c r="G1296" s="182">
        <f t="shared" ca="1" si="206"/>
        <v>0</v>
      </c>
      <c r="H1296" s="182">
        <f t="shared" ca="1" si="207"/>
        <v>64703.152828659258</v>
      </c>
      <c r="I1296" s="183">
        <v>0</v>
      </c>
      <c r="J1296" s="263">
        <f t="shared" ca="1" si="210"/>
        <v>64703.152828659258</v>
      </c>
      <c r="K1296" s="182"/>
      <c r="L1296" s="182"/>
      <c r="M1296" s="182"/>
      <c r="N1296" s="182"/>
      <c r="O1296" s="182"/>
    </row>
    <row r="1297" spans="1:15" x14ac:dyDescent="0.25">
      <c r="A1297" s="180">
        <f t="shared" ref="A1297:A1360" ca="1" si="211">A1296+1</f>
        <v>47387</v>
      </c>
      <c r="B1297" s="181">
        <v>1283</v>
      </c>
      <c r="C1297" s="182">
        <f t="shared" ca="1" si="208"/>
        <v>64703.152828659258</v>
      </c>
      <c r="D1297" s="182">
        <f t="shared" ref="D1297:D1360" ca="1" si="212">(($C$6/360))*C1297</f>
        <v>43.135435219106171</v>
      </c>
      <c r="E1297" s="182">
        <v>0</v>
      </c>
      <c r="F1297" s="182">
        <f t="shared" ca="1" si="209"/>
        <v>0</v>
      </c>
      <c r="G1297" s="182">
        <f t="shared" ref="G1297:G1360" ca="1" si="213">IF(G1296-D1297-E1297&gt;0,G1296-D1297-E1297,0)</f>
        <v>0</v>
      </c>
      <c r="H1297" s="182">
        <f t="shared" ca="1" si="207"/>
        <v>64746.288263878363</v>
      </c>
      <c r="I1297" s="183">
        <v>0</v>
      </c>
      <c r="J1297" s="263">
        <f t="shared" ca="1" si="210"/>
        <v>64746.288263878363</v>
      </c>
      <c r="K1297" s="182"/>
      <c r="L1297" s="182"/>
      <c r="M1297" s="182"/>
      <c r="N1297" s="182"/>
      <c r="O1297" s="182"/>
    </row>
    <row r="1298" spans="1:15" x14ac:dyDescent="0.25">
      <c r="A1298" s="180">
        <f t="shared" ca="1" si="211"/>
        <v>47388</v>
      </c>
      <c r="B1298" s="181">
        <v>1284</v>
      </c>
      <c r="C1298" s="182">
        <f t="shared" ca="1" si="208"/>
        <v>64746.288263878363</v>
      </c>
      <c r="D1298" s="182">
        <f t="shared" ca="1" si="212"/>
        <v>43.164192175918906</v>
      </c>
      <c r="E1298" s="182">
        <v>0</v>
      </c>
      <c r="F1298" s="182">
        <f t="shared" ca="1" si="209"/>
        <v>0</v>
      </c>
      <c r="G1298" s="182">
        <f t="shared" ca="1" si="213"/>
        <v>0</v>
      </c>
      <c r="H1298" s="182">
        <f t="shared" ca="1" si="207"/>
        <v>64789.452456054285</v>
      </c>
      <c r="I1298" s="183">
        <v>0</v>
      </c>
      <c r="J1298" s="263">
        <f t="shared" ca="1" si="210"/>
        <v>64789.452456054285</v>
      </c>
      <c r="K1298" s="182"/>
      <c r="L1298" s="182"/>
      <c r="M1298" s="182"/>
      <c r="N1298" s="182"/>
      <c r="O1298" s="182"/>
    </row>
    <row r="1299" spans="1:15" x14ac:dyDescent="0.25">
      <c r="A1299" s="180">
        <f t="shared" ca="1" si="211"/>
        <v>47389</v>
      </c>
      <c r="B1299" s="181">
        <v>1285</v>
      </c>
      <c r="C1299" s="182">
        <f t="shared" ca="1" si="208"/>
        <v>64789.452456054285</v>
      </c>
      <c r="D1299" s="182">
        <f t="shared" ca="1" si="212"/>
        <v>43.192968304036185</v>
      </c>
      <c r="E1299" s="182">
        <v>0</v>
      </c>
      <c r="F1299" s="182">
        <f t="shared" ca="1" si="209"/>
        <v>0</v>
      </c>
      <c r="G1299" s="182">
        <f t="shared" ca="1" si="213"/>
        <v>0</v>
      </c>
      <c r="H1299" s="182">
        <f t="shared" ca="1" si="207"/>
        <v>64832.645424358321</v>
      </c>
      <c r="I1299" s="183">
        <v>0</v>
      </c>
      <c r="J1299" s="263">
        <f t="shared" ca="1" si="210"/>
        <v>64832.645424358321</v>
      </c>
      <c r="K1299" s="182"/>
      <c r="L1299" s="182"/>
      <c r="M1299" s="182"/>
      <c r="N1299" s="182"/>
      <c r="O1299" s="182"/>
    </row>
    <row r="1300" spans="1:15" x14ac:dyDescent="0.25">
      <c r="A1300" s="180">
        <f t="shared" ca="1" si="211"/>
        <v>47390</v>
      </c>
      <c r="B1300" s="181">
        <v>1286</v>
      </c>
      <c r="C1300" s="182">
        <f t="shared" ca="1" si="208"/>
        <v>64832.645424358321</v>
      </c>
      <c r="D1300" s="182">
        <f t="shared" ca="1" si="212"/>
        <v>43.221763616238881</v>
      </c>
      <c r="E1300" s="182">
        <v>0</v>
      </c>
      <c r="F1300" s="182">
        <f t="shared" ca="1" si="209"/>
        <v>0</v>
      </c>
      <c r="G1300" s="182">
        <f t="shared" ca="1" si="213"/>
        <v>0</v>
      </c>
      <c r="H1300" s="182">
        <f t="shared" ca="1" si="207"/>
        <v>64875.86718797456</v>
      </c>
      <c r="I1300" s="183">
        <v>0</v>
      </c>
      <c r="J1300" s="263">
        <f t="shared" ca="1" si="210"/>
        <v>64875.86718797456</v>
      </c>
      <c r="K1300" s="182"/>
      <c r="L1300" s="182"/>
      <c r="M1300" s="182"/>
      <c r="N1300" s="182"/>
      <c r="O1300" s="182"/>
    </row>
    <row r="1301" spans="1:15" x14ac:dyDescent="0.25">
      <c r="A1301" s="180">
        <f t="shared" ca="1" si="211"/>
        <v>47391</v>
      </c>
      <c r="B1301" s="181">
        <v>1287</v>
      </c>
      <c r="C1301" s="182">
        <f t="shared" ca="1" si="208"/>
        <v>64875.86718797456</v>
      </c>
      <c r="D1301" s="182">
        <f t="shared" ca="1" si="212"/>
        <v>43.250578125316373</v>
      </c>
      <c r="E1301" s="182">
        <v>0</v>
      </c>
      <c r="F1301" s="182">
        <f t="shared" ca="1" si="209"/>
        <v>0</v>
      </c>
      <c r="G1301" s="182">
        <f t="shared" ca="1" si="213"/>
        <v>0</v>
      </c>
      <c r="H1301" s="182">
        <f t="shared" ca="1" si="207"/>
        <v>64919.117766099873</v>
      </c>
      <c r="I1301" s="183">
        <v>0</v>
      </c>
      <c r="J1301" s="263">
        <f t="shared" ca="1" si="210"/>
        <v>64919.117766099873</v>
      </c>
      <c r="K1301" s="182"/>
      <c r="L1301" s="182"/>
      <c r="M1301" s="182"/>
      <c r="N1301" s="182"/>
      <c r="O1301" s="182"/>
    </row>
    <row r="1302" spans="1:15" x14ac:dyDescent="0.25">
      <c r="A1302" s="180">
        <f t="shared" ca="1" si="211"/>
        <v>47392</v>
      </c>
      <c r="B1302" s="181">
        <v>1288</v>
      </c>
      <c r="C1302" s="182">
        <f t="shared" ca="1" si="208"/>
        <v>64919.117766099873</v>
      </c>
      <c r="D1302" s="182">
        <f t="shared" ca="1" si="212"/>
        <v>43.27941184406658</v>
      </c>
      <c r="E1302" s="182">
        <v>0</v>
      </c>
      <c r="F1302" s="182">
        <f t="shared" ca="1" si="209"/>
        <v>0</v>
      </c>
      <c r="G1302" s="182">
        <f t="shared" ca="1" si="213"/>
        <v>0</v>
      </c>
      <c r="H1302" s="182">
        <f t="shared" ca="1" si="207"/>
        <v>64962.397177943938</v>
      </c>
      <c r="I1302" s="183">
        <v>0</v>
      </c>
      <c r="J1302" s="263">
        <f t="shared" ca="1" si="210"/>
        <v>64962.397177943938</v>
      </c>
      <c r="K1302" s="182"/>
      <c r="L1302" s="182"/>
      <c r="M1302" s="182"/>
      <c r="N1302" s="182"/>
      <c r="O1302" s="182"/>
    </row>
    <row r="1303" spans="1:15" x14ac:dyDescent="0.25">
      <c r="A1303" s="180">
        <f t="shared" ca="1" si="211"/>
        <v>47393</v>
      </c>
      <c r="B1303" s="181">
        <v>1289</v>
      </c>
      <c r="C1303" s="182">
        <f t="shared" ca="1" si="208"/>
        <v>64962.397177943938</v>
      </c>
      <c r="D1303" s="182">
        <f t="shared" ca="1" si="212"/>
        <v>43.308264785295954</v>
      </c>
      <c r="E1303" s="182">
        <v>0</v>
      </c>
      <c r="F1303" s="182">
        <f t="shared" ca="1" si="209"/>
        <v>0</v>
      </c>
      <c r="G1303" s="182">
        <f t="shared" ca="1" si="213"/>
        <v>0</v>
      </c>
      <c r="H1303" s="182">
        <f t="shared" ca="1" si="207"/>
        <v>65005.705442729231</v>
      </c>
      <c r="I1303" s="183">
        <v>0</v>
      </c>
      <c r="J1303" s="263">
        <f t="shared" ca="1" si="210"/>
        <v>65005.705442729231</v>
      </c>
      <c r="K1303" s="182"/>
      <c r="L1303" s="182"/>
      <c r="M1303" s="182"/>
      <c r="N1303" s="182"/>
      <c r="O1303" s="182"/>
    </row>
    <row r="1304" spans="1:15" x14ac:dyDescent="0.25">
      <c r="A1304" s="180">
        <f t="shared" ca="1" si="211"/>
        <v>47394</v>
      </c>
      <c r="B1304" s="181">
        <v>1290</v>
      </c>
      <c r="C1304" s="182">
        <f t="shared" ca="1" si="208"/>
        <v>65005.705442729231</v>
      </c>
      <c r="D1304" s="182">
        <f t="shared" ca="1" si="212"/>
        <v>43.337136961819489</v>
      </c>
      <c r="E1304" s="182">
        <v>0</v>
      </c>
      <c r="F1304" s="182">
        <f t="shared" ca="1" si="209"/>
        <v>0</v>
      </c>
      <c r="G1304" s="182">
        <f t="shared" ca="1" si="213"/>
        <v>0</v>
      </c>
      <c r="H1304" s="182">
        <f t="shared" ca="1" si="207"/>
        <v>65049.042579691049</v>
      </c>
      <c r="I1304" s="183">
        <v>0</v>
      </c>
      <c r="J1304" s="263">
        <f t="shared" ca="1" si="210"/>
        <v>65049.042579691049</v>
      </c>
      <c r="K1304" s="182"/>
      <c r="L1304" s="182"/>
      <c r="M1304" s="182"/>
      <c r="N1304" s="182"/>
      <c r="O1304" s="182"/>
    </row>
    <row r="1305" spans="1:15" x14ac:dyDescent="0.25">
      <c r="A1305" s="180">
        <f t="shared" ca="1" si="211"/>
        <v>47395</v>
      </c>
      <c r="B1305" s="181">
        <v>1291</v>
      </c>
      <c r="C1305" s="182">
        <f t="shared" ca="1" si="208"/>
        <v>65049.042579691049</v>
      </c>
      <c r="D1305" s="182">
        <f t="shared" ca="1" si="212"/>
        <v>43.366028386460698</v>
      </c>
      <c r="E1305" s="182">
        <v>0</v>
      </c>
      <c r="F1305" s="182">
        <f t="shared" ca="1" si="209"/>
        <v>0</v>
      </c>
      <c r="G1305" s="182">
        <f t="shared" ca="1" si="213"/>
        <v>0</v>
      </c>
      <c r="H1305" s="182">
        <f t="shared" ca="1" si="207"/>
        <v>65092.408608077509</v>
      </c>
      <c r="I1305" s="183">
        <v>0</v>
      </c>
      <c r="J1305" s="263">
        <f t="shared" ca="1" si="210"/>
        <v>65092.408608077509</v>
      </c>
      <c r="K1305" s="182"/>
      <c r="L1305" s="182"/>
      <c r="M1305" s="182"/>
      <c r="N1305" s="182"/>
      <c r="O1305" s="182"/>
    </row>
    <row r="1306" spans="1:15" x14ac:dyDescent="0.25">
      <c r="A1306" s="180">
        <f t="shared" ca="1" si="211"/>
        <v>47396</v>
      </c>
      <c r="B1306" s="181">
        <v>1292</v>
      </c>
      <c r="C1306" s="182">
        <f t="shared" ca="1" si="208"/>
        <v>65092.408608077509</v>
      </c>
      <c r="D1306" s="182">
        <f t="shared" ca="1" si="212"/>
        <v>43.39493907205167</v>
      </c>
      <c r="E1306" s="182">
        <v>0</v>
      </c>
      <c r="F1306" s="182">
        <f t="shared" ca="1" si="209"/>
        <v>0</v>
      </c>
      <c r="G1306" s="182">
        <f t="shared" ca="1" si="213"/>
        <v>0</v>
      </c>
      <c r="H1306" s="182">
        <f t="shared" ca="1" si="207"/>
        <v>65135.80354714956</v>
      </c>
      <c r="I1306" s="183">
        <v>0</v>
      </c>
      <c r="J1306" s="263">
        <f t="shared" ca="1" si="210"/>
        <v>65135.80354714956</v>
      </c>
      <c r="K1306" s="182"/>
      <c r="L1306" s="182"/>
      <c r="M1306" s="182"/>
      <c r="N1306" s="182"/>
      <c r="O1306" s="182"/>
    </row>
    <row r="1307" spans="1:15" x14ac:dyDescent="0.25">
      <c r="A1307" s="180">
        <f t="shared" ca="1" si="211"/>
        <v>47397</v>
      </c>
      <c r="B1307" s="181">
        <v>1293</v>
      </c>
      <c r="C1307" s="182">
        <f t="shared" ca="1" si="208"/>
        <v>65135.80354714956</v>
      </c>
      <c r="D1307" s="182">
        <f t="shared" ca="1" si="212"/>
        <v>43.423869031433036</v>
      </c>
      <c r="E1307" s="182">
        <v>0</v>
      </c>
      <c r="F1307" s="182">
        <f t="shared" ca="1" si="209"/>
        <v>0</v>
      </c>
      <c r="G1307" s="182">
        <f t="shared" ca="1" si="213"/>
        <v>0</v>
      </c>
      <c r="H1307" s="182">
        <f t="shared" ca="1" si="207"/>
        <v>65179.227416180991</v>
      </c>
      <c r="I1307" s="183">
        <v>0</v>
      </c>
      <c r="J1307" s="263">
        <f t="shared" ca="1" si="210"/>
        <v>65179.227416180991</v>
      </c>
      <c r="K1307" s="182"/>
      <c r="L1307" s="182"/>
      <c r="M1307" s="182"/>
      <c r="N1307" s="182"/>
      <c r="O1307" s="182"/>
    </row>
    <row r="1308" spans="1:15" x14ac:dyDescent="0.25">
      <c r="A1308" s="180">
        <f t="shared" ca="1" si="211"/>
        <v>47398</v>
      </c>
      <c r="B1308" s="181">
        <v>1294</v>
      </c>
      <c r="C1308" s="182">
        <f t="shared" ca="1" si="208"/>
        <v>65179.227416180991</v>
      </c>
      <c r="D1308" s="182">
        <f t="shared" ca="1" si="212"/>
        <v>43.452818277453993</v>
      </c>
      <c r="E1308" s="182">
        <v>0</v>
      </c>
      <c r="F1308" s="182">
        <f t="shared" ca="1" si="209"/>
        <v>0</v>
      </c>
      <c r="G1308" s="182">
        <f t="shared" ca="1" si="213"/>
        <v>0</v>
      </c>
      <c r="H1308" s="182">
        <f t="shared" ca="1" si="207"/>
        <v>65222.680234458443</v>
      </c>
      <c r="I1308" s="183">
        <v>0</v>
      </c>
      <c r="J1308" s="263">
        <f t="shared" ca="1" si="210"/>
        <v>65222.680234458443</v>
      </c>
      <c r="K1308" s="182"/>
      <c r="L1308" s="182"/>
      <c r="M1308" s="182"/>
      <c r="N1308" s="182"/>
      <c r="O1308" s="182"/>
    </row>
    <row r="1309" spans="1:15" x14ac:dyDescent="0.25">
      <c r="A1309" s="180">
        <f t="shared" ca="1" si="211"/>
        <v>47399</v>
      </c>
      <c r="B1309" s="181">
        <v>1295</v>
      </c>
      <c r="C1309" s="182">
        <f t="shared" ca="1" si="208"/>
        <v>65222.680234458443</v>
      </c>
      <c r="D1309" s="182">
        <f t="shared" ca="1" si="212"/>
        <v>43.481786822972296</v>
      </c>
      <c r="E1309" s="182">
        <v>0</v>
      </c>
      <c r="F1309" s="182">
        <f t="shared" ca="1" si="209"/>
        <v>0</v>
      </c>
      <c r="G1309" s="182">
        <f t="shared" ca="1" si="213"/>
        <v>0</v>
      </c>
      <c r="H1309" s="182">
        <f t="shared" ca="1" si="207"/>
        <v>65266.162021281416</v>
      </c>
      <c r="I1309" s="183">
        <v>0</v>
      </c>
      <c r="J1309" s="263">
        <f t="shared" ca="1" si="210"/>
        <v>65266.162021281416</v>
      </c>
      <c r="K1309" s="182"/>
      <c r="L1309" s="182"/>
      <c r="M1309" s="182"/>
      <c r="N1309" s="182"/>
      <c r="O1309" s="182"/>
    </row>
    <row r="1310" spans="1:15" x14ac:dyDescent="0.25">
      <c r="A1310" s="180">
        <f t="shared" ca="1" si="211"/>
        <v>47400</v>
      </c>
      <c r="B1310" s="181">
        <v>1296</v>
      </c>
      <c r="C1310" s="182">
        <f t="shared" ca="1" si="208"/>
        <v>65266.162021281416</v>
      </c>
      <c r="D1310" s="182">
        <f t="shared" ca="1" si="212"/>
        <v>43.510774680854276</v>
      </c>
      <c r="E1310" s="182">
        <v>0</v>
      </c>
      <c r="F1310" s="182">
        <f t="shared" ca="1" si="209"/>
        <v>0</v>
      </c>
      <c r="G1310" s="182">
        <f t="shared" ca="1" si="213"/>
        <v>0</v>
      </c>
      <c r="H1310" s="182">
        <f t="shared" ca="1" si="207"/>
        <v>65309.672795962273</v>
      </c>
      <c r="I1310" s="183">
        <v>0</v>
      </c>
      <c r="J1310" s="263">
        <f t="shared" ca="1" si="210"/>
        <v>65309.672795962273</v>
      </c>
      <c r="K1310" s="182"/>
      <c r="L1310" s="182"/>
      <c r="M1310" s="182"/>
      <c r="N1310" s="182"/>
      <c r="O1310" s="182"/>
    </row>
    <row r="1311" spans="1:15" x14ac:dyDescent="0.25">
      <c r="A1311" s="180">
        <f t="shared" ca="1" si="211"/>
        <v>47401</v>
      </c>
      <c r="B1311" s="181">
        <v>1297</v>
      </c>
      <c r="C1311" s="182">
        <f t="shared" ca="1" si="208"/>
        <v>65309.672795962273</v>
      </c>
      <c r="D1311" s="182">
        <f t="shared" ca="1" si="212"/>
        <v>43.539781863974845</v>
      </c>
      <c r="E1311" s="182">
        <v>0</v>
      </c>
      <c r="F1311" s="182">
        <f t="shared" ca="1" si="209"/>
        <v>0</v>
      </c>
      <c r="G1311" s="182">
        <f t="shared" ca="1" si="213"/>
        <v>0</v>
      </c>
      <c r="H1311" s="182">
        <f t="shared" ca="1" si="207"/>
        <v>65353.212577826249</v>
      </c>
      <c r="I1311" s="183">
        <v>0</v>
      </c>
      <c r="J1311" s="263">
        <f t="shared" ca="1" si="210"/>
        <v>65353.212577826249</v>
      </c>
      <c r="K1311" s="182"/>
      <c r="L1311" s="182"/>
      <c r="M1311" s="182"/>
      <c r="N1311" s="182"/>
      <c r="O1311" s="182"/>
    </row>
    <row r="1312" spans="1:15" x14ac:dyDescent="0.25">
      <c r="A1312" s="180">
        <f t="shared" ca="1" si="211"/>
        <v>47402</v>
      </c>
      <c r="B1312" s="181">
        <v>1298</v>
      </c>
      <c r="C1312" s="182">
        <f t="shared" ca="1" si="208"/>
        <v>65353.212577826249</v>
      </c>
      <c r="D1312" s="182">
        <f t="shared" ca="1" si="212"/>
        <v>43.568808385217501</v>
      </c>
      <c r="E1312" s="182">
        <v>0</v>
      </c>
      <c r="F1312" s="182">
        <f t="shared" ca="1" si="209"/>
        <v>0</v>
      </c>
      <c r="G1312" s="182">
        <f t="shared" ca="1" si="213"/>
        <v>0</v>
      </c>
      <c r="H1312" s="182">
        <f t="shared" ca="1" si="207"/>
        <v>65396.781386211464</v>
      </c>
      <c r="I1312" s="183">
        <v>0</v>
      </c>
      <c r="J1312" s="263">
        <f t="shared" ca="1" si="210"/>
        <v>65396.781386211464</v>
      </c>
      <c r="K1312" s="182"/>
      <c r="L1312" s="182"/>
      <c r="M1312" s="182"/>
      <c r="N1312" s="182"/>
      <c r="O1312" s="182"/>
    </row>
    <row r="1313" spans="1:15" x14ac:dyDescent="0.25">
      <c r="A1313" s="180">
        <f t="shared" ca="1" si="211"/>
        <v>47403</v>
      </c>
      <c r="B1313" s="181">
        <v>1299</v>
      </c>
      <c r="C1313" s="182">
        <f t="shared" ca="1" si="208"/>
        <v>65396.781386211464</v>
      </c>
      <c r="D1313" s="182">
        <f t="shared" ca="1" si="212"/>
        <v>43.59785425747431</v>
      </c>
      <c r="E1313" s="182">
        <v>0</v>
      </c>
      <c r="F1313" s="182">
        <f t="shared" ca="1" si="209"/>
        <v>0</v>
      </c>
      <c r="G1313" s="182">
        <f t="shared" ca="1" si="213"/>
        <v>0</v>
      </c>
      <c r="H1313" s="182">
        <f t="shared" ca="1" si="207"/>
        <v>65440.379240468937</v>
      </c>
      <c r="I1313" s="183">
        <v>0</v>
      </c>
      <c r="J1313" s="263">
        <f t="shared" ca="1" si="210"/>
        <v>65440.379240468937</v>
      </c>
      <c r="K1313" s="182"/>
      <c r="L1313" s="182"/>
      <c r="M1313" s="182"/>
      <c r="N1313" s="182"/>
      <c r="O1313" s="182"/>
    </row>
    <row r="1314" spans="1:15" x14ac:dyDescent="0.25">
      <c r="A1314" s="180">
        <f t="shared" ca="1" si="211"/>
        <v>47404</v>
      </c>
      <c r="B1314" s="181">
        <v>1300</v>
      </c>
      <c r="C1314" s="182">
        <f t="shared" ca="1" si="208"/>
        <v>65440.379240468937</v>
      </c>
      <c r="D1314" s="182">
        <f t="shared" ca="1" si="212"/>
        <v>43.626919493645957</v>
      </c>
      <c r="E1314" s="182">
        <v>0</v>
      </c>
      <c r="F1314" s="182">
        <f t="shared" ca="1" si="209"/>
        <v>0</v>
      </c>
      <c r="G1314" s="182">
        <f t="shared" ca="1" si="213"/>
        <v>0</v>
      </c>
      <c r="H1314" s="182">
        <f t="shared" ca="1" si="207"/>
        <v>65484.006159962584</v>
      </c>
      <c r="I1314" s="183">
        <v>0</v>
      </c>
      <c r="J1314" s="263">
        <f t="shared" ca="1" si="210"/>
        <v>65484.006159962584</v>
      </c>
      <c r="K1314" s="182"/>
      <c r="L1314" s="182"/>
      <c r="M1314" s="182"/>
      <c r="N1314" s="182"/>
      <c r="O1314" s="182"/>
    </row>
    <row r="1315" spans="1:15" x14ac:dyDescent="0.25">
      <c r="A1315" s="180">
        <f t="shared" ca="1" si="211"/>
        <v>47405</v>
      </c>
      <c r="B1315" s="181">
        <v>1301</v>
      </c>
      <c r="C1315" s="182">
        <f t="shared" ca="1" si="208"/>
        <v>65484.006159962584</v>
      </c>
      <c r="D1315" s="182">
        <f t="shared" ca="1" si="212"/>
        <v>43.656004106641724</v>
      </c>
      <c r="E1315" s="182">
        <v>0</v>
      </c>
      <c r="F1315" s="182">
        <f t="shared" ca="1" si="209"/>
        <v>0</v>
      </c>
      <c r="G1315" s="182">
        <f t="shared" ca="1" si="213"/>
        <v>0</v>
      </c>
      <c r="H1315" s="182">
        <f t="shared" ref="H1315:H1378" ca="1" si="214">IF(G1315&gt;0,C1315+F1315+I1315,SUM(C1315:F1315)-G1314)</f>
        <v>65527.662164069225</v>
      </c>
      <c r="I1315" s="183">
        <v>0</v>
      </c>
      <c r="J1315" s="263">
        <f t="shared" ca="1" si="210"/>
        <v>65527.662164069225</v>
      </c>
      <c r="K1315" s="182"/>
      <c r="L1315" s="182"/>
      <c r="M1315" s="182"/>
      <c r="N1315" s="182"/>
      <c r="O1315" s="182"/>
    </row>
    <row r="1316" spans="1:15" x14ac:dyDescent="0.25">
      <c r="A1316" s="180">
        <f t="shared" ca="1" si="211"/>
        <v>47406</v>
      </c>
      <c r="B1316" s="181">
        <v>1302</v>
      </c>
      <c r="C1316" s="182">
        <f t="shared" ca="1" si="208"/>
        <v>65527.662164069225</v>
      </c>
      <c r="D1316" s="182">
        <f t="shared" ca="1" si="212"/>
        <v>43.685108109379485</v>
      </c>
      <c r="E1316" s="182">
        <v>0</v>
      </c>
      <c r="F1316" s="182">
        <f t="shared" ca="1" si="209"/>
        <v>0</v>
      </c>
      <c r="G1316" s="182">
        <f t="shared" ca="1" si="213"/>
        <v>0</v>
      </c>
      <c r="H1316" s="182">
        <f t="shared" ca="1" si="214"/>
        <v>65571.347272178609</v>
      </c>
      <c r="I1316" s="183">
        <v>0</v>
      </c>
      <c r="J1316" s="263">
        <f t="shared" ca="1" si="210"/>
        <v>65571.347272178609</v>
      </c>
      <c r="K1316" s="182"/>
      <c r="L1316" s="182"/>
      <c r="M1316" s="182"/>
      <c r="N1316" s="182"/>
      <c r="O1316" s="182"/>
    </row>
    <row r="1317" spans="1:15" x14ac:dyDescent="0.25">
      <c r="A1317" s="180">
        <f t="shared" ca="1" si="211"/>
        <v>47407</v>
      </c>
      <c r="B1317" s="181">
        <v>1303</v>
      </c>
      <c r="C1317" s="182">
        <f t="shared" ca="1" si="208"/>
        <v>65571.347272178609</v>
      </c>
      <c r="D1317" s="182">
        <f t="shared" ca="1" si="212"/>
        <v>43.714231514785737</v>
      </c>
      <c r="E1317" s="182">
        <v>0</v>
      </c>
      <c r="F1317" s="182">
        <f t="shared" ca="1" si="209"/>
        <v>0</v>
      </c>
      <c r="G1317" s="182">
        <f t="shared" ca="1" si="213"/>
        <v>0</v>
      </c>
      <c r="H1317" s="182">
        <f t="shared" ca="1" si="214"/>
        <v>65615.061503693389</v>
      </c>
      <c r="I1317" s="183">
        <v>0</v>
      </c>
      <c r="J1317" s="263">
        <f t="shared" ca="1" si="210"/>
        <v>65615.061503693389</v>
      </c>
      <c r="K1317" s="182"/>
      <c r="L1317" s="182"/>
      <c r="M1317" s="182"/>
      <c r="N1317" s="182"/>
      <c r="O1317" s="182"/>
    </row>
    <row r="1318" spans="1:15" x14ac:dyDescent="0.25">
      <c r="A1318" s="180">
        <f t="shared" ca="1" si="211"/>
        <v>47408</v>
      </c>
      <c r="B1318" s="181">
        <v>1304</v>
      </c>
      <c r="C1318" s="182">
        <f t="shared" ca="1" si="208"/>
        <v>65615.061503693389</v>
      </c>
      <c r="D1318" s="182">
        <f t="shared" ca="1" si="212"/>
        <v>43.743374335795593</v>
      </c>
      <c r="E1318" s="182">
        <v>0</v>
      </c>
      <c r="F1318" s="182">
        <f t="shared" ca="1" si="209"/>
        <v>0</v>
      </c>
      <c r="G1318" s="182">
        <f t="shared" ca="1" si="213"/>
        <v>0</v>
      </c>
      <c r="H1318" s="182">
        <f t="shared" ca="1" si="214"/>
        <v>65658.804878029187</v>
      </c>
      <c r="I1318" s="183">
        <v>0</v>
      </c>
      <c r="J1318" s="263">
        <f t="shared" ca="1" si="210"/>
        <v>65658.804878029187</v>
      </c>
      <c r="K1318" s="182"/>
      <c r="L1318" s="182"/>
      <c r="M1318" s="182"/>
      <c r="N1318" s="182"/>
      <c r="O1318" s="182"/>
    </row>
    <row r="1319" spans="1:15" x14ac:dyDescent="0.25">
      <c r="A1319" s="180">
        <f t="shared" ca="1" si="211"/>
        <v>47409</v>
      </c>
      <c r="B1319" s="181">
        <v>1305</v>
      </c>
      <c r="C1319" s="182">
        <f t="shared" ca="1" si="208"/>
        <v>65658.804878029187</v>
      </c>
      <c r="D1319" s="182">
        <f t="shared" ca="1" si="212"/>
        <v>43.772536585352789</v>
      </c>
      <c r="E1319" s="182">
        <v>0</v>
      </c>
      <c r="F1319" s="182">
        <f t="shared" ca="1" si="209"/>
        <v>0</v>
      </c>
      <c r="G1319" s="182">
        <f t="shared" ca="1" si="213"/>
        <v>0</v>
      </c>
      <c r="H1319" s="182">
        <f t="shared" ca="1" si="214"/>
        <v>65702.577414614541</v>
      </c>
      <c r="I1319" s="183">
        <v>0</v>
      </c>
      <c r="J1319" s="263">
        <f t="shared" ca="1" si="210"/>
        <v>65702.577414614541</v>
      </c>
      <c r="K1319" s="182"/>
      <c r="L1319" s="182"/>
      <c r="M1319" s="182"/>
      <c r="N1319" s="182"/>
      <c r="O1319" s="182"/>
    </row>
    <row r="1320" spans="1:15" x14ac:dyDescent="0.25">
      <c r="A1320" s="180">
        <f t="shared" ca="1" si="211"/>
        <v>47410</v>
      </c>
      <c r="B1320" s="181">
        <v>1306</v>
      </c>
      <c r="C1320" s="182">
        <f t="shared" ca="1" si="208"/>
        <v>65702.577414614541</v>
      </c>
      <c r="D1320" s="182">
        <f t="shared" ca="1" si="212"/>
        <v>43.801718276409694</v>
      </c>
      <c r="E1320" s="182">
        <v>0</v>
      </c>
      <c r="F1320" s="182">
        <f t="shared" ca="1" si="209"/>
        <v>0</v>
      </c>
      <c r="G1320" s="182">
        <f t="shared" ca="1" si="213"/>
        <v>0</v>
      </c>
      <c r="H1320" s="182">
        <f t="shared" ca="1" si="214"/>
        <v>65746.379132890957</v>
      </c>
      <c r="I1320" s="183">
        <v>0</v>
      </c>
      <c r="J1320" s="263">
        <f t="shared" ca="1" si="210"/>
        <v>65746.379132890957</v>
      </c>
      <c r="K1320" s="182"/>
      <c r="L1320" s="182"/>
      <c r="M1320" s="182"/>
      <c r="N1320" s="182"/>
      <c r="O1320" s="182"/>
    </row>
    <row r="1321" spans="1:15" x14ac:dyDescent="0.25">
      <c r="A1321" s="180">
        <f t="shared" ca="1" si="211"/>
        <v>47411</v>
      </c>
      <c r="B1321" s="181">
        <v>1307</v>
      </c>
      <c r="C1321" s="182">
        <f t="shared" ca="1" si="208"/>
        <v>65746.379132890957</v>
      </c>
      <c r="D1321" s="182">
        <f t="shared" ca="1" si="212"/>
        <v>43.830919421927305</v>
      </c>
      <c r="E1321" s="182">
        <v>0</v>
      </c>
      <c r="F1321" s="182">
        <f t="shared" ca="1" si="209"/>
        <v>0</v>
      </c>
      <c r="G1321" s="182">
        <f t="shared" ca="1" si="213"/>
        <v>0</v>
      </c>
      <c r="H1321" s="182">
        <f t="shared" ca="1" si="214"/>
        <v>65790.21005231289</v>
      </c>
      <c r="I1321" s="183">
        <v>0</v>
      </c>
      <c r="J1321" s="263">
        <f t="shared" ca="1" si="210"/>
        <v>65790.21005231289</v>
      </c>
      <c r="K1321" s="182"/>
      <c r="L1321" s="182"/>
      <c r="M1321" s="182"/>
      <c r="N1321" s="182"/>
      <c r="O1321" s="182"/>
    </row>
    <row r="1322" spans="1:15" x14ac:dyDescent="0.25">
      <c r="A1322" s="180">
        <f t="shared" ca="1" si="211"/>
        <v>47412</v>
      </c>
      <c r="B1322" s="181">
        <v>1308</v>
      </c>
      <c r="C1322" s="182">
        <f t="shared" ca="1" si="208"/>
        <v>65790.21005231289</v>
      </c>
      <c r="D1322" s="182">
        <f t="shared" ca="1" si="212"/>
        <v>43.860140034875258</v>
      </c>
      <c r="E1322" s="182">
        <v>0</v>
      </c>
      <c r="F1322" s="182">
        <f t="shared" ca="1" si="209"/>
        <v>0</v>
      </c>
      <c r="G1322" s="182">
        <f t="shared" ca="1" si="213"/>
        <v>0</v>
      </c>
      <c r="H1322" s="182">
        <f t="shared" ca="1" si="214"/>
        <v>65834.070192347761</v>
      </c>
      <c r="I1322" s="183">
        <v>0</v>
      </c>
      <c r="J1322" s="263">
        <f t="shared" ca="1" si="210"/>
        <v>65834.070192347761</v>
      </c>
      <c r="K1322" s="182"/>
      <c r="L1322" s="182"/>
      <c r="M1322" s="182"/>
      <c r="N1322" s="182"/>
      <c r="O1322" s="182"/>
    </row>
    <row r="1323" spans="1:15" x14ac:dyDescent="0.25">
      <c r="A1323" s="180">
        <f t="shared" ca="1" si="211"/>
        <v>47413</v>
      </c>
      <c r="B1323" s="181">
        <v>1309</v>
      </c>
      <c r="C1323" s="182">
        <f t="shared" ref="C1323:C1386" ca="1" si="215">H1322</f>
        <v>65834.070192347761</v>
      </c>
      <c r="D1323" s="182">
        <f t="shared" ca="1" si="212"/>
        <v>43.889380128231842</v>
      </c>
      <c r="E1323" s="182">
        <v>0</v>
      </c>
      <c r="F1323" s="182">
        <f t="shared" ca="1" si="209"/>
        <v>0</v>
      </c>
      <c r="G1323" s="182">
        <f t="shared" ca="1" si="213"/>
        <v>0</v>
      </c>
      <c r="H1323" s="182">
        <f t="shared" ca="1" si="214"/>
        <v>65877.959572475986</v>
      </c>
      <c r="I1323" s="183">
        <v>0</v>
      </c>
      <c r="J1323" s="263">
        <f t="shared" ca="1" si="210"/>
        <v>65877.959572475986</v>
      </c>
      <c r="K1323" s="182"/>
      <c r="L1323" s="182"/>
      <c r="M1323" s="182"/>
      <c r="N1323" s="182"/>
      <c r="O1323" s="182"/>
    </row>
    <row r="1324" spans="1:15" x14ac:dyDescent="0.25">
      <c r="A1324" s="180">
        <f t="shared" ca="1" si="211"/>
        <v>47414</v>
      </c>
      <c r="B1324" s="181">
        <v>1310</v>
      </c>
      <c r="C1324" s="182">
        <f t="shared" ca="1" si="215"/>
        <v>65877.959572475986</v>
      </c>
      <c r="D1324" s="182">
        <f t="shared" ca="1" si="212"/>
        <v>43.918639714983989</v>
      </c>
      <c r="E1324" s="182">
        <v>0</v>
      </c>
      <c r="F1324" s="182">
        <f t="shared" ref="F1324:F1387" ca="1" si="216">IFERROR(-VLOOKUP(A1324,$P$4:$R$31,2,FALSE),0)</f>
        <v>0</v>
      </c>
      <c r="G1324" s="182">
        <f t="shared" ca="1" si="213"/>
        <v>0</v>
      </c>
      <c r="H1324" s="182">
        <f t="shared" ca="1" si="214"/>
        <v>65921.878212190975</v>
      </c>
      <c r="I1324" s="183">
        <v>0</v>
      </c>
      <c r="J1324" s="263">
        <f t="shared" ca="1" si="210"/>
        <v>65921.878212190975</v>
      </c>
      <c r="K1324" s="182"/>
      <c r="L1324" s="182"/>
      <c r="M1324" s="182"/>
      <c r="N1324" s="182"/>
      <c r="O1324" s="182"/>
    </row>
    <row r="1325" spans="1:15" x14ac:dyDescent="0.25">
      <c r="A1325" s="180">
        <f t="shared" ca="1" si="211"/>
        <v>47415</v>
      </c>
      <c r="B1325" s="181">
        <v>1311</v>
      </c>
      <c r="C1325" s="182">
        <f t="shared" ca="1" si="215"/>
        <v>65921.878212190975</v>
      </c>
      <c r="D1325" s="182">
        <f t="shared" ca="1" si="212"/>
        <v>43.947918808127312</v>
      </c>
      <c r="E1325" s="182">
        <v>0</v>
      </c>
      <c r="F1325" s="182">
        <f t="shared" ca="1" si="216"/>
        <v>0</v>
      </c>
      <c r="G1325" s="182">
        <f t="shared" ca="1" si="213"/>
        <v>0</v>
      </c>
      <c r="H1325" s="182">
        <f t="shared" ca="1" si="214"/>
        <v>65965.826130999107</v>
      </c>
      <c r="I1325" s="183">
        <v>0</v>
      </c>
      <c r="J1325" s="263">
        <f t="shared" ca="1" si="210"/>
        <v>65965.826130999107</v>
      </c>
      <c r="K1325" s="182"/>
      <c r="L1325" s="182"/>
      <c r="M1325" s="182"/>
      <c r="N1325" s="182"/>
      <c r="O1325" s="182"/>
    </row>
    <row r="1326" spans="1:15" x14ac:dyDescent="0.25">
      <c r="A1326" s="180">
        <f t="shared" ca="1" si="211"/>
        <v>47416</v>
      </c>
      <c r="B1326" s="181">
        <v>1312</v>
      </c>
      <c r="C1326" s="182">
        <f t="shared" ca="1" si="215"/>
        <v>65965.826130999107</v>
      </c>
      <c r="D1326" s="182">
        <f t="shared" ca="1" si="212"/>
        <v>43.977217420666072</v>
      </c>
      <c r="E1326" s="182">
        <v>0</v>
      </c>
      <c r="F1326" s="182">
        <f t="shared" ca="1" si="216"/>
        <v>0</v>
      </c>
      <c r="G1326" s="182">
        <f t="shared" ca="1" si="213"/>
        <v>0</v>
      </c>
      <c r="H1326" s="182">
        <f t="shared" ca="1" si="214"/>
        <v>66009.803348419766</v>
      </c>
      <c r="I1326" s="183">
        <v>0</v>
      </c>
      <c r="J1326" s="263">
        <f t="shared" ca="1" si="210"/>
        <v>66009.803348419766</v>
      </c>
      <c r="K1326" s="182"/>
      <c r="L1326" s="182"/>
      <c r="M1326" s="182"/>
      <c r="N1326" s="182"/>
      <c r="O1326" s="182"/>
    </row>
    <row r="1327" spans="1:15" x14ac:dyDescent="0.25">
      <c r="A1327" s="180">
        <f t="shared" ca="1" si="211"/>
        <v>47417</v>
      </c>
      <c r="B1327" s="181">
        <v>1313</v>
      </c>
      <c r="C1327" s="182">
        <f t="shared" ca="1" si="215"/>
        <v>66009.803348419766</v>
      </c>
      <c r="D1327" s="182">
        <f t="shared" ca="1" si="212"/>
        <v>44.006535565613177</v>
      </c>
      <c r="E1327" s="182">
        <v>0</v>
      </c>
      <c r="F1327" s="182">
        <f t="shared" ca="1" si="216"/>
        <v>0</v>
      </c>
      <c r="G1327" s="182">
        <f t="shared" ca="1" si="213"/>
        <v>0</v>
      </c>
      <c r="H1327" s="182">
        <f t="shared" ca="1" si="214"/>
        <v>66053.809883985377</v>
      </c>
      <c r="I1327" s="183">
        <v>0</v>
      </c>
      <c r="J1327" s="263">
        <f t="shared" ca="1" si="210"/>
        <v>66053.809883985377</v>
      </c>
      <c r="K1327" s="182"/>
      <c r="L1327" s="182"/>
      <c r="M1327" s="182"/>
      <c r="N1327" s="182"/>
      <c r="O1327" s="182"/>
    </row>
    <row r="1328" spans="1:15" x14ac:dyDescent="0.25">
      <c r="A1328" s="180">
        <f t="shared" ca="1" si="211"/>
        <v>47418</v>
      </c>
      <c r="B1328" s="181">
        <v>1314</v>
      </c>
      <c r="C1328" s="182">
        <f t="shared" ca="1" si="215"/>
        <v>66053.809883985377</v>
      </c>
      <c r="D1328" s="182">
        <f t="shared" ca="1" si="212"/>
        <v>44.035873255990253</v>
      </c>
      <c r="E1328" s="182">
        <v>0</v>
      </c>
      <c r="F1328" s="182">
        <f t="shared" ca="1" si="216"/>
        <v>0</v>
      </c>
      <c r="G1328" s="182">
        <f t="shared" ca="1" si="213"/>
        <v>0</v>
      </c>
      <c r="H1328" s="182">
        <f t="shared" ca="1" si="214"/>
        <v>66097.845757241361</v>
      </c>
      <c r="I1328" s="183">
        <v>0</v>
      </c>
      <c r="J1328" s="263">
        <f t="shared" ca="1" si="210"/>
        <v>66097.845757241361</v>
      </c>
      <c r="K1328" s="182"/>
      <c r="L1328" s="182"/>
      <c r="M1328" s="182"/>
      <c r="N1328" s="182"/>
      <c r="O1328" s="182"/>
    </row>
    <row r="1329" spans="1:15" x14ac:dyDescent="0.25">
      <c r="A1329" s="180">
        <f t="shared" ca="1" si="211"/>
        <v>47419</v>
      </c>
      <c r="B1329" s="181">
        <v>1315</v>
      </c>
      <c r="C1329" s="182">
        <f t="shared" ca="1" si="215"/>
        <v>66097.845757241361</v>
      </c>
      <c r="D1329" s="182">
        <f t="shared" ca="1" si="212"/>
        <v>44.065230504827575</v>
      </c>
      <c r="E1329" s="182">
        <v>0</v>
      </c>
      <c r="F1329" s="182">
        <f t="shared" ca="1" si="216"/>
        <v>0</v>
      </c>
      <c r="G1329" s="182">
        <f t="shared" ca="1" si="213"/>
        <v>0</v>
      </c>
      <c r="H1329" s="182">
        <f t="shared" ca="1" si="214"/>
        <v>66141.910987746189</v>
      </c>
      <c r="I1329" s="183">
        <v>0</v>
      </c>
      <c r="J1329" s="263">
        <f t="shared" ca="1" si="210"/>
        <v>66141.910987746189</v>
      </c>
      <c r="K1329" s="182"/>
      <c r="L1329" s="182"/>
      <c r="M1329" s="182"/>
      <c r="N1329" s="182"/>
      <c r="O1329" s="182"/>
    </row>
    <row r="1330" spans="1:15" x14ac:dyDescent="0.25">
      <c r="A1330" s="180">
        <f t="shared" ca="1" si="211"/>
        <v>47420</v>
      </c>
      <c r="B1330" s="181">
        <v>1316</v>
      </c>
      <c r="C1330" s="182">
        <f t="shared" ca="1" si="215"/>
        <v>66141.910987746189</v>
      </c>
      <c r="D1330" s="182">
        <f t="shared" ca="1" si="212"/>
        <v>44.094607325164127</v>
      </c>
      <c r="E1330" s="182">
        <v>0</v>
      </c>
      <c r="F1330" s="182">
        <f t="shared" ca="1" si="216"/>
        <v>0</v>
      </c>
      <c r="G1330" s="182">
        <f t="shared" ca="1" si="213"/>
        <v>0</v>
      </c>
      <c r="H1330" s="182">
        <f t="shared" ca="1" si="214"/>
        <v>66186.005595071358</v>
      </c>
      <c r="I1330" s="183">
        <v>0</v>
      </c>
      <c r="J1330" s="263">
        <f t="shared" ca="1" si="210"/>
        <v>66186.005595071358</v>
      </c>
      <c r="K1330" s="182"/>
      <c r="L1330" s="182"/>
      <c r="M1330" s="182"/>
      <c r="N1330" s="182"/>
      <c r="O1330" s="182"/>
    </row>
    <row r="1331" spans="1:15" x14ac:dyDescent="0.25">
      <c r="A1331" s="180">
        <f t="shared" ca="1" si="211"/>
        <v>47421</v>
      </c>
      <c r="B1331" s="181">
        <v>1317</v>
      </c>
      <c r="C1331" s="182">
        <f t="shared" ca="1" si="215"/>
        <v>66186.005595071358</v>
      </c>
      <c r="D1331" s="182">
        <f t="shared" ca="1" si="212"/>
        <v>44.124003730047569</v>
      </c>
      <c r="E1331" s="182">
        <v>0</v>
      </c>
      <c r="F1331" s="182">
        <f t="shared" ca="1" si="216"/>
        <v>0</v>
      </c>
      <c r="G1331" s="182">
        <f t="shared" ca="1" si="213"/>
        <v>0</v>
      </c>
      <c r="H1331" s="182">
        <f t="shared" ca="1" si="214"/>
        <v>66230.129598801403</v>
      </c>
      <c r="I1331" s="183">
        <v>0</v>
      </c>
      <c r="J1331" s="263">
        <f t="shared" ca="1" si="210"/>
        <v>66230.129598801403</v>
      </c>
      <c r="K1331" s="182"/>
      <c r="L1331" s="182"/>
      <c r="M1331" s="182"/>
      <c r="N1331" s="182"/>
      <c r="O1331" s="182"/>
    </row>
    <row r="1332" spans="1:15" x14ac:dyDescent="0.25">
      <c r="A1332" s="180">
        <f t="shared" ca="1" si="211"/>
        <v>47422</v>
      </c>
      <c r="B1332" s="181">
        <v>1318</v>
      </c>
      <c r="C1332" s="182">
        <f t="shared" ca="1" si="215"/>
        <v>66230.129598801403</v>
      </c>
      <c r="D1332" s="182">
        <f t="shared" ca="1" si="212"/>
        <v>44.153419732534267</v>
      </c>
      <c r="E1332" s="182">
        <v>0</v>
      </c>
      <c r="F1332" s="182">
        <f t="shared" ca="1" si="216"/>
        <v>0</v>
      </c>
      <c r="G1332" s="182">
        <f t="shared" ca="1" si="213"/>
        <v>0</v>
      </c>
      <c r="H1332" s="182">
        <f t="shared" ca="1" si="214"/>
        <v>66274.283018533941</v>
      </c>
      <c r="I1332" s="183">
        <v>0</v>
      </c>
      <c r="J1332" s="263">
        <f t="shared" ca="1" si="210"/>
        <v>66274.283018533941</v>
      </c>
      <c r="K1332" s="182"/>
      <c r="L1332" s="182"/>
      <c r="M1332" s="182"/>
      <c r="N1332" s="182"/>
      <c r="O1332" s="182"/>
    </row>
    <row r="1333" spans="1:15" x14ac:dyDescent="0.25">
      <c r="A1333" s="180">
        <f t="shared" ca="1" si="211"/>
        <v>47423</v>
      </c>
      <c r="B1333" s="181">
        <v>1319</v>
      </c>
      <c r="C1333" s="182">
        <f t="shared" ca="1" si="215"/>
        <v>66274.283018533941</v>
      </c>
      <c r="D1333" s="182">
        <f t="shared" ca="1" si="212"/>
        <v>44.182855345689291</v>
      </c>
      <c r="E1333" s="182">
        <v>0</v>
      </c>
      <c r="F1333" s="182">
        <f t="shared" ca="1" si="216"/>
        <v>0</v>
      </c>
      <c r="G1333" s="182">
        <f t="shared" ca="1" si="213"/>
        <v>0</v>
      </c>
      <c r="H1333" s="182">
        <f t="shared" ca="1" si="214"/>
        <v>66318.465873879628</v>
      </c>
      <c r="I1333" s="183">
        <v>0</v>
      </c>
      <c r="J1333" s="263">
        <f t="shared" ca="1" si="210"/>
        <v>66318.465873879628</v>
      </c>
      <c r="K1333" s="182"/>
      <c r="L1333" s="182"/>
      <c r="M1333" s="182"/>
      <c r="N1333" s="182"/>
      <c r="O1333" s="182"/>
    </row>
    <row r="1334" spans="1:15" x14ac:dyDescent="0.25">
      <c r="A1334" s="180">
        <f t="shared" ca="1" si="211"/>
        <v>47424</v>
      </c>
      <c r="B1334" s="181">
        <v>1320</v>
      </c>
      <c r="C1334" s="182">
        <f t="shared" ca="1" si="215"/>
        <v>66318.465873879628</v>
      </c>
      <c r="D1334" s="182">
        <f t="shared" ca="1" si="212"/>
        <v>44.212310582586419</v>
      </c>
      <c r="E1334" s="182">
        <v>0</v>
      </c>
      <c r="F1334" s="182">
        <f t="shared" ca="1" si="216"/>
        <v>0</v>
      </c>
      <c r="G1334" s="182">
        <f t="shared" ca="1" si="213"/>
        <v>0</v>
      </c>
      <c r="H1334" s="182">
        <f t="shared" ca="1" si="214"/>
        <v>66362.678184462216</v>
      </c>
      <c r="I1334" s="183">
        <v>0</v>
      </c>
      <c r="J1334" s="263">
        <f t="shared" ca="1" si="210"/>
        <v>66362.678184462216</v>
      </c>
      <c r="K1334" s="182"/>
      <c r="L1334" s="182"/>
      <c r="M1334" s="182"/>
      <c r="N1334" s="182"/>
      <c r="O1334" s="182"/>
    </row>
    <row r="1335" spans="1:15" x14ac:dyDescent="0.25">
      <c r="A1335" s="180">
        <f t="shared" ca="1" si="211"/>
        <v>47425</v>
      </c>
      <c r="B1335" s="181">
        <v>1321</v>
      </c>
      <c r="C1335" s="182">
        <f t="shared" ca="1" si="215"/>
        <v>66362.678184462216</v>
      </c>
      <c r="D1335" s="182">
        <f t="shared" ca="1" si="212"/>
        <v>44.241785456308143</v>
      </c>
      <c r="E1335" s="182">
        <v>0</v>
      </c>
      <c r="F1335" s="182">
        <f t="shared" ca="1" si="216"/>
        <v>0</v>
      </c>
      <c r="G1335" s="182">
        <f t="shared" ca="1" si="213"/>
        <v>0</v>
      </c>
      <c r="H1335" s="182">
        <f t="shared" ca="1" si="214"/>
        <v>66406.919969918526</v>
      </c>
      <c r="I1335" s="183">
        <v>0</v>
      </c>
      <c r="J1335" s="263">
        <f t="shared" ca="1" si="210"/>
        <v>66406.919969918526</v>
      </c>
      <c r="K1335" s="182"/>
      <c r="L1335" s="182"/>
      <c r="M1335" s="182"/>
      <c r="N1335" s="182"/>
      <c r="O1335" s="182"/>
    </row>
    <row r="1336" spans="1:15" x14ac:dyDescent="0.25">
      <c r="A1336" s="180">
        <f t="shared" ca="1" si="211"/>
        <v>47426</v>
      </c>
      <c r="B1336" s="181">
        <v>1322</v>
      </c>
      <c r="C1336" s="182">
        <f t="shared" ca="1" si="215"/>
        <v>66406.919969918526</v>
      </c>
      <c r="D1336" s="182">
        <f t="shared" ca="1" si="212"/>
        <v>44.271279979945682</v>
      </c>
      <c r="E1336" s="182">
        <v>0</v>
      </c>
      <c r="F1336" s="182">
        <f t="shared" ca="1" si="216"/>
        <v>0</v>
      </c>
      <c r="G1336" s="182">
        <f t="shared" ca="1" si="213"/>
        <v>0</v>
      </c>
      <c r="H1336" s="182">
        <f t="shared" ca="1" si="214"/>
        <v>66451.191249898475</v>
      </c>
      <c r="I1336" s="183">
        <v>0</v>
      </c>
      <c r="J1336" s="263">
        <f t="shared" ca="1" si="210"/>
        <v>66451.191249898475</v>
      </c>
      <c r="K1336" s="182"/>
      <c r="L1336" s="182"/>
      <c r="M1336" s="182"/>
      <c r="N1336" s="182"/>
      <c r="O1336" s="182"/>
    </row>
    <row r="1337" spans="1:15" x14ac:dyDescent="0.25">
      <c r="A1337" s="180">
        <f t="shared" ca="1" si="211"/>
        <v>47427</v>
      </c>
      <c r="B1337" s="181">
        <v>1323</v>
      </c>
      <c r="C1337" s="182">
        <f t="shared" ca="1" si="215"/>
        <v>66451.191249898475</v>
      </c>
      <c r="D1337" s="182">
        <f t="shared" ca="1" si="212"/>
        <v>44.300794166598983</v>
      </c>
      <c r="E1337" s="182">
        <v>0</v>
      </c>
      <c r="F1337" s="182">
        <f t="shared" ca="1" si="216"/>
        <v>0</v>
      </c>
      <c r="G1337" s="182">
        <f t="shared" ca="1" si="213"/>
        <v>0</v>
      </c>
      <c r="H1337" s="182">
        <f t="shared" ca="1" si="214"/>
        <v>66495.492044065075</v>
      </c>
      <c r="I1337" s="183">
        <v>0</v>
      </c>
      <c r="J1337" s="263">
        <f t="shared" ca="1" si="210"/>
        <v>66495.492044065075</v>
      </c>
      <c r="K1337" s="182"/>
      <c r="L1337" s="182"/>
      <c r="M1337" s="182"/>
      <c r="N1337" s="182"/>
      <c r="O1337" s="182"/>
    </row>
    <row r="1338" spans="1:15" x14ac:dyDescent="0.25">
      <c r="A1338" s="180">
        <f t="shared" ca="1" si="211"/>
        <v>47428</v>
      </c>
      <c r="B1338" s="181">
        <v>1324</v>
      </c>
      <c r="C1338" s="182">
        <f t="shared" ca="1" si="215"/>
        <v>66495.492044065075</v>
      </c>
      <c r="D1338" s="182">
        <f t="shared" ca="1" si="212"/>
        <v>44.330328029376716</v>
      </c>
      <c r="E1338" s="182">
        <v>0</v>
      </c>
      <c r="F1338" s="182">
        <f t="shared" ca="1" si="216"/>
        <v>0</v>
      </c>
      <c r="G1338" s="182">
        <f t="shared" ca="1" si="213"/>
        <v>0</v>
      </c>
      <c r="H1338" s="182">
        <f t="shared" ca="1" si="214"/>
        <v>66539.822372094452</v>
      </c>
      <c r="I1338" s="183">
        <v>0</v>
      </c>
      <c r="J1338" s="263">
        <f t="shared" ca="1" si="210"/>
        <v>66539.822372094452</v>
      </c>
      <c r="K1338" s="182"/>
      <c r="L1338" s="182"/>
      <c r="M1338" s="182"/>
      <c r="N1338" s="182"/>
      <c r="O1338" s="182"/>
    </row>
    <row r="1339" spans="1:15" x14ac:dyDescent="0.25">
      <c r="A1339" s="180">
        <f t="shared" ca="1" si="211"/>
        <v>47429</v>
      </c>
      <c r="B1339" s="181">
        <v>1325</v>
      </c>
      <c r="C1339" s="182">
        <f t="shared" ca="1" si="215"/>
        <v>66539.822372094452</v>
      </c>
      <c r="D1339" s="182">
        <f t="shared" ca="1" si="212"/>
        <v>44.359881581396301</v>
      </c>
      <c r="E1339" s="182">
        <v>0</v>
      </c>
      <c r="F1339" s="182">
        <f t="shared" ca="1" si="216"/>
        <v>0</v>
      </c>
      <c r="G1339" s="182">
        <f t="shared" ca="1" si="213"/>
        <v>0</v>
      </c>
      <c r="H1339" s="182">
        <f t="shared" ca="1" si="214"/>
        <v>66584.182253675841</v>
      </c>
      <c r="I1339" s="183">
        <v>0</v>
      </c>
      <c r="J1339" s="263">
        <f t="shared" ca="1" si="210"/>
        <v>66584.182253675841</v>
      </c>
      <c r="K1339" s="182"/>
      <c r="L1339" s="182"/>
      <c r="M1339" s="182"/>
      <c r="N1339" s="182"/>
      <c r="O1339" s="182"/>
    </row>
    <row r="1340" spans="1:15" x14ac:dyDescent="0.25">
      <c r="A1340" s="180">
        <f t="shared" ca="1" si="211"/>
        <v>47430</v>
      </c>
      <c r="B1340" s="181">
        <v>1326</v>
      </c>
      <c r="C1340" s="182">
        <f t="shared" ca="1" si="215"/>
        <v>66584.182253675841</v>
      </c>
      <c r="D1340" s="182">
        <f t="shared" ca="1" si="212"/>
        <v>44.389454835783894</v>
      </c>
      <c r="E1340" s="182">
        <v>0</v>
      </c>
      <c r="F1340" s="182">
        <f t="shared" ca="1" si="216"/>
        <v>0</v>
      </c>
      <c r="G1340" s="182">
        <f t="shared" ca="1" si="213"/>
        <v>0</v>
      </c>
      <c r="H1340" s="182">
        <f t="shared" ca="1" si="214"/>
        <v>66628.571708511619</v>
      </c>
      <c r="I1340" s="183">
        <v>0</v>
      </c>
      <c r="J1340" s="263">
        <f t="shared" ca="1" si="210"/>
        <v>66628.571708511619</v>
      </c>
      <c r="K1340" s="182"/>
      <c r="L1340" s="182"/>
      <c r="M1340" s="182"/>
      <c r="N1340" s="182"/>
      <c r="O1340" s="182"/>
    </row>
    <row r="1341" spans="1:15" x14ac:dyDescent="0.25">
      <c r="A1341" s="180">
        <f t="shared" ca="1" si="211"/>
        <v>47431</v>
      </c>
      <c r="B1341" s="181">
        <v>1327</v>
      </c>
      <c r="C1341" s="182">
        <f t="shared" ca="1" si="215"/>
        <v>66628.571708511619</v>
      </c>
      <c r="D1341" s="182">
        <f t="shared" ca="1" si="212"/>
        <v>44.41904780567441</v>
      </c>
      <c r="E1341" s="182">
        <v>0</v>
      </c>
      <c r="F1341" s="182">
        <f t="shared" ca="1" si="216"/>
        <v>0</v>
      </c>
      <c r="G1341" s="182">
        <f t="shared" ca="1" si="213"/>
        <v>0</v>
      </c>
      <c r="H1341" s="182">
        <f t="shared" ca="1" si="214"/>
        <v>66672.990756317289</v>
      </c>
      <c r="I1341" s="183">
        <v>0</v>
      </c>
      <c r="J1341" s="263">
        <f t="shared" ca="1" si="210"/>
        <v>66672.990756317289</v>
      </c>
      <c r="K1341" s="182"/>
      <c r="L1341" s="182"/>
      <c r="M1341" s="182"/>
      <c r="N1341" s="182"/>
      <c r="O1341" s="182"/>
    </row>
    <row r="1342" spans="1:15" x14ac:dyDescent="0.25">
      <c r="A1342" s="180">
        <f t="shared" ca="1" si="211"/>
        <v>47432</v>
      </c>
      <c r="B1342" s="181">
        <v>1328</v>
      </c>
      <c r="C1342" s="182">
        <f t="shared" ca="1" si="215"/>
        <v>66672.990756317289</v>
      </c>
      <c r="D1342" s="182">
        <f t="shared" ca="1" si="212"/>
        <v>44.448660504211524</v>
      </c>
      <c r="E1342" s="182">
        <v>0</v>
      </c>
      <c r="F1342" s="182">
        <f t="shared" ca="1" si="216"/>
        <v>0</v>
      </c>
      <c r="G1342" s="182">
        <f t="shared" ca="1" si="213"/>
        <v>0</v>
      </c>
      <c r="H1342" s="182">
        <f t="shared" ca="1" si="214"/>
        <v>66717.439416821508</v>
      </c>
      <c r="I1342" s="183">
        <v>0</v>
      </c>
      <c r="J1342" s="263">
        <f t="shared" ca="1" si="210"/>
        <v>66717.439416821508</v>
      </c>
      <c r="K1342" s="182"/>
      <c r="L1342" s="182"/>
      <c r="M1342" s="182"/>
      <c r="N1342" s="182"/>
      <c r="O1342" s="182"/>
    </row>
    <row r="1343" spans="1:15" x14ac:dyDescent="0.25">
      <c r="A1343" s="180">
        <f t="shared" ca="1" si="211"/>
        <v>47433</v>
      </c>
      <c r="B1343" s="181">
        <v>1329</v>
      </c>
      <c r="C1343" s="182">
        <f t="shared" ca="1" si="215"/>
        <v>66717.439416821508</v>
      </c>
      <c r="D1343" s="182">
        <f t="shared" ca="1" si="212"/>
        <v>44.478292944547668</v>
      </c>
      <c r="E1343" s="182">
        <v>0</v>
      </c>
      <c r="F1343" s="182">
        <f t="shared" ca="1" si="216"/>
        <v>0</v>
      </c>
      <c r="G1343" s="182">
        <f t="shared" ca="1" si="213"/>
        <v>0</v>
      </c>
      <c r="H1343" s="182">
        <f t="shared" ca="1" si="214"/>
        <v>66761.917709766058</v>
      </c>
      <c r="I1343" s="183">
        <v>0</v>
      </c>
      <c r="J1343" s="263">
        <f t="shared" ca="1" si="210"/>
        <v>66761.917709766058</v>
      </c>
      <c r="K1343" s="182"/>
      <c r="L1343" s="182"/>
      <c r="M1343" s="182"/>
      <c r="N1343" s="182"/>
      <c r="O1343" s="182"/>
    </row>
    <row r="1344" spans="1:15" x14ac:dyDescent="0.25">
      <c r="A1344" s="180">
        <f t="shared" ca="1" si="211"/>
        <v>47434</v>
      </c>
      <c r="B1344" s="181">
        <v>1330</v>
      </c>
      <c r="C1344" s="182">
        <f t="shared" ca="1" si="215"/>
        <v>66761.917709766058</v>
      </c>
      <c r="D1344" s="182">
        <f t="shared" ca="1" si="212"/>
        <v>44.50794513984404</v>
      </c>
      <c r="E1344" s="182">
        <v>0</v>
      </c>
      <c r="F1344" s="182">
        <f t="shared" ca="1" si="216"/>
        <v>0</v>
      </c>
      <c r="G1344" s="182">
        <f t="shared" ca="1" si="213"/>
        <v>0</v>
      </c>
      <c r="H1344" s="182">
        <f t="shared" ca="1" si="214"/>
        <v>66806.425654905906</v>
      </c>
      <c r="I1344" s="183">
        <v>0</v>
      </c>
      <c r="J1344" s="263">
        <f t="shared" ca="1" si="210"/>
        <v>66806.425654905906</v>
      </c>
      <c r="K1344" s="182"/>
      <c r="L1344" s="182"/>
      <c r="M1344" s="182"/>
      <c r="N1344" s="182"/>
      <c r="O1344" s="182"/>
    </row>
    <row r="1345" spans="1:15" x14ac:dyDescent="0.25">
      <c r="A1345" s="180">
        <f t="shared" ca="1" si="211"/>
        <v>47435</v>
      </c>
      <c r="B1345" s="181">
        <v>1331</v>
      </c>
      <c r="C1345" s="182">
        <f t="shared" ca="1" si="215"/>
        <v>66806.425654905906</v>
      </c>
      <c r="D1345" s="182">
        <f t="shared" ca="1" si="212"/>
        <v>44.537617103270605</v>
      </c>
      <c r="E1345" s="182">
        <v>0</v>
      </c>
      <c r="F1345" s="182">
        <f t="shared" ca="1" si="216"/>
        <v>0</v>
      </c>
      <c r="G1345" s="182">
        <f t="shared" ca="1" si="213"/>
        <v>0</v>
      </c>
      <c r="H1345" s="182">
        <f t="shared" ca="1" si="214"/>
        <v>66850.963272009176</v>
      </c>
      <c r="I1345" s="183">
        <v>0</v>
      </c>
      <c r="J1345" s="263">
        <f t="shared" ca="1" si="210"/>
        <v>66850.963272009176</v>
      </c>
      <c r="K1345" s="182"/>
      <c r="L1345" s="182"/>
      <c r="M1345" s="182"/>
      <c r="N1345" s="182"/>
      <c r="O1345" s="182"/>
    </row>
    <row r="1346" spans="1:15" x14ac:dyDescent="0.25">
      <c r="A1346" s="180">
        <f t="shared" ca="1" si="211"/>
        <v>47436</v>
      </c>
      <c r="B1346" s="181">
        <v>1332</v>
      </c>
      <c r="C1346" s="182">
        <f t="shared" ca="1" si="215"/>
        <v>66850.963272009176</v>
      </c>
      <c r="D1346" s="182">
        <f t="shared" ca="1" si="212"/>
        <v>44.567308848006114</v>
      </c>
      <c r="E1346" s="182">
        <v>0</v>
      </c>
      <c r="F1346" s="182">
        <f t="shared" ca="1" si="216"/>
        <v>0</v>
      </c>
      <c r="G1346" s="182">
        <f t="shared" ca="1" si="213"/>
        <v>0</v>
      </c>
      <c r="H1346" s="182">
        <f t="shared" ca="1" si="214"/>
        <v>66895.530580857187</v>
      </c>
      <c r="I1346" s="183">
        <v>0</v>
      </c>
      <c r="J1346" s="263">
        <f t="shared" ca="1" si="210"/>
        <v>66895.530580857187</v>
      </c>
      <c r="K1346" s="182"/>
      <c r="L1346" s="182"/>
      <c r="M1346" s="182"/>
      <c r="N1346" s="182"/>
      <c r="O1346" s="182"/>
    </row>
    <row r="1347" spans="1:15" x14ac:dyDescent="0.25">
      <c r="A1347" s="180">
        <f t="shared" ca="1" si="211"/>
        <v>47437</v>
      </c>
      <c r="B1347" s="181">
        <v>1333</v>
      </c>
      <c r="C1347" s="182">
        <f t="shared" ca="1" si="215"/>
        <v>66895.530580857187</v>
      </c>
      <c r="D1347" s="182">
        <f t="shared" ca="1" si="212"/>
        <v>44.597020387238125</v>
      </c>
      <c r="E1347" s="182">
        <v>0</v>
      </c>
      <c r="F1347" s="182">
        <f t="shared" ca="1" si="216"/>
        <v>0</v>
      </c>
      <c r="G1347" s="182">
        <f t="shared" ca="1" si="213"/>
        <v>0</v>
      </c>
      <c r="H1347" s="182">
        <f t="shared" ca="1" si="214"/>
        <v>66940.127601244429</v>
      </c>
      <c r="I1347" s="183">
        <v>0</v>
      </c>
      <c r="J1347" s="263">
        <f t="shared" ca="1" si="210"/>
        <v>66940.127601244429</v>
      </c>
      <c r="K1347" s="182"/>
      <c r="L1347" s="182"/>
      <c r="M1347" s="182"/>
      <c r="N1347" s="182"/>
      <c r="O1347" s="182"/>
    </row>
    <row r="1348" spans="1:15" x14ac:dyDescent="0.25">
      <c r="A1348" s="180">
        <f t="shared" ca="1" si="211"/>
        <v>47438</v>
      </c>
      <c r="B1348" s="181">
        <v>1334</v>
      </c>
      <c r="C1348" s="182">
        <f t="shared" ca="1" si="215"/>
        <v>66940.127601244429</v>
      </c>
      <c r="D1348" s="182">
        <f t="shared" ca="1" si="212"/>
        <v>44.626751734162951</v>
      </c>
      <c r="E1348" s="182">
        <v>0</v>
      </c>
      <c r="F1348" s="182">
        <f t="shared" ca="1" si="216"/>
        <v>0</v>
      </c>
      <c r="G1348" s="182">
        <f t="shared" ca="1" si="213"/>
        <v>0</v>
      </c>
      <c r="H1348" s="182">
        <f t="shared" ca="1" si="214"/>
        <v>66984.754352978591</v>
      </c>
      <c r="I1348" s="183">
        <v>0</v>
      </c>
      <c r="J1348" s="263">
        <f t="shared" ca="1" si="210"/>
        <v>66984.754352978591</v>
      </c>
      <c r="K1348" s="182"/>
      <c r="L1348" s="182"/>
      <c r="M1348" s="182"/>
      <c r="N1348" s="182"/>
      <c r="O1348" s="182"/>
    </row>
    <row r="1349" spans="1:15" x14ac:dyDescent="0.25">
      <c r="A1349" s="180">
        <f t="shared" ca="1" si="211"/>
        <v>47439</v>
      </c>
      <c r="B1349" s="181">
        <v>1335</v>
      </c>
      <c r="C1349" s="182">
        <f t="shared" ca="1" si="215"/>
        <v>66984.754352978591</v>
      </c>
      <c r="D1349" s="182">
        <f t="shared" ca="1" si="212"/>
        <v>44.656502901985725</v>
      </c>
      <c r="E1349" s="182">
        <v>0</v>
      </c>
      <c r="F1349" s="182">
        <f t="shared" ca="1" si="216"/>
        <v>0</v>
      </c>
      <c r="G1349" s="182">
        <f t="shared" ca="1" si="213"/>
        <v>0</v>
      </c>
      <c r="H1349" s="182">
        <f t="shared" ca="1" si="214"/>
        <v>67029.410855880575</v>
      </c>
      <c r="I1349" s="183">
        <v>0</v>
      </c>
      <c r="J1349" s="263">
        <f t="shared" ca="1" si="210"/>
        <v>67029.410855880575</v>
      </c>
      <c r="K1349" s="182"/>
      <c r="L1349" s="182"/>
      <c r="M1349" s="182"/>
      <c r="N1349" s="182"/>
      <c r="O1349" s="182"/>
    </row>
    <row r="1350" spans="1:15" x14ac:dyDescent="0.25">
      <c r="A1350" s="180">
        <f t="shared" ca="1" si="211"/>
        <v>47440</v>
      </c>
      <c r="B1350" s="181">
        <v>1336</v>
      </c>
      <c r="C1350" s="182">
        <f t="shared" ca="1" si="215"/>
        <v>67029.410855880575</v>
      </c>
      <c r="D1350" s="182">
        <f t="shared" ca="1" si="212"/>
        <v>44.68627390392038</v>
      </c>
      <c r="E1350" s="182">
        <v>0</v>
      </c>
      <c r="F1350" s="182">
        <f t="shared" ca="1" si="216"/>
        <v>0</v>
      </c>
      <c r="G1350" s="182">
        <f t="shared" ca="1" si="213"/>
        <v>0</v>
      </c>
      <c r="H1350" s="182">
        <f t="shared" ca="1" si="214"/>
        <v>67074.097129784495</v>
      </c>
      <c r="I1350" s="183">
        <v>0</v>
      </c>
      <c r="J1350" s="263">
        <f t="shared" ca="1" si="210"/>
        <v>67074.097129784495</v>
      </c>
      <c r="K1350" s="182"/>
      <c r="L1350" s="182"/>
      <c r="M1350" s="182"/>
      <c r="N1350" s="182"/>
      <c r="O1350" s="182"/>
    </row>
    <row r="1351" spans="1:15" x14ac:dyDescent="0.25">
      <c r="A1351" s="180">
        <f t="shared" ca="1" si="211"/>
        <v>47441</v>
      </c>
      <c r="B1351" s="181">
        <v>1337</v>
      </c>
      <c r="C1351" s="182">
        <f t="shared" ca="1" si="215"/>
        <v>67074.097129784495</v>
      </c>
      <c r="D1351" s="182">
        <f t="shared" ca="1" si="212"/>
        <v>44.716064753189663</v>
      </c>
      <c r="E1351" s="182">
        <v>0</v>
      </c>
      <c r="F1351" s="182">
        <f t="shared" ca="1" si="216"/>
        <v>0</v>
      </c>
      <c r="G1351" s="182">
        <f t="shared" ca="1" si="213"/>
        <v>0</v>
      </c>
      <c r="H1351" s="182">
        <f t="shared" ca="1" si="214"/>
        <v>67118.813194537681</v>
      </c>
      <c r="I1351" s="183">
        <v>0</v>
      </c>
      <c r="J1351" s="263">
        <f t="shared" ca="1" si="210"/>
        <v>67118.813194537681</v>
      </c>
      <c r="K1351" s="182"/>
      <c r="L1351" s="182"/>
      <c r="M1351" s="182"/>
      <c r="N1351" s="182"/>
      <c r="O1351" s="182"/>
    </row>
    <row r="1352" spans="1:15" x14ac:dyDescent="0.25">
      <c r="A1352" s="180">
        <f t="shared" ca="1" si="211"/>
        <v>47442</v>
      </c>
      <c r="B1352" s="181">
        <v>1338</v>
      </c>
      <c r="C1352" s="182">
        <f t="shared" ca="1" si="215"/>
        <v>67118.813194537681</v>
      </c>
      <c r="D1352" s="182">
        <f t="shared" ca="1" si="212"/>
        <v>44.745875463025122</v>
      </c>
      <c r="E1352" s="182">
        <v>0</v>
      </c>
      <c r="F1352" s="182">
        <f t="shared" ca="1" si="216"/>
        <v>0</v>
      </c>
      <c r="G1352" s="182">
        <f t="shared" ca="1" si="213"/>
        <v>0</v>
      </c>
      <c r="H1352" s="182">
        <f t="shared" ca="1" si="214"/>
        <v>67163.559070000701</v>
      </c>
      <c r="I1352" s="183">
        <v>0</v>
      </c>
      <c r="J1352" s="263">
        <f t="shared" ca="1" si="210"/>
        <v>67163.559070000701</v>
      </c>
      <c r="K1352" s="182"/>
      <c r="L1352" s="182"/>
      <c r="M1352" s="182"/>
      <c r="N1352" s="182"/>
      <c r="O1352" s="182"/>
    </row>
    <row r="1353" spans="1:15" x14ac:dyDescent="0.25">
      <c r="A1353" s="180">
        <f t="shared" ca="1" si="211"/>
        <v>47443</v>
      </c>
      <c r="B1353" s="181">
        <v>1339</v>
      </c>
      <c r="C1353" s="182">
        <f t="shared" ca="1" si="215"/>
        <v>67163.559070000701</v>
      </c>
      <c r="D1353" s="182">
        <f t="shared" ca="1" si="212"/>
        <v>44.775706046667132</v>
      </c>
      <c r="E1353" s="182">
        <v>0</v>
      </c>
      <c r="F1353" s="182">
        <f t="shared" ca="1" si="216"/>
        <v>0</v>
      </c>
      <c r="G1353" s="182">
        <f t="shared" ca="1" si="213"/>
        <v>0</v>
      </c>
      <c r="H1353" s="182">
        <f t="shared" ca="1" si="214"/>
        <v>67208.33477604737</v>
      </c>
      <c r="I1353" s="183">
        <v>0</v>
      </c>
      <c r="J1353" s="263">
        <f t="shared" ca="1" si="210"/>
        <v>67208.33477604737</v>
      </c>
      <c r="K1353" s="182"/>
      <c r="L1353" s="182"/>
      <c r="M1353" s="182"/>
      <c r="N1353" s="182"/>
      <c r="O1353" s="182"/>
    </row>
    <row r="1354" spans="1:15" x14ac:dyDescent="0.25">
      <c r="A1354" s="180">
        <f t="shared" ca="1" si="211"/>
        <v>47444</v>
      </c>
      <c r="B1354" s="181">
        <v>1340</v>
      </c>
      <c r="C1354" s="182">
        <f t="shared" ca="1" si="215"/>
        <v>67208.33477604737</v>
      </c>
      <c r="D1354" s="182">
        <f t="shared" ca="1" si="212"/>
        <v>44.805556517364913</v>
      </c>
      <c r="E1354" s="182">
        <v>0</v>
      </c>
      <c r="F1354" s="182">
        <f t="shared" ca="1" si="216"/>
        <v>0</v>
      </c>
      <c r="G1354" s="182">
        <f t="shared" ca="1" si="213"/>
        <v>0</v>
      </c>
      <c r="H1354" s="182">
        <f t="shared" ca="1" si="214"/>
        <v>67253.140332564741</v>
      </c>
      <c r="I1354" s="183">
        <v>0</v>
      </c>
      <c r="J1354" s="263">
        <f t="shared" ca="1" si="210"/>
        <v>67253.140332564741</v>
      </c>
      <c r="K1354" s="182"/>
      <c r="L1354" s="182"/>
      <c r="M1354" s="182"/>
      <c r="N1354" s="182"/>
      <c r="O1354" s="182"/>
    </row>
    <row r="1355" spans="1:15" x14ac:dyDescent="0.25">
      <c r="A1355" s="180">
        <f t="shared" ca="1" si="211"/>
        <v>47445</v>
      </c>
      <c r="B1355" s="181">
        <v>1341</v>
      </c>
      <c r="C1355" s="182">
        <f t="shared" ca="1" si="215"/>
        <v>67253.140332564741</v>
      </c>
      <c r="D1355" s="182">
        <f t="shared" ca="1" si="212"/>
        <v>44.835426888376489</v>
      </c>
      <c r="E1355" s="182">
        <v>0</v>
      </c>
      <c r="F1355" s="182">
        <f t="shared" ca="1" si="216"/>
        <v>0</v>
      </c>
      <c r="G1355" s="182">
        <f t="shared" ca="1" si="213"/>
        <v>0</v>
      </c>
      <c r="H1355" s="182">
        <f t="shared" ca="1" si="214"/>
        <v>67297.975759453111</v>
      </c>
      <c r="I1355" s="183">
        <v>0</v>
      </c>
      <c r="J1355" s="263">
        <f t="shared" ca="1" si="210"/>
        <v>67297.975759453111</v>
      </c>
      <c r="K1355" s="182"/>
      <c r="L1355" s="182"/>
      <c r="M1355" s="182"/>
      <c r="N1355" s="182"/>
      <c r="O1355" s="182"/>
    </row>
    <row r="1356" spans="1:15" x14ac:dyDescent="0.25">
      <c r="A1356" s="180">
        <f t="shared" ca="1" si="211"/>
        <v>47446</v>
      </c>
      <c r="B1356" s="181">
        <v>1342</v>
      </c>
      <c r="C1356" s="182">
        <f t="shared" ca="1" si="215"/>
        <v>67297.975759453111</v>
      </c>
      <c r="D1356" s="182">
        <f t="shared" ca="1" si="212"/>
        <v>44.865317172968737</v>
      </c>
      <c r="E1356" s="182">
        <v>0</v>
      </c>
      <c r="F1356" s="182">
        <f t="shared" ca="1" si="216"/>
        <v>0</v>
      </c>
      <c r="G1356" s="182">
        <f t="shared" ca="1" si="213"/>
        <v>0</v>
      </c>
      <c r="H1356" s="182">
        <f t="shared" ca="1" si="214"/>
        <v>67342.841076626079</v>
      </c>
      <c r="I1356" s="183">
        <v>0</v>
      </c>
      <c r="J1356" s="263">
        <f t="shared" ca="1" si="210"/>
        <v>67342.841076626079</v>
      </c>
      <c r="K1356" s="182"/>
      <c r="L1356" s="182"/>
      <c r="M1356" s="182"/>
      <c r="N1356" s="182"/>
      <c r="O1356" s="182"/>
    </row>
    <row r="1357" spans="1:15" x14ac:dyDescent="0.25">
      <c r="A1357" s="180">
        <f t="shared" ca="1" si="211"/>
        <v>47447</v>
      </c>
      <c r="B1357" s="181">
        <v>1343</v>
      </c>
      <c r="C1357" s="182">
        <f t="shared" ca="1" si="215"/>
        <v>67342.841076626079</v>
      </c>
      <c r="D1357" s="182">
        <f t="shared" ca="1" si="212"/>
        <v>44.895227384417382</v>
      </c>
      <c r="E1357" s="182">
        <v>0</v>
      </c>
      <c r="F1357" s="182">
        <f t="shared" ca="1" si="216"/>
        <v>0</v>
      </c>
      <c r="G1357" s="182">
        <f t="shared" ca="1" si="213"/>
        <v>0</v>
      </c>
      <c r="H1357" s="182">
        <f t="shared" ca="1" si="214"/>
        <v>67387.736304010497</v>
      </c>
      <c r="I1357" s="183">
        <v>0</v>
      </c>
      <c r="J1357" s="263">
        <f t="shared" ca="1" si="210"/>
        <v>67387.736304010497</v>
      </c>
      <c r="K1357" s="182"/>
      <c r="L1357" s="182"/>
      <c r="M1357" s="182"/>
      <c r="N1357" s="182"/>
      <c r="O1357" s="182"/>
    </row>
    <row r="1358" spans="1:15" x14ac:dyDescent="0.25">
      <c r="A1358" s="180">
        <f t="shared" ca="1" si="211"/>
        <v>47448</v>
      </c>
      <c r="B1358" s="181">
        <v>1344</v>
      </c>
      <c r="C1358" s="182">
        <f t="shared" ca="1" si="215"/>
        <v>67387.736304010497</v>
      </c>
      <c r="D1358" s="182">
        <f t="shared" ca="1" si="212"/>
        <v>44.925157536006999</v>
      </c>
      <c r="E1358" s="182">
        <v>0</v>
      </c>
      <c r="F1358" s="182">
        <f t="shared" ca="1" si="216"/>
        <v>0</v>
      </c>
      <c r="G1358" s="182">
        <f t="shared" ca="1" si="213"/>
        <v>0</v>
      </c>
      <c r="H1358" s="182">
        <f t="shared" ca="1" si="214"/>
        <v>67432.661461546508</v>
      </c>
      <c r="I1358" s="183">
        <v>0</v>
      </c>
      <c r="J1358" s="263">
        <f t="shared" ca="1" si="210"/>
        <v>67432.661461546508</v>
      </c>
      <c r="K1358" s="182"/>
      <c r="L1358" s="182"/>
      <c r="M1358" s="182"/>
      <c r="N1358" s="182"/>
      <c r="O1358" s="182"/>
    </row>
    <row r="1359" spans="1:15" x14ac:dyDescent="0.25">
      <c r="A1359" s="180">
        <f t="shared" ca="1" si="211"/>
        <v>47449</v>
      </c>
      <c r="B1359" s="181">
        <v>1345</v>
      </c>
      <c r="C1359" s="182">
        <f t="shared" ca="1" si="215"/>
        <v>67432.661461546508</v>
      </c>
      <c r="D1359" s="182">
        <f t="shared" ca="1" si="212"/>
        <v>44.955107641031006</v>
      </c>
      <c r="E1359" s="182">
        <v>0</v>
      </c>
      <c r="F1359" s="182">
        <f t="shared" ca="1" si="216"/>
        <v>0</v>
      </c>
      <c r="G1359" s="182">
        <f t="shared" ca="1" si="213"/>
        <v>0</v>
      </c>
      <c r="H1359" s="182">
        <f t="shared" ca="1" si="214"/>
        <v>67477.616569187536</v>
      </c>
      <c r="I1359" s="183">
        <v>0</v>
      </c>
      <c r="J1359" s="263">
        <f t="shared" ref="J1359:J1422" ca="1" si="217">H1359-IF(I$8-G1359&lt;Q$42,I$8-Q$42,G1359)</f>
        <v>67477.616569187536</v>
      </c>
      <c r="K1359" s="182"/>
      <c r="L1359" s="182"/>
      <c r="M1359" s="182"/>
      <c r="N1359" s="182"/>
      <c r="O1359" s="182"/>
    </row>
    <row r="1360" spans="1:15" x14ac:dyDescent="0.25">
      <c r="A1360" s="180">
        <f t="shared" ca="1" si="211"/>
        <v>47450</v>
      </c>
      <c r="B1360" s="181">
        <v>1346</v>
      </c>
      <c r="C1360" s="182">
        <f t="shared" ca="1" si="215"/>
        <v>67477.616569187536</v>
      </c>
      <c r="D1360" s="182">
        <f t="shared" ca="1" si="212"/>
        <v>44.985077712791686</v>
      </c>
      <c r="E1360" s="182">
        <v>0</v>
      </c>
      <c r="F1360" s="182">
        <f t="shared" ca="1" si="216"/>
        <v>0</v>
      </c>
      <c r="G1360" s="182">
        <f t="shared" ca="1" si="213"/>
        <v>0</v>
      </c>
      <c r="H1360" s="182">
        <f t="shared" ca="1" si="214"/>
        <v>67522.601646900323</v>
      </c>
      <c r="I1360" s="183">
        <v>0</v>
      </c>
      <c r="J1360" s="263">
        <f t="shared" ca="1" si="217"/>
        <v>67522.601646900323</v>
      </c>
      <c r="K1360" s="182"/>
      <c r="L1360" s="182"/>
      <c r="M1360" s="182"/>
      <c r="N1360" s="182"/>
      <c r="O1360" s="182"/>
    </row>
    <row r="1361" spans="1:15" x14ac:dyDescent="0.25">
      <c r="A1361" s="180">
        <f t="shared" ref="A1361:A1424" ca="1" si="218">A1360+1</f>
        <v>47451</v>
      </c>
      <c r="B1361" s="181">
        <v>1347</v>
      </c>
      <c r="C1361" s="182">
        <f t="shared" ca="1" si="215"/>
        <v>67522.601646900323</v>
      </c>
      <c r="D1361" s="182">
        <f t="shared" ref="D1361:D1424" ca="1" si="219">(($C$6/360))*C1361</f>
        <v>45.015067764600211</v>
      </c>
      <c r="E1361" s="182">
        <v>0</v>
      </c>
      <c r="F1361" s="182">
        <f t="shared" ca="1" si="216"/>
        <v>0</v>
      </c>
      <c r="G1361" s="182">
        <f t="shared" ref="G1361:G1424" ca="1" si="220">IF(G1360-D1361-E1361&gt;0,G1360-D1361-E1361,0)</f>
        <v>0</v>
      </c>
      <c r="H1361" s="182">
        <f t="shared" ca="1" si="214"/>
        <v>67567.616714664924</v>
      </c>
      <c r="I1361" s="183">
        <v>0</v>
      </c>
      <c r="J1361" s="263">
        <f t="shared" ca="1" si="217"/>
        <v>67567.616714664924</v>
      </c>
      <c r="K1361" s="182"/>
      <c r="L1361" s="182"/>
      <c r="M1361" s="182"/>
      <c r="N1361" s="182"/>
      <c r="O1361" s="182"/>
    </row>
    <row r="1362" spans="1:15" x14ac:dyDescent="0.25">
      <c r="A1362" s="180">
        <f t="shared" ca="1" si="218"/>
        <v>47452</v>
      </c>
      <c r="B1362" s="181">
        <v>1348</v>
      </c>
      <c r="C1362" s="182">
        <f t="shared" ca="1" si="215"/>
        <v>67567.616714664924</v>
      </c>
      <c r="D1362" s="182">
        <f t="shared" ca="1" si="219"/>
        <v>45.045077809776615</v>
      </c>
      <c r="E1362" s="182">
        <v>0</v>
      </c>
      <c r="F1362" s="182">
        <f t="shared" ca="1" si="216"/>
        <v>0</v>
      </c>
      <c r="G1362" s="182">
        <f t="shared" ca="1" si="220"/>
        <v>0</v>
      </c>
      <c r="H1362" s="182">
        <f t="shared" ca="1" si="214"/>
        <v>67612.661792474697</v>
      </c>
      <c r="I1362" s="183">
        <v>0</v>
      </c>
      <c r="J1362" s="263">
        <f t="shared" ca="1" si="217"/>
        <v>67612.661792474697</v>
      </c>
      <c r="K1362" s="182"/>
      <c r="L1362" s="182"/>
      <c r="M1362" s="182"/>
      <c r="N1362" s="182"/>
      <c r="O1362" s="182"/>
    </row>
    <row r="1363" spans="1:15" x14ac:dyDescent="0.25">
      <c r="A1363" s="180">
        <f t="shared" ca="1" si="218"/>
        <v>47453</v>
      </c>
      <c r="B1363" s="181">
        <v>1349</v>
      </c>
      <c r="C1363" s="182">
        <f t="shared" ca="1" si="215"/>
        <v>67612.661792474697</v>
      </c>
      <c r="D1363" s="182">
        <f t="shared" ca="1" si="219"/>
        <v>45.075107861649798</v>
      </c>
      <c r="E1363" s="182">
        <v>0</v>
      </c>
      <c r="F1363" s="182">
        <f t="shared" ca="1" si="216"/>
        <v>0</v>
      </c>
      <c r="G1363" s="182">
        <f t="shared" ca="1" si="220"/>
        <v>0</v>
      </c>
      <c r="H1363" s="182">
        <f t="shared" ca="1" si="214"/>
        <v>67657.736900336342</v>
      </c>
      <c r="I1363" s="183">
        <v>0</v>
      </c>
      <c r="J1363" s="263">
        <f t="shared" ca="1" si="217"/>
        <v>67657.736900336342</v>
      </c>
      <c r="K1363" s="182"/>
      <c r="L1363" s="182"/>
      <c r="M1363" s="182"/>
      <c r="N1363" s="182"/>
      <c r="O1363" s="182"/>
    </row>
    <row r="1364" spans="1:15" x14ac:dyDescent="0.25">
      <c r="A1364" s="180">
        <f t="shared" ca="1" si="218"/>
        <v>47454</v>
      </c>
      <c r="B1364" s="181">
        <v>1350</v>
      </c>
      <c r="C1364" s="182">
        <f t="shared" ca="1" si="215"/>
        <v>67657.736900336342</v>
      </c>
      <c r="D1364" s="182">
        <f t="shared" ca="1" si="219"/>
        <v>45.105157933557557</v>
      </c>
      <c r="E1364" s="182">
        <v>0</v>
      </c>
      <c r="F1364" s="182">
        <f t="shared" ca="1" si="216"/>
        <v>0</v>
      </c>
      <c r="G1364" s="182">
        <f t="shared" ca="1" si="220"/>
        <v>0</v>
      </c>
      <c r="H1364" s="182">
        <f t="shared" ca="1" si="214"/>
        <v>67702.842058269904</v>
      </c>
      <c r="I1364" s="183">
        <v>0</v>
      </c>
      <c r="J1364" s="263">
        <f t="shared" ca="1" si="217"/>
        <v>67702.842058269904</v>
      </c>
      <c r="K1364" s="182"/>
      <c r="L1364" s="182"/>
      <c r="M1364" s="182"/>
      <c r="N1364" s="182"/>
      <c r="O1364" s="182"/>
    </row>
    <row r="1365" spans="1:15" x14ac:dyDescent="0.25">
      <c r="A1365" s="180">
        <f t="shared" ca="1" si="218"/>
        <v>47455</v>
      </c>
      <c r="B1365" s="181">
        <v>1351</v>
      </c>
      <c r="C1365" s="182">
        <f t="shared" ca="1" si="215"/>
        <v>67702.842058269904</v>
      </c>
      <c r="D1365" s="182">
        <f t="shared" ca="1" si="219"/>
        <v>45.135228038846599</v>
      </c>
      <c r="E1365" s="182">
        <v>0</v>
      </c>
      <c r="F1365" s="182">
        <f t="shared" ca="1" si="216"/>
        <v>0</v>
      </c>
      <c r="G1365" s="182">
        <f t="shared" ca="1" si="220"/>
        <v>0</v>
      </c>
      <c r="H1365" s="182">
        <f t="shared" ca="1" si="214"/>
        <v>67747.977286308756</v>
      </c>
      <c r="I1365" s="183">
        <v>0</v>
      </c>
      <c r="J1365" s="263">
        <f t="shared" ca="1" si="217"/>
        <v>67747.977286308756</v>
      </c>
      <c r="K1365" s="182"/>
      <c r="L1365" s="182"/>
      <c r="M1365" s="182"/>
      <c r="N1365" s="182"/>
      <c r="O1365" s="182"/>
    </row>
    <row r="1366" spans="1:15" x14ac:dyDescent="0.25">
      <c r="A1366" s="180">
        <f t="shared" ca="1" si="218"/>
        <v>47456</v>
      </c>
      <c r="B1366" s="181">
        <v>1352</v>
      </c>
      <c r="C1366" s="182">
        <f t="shared" ca="1" si="215"/>
        <v>67747.977286308756</v>
      </c>
      <c r="D1366" s="182">
        <f t="shared" ca="1" si="219"/>
        <v>45.165318190872505</v>
      </c>
      <c r="E1366" s="182">
        <v>0</v>
      </c>
      <c r="F1366" s="182">
        <f t="shared" ca="1" si="216"/>
        <v>0</v>
      </c>
      <c r="G1366" s="182">
        <f t="shared" ca="1" si="220"/>
        <v>0</v>
      </c>
      <c r="H1366" s="182">
        <f t="shared" ca="1" si="214"/>
        <v>67793.142604499633</v>
      </c>
      <c r="I1366" s="183">
        <v>0</v>
      </c>
      <c r="J1366" s="263">
        <f t="shared" ca="1" si="217"/>
        <v>67793.142604499633</v>
      </c>
      <c r="K1366" s="182"/>
      <c r="L1366" s="182"/>
      <c r="M1366" s="182"/>
      <c r="N1366" s="182"/>
      <c r="O1366" s="182"/>
    </row>
    <row r="1367" spans="1:15" x14ac:dyDescent="0.25">
      <c r="A1367" s="180">
        <f t="shared" ca="1" si="218"/>
        <v>47457</v>
      </c>
      <c r="B1367" s="181">
        <v>1353</v>
      </c>
      <c r="C1367" s="182">
        <f t="shared" ca="1" si="215"/>
        <v>67793.142604499633</v>
      </c>
      <c r="D1367" s="182">
        <f t="shared" ca="1" si="219"/>
        <v>45.195428402999752</v>
      </c>
      <c r="E1367" s="182">
        <v>0</v>
      </c>
      <c r="F1367" s="182">
        <f t="shared" ca="1" si="216"/>
        <v>0</v>
      </c>
      <c r="G1367" s="182">
        <f t="shared" ca="1" si="220"/>
        <v>0</v>
      </c>
      <c r="H1367" s="182">
        <f t="shared" ca="1" si="214"/>
        <v>67838.338032902626</v>
      </c>
      <c r="I1367" s="183">
        <v>0</v>
      </c>
      <c r="J1367" s="263">
        <f t="shared" ca="1" si="217"/>
        <v>67838.338032902626</v>
      </c>
      <c r="K1367" s="182"/>
      <c r="L1367" s="182"/>
      <c r="M1367" s="182"/>
      <c r="N1367" s="182"/>
      <c r="O1367" s="182"/>
    </row>
    <row r="1368" spans="1:15" x14ac:dyDescent="0.25">
      <c r="A1368" s="180">
        <f t="shared" ca="1" si="218"/>
        <v>47458</v>
      </c>
      <c r="B1368" s="181">
        <v>1354</v>
      </c>
      <c r="C1368" s="182">
        <f t="shared" ca="1" si="215"/>
        <v>67838.338032902626</v>
      </c>
      <c r="D1368" s="182">
        <f t="shared" ca="1" si="219"/>
        <v>45.225558688601751</v>
      </c>
      <c r="E1368" s="182">
        <v>0</v>
      </c>
      <c r="F1368" s="182">
        <f t="shared" ca="1" si="216"/>
        <v>0</v>
      </c>
      <c r="G1368" s="182">
        <f t="shared" ca="1" si="220"/>
        <v>0</v>
      </c>
      <c r="H1368" s="182">
        <f t="shared" ca="1" si="214"/>
        <v>67883.563591591228</v>
      </c>
      <c r="I1368" s="183">
        <v>0</v>
      </c>
      <c r="J1368" s="263">
        <f t="shared" ca="1" si="217"/>
        <v>67883.563591591228</v>
      </c>
      <c r="K1368" s="182"/>
      <c r="L1368" s="182"/>
      <c r="M1368" s="182"/>
      <c r="N1368" s="182"/>
      <c r="O1368" s="182"/>
    </row>
    <row r="1369" spans="1:15" x14ac:dyDescent="0.25">
      <c r="A1369" s="180">
        <f t="shared" ca="1" si="218"/>
        <v>47459</v>
      </c>
      <c r="B1369" s="181">
        <v>1355</v>
      </c>
      <c r="C1369" s="182">
        <f t="shared" ca="1" si="215"/>
        <v>67883.563591591228</v>
      </c>
      <c r="D1369" s="182">
        <f t="shared" ca="1" si="219"/>
        <v>45.25570906106082</v>
      </c>
      <c r="E1369" s="182">
        <v>0</v>
      </c>
      <c r="F1369" s="182">
        <f t="shared" ca="1" si="216"/>
        <v>0</v>
      </c>
      <c r="G1369" s="182">
        <f t="shared" ca="1" si="220"/>
        <v>0</v>
      </c>
      <c r="H1369" s="182">
        <f t="shared" ca="1" si="214"/>
        <v>67928.819300652292</v>
      </c>
      <c r="I1369" s="183">
        <v>0</v>
      </c>
      <c r="J1369" s="263">
        <f t="shared" ca="1" si="217"/>
        <v>67928.819300652292</v>
      </c>
      <c r="K1369" s="182"/>
      <c r="L1369" s="182"/>
      <c r="M1369" s="182"/>
      <c r="N1369" s="182"/>
      <c r="O1369" s="182"/>
    </row>
    <row r="1370" spans="1:15" x14ac:dyDescent="0.25">
      <c r="A1370" s="180">
        <f t="shared" ca="1" si="218"/>
        <v>47460</v>
      </c>
      <c r="B1370" s="181">
        <v>1356</v>
      </c>
      <c r="C1370" s="182">
        <f t="shared" ca="1" si="215"/>
        <v>67928.819300652292</v>
      </c>
      <c r="D1370" s="182">
        <f t="shared" ca="1" si="219"/>
        <v>45.285879533768195</v>
      </c>
      <c r="E1370" s="182">
        <v>0</v>
      </c>
      <c r="F1370" s="182">
        <f t="shared" ca="1" si="216"/>
        <v>0</v>
      </c>
      <c r="G1370" s="182">
        <f t="shared" ca="1" si="220"/>
        <v>0</v>
      </c>
      <c r="H1370" s="182">
        <f t="shared" ca="1" si="214"/>
        <v>67974.105180186059</v>
      </c>
      <c r="I1370" s="183">
        <v>0</v>
      </c>
      <c r="J1370" s="263">
        <f t="shared" ca="1" si="217"/>
        <v>67974.105180186059</v>
      </c>
      <c r="K1370" s="182"/>
      <c r="L1370" s="182"/>
      <c r="M1370" s="182"/>
      <c r="N1370" s="182"/>
      <c r="O1370" s="182"/>
    </row>
    <row r="1371" spans="1:15" x14ac:dyDescent="0.25">
      <c r="A1371" s="180">
        <f t="shared" ca="1" si="218"/>
        <v>47461</v>
      </c>
      <c r="B1371" s="181">
        <v>1357</v>
      </c>
      <c r="C1371" s="182">
        <f t="shared" ca="1" si="215"/>
        <v>67974.105180186059</v>
      </c>
      <c r="D1371" s="182">
        <f t="shared" ca="1" si="219"/>
        <v>45.316070120124039</v>
      </c>
      <c r="E1371" s="182">
        <v>0</v>
      </c>
      <c r="F1371" s="182">
        <f t="shared" ca="1" si="216"/>
        <v>0</v>
      </c>
      <c r="G1371" s="182">
        <f t="shared" ca="1" si="220"/>
        <v>0</v>
      </c>
      <c r="H1371" s="182">
        <f t="shared" ca="1" si="214"/>
        <v>68019.421250306186</v>
      </c>
      <c r="I1371" s="183">
        <v>0</v>
      </c>
      <c r="J1371" s="263">
        <f t="shared" ca="1" si="217"/>
        <v>68019.421250306186</v>
      </c>
      <c r="K1371" s="182"/>
      <c r="L1371" s="182"/>
      <c r="M1371" s="182"/>
      <c r="N1371" s="182"/>
      <c r="O1371" s="182"/>
    </row>
    <row r="1372" spans="1:15" x14ac:dyDescent="0.25">
      <c r="A1372" s="180">
        <f t="shared" ca="1" si="218"/>
        <v>47462</v>
      </c>
      <c r="B1372" s="181">
        <v>1358</v>
      </c>
      <c r="C1372" s="182">
        <f t="shared" ca="1" si="215"/>
        <v>68019.421250306186</v>
      </c>
      <c r="D1372" s="182">
        <f t="shared" ca="1" si="219"/>
        <v>45.346280833537456</v>
      </c>
      <c r="E1372" s="182">
        <v>0</v>
      </c>
      <c r="F1372" s="182">
        <f t="shared" ca="1" si="216"/>
        <v>0</v>
      </c>
      <c r="G1372" s="182">
        <f t="shared" ca="1" si="220"/>
        <v>0</v>
      </c>
      <c r="H1372" s="182">
        <f t="shared" ca="1" si="214"/>
        <v>68064.767531139718</v>
      </c>
      <c r="I1372" s="183">
        <v>0</v>
      </c>
      <c r="J1372" s="263">
        <f t="shared" ca="1" si="217"/>
        <v>68064.767531139718</v>
      </c>
      <c r="K1372" s="182"/>
      <c r="L1372" s="182"/>
      <c r="M1372" s="182"/>
      <c r="N1372" s="182"/>
      <c r="O1372" s="182"/>
    </row>
    <row r="1373" spans="1:15" x14ac:dyDescent="0.25">
      <c r="A1373" s="180">
        <f t="shared" ca="1" si="218"/>
        <v>47463</v>
      </c>
      <c r="B1373" s="181">
        <v>1359</v>
      </c>
      <c r="C1373" s="182">
        <f t="shared" ca="1" si="215"/>
        <v>68064.767531139718</v>
      </c>
      <c r="D1373" s="182">
        <f t="shared" ca="1" si="219"/>
        <v>45.376511687426479</v>
      </c>
      <c r="E1373" s="182">
        <v>0</v>
      </c>
      <c r="F1373" s="182">
        <f t="shared" ca="1" si="216"/>
        <v>0</v>
      </c>
      <c r="G1373" s="182">
        <f t="shared" ca="1" si="220"/>
        <v>0</v>
      </c>
      <c r="H1373" s="182">
        <f t="shared" ca="1" si="214"/>
        <v>68110.144042827145</v>
      </c>
      <c r="I1373" s="183">
        <v>0</v>
      </c>
      <c r="J1373" s="263">
        <f t="shared" ca="1" si="217"/>
        <v>68110.144042827145</v>
      </c>
      <c r="K1373" s="182"/>
      <c r="L1373" s="182"/>
      <c r="M1373" s="182"/>
      <c r="N1373" s="182"/>
      <c r="O1373" s="182"/>
    </row>
    <row r="1374" spans="1:15" x14ac:dyDescent="0.25">
      <c r="A1374" s="180">
        <f t="shared" ca="1" si="218"/>
        <v>47464</v>
      </c>
      <c r="B1374" s="181">
        <v>1360</v>
      </c>
      <c r="C1374" s="182">
        <f t="shared" ca="1" si="215"/>
        <v>68110.144042827145</v>
      </c>
      <c r="D1374" s="182">
        <f t="shared" ca="1" si="219"/>
        <v>45.406762695218099</v>
      </c>
      <c r="E1374" s="182">
        <v>0</v>
      </c>
      <c r="F1374" s="182">
        <f t="shared" ca="1" si="216"/>
        <v>0</v>
      </c>
      <c r="G1374" s="182">
        <f t="shared" ca="1" si="220"/>
        <v>0</v>
      </c>
      <c r="H1374" s="182">
        <f t="shared" ca="1" si="214"/>
        <v>68155.550805522362</v>
      </c>
      <c r="I1374" s="183">
        <v>0</v>
      </c>
      <c r="J1374" s="263">
        <f t="shared" ca="1" si="217"/>
        <v>68155.550805522362</v>
      </c>
      <c r="K1374" s="182"/>
      <c r="L1374" s="182"/>
      <c r="M1374" s="182"/>
      <c r="N1374" s="182"/>
      <c r="O1374" s="182"/>
    </row>
    <row r="1375" spans="1:15" x14ac:dyDescent="0.25">
      <c r="A1375" s="180">
        <f t="shared" ca="1" si="218"/>
        <v>47465</v>
      </c>
      <c r="B1375" s="181">
        <v>1361</v>
      </c>
      <c r="C1375" s="182">
        <f t="shared" ca="1" si="215"/>
        <v>68155.550805522362</v>
      </c>
      <c r="D1375" s="182">
        <f t="shared" ca="1" si="219"/>
        <v>45.437033870348237</v>
      </c>
      <c r="E1375" s="182">
        <v>0</v>
      </c>
      <c r="F1375" s="182">
        <f t="shared" ca="1" si="216"/>
        <v>0</v>
      </c>
      <c r="G1375" s="182">
        <f t="shared" ca="1" si="220"/>
        <v>0</v>
      </c>
      <c r="H1375" s="182">
        <f t="shared" ca="1" si="214"/>
        <v>68200.987839392707</v>
      </c>
      <c r="I1375" s="183">
        <v>0</v>
      </c>
      <c r="J1375" s="263">
        <f t="shared" ca="1" si="217"/>
        <v>68200.987839392707</v>
      </c>
      <c r="K1375" s="182"/>
      <c r="L1375" s="182"/>
      <c r="M1375" s="182"/>
      <c r="N1375" s="182"/>
      <c r="O1375" s="182"/>
    </row>
    <row r="1376" spans="1:15" x14ac:dyDescent="0.25">
      <c r="A1376" s="180">
        <f t="shared" ca="1" si="218"/>
        <v>47466</v>
      </c>
      <c r="B1376" s="181">
        <v>1362</v>
      </c>
      <c r="C1376" s="182">
        <f t="shared" ca="1" si="215"/>
        <v>68200.987839392707</v>
      </c>
      <c r="D1376" s="182">
        <f t="shared" ca="1" si="219"/>
        <v>45.467325226261799</v>
      </c>
      <c r="E1376" s="182">
        <v>0</v>
      </c>
      <c r="F1376" s="182">
        <f t="shared" ca="1" si="216"/>
        <v>0</v>
      </c>
      <c r="G1376" s="182">
        <f t="shared" ca="1" si="220"/>
        <v>0</v>
      </c>
      <c r="H1376" s="182">
        <f t="shared" ca="1" si="214"/>
        <v>68246.455164618965</v>
      </c>
      <c r="I1376" s="183">
        <v>0</v>
      </c>
      <c r="J1376" s="263">
        <f t="shared" ca="1" si="217"/>
        <v>68246.455164618965</v>
      </c>
      <c r="K1376" s="182"/>
      <c r="L1376" s="182"/>
      <c r="M1376" s="182"/>
      <c r="N1376" s="182"/>
      <c r="O1376" s="182"/>
    </row>
    <row r="1377" spans="1:15" x14ac:dyDescent="0.25">
      <c r="A1377" s="180">
        <f t="shared" ca="1" si="218"/>
        <v>47467</v>
      </c>
      <c r="B1377" s="181">
        <v>1363</v>
      </c>
      <c r="C1377" s="182">
        <f t="shared" ca="1" si="215"/>
        <v>68246.455164618965</v>
      </c>
      <c r="D1377" s="182">
        <f t="shared" ca="1" si="219"/>
        <v>45.497636776412641</v>
      </c>
      <c r="E1377" s="182">
        <v>0</v>
      </c>
      <c r="F1377" s="182">
        <f t="shared" ca="1" si="216"/>
        <v>0</v>
      </c>
      <c r="G1377" s="182">
        <f t="shared" ca="1" si="220"/>
        <v>0</v>
      </c>
      <c r="H1377" s="182">
        <f t="shared" ca="1" si="214"/>
        <v>68291.952801395382</v>
      </c>
      <c r="I1377" s="183">
        <v>0</v>
      </c>
      <c r="J1377" s="263">
        <f t="shared" ca="1" si="217"/>
        <v>68291.952801395382</v>
      </c>
      <c r="K1377" s="182"/>
      <c r="L1377" s="182"/>
      <c r="M1377" s="182"/>
      <c r="N1377" s="182"/>
      <c r="O1377" s="182"/>
    </row>
    <row r="1378" spans="1:15" x14ac:dyDescent="0.25">
      <c r="A1378" s="180">
        <f t="shared" ca="1" si="218"/>
        <v>47468</v>
      </c>
      <c r="B1378" s="181">
        <v>1364</v>
      </c>
      <c r="C1378" s="182">
        <f t="shared" ca="1" si="215"/>
        <v>68291.952801395382</v>
      </c>
      <c r="D1378" s="182">
        <f t="shared" ca="1" si="219"/>
        <v>45.527968534263586</v>
      </c>
      <c r="E1378" s="182">
        <v>0</v>
      </c>
      <c r="F1378" s="182">
        <f t="shared" ca="1" si="216"/>
        <v>0</v>
      </c>
      <c r="G1378" s="182">
        <f t="shared" ca="1" si="220"/>
        <v>0</v>
      </c>
      <c r="H1378" s="182">
        <f t="shared" ca="1" si="214"/>
        <v>68337.480769929651</v>
      </c>
      <c r="I1378" s="183">
        <v>0</v>
      </c>
      <c r="J1378" s="263">
        <f t="shared" ca="1" si="217"/>
        <v>68337.480769929651</v>
      </c>
      <c r="K1378" s="182"/>
      <c r="L1378" s="182"/>
      <c r="M1378" s="182"/>
      <c r="N1378" s="182"/>
      <c r="O1378" s="182"/>
    </row>
    <row r="1379" spans="1:15" x14ac:dyDescent="0.25">
      <c r="A1379" s="180">
        <f t="shared" ca="1" si="218"/>
        <v>47469</v>
      </c>
      <c r="B1379" s="181">
        <v>1365</v>
      </c>
      <c r="C1379" s="182">
        <f t="shared" ca="1" si="215"/>
        <v>68337.480769929651</v>
      </c>
      <c r="D1379" s="182">
        <f t="shared" ca="1" si="219"/>
        <v>45.558320513286432</v>
      </c>
      <c r="E1379" s="182">
        <v>0</v>
      </c>
      <c r="F1379" s="182">
        <f t="shared" ca="1" si="216"/>
        <v>0</v>
      </c>
      <c r="G1379" s="182">
        <f t="shared" ca="1" si="220"/>
        <v>0</v>
      </c>
      <c r="H1379" s="182">
        <f t="shared" ref="H1379:H1442" ca="1" si="221">IF(G1379&gt;0,C1379+F1379+I1379,SUM(C1379:F1379)-G1378)</f>
        <v>68383.039090442937</v>
      </c>
      <c r="I1379" s="183">
        <v>0</v>
      </c>
      <c r="J1379" s="263">
        <f t="shared" ca="1" si="217"/>
        <v>68383.039090442937</v>
      </c>
      <c r="K1379" s="182"/>
      <c r="L1379" s="182"/>
      <c r="M1379" s="182"/>
      <c r="N1379" s="182"/>
      <c r="O1379" s="182"/>
    </row>
    <row r="1380" spans="1:15" x14ac:dyDescent="0.25">
      <c r="A1380" s="180">
        <f t="shared" ca="1" si="218"/>
        <v>47470</v>
      </c>
      <c r="B1380" s="181">
        <v>1366</v>
      </c>
      <c r="C1380" s="182">
        <f t="shared" ca="1" si="215"/>
        <v>68383.039090442937</v>
      </c>
      <c r="D1380" s="182">
        <f t="shared" ca="1" si="219"/>
        <v>45.588692726961959</v>
      </c>
      <c r="E1380" s="182">
        <v>0</v>
      </c>
      <c r="F1380" s="182">
        <f t="shared" ca="1" si="216"/>
        <v>0</v>
      </c>
      <c r="G1380" s="182">
        <f t="shared" ca="1" si="220"/>
        <v>0</v>
      </c>
      <c r="H1380" s="182">
        <f t="shared" ca="1" si="221"/>
        <v>68428.627783169897</v>
      </c>
      <c r="I1380" s="183">
        <v>0</v>
      </c>
      <c r="J1380" s="263">
        <f t="shared" ca="1" si="217"/>
        <v>68428.627783169897</v>
      </c>
      <c r="K1380" s="182"/>
      <c r="L1380" s="182"/>
      <c r="M1380" s="182"/>
      <c r="N1380" s="182"/>
      <c r="O1380" s="182"/>
    </row>
    <row r="1381" spans="1:15" x14ac:dyDescent="0.25">
      <c r="A1381" s="180">
        <f t="shared" ca="1" si="218"/>
        <v>47471</v>
      </c>
      <c r="B1381" s="181">
        <v>1367</v>
      </c>
      <c r="C1381" s="182">
        <f t="shared" ca="1" si="215"/>
        <v>68428.627783169897</v>
      </c>
      <c r="D1381" s="182">
        <f t="shared" ca="1" si="219"/>
        <v>45.619085188779927</v>
      </c>
      <c r="E1381" s="182">
        <v>0</v>
      </c>
      <c r="F1381" s="182">
        <f t="shared" ca="1" si="216"/>
        <v>0</v>
      </c>
      <c r="G1381" s="182">
        <f t="shared" ca="1" si="220"/>
        <v>0</v>
      </c>
      <c r="H1381" s="182">
        <f t="shared" ca="1" si="221"/>
        <v>68474.246868358678</v>
      </c>
      <c r="I1381" s="183">
        <v>0</v>
      </c>
      <c r="J1381" s="263">
        <f t="shared" ca="1" si="217"/>
        <v>68474.246868358678</v>
      </c>
      <c r="K1381" s="182"/>
      <c r="L1381" s="182"/>
      <c r="M1381" s="182"/>
      <c r="N1381" s="182"/>
      <c r="O1381" s="182"/>
    </row>
    <row r="1382" spans="1:15" x14ac:dyDescent="0.25">
      <c r="A1382" s="180">
        <f t="shared" ca="1" si="218"/>
        <v>47472</v>
      </c>
      <c r="B1382" s="181">
        <v>1368</v>
      </c>
      <c r="C1382" s="182">
        <f t="shared" ca="1" si="215"/>
        <v>68474.246868358678</v>
      </c>
      <c r="D1382" s="182">
        <f t="shared" ca="1" si="219"/>
        <v>45.64949791223912</v>
      </c>
      <c r="E1382" s="182">
        <v>0</v>
      </c>
      <c r="F1382" s="182">
        <f t="shared" ca="1" si="216"/>
        <v>0</v>
      </c>
      <c r="G1382" s="182">
        <f t="shared" ca="1" si="220"/>
        <v>0</v>
      </c>
      <c r="H1382" s="182">
        <f t="shared" ca="1" si="221"/>
        <v>68519.896366270914</v>
      </c>
      <c r="I1382" s="183">
        <v>0</v>
      </c>
      <c r="J1382" s="263">
        <f t="shared" ca="1" si="217"/>
        <v>68519.896366270914</v>
      </c>
      <c r="K1382" s="182"/>
      <c r="L1382" s="182"/>
      <c r="M1382" s="182"/>
      <c r="N1382" s="182"/>
      <c r="O1382" s="182"/>
    </row>
    <row r="1383" spans="1:15" x14ac:dyDescent="0.25">
      <c r="A1383" s="180">
        <f t="shared" ca="1" si="218"/>
        <v>47473</v>
      </c>
      <c r="B1383" s="181">
        <v>1369</v>
      </c>
      <c r="C1383" s="182">
        <f t="shared" ca="1" si="215"/>
        <v>68519.896366270914</v>
      </c>
      <c r="D1383" s="182">
        <f t="shared" ca="1" si="219"/>
        <v>45.679930910847276</v>
      </c>
      <c r="E1383" s="182">
        <v>0</v>
      </c>
      <c r="F1383" s="182">
        <f t="shared" ca="1" si="216"/>
        <v>0</v>
      </c>
      <c r="G1383" s="182">
        <f t="shared" ca="1" si="220"/>
        <v>0</v>
      </c>
      <c r="H1383" s="182">
        <f t="shared" ca="1" si="221"/>
        <v>68565.57629718176</v>
      </c>
      <c r="I1383" s="183">
        <v>0</v>
      </c>
      <c r="J1383" s="263">
        <f t="shared" ca="1" si="217"/>
        <v>68565.57629718176</v>
      </c>
      <c r="K1383" s="182"/>
      <c r="L1383" s="182"/>
      <c r="M1383" s="182"/>
      <c r="N1383" s="182"/>
      <c r="O1383" s="182"/>
    </row>
    <row r="1384" spans="1:15" x14ac:dyDescent="0.25">
      <c r="A1384" s="180">
        <f t="shared" ca="1" si="218"/>
        <v>47474</v>
      </c>
      <c r="B1384" s="181">
        <v>1370</v>
      </c>
      <c r="C1384" s="182">
        <f t="shared" ca="1" si="215"/>
        <v>68565.57629718176</v>
      </c>
      <c r="D1384" s="182">
        <f t="shared" ca="1" si="219"/>
        <v>45.710384198121169</v>
      </c>
      <c r="E1384" s="182">
        <v>0</v>
      </c>
      <c r="F1384" s="182">
        <f t="shared" ca="1" si="216"/>
        <v>0</v>
      </c>
      <c r="G1384" s="182">
        <f t="shared" ca="1" si="220"/>
        <v>0</v>
      </c>
      <c r="H1384" s="182">
        <f t="shared" ca="1" si="221"/>
        <v>68611.286681379876</v>
      </c>
      <c r="I1384" s="183">
        <v>0</v>
      </c>
      <c r="J1384" s="263">
        <f t="shared" ca="1" si="217"/>
        <v>68611.286681379876</v>
      </c>
      <c r="K1384" s="182"/>
      <c r="L1384" s="182"/>
      <c r="M1384" s="182"/>
      <c r="N1384" s="182"/>
      <c r="O1384" s="182"/>
    </row>
    <row r="1385" spans="1:15" x14ac:dyDescent="0.25">
      <c r="A1385" s="180">
        <f t="shared" ca="1" si="218"/>
        <v>47475</v>
      </c>
      <c r="B1385" s="181">
        <v>1371</v>
      </c>
      <c r="C1385" s="182">
        <f t="shared" ca="1" si="215"/>
        <v>68611.286681379876</v>
      </c>
      <c r="D1385" s="182">
        <f t="shared" ca="1" si="219"/>
        <v>45.740857787586584</v>
      </c>
      <c r="E1385" s="182">
        <v>0</v>
      </c>
      <c r="F1385" s="182">
        <f t="shared" ca="1" si="216"/>
        <v>0</v>
      </c>
      <c r="G1385" s="182">
        <f t="shared" ca="1" si="220"/>
        <v>0</v>
      </c>
      <c r="H1385" s="182">
        <f t="shared" ca="1" si="221"/>
        <v>68657.027539167466</v>
      </c>
      <c r="I1385" s="183">
        <v>0</v>
      </c>
      <c r="J1385" s="263">
        <f t="shared" ca="1" si="217"/>
        <v>68657.027539167466</v>
      </c>
      <c r="K1385" s="182"/>
      <c r="L1385" s="182"/>
      <c r="M1385" s="182"/>
      <c r="N1385" s="182"/>
      <c r="O1385" s="182"/>
    </row>
    <row r="1386" spans="1:15" x14ac:dyDescent="0.25">
      <c r="A1386" s="180">
        <f t="shared" ca="1" si="218"/>
        <v>47476</v>
      </c>
      <c r="B1386" s="181">
        <v>1372</v>
      </c>
      <c r="C1386" s="182">
        <f t="shared" ca="1" si="215"/>
        <v>68657.027539167466</v>
      </c>
      <c r="D1386" s="182">
        <f t="shared" ca="1" si="219"/>
        <v>45.77135169277831</v>
      </c>
      <c r="E1386" s="182">
        <v>0</v>
      </c>
      <c r="F1386" s="182">
        <f t="shared" ca="1" si="216"/>
        <v>0</v>
      </c>
      <c r="G1386" s="182">
        <f t="shared" ca="1" si="220"/>
        <v>0</v>
      </c>
      <c r="H1386" s="182">
        <f t="shared" ca="1" si="221"/>
        <v>68702.798890860242</v>
      </c>
      <c r="I1386" s="183">
        <v>0</v>
      </c>
      <c r="J1386" s="263">
        <f t="shared" ca="1" si="217"/>
        <v>68702.798890860242</v>
      </c>
      <c r="K1386" s="182"/>
      <c r="L1386" s="182"/>
      <c r="M1386" s="182"/>
      <c r="N1386" s="182"/>
      <c r="O1386" s="182"/>
    </row>
    <row r="1387" spans="1:15" x14ac:dyDescent="0.25">
      <c r="A1387" s="180">
        <f t="shared" ca="1" si="218"/>
        <v>47477</v>
      </c>
      <c r="B1387" s="181">
        <v>1373</v>
      </c>
      <c r="C1387" s="182">
        <f t="shared" ref="C1387:C1450" ca="1" si="222">H1386</f>
        <v>68702.798890860242</v>
      </c>
      <c r="D1387" s="182">
        <f t="shared" ca="1" si="219"/>
        <v>45.801865927240158</v>
      </c>
      <c r="E1387" s="182">
        <v>0</v>
      </c>
      <c r="F1387" s="182">
        <f t="shared" ca="1" si="216"/>
        <v>0</v>
      </c>
      <c r="G1387" s="182">
        <f t="shared" ca="1" si="220"/>
        <v>0</v>
      </c>
      <c r="H1387" s="182">
        <f t="shared" ca="1" si="221"/>
        <v>68748.600756787477</v>
      </c>
      <c r="I1387" s="183">
        <v>0</v>
      </c>
      <c r="J1387" s="263">
        <f t="shared" ca="1" si="217"/>
        <v>68748.600756787477</v>
      </c>
      <c r="K1387" s="182"/>
      <c r="L1387" s="182"/>
      <c r="M1387" s="182"/>
      <c r="N1387" s="182"/>
      <c r="O1387" s="182"/>
    </row>
    <row r="1388" spans="1:15" x14ac:dyDescent="0.25">
      <c r="A1388" s="180">
        <f t="shared" ca="1" si="218"/>
        <v>47478</v>
      </c>
      <c r="B1388" s="181">
        <v>1374</v>
      </c>
      <c r="C1388" s="182">
        <f t="shared" ca="1" si="222"/>
        <v>68748.600756787477</v>
      </c>
      <c r="D1388" s="182">
        <f t="shared" ca="1" si="219"/>
        <v>45.832400504524983</v>
      </c>
      <c r="E1388" s="182">
        <v>0</v>
      </c>
      <c r="F1388" s="182">
        <f t="shared" ref="F1388:F1451" ca="1" si="223">IFERROR(-VLOOKUP(A1388,$P$4:$R$31,2,FALSE),0)</f>
        <v>0</v>
      </c>
      <c r="G1388" s="182">
        <f t="shared" ca="1" si="220"/>
        <v>0</v>
      </c>
      <c r="H1388" s="182">
        <f t="shared" ca="1" si="221"/>
        <v>68794.433157292005</v>
      </c>
      <c r="I1388" s="183">
        <v>0</v>
      </c>
      <c r="J1388" s="263">
        <f t="shared" ca="1" si="217"/>
        <v>68794.433157292005</v>
      </c>
      <c r="K1388" s="182"/>
      <c r="L1388" s="182"/>
      <c r="M1388" s="182"/>
      <c r="N1388" s="182"/>
      <c r="O1388" s="182"/>
    </row>
    <row r="1389" spans="1:15" x14ac:dyDescent="0.25">
      <c r="A1389" s="180">
        <f t="shared" ca="1" si="218"/>
        <v>47479</v>
      </c>
      <c r="B1389" s="181">
        <v>1375</v>
      </c>
      <c r="C1389" s="182">
        <f t="shared" ca="1" si="222"/>
        <v>68794.433157292005</v>
      </c>
      <c r="D1389" s="182">
        <f t="shared" ca="1" si="219"/>
        <v>45.862955438194668</v>
      </c>
      <c r="E1389" s="182">
        <v>0</v>
      </c>
      <c r="F1389" s="182">
        <f t="shared" ca="1" si="223"/>
        <v>0</v>
      </c>
      <c r="G1389" s="182">
        <f t="shared" ca="1" si="220"/>
        <v>0</v>
      </c>
      <c r="H1389" s="182">
        <f t="shared" ca="1" si="221"/>
        <v>68840.296112730197</v>
      </c>
      <c r="I1389" s="183">
        <v>0</v>
      </c>
      <c r="J1389" s="263">
        <f t="shared" ca="1" si="217"/>
        <v>68840.296112730197</v>
      </c>
      <c r="K1389" s="182"/>
      <c r="L1389" s="182"/>
      <c r="M1389" s="182"/>
      <c r="N1389" s="182"/>
      <c r="O1389" s="182"/>
    </row>
    <row r="1390" spans="1:15" x14ac:dyDescent="0.25">
      <c r="A1390" s="180">
        <f t="shared" ca="1" si="218"/>
        <v>47480</v>
      </c>
      <c r="B1390" s="181">
        <v>1376</v>
      </c>
      <c r="C1390" s="182">
        <f t="shared" ca="1" si="222"/>
        <v>68840.296112730197</v>
      </c>
      <c r="D1390" s="182">
        <f t="shared" ca="1" si="219"/>
        <v>45.893530741820129</v>
      </c>
      <c r="E1390" s="182">
        <v>0</v>
      </c>
      <c r="F1390" s="182">
        <f t="shared" ca="1" si="223"/>
        <v>0</v>
      </c>
      <c r="G1390" s="182">
        <f t="shared" ca="1" si="220"/>
        <v>0</v>
      </c>
      <c r="H1390" s="182">
        <f t="shared" ca="1" si="221"/>
        <v>68886.189643472011</v>
      </c>
      <c r="I1390" s="183">
        <v>0</v>
      </c>
      <c r="J1390" s="263">
        <f t="shared" ca="1" si="217"/>
        <v>68886.189643472011</v>
      </c>
      <c r="K1390" s="182"/>
      <c r="L1390" s="182"/>
      <c r="M1390" s="182"/>
      <c r="N1390" s="182"/>
      <c r="O1390" s="182"/>
    </row>
    <row r="1391" spans="1:15" x14ac:dyDescent="0.25">
      <c r="A1391" s="180">
        <f t="shared" ca="1" si="218"/>
        <v>47481</v>
      </c>
      <c r="B1391" s="181">
        <v>1377</v>
      </c>
      <c r="C1391" s="182">
        <f t="shared" ca="1" si="222"/>
        <v>68886.189643472011</v>
      </c>
      <c r="D1391" s="182">
        <f t="shared" ca="1" si="219"/>
        <v>45.924126428981339</v>
      </c>
      <c r="E1391" s="182">
        <v>0</v>
      </c>
      <c r="F1391" s="182">
        <f t="shared" ca="1" si="223"/>
        <v>0</v>
      </c>
      <c r="G1391" s="182">
        <f t="shared" ca="1" si="220"/>
        <v>0</v>
      </c>
      <c r="H1391" s="182">
        <f t="shared" ca="1" si="221"/>
        <v>68932.113769901</v>
      </c>
      <c r="I1391" s="183">
        <v>0</v>
      </c>
      <c r="J1391" s="263">
        <f t="shared" ca="1" si="217"/>
        <v>68932.113769901</v>
      </c>
      <c r="K1391" s="182"/>
      <c r="L1391" s="182"/>
      <c r="M1391" s="182"/>
      <c r="N1391" s="182"/>
      <c r="O1391" s="182"/>
    </row>
    <row r="1392" spans="1:15" x14ac:dyDescent="0.25">
      <c r="A1392" s="180">
        <f t="shared" ca="1" si="218"/>
        <v>47482</v>
      </c>
      <c r="B1392" s="181">
        <v>1378</v>
      </c>
      <c r="C1392" s="182">
        <f t="shared" ca="1" si="222"/>
        <v>68932.113769901</v>
      </c>
      <c r="D1392" s="182">
        <f t="shared" ca="1" si="219"/>
        <v>45.954742513267334</v>
      </c>
      <c r="E1392" s="182">
        <v>0</v>
      </c>
      <c r="F1392" s="182">
        <f t="shared" ca="1" si="223"/>
        <v>0</v>
      </c>
      <c r="G1392" s="182">
        <f t="shared" ca="1" si="220"/>
        <v>0</v>
      </c>
      <c r="H1392" s="182">
        <f t="shared" ca="1" si="221"/>
        <v>68978.068512414262</v>
      </c>
      <c r="I1392" s="183">
        <v>0</v>
      </c>
      <c r="J1392" s="263">
        <f t="shared" ca="1" si="217"/>
        <v>68978.068512414262</v>
      </c>
      <c r="K1392" s="182"/>
      <c r="L1392" s="182"/>
      <c r="M1392" s="182"/>
      <c r="N1392" s="182"/>
      <c r="O1392" s="182"/>
    </row>
    <row r="1393" spans="1:15" x14ac:dyDescent="0.25">
      <c r="A1393" s="180">
        <f t="shared" ca="1" si="218"/>
        <v>47483</v>
      </c>
      <c r="B1393" s="181">
        <v>1379</v>
      </c>
      <c r="C1393" s="182">
        <f t="shared" ca="1" si="222"/>
        <v>68978.068512414262</v>
      </c>
      <c r="D1393" s="182">
        <f t="shared" ca="1" si="219"/>
        <v>45.985379008276176</v>
      </c>
      <c r="E1393" s="182">
        <v>0</v>
      </c>
      <c r="F1393" s="182">
        <f t="shared" ca="1" si="223"/>
        <v>0</v>
      </c>
      <c r="G1393" s="182">
        <f t="shared" ca="1" si="220"/>
        <v>0</v>
      </c>
      <c r="H1393" s="182">
        <f t="shared" ca="1" si="221"/>
        <v>69024.053891422533</v>
      </c>
      <c r="I1393" s="183">
        <v>0</v>
      </c>
      <c r="J1393" s="263">
        <f t="shared" ca="1" si="217"/>
        <v>69024.053891422533</v>
      </c>
      <c r="K1393" s="182"/>
      <c r="L1393" s="182"/>
      <c r="M1393" s="182"/>
      <c r="N1393" s="182"/>
      <c r="O1393" s="182"/>
    </row>
    <row r="1394" spans="1:15" x14ac:dyDescent="0.25">
      <c r="A1394" s="180">
        <f t="shared" ca="1" si="218"/>
        <v>47484</v>
      </c>
      <c r="B1394" s="181">
        <v>1380</v>
      </c>
      <c r="C1394" s="182">
        <f t="shared" ca="1" si="222"/>
        <v>69024.053891422533</v>
      </c>
      <c r="D1394" s="182">
        <f t="shared" ca="1" si="219"/>
        <v>46.016035927615022</v>
      </c>
      <c r="E1394" s="182">
        <v>0</v>
      </c>
      <c r="F1394" s="182">
        <f t="shared" ca="1" si="223"/>
        <v>0</v>
      </c>
      <c r="G1394" s="182">
        <f t="shared" ca="1" si="220"/>
        <v>0</v>
      </c>
      <c r="H1394" s="182">
        <f t="shared" ca="1" si="221"/>
        <v>69070.069927350152</v>
      </c>
      <c r="I1394" s="183">
        <v>0</v>
      </c>
      <c r="J1394" s="263">
        <f t="shared" ca="1" si="217"/>
        <v>69070.069927350152</v>
      </c>
      <c r="K1394" s="182"/>
      <c r="L1394" s="182"/>
      <c r="M1394" s="182"/>
      <c r="N1394" s="182"/>
      <c r="O1394" s="182"/>
    </row>
    <row r="1395" spans="1:15" x14ac:dyDescent="0.25">
      <c r="A1395" s="180">
        <f t="shared" ca="1" si="218"/>
        <v>47485</v>
      </c>
      <c r="B1395" s="181">
        <v>1381</v>
      </c>
      <c r="C1395" s="182">
        <f t="shared" ca="1" si="222"/>
        <v>69070.069927350152</v>
      </c>
      <c r="D1395" s="182">
        <f t="shared" ca="1" si="219"/>
        <v>46.0467132849001</v>
      </c>
      <c r="E1395" s="182">
        <v>0</v>
      </c>
      <c r="F1395" s="182">
        <f t="shared" ca="1" si="223"/>
        <v>0</v>
      </c>
      <c r="G1395" s="182">
        <f t="shared" ca="1" si="220"/>
        <v>0</v>
      </c>
      <c r="H1395" s="182">
        <f t="shared" ca="1" si="221"/>
        <v>69116.116640635053</v>
      </c>
      <c r="I1395" s="183">
        <v>0</v>
      </c>
      <c r="J1395" s="263">
        <f t="shared" ca="1" si="217"/>
        <v>69116.116640635053</v>
      </c>
      <c r="K1395" s="182"/>
      <c r="L1395" s="182"/>
      <c r="M1395" s="182"/>
      <c r="N1395" s="182"/>
      <c r="O1395" s="182"/>
    </row>
    <row r="1396" spans="1:15" x14ac:dyDescent="0.25">
      <c r="A1396" s="180">
        <f t="shared" ca="1" si="218"/>
        <v>47486</v>
      </c>
      <c r="B1396" s="181">
        <v>1382</v>
      </c>
      <c r="C1396" s="182">
        <f t="shared" ca="1" si="222"/>
        <v>69116.116640635053</v>
      </c>
      <c r="D1396" s="182">
        <f t="shared" ca="1" si="219"/>
        <v>46.077411093756702</v>
      </c>
      <c r="E1396" s="182">
        <v>0</v>
      </c>
      <c r="F1396" s="182">
        <f t="shared" ca="1" si="223"/>
        <v>0</v>
      </c>
      <c r="G1396" s="182">
        <f t="shared" ca="1" si="220"/>
        <v>0</v>
      </c>
      <c r="H1396" s="182">
        <f t="shared" ca="1" si="221"/>
        <v>69162.194051728817</v>
      </c>
      <c r="I1396" s="183">
        <v>0</v>
      </c>
      <c r="J1396" s="263">
        <f t="shared" ca="1" si="217"/>
        <v>69162.194051728817</v>
      </c>
      <c r="K1396" s="182"/>
      <c r="L1396" s="182"/>
      <c r="M1396" s="182"/>
      <c r="N1396" s="182"/>
      <c r="O1396" s="182"/>
    </row>
    <row r="1397" spans="1:15" x14ac:dyDescent="0.25">
      <c r="A1397" s="180">
        <f t="shared" ca="1" si="218"/>
        <v>47487</v>
      </c>
      <c r="B1397" s="181">
        <v>1383</v>
      </c>
      <c r="C1397" s="182">
        <f t="shared" ca="1" si="222"/>
        <v>69162.194051728817</v>
      </c>
      <c r="D1397" s="182">
        <f t="shared" ca="1" si="219"/>
        <v>46.10812936781921</v>
      </c>
      <c r="E1397" s="182">
        <v>0</v>
      </c>
      <c r="F1397" s="182">
        <f t="shared" ca="1" si="223"/>
        <v>0</v>
      </c>
      <c r="G1397" s="182">
        <f t="shared" ca="1" si="220"/>
        <v>0</v>
      </c>
      <c r="H1397" s="182">
        <f t="shared" ca="1" si="221"/>
        <v>69208.302181096631</v>
      </c>
      <c r="I1397" s="183">
        <v>0</v>
      </c>
      <c r="J1397" s="263">
        <f t="shared" ca="1" si="217"/>
        <v>69208.302181096631</v>
      </c>
      <c r="K1397" s="182"/>
      <c r="L1397" s="182"/>
      <c r="M1397" s="182"/>
      <c r="N1397" s="182"/>
      <c r="O1397" s="182"/>
    </row>
    <row r="1398" spans="1:15" x14ac:dyDescent="0.25">
      <c r="A1398" s="180">
        <f t="shared" ca="1" si="218"/>
        <v>47488</v>
      </c>
      <c r="B1398" s="181">
        <v>1384</v>
      </c>
      <c r="C1398" s="182">
        <f t="shared" ca="1" si="222"/>
        <v>69208.302181096631</v>
      </c>
      <c r="D1398" s="182">
        <f t="shared" ca="1" si="219"/>
        <v>46.138868120731082</v>
      </c>
      <c r="E1398" s="182">
        <v>0</v>
      </c>
      <c r="F1398" s="182">
        <f t="shared" ca="1" si="223"/>
        <v>0</v>
      </c>
      <c r="G1398" s="182">
        <f t="shared" ca="1" si="220"/>
        <v>0</v>
      </c>
      <c r="H1398" s="182">
        <f t="shared" ca="1" si="221"/>
        <v>69254.441049217363</v>
      </c>
      <c r="I1398" s="183">
        <v>0</v>
      </c>
      <c r="J1398" s="263">
        <f t="shared" ca="1" si="217"/>
        <v>69254.441049217363</v>
      </c>
      <c r="K1398" s="182"/>
      <c r="L1398" s="182"/>
      <c r="M1398" s="182"/>
      <c r="N1398" s="182"/>
      <c r="O1398" s="182"/>
    </row>
    <row r="1399" spans="1:15" x14ac:dyDescent="0.25">
      <c r="A1399" s="180">
        <f t="shared" ca="1" si="218"/>
        <v>47489</v>
      </c>
      <c r="B1399" s="181">
        <v>1385</v>
      </c>
      <c r="C1399" s="182">
        <f t="shared" ca="1" si="222"/>
        <v>69254.441049217363</v>
      </c>
      <c r="D1399" s="182">
        <f t="shared" ca="1" si="219"/>
        <v>46.169627366144908</v>
      </c>
      <c r="E1399" s="182">
        <v>0</v>
      </c>
      <c r="F1399" s="182">
        <f t="shared" ca="1" si="223"/>
        <v>0</v>
      </c>
      <c r="G1399" s="182">
        <f t="shared" ca="1" si="220"/>
        <v>0</v>
      </c>
      <c r="H1399" s="182">
        <f t="shared" ca="1" si="221"/>
        <v>69300.610676583514</v>
      </c>
      <c r="I1399" s="183">
        <v>0</v>
      </c>
      <c r="J1399" s="263">
        <f t="shared" ca="1" si="217"/>
        <v>69300.610676583514</v>
      </c>
      <c r="K1399" s="182"/>
      <c r="L1399" s="182"/>
      <c r="M1399" s="182"/>
      <c r="N1399" s="182"/>
      <c r="O1399" s="182"/>
    </row>
    <row r="1400" spans="1:15" x14ac:dyDescent="0.25">
      <c r="A1400" s="180">
        <f t="shared" ca="1" si="218"/>
        <v>47490</v>
      </c>
      <c r="B1400" s="181">
        <v>1386</v>
      </c>
      <c r="C1400" s="182">
        <f t="shared" ca="1" si="222"/>
        <v>69300.610676583514</v>
      </c>
      <c r="D1400" s="182">
        <f t="shared" ca="1" si="219"/>
        <v>46.200407117722342</v>
      </c>
      <c r="E1400" s="182">
        <v>0</v>
      </c>
      <c r="F1400" s="182">
        <f t="shared" ca="1" si="223"/>
        <v>0</v>
      </c>
      <c r="G1400" s="182">
        <f t="shared" ca="1" si="220"/>
        <v>0</v>
      </c>
      <c r="H1400" s="182">
        <f t="shared" ca="1" si="221"/>
        <v>69346.811083701235</v>
      </c>
      <c r="I1400" s="183">
        <v>0</v>
      </c>
      <c r="J1400" s="263">
        <f t="shared" ca="1" si="217"/>
        <v>69346.811083701235</v>
      </c>
      <c r="K1400" s="182"/>
      <c r="L1400" s="182"/>
      <c r="M1400" s="182"/>
      <c r="N1400" s="182"/>
      <c r="O1400" s="182"/>
    </row>
    <row r="1401" spans="1:15" x14ac:dyDescent="0.25">
      <c r="A1401" s="180">
        <f t="shared" ca="1" si="218"/>
        <v>47491</v>
      </c>
      <c r="B1401" s="181">
        <v>1387</v>
      </c>
      <c r="C1401" s="182">
        <f t="shared" ca="1" si="222"/>
        <v>69346.811083701235</v>
      </c>
      <c r="D1401" s="182">
        <f t="shared" ca="1" si="219"/>
        <v>46.231207389134156</v>
      </c>
      <c r="E1401" s="182">
        <v>0</v>
      </c>
      <c r="F1401" s="182">
        <f t="shared" ca="1" si="223"/>
        <v>0</v>
      </c>
      <c r="G1401" s="182">
        <f t="shared" ca="1" si="220"/>
        <v>0</v>
      </c>
      <c r="H1401" s="182">
        <f t="shared" ca="1" si="221"/>
        <v>69393.042291090373</v>
      </c>
      <c r="I1401" s="183">
        <v>0</v>
      </c>
      <c r="J1401" s="263">
        <f t="shared" ca="1" si="217"/>
        <v>69393.042291090373</v>
      </c>
      <c r="K1401" s="182"/>
      <c r="L1401" s="182"/>
      <c r="M1401" s="182"/>
      <c r="N1401" s="182"/>
      <c r="O1401" s="182"/>
    </row>
    <row r="1402" spans="1:15" x14ac:dyDescent="0.25">
      <c r="A1402" s="180">
        <f t="shared" ca="1" si="218"/>
        <v>47492</v>
      </c>
      <c r="B1402" s="181">
        <v>1388</v>
      </c>
      <c r="C1402" s="182">
        <f t="shared" ca="1" si="222"/>
        <v>69393.042291090373</v>
      </c>
      <c r="D1402" s="182">
        <f t="shared" ca="1" si="219"/>
        <v>46.26202819406025</v>
      </c>
      <c r="E1402" s="182">
        <v>0</v>
      </c>
      <c r="F1402" s="182">
        <f t="shared" ca="1" si="223"/>
        <v>0</v>
      </c>
      <c r="G1402" s="182">
        <f t="shared" ca="1" si="220"/>
        <v>0</v>
      </c>
      <c r="H1402" s="182">
        <f t="shared" ca="1" si="221"/>
        <v>69439.304319284434</v>
      </c>
      <c r="I1402" s="183">
        <v>0</v>
      </c>
      <c r="J1402" s="263">
        <f t="shared" ca="1" si="217"/>
        <v>69439.304319284434</v>
      </c>
      <c r="K1402" s="182"/>
      <c r="L1402" s="182"/>
      <c r="M1402" s="182"/>
      <c r="N1402" s="182"/>
      <c r="O1402" s="182"/>
    </row>
    <row r="1403" spans="1:15" x14ac:dyDescent="0.25">
      <c r="A1403" s="180">
        <f t="shared" ca="1" si="218"/>
        <v>47493</v>
      </c>
      <c r="B1403" s="181">
        <v>1389</v>
      </c>
      <c r="C1403" s="182">
        <f t="shared" ca="1" si="222"/>
        <v>69439.304319284434</v>
      </c>
      <c r="D1403" s="182">
        <f t="shared" ca="1" si="219"/>
        <v>46.292869546189621</v>
      </c>
      <c r="E1403" s="182">
        <v>0</v>
      </c>
      <c r="F1403" s="182">
        <f t="shared" ca="1" si="223"/>
        <v>0</v>
      </c>
      <c r="G1403" s="182">
        <f t="shared" ca="1" si="220"/>
        <v>0</v>
      </c>
      <c r="H1403" s="182">
        <f t="shared" ca="1" si="221"/>
        <v>69485.597188830623</v>
      </c>
      <c r="I1403" s="183">
        <v>0</v>
      </c>
      <c r="J1403" s="263">
        <f t="shared" ca="1" si="217"/>
        <v>69485.597188830623</v>
      </c>
      <c r="K1403" s="182"/>
      <c r="L1403" s="182"/>
      <c r="M1403" s="182"/>
      <c r="N1403" s="182"/>
      <c r="O1403" s="182"/>
    </row>
    <row r="1404" spans="1:15" x14ac:dyDescent="0.25">
      <c r="A1404" s="180">
        <f t="shared" ca="1" si="218"/>
        <v>47494</v>
      </c>
      <c r="B1404" s="181">
        <v>1390</v>
      </c>
      <c r="C1404" s="182">
        <f t="shared" ca="1" si="222"/>
        <v>69485.597188830623</v>
      </c>
      <c r="D1404" s="182">
        <f t="shared" ca="1" si="219"/>
        <v>46.323731459220411</v>
      </c>
      <c r="E1404" s="182">
        <v>0</v>
      </c>
      <c r="F1404" s="182">
        <f t="shared" ca="1" si="223"/>
        <v>0</v>
      </c>
      <c r="G1404" s="182">
        <f t="shared" ca="1" si="220"/>
        <v>0</v>
      </c>
      <c r="H1404" s="182">
        <f t="shared" ca="1" si="221"/>
        <v>69531.920920289849</v>
      </c>
      <c r="I1404" s="183">
        <v>0</v>
      </c>
      <c r="J1404" s="263">
        <f t="shared" ca="1" si="217"/>
        <v>69531.920920289849</v>
      </c>
      <c r="K1404" s="182"/>
      <c r="L1404" s="182"/>
      <c r="M1404" s="182"/>
      <c r="N1404" s="182"/>
      <c r="O1404" s="182"/>
    </row>
    <row r="1405" spans="1:15" x14ac:dyDescent="0.25">
      <c r="A1405" s="180">
        <f t="shared" ca="1" si="218"/>
        <v>47495</v>
      </c>
      <c r="B1405" s="181">
        <v>1391</v>
      </c>
      <c r="C1405" s="182">
        <f t="shared" ca="1" si="222"/>
        <v>69531.920920289849</v>
      </c>
      <c r="D1405" s="182">
        <f t="shared" ca="1" si="219"/>
        <v>46.354613946859899</v>
      </c>
      <c r="E1405" s="182">
        <v>0</v>
      </c>
      <c r="F1405" s="182">
        <f t="shared" ca="1" si="223"/>
        <v>0</v>
      </c>
      <c r="G1405" s="182">
        <f t="shared" ca="1" si="220"/>
        <v>0</v>
      </c>
      <c r="H1405" s="182">
        <f t="shared" ca="1" si="221"/>
        <v>69578.275534236716</v>
      </c>
      <c r="I1405" s="183">
        <v>0</v>
      </c>
      <c r="J1405" s="263">
        <f t="shared" ca="1" si="217"/>
        <v>69578.275534236716</v>
      </c>
      <c r="K1405" s="182"/>
      <c r="L1405" s="182"/>
      <c r="M1405" s="182"/>
      <c r="N1405" s="182"/>
      <c r="O1405" s="182"/>
    </row>
    <row r="1406" spans="1:15" x14ac:dyDescent="0.25">
      <c r="A1406" s="180">
        <f t="shared" ca="1" si="218"/>
        <v>47496</v>
      </c>
      <c r="B1406" s="181">
        <v>1392</v>
      </c>
      <c r="C1406" s="182">
        <f t="shared" ca="1" si="222"/>
        <v>69578.275534236716</v>
      </c>
      <c r="D1406" s="182">
        <f t="shared" ca="1" si="219"/>
        <v>46.385517022824473</v>
      </c>
      <c r="E1406" s="182">
        <v>0</v>
      </c>
      <c r="F1406" s="182">
        <f t="shared" ca="1" si="223"/>
        <v>0</v>
      </c>
      <c r="G1406" s="182">
        <f t="shared" ca="1" si="220"/>
        <v>0</v>
      </c>
      <c r="H1406" s="182">
        <f t="shared" ca="1" si="221"/>
        <v>69624.661051259536</v>
      </c>
      <c r="I1406" s="183">
        <v>0</v>
      </c>
      <c r="J1406" s="263">
        <f t="shared" ca="1" si="217"/>
        <v>69624.661051259536</v>
      </c>
      <c r="K1406" s="182"/>
      <c r="L1406" s="182"/>
      <c r="M1406" s="182"/>
      <c r="N1406" s="182"/>
      <c r="O1406" s="182"/>
    </row>
    <row r="1407" spans="1:15" x14ac:dyDescent="0.25">
      <c r="A1407" s="180">
        <f t="shared" ca="1" si="218"/>
        <v>47497</v>
      </c>
      <c r="B1407" s="181">
        <v>1393</v>
      </c>
      <c r="C1407" s="182">
        <f t="shared" ca="1" si="222"/>
        <v>69624.661051259536</v>
      </c>
      <c r="D1407" s="182">
        <f t="shared" ca="1" si="219"/>
        <v>46.416440700839686</v>
      </c>
      <c r="E1407" s="182">
        <v>0</v>
      </c>
      <c r="F1407" s="182">
        <f t="shared" ca="1" si="223"/>
        <v>0</v>
      </c>
      <c r="G1407" s="182">
        <f t="shared" ca="1" si="220"/>
        <v>0</v>
      </c>
      <c r="H1407" s="182">
        <f t="shared" ca="1" si="221"/>
        <v>69671.077491960372</v>
      </c>
      <c r="I1407" s="183">
        <v>0</v>
      </c>
      <c r="J1407" s="263">
        <f t="shared" ca="1" si="217"/>
        <v>69671.077491960372</v>
      </c>
      <c r="K1407" s="182"/>
      <c r="L1407" s="182"/>
      <c r="M1407" s="182"/>
      <c r="N1407" s="182"/>
      <c r="O1407" s="182"/>
    </row>
    <row r="1408" spans="1:15" x14ac:dyDescent="0.25">
      <c r="A1408" s="180">
        <f t="shared" ca="1" si="218"/>
        <v>47498</v>
      </c>
      <c r="B1408" s="181">
        <v>1394</v>
      </c>
      <c r="C1408" s="182">
        <f t="shared" ca="1" si="222"/>
        <v>69671.077491960372</v>
      </c>
      <c r="D1408" s="182">
        <f t="shared" ca="1" si="219"/>
        <v>46.447384994640245</v>
      </c>
      <c r="E1408" s="182">
        <v>0</v>
      </c>
      <c r="F1408" s="182">
        <f t="shared" ca="1" si="223"/>
        <v>0</v>
      </c>
      <c r="G1408" s="182">
        <f t="shared" ca="1" si="220"/>
        <v>0</v>
      </c>
      <c r="H1408" s="182">
        <f t="shared" ca="1" si="221"/>
        <v>69717.524876955009</v>
      </c>
      <c r="I1408" s="183">
        <v>0</v>
      </c>
      <c r="J1408" s="263">
        <f t="shared" ca="1" si="217"/>
        <v>69717.524876955009</v>
      </c>
      <c r="K1408" s="182"/>
      <c r="L1408" s="182"/>
      <c r="M1408" s="182"/>
      <c r="N1408" s="182"/>
      <c r="O1408" s="182"/>
    </row>
    <row r="1409" spans="1:15" x14ac:dyDescent="0.25">
      <c r="A1409" s="180">
        <f t="shared" ca="1" si="218"/>
        <v>47499</v>
      </c>
      <c r="B1409" s="181">
        <v>1395</v>
      </c>
      <c r="C1409" s="182">
        <f t="shared" ca="1" si="222"/>
        <v>69717.524876955009</v>
      </c>
      <c r="D1409" s="182">
        <f t="shared" ca="1" si="219"/>
        <v>46.478349917970007</v>
      </c>
      <c r="E1409" s="182">
        <v>0</v>
      </c>
      <c r="F1409" s="182">
        <f t="shared" ca="1" si="223"/>
        <v>0</v>
      </c>
      <c r="G1409" s="182">
        <f t="shared" ca="1" si="220"/>
        <v>0</v>
      </c>
      <c r="H1409" s="182">
        <f t="shared" ca="1" si="221"/>
        <v>69764.003226872985</v>
      </c>
      <c r="I1409" s="183">
        <v>0</v>
      </c>
      <c r="J1409" s="263">
        <f t="shared" ca="1" si="217"/>
        <v>69764.003226872985</v>
      </c>
      <c r="K1409" s="182"/>
      <c r="L1409" s="182"/>
      <c r="M1409" s="182"/>
      <c r="N1409" s="182"/>
      <c r="O1409" s="182"/>
    </row>
    <row r="1410" spans="1:15" x14ac:dyDescent="0.25">
      <c r="A1410" s="180">
        <f t="shared" ca="1" si="218"/>
        <v>47500</v>
      </c>
      <c r="B1410" s="181">
        <v>1396</v>
      </c>
      <c r="C1410" s="182">
        <f t="shared" ca="1" si="222"/>
        <v>69764.003226872985</v>
      </c>
      <c r="D1410" s="182">
        <f t="shared" ca="1" si="219"/>
        <v>46.509335484581989</v>
      </c>
      <c r="E1410" s="182">
        <v>0</v>
      </c>
      <c r="F1410" s="182">
        <f t="shared" ca="1" si="223"/>
        <v>0</v>
      </c>
      <c r="G1410" s="182">
        <f t="shared" ca="1" si="220"/>
        <v>0</v>
      </c>
      <c r="H1410" s="182">
        <f t="shared" ca="1" si="221"/>
        <v>69810.512562357573</v>
      </c>
      <c r="I1410" s="183">
        <v>0</v>
      </c>
      <c r="J1410" s="263">
        <f t="shared" ca="1" si="217"/>
        <v>69810.512562357573</v>
      </c>
      <c r="K1410" s="182"/>
      <c r="L1410" s="182"/>
      <c r="M1410" s="182"/>
      <c r="N1410" s="182"/>
      <c r="O1410" s="182"/>
    </row>
    <row r="1411" spans="1:15" x14ac:dyDescent="0.25">
      <c r="A1411" s="180">
        <f t="shared" ca="1" si="218"/>
        <v>47501</v>
      </c>
      <c r="B1411" s="181">
        <v>1397</v>
      </c>
      <c r="C1411" s="182">
        <f t="shared" ca="1" si="222"/>
        <v>69810.512562357573</v>
      </c>
      <c r="D1411" s="182">
        <f t="shared" ca="1" si="219"/>
        <v>46.54034170823838</v>
      </c>
      <c r="E1411" s="182">
        <v>0</v>
      </c>
      <c r="F1411" s="182">
        <f t="shared" ca="1" si="223"/>
        <v>0</v>
      </c>
      <c r="G1411" s="182">
        <f t="shared" ca="1" si="220"/>
        <v>0</v>
      </c>
      <c r="H1411" s="182">
        <f t="shared" ca="1" si="221"/>
        <v>69857.052904065815</v>
      </c>
      <c r="I1411" s="183">
        <v>0</v>
      </c>
      <c r="J1411" s="263">
        <f t="shared" ca="1" si="217"/>
        <v>69857.052904065815</v>
      </c>
      <c r="K1411" s="182"/>
      <c r="L1411" s="182"/>
      <c r="M1411" s="182"/>
      <c r="N1411" s="182"/>
      <c r="O1411" s="182"/>
    </row>
    <row r="1412" spans="1:15" x14ac:dyDescent="0.25">
      <c r="A1412" s="180">
        <f t="shared" ca="1" si="218"/>
        <v>47502</v>
      </c>
      <c r="B1412" s="181">
        <v>1398</v>
      </c>
      <c r="C1412" s="182">
        <f t="shared" ca="1" si="222"/>
        <v>69857.052904065815</v>
      </c>
      <c r="D1412" s="182">
        <f t="shared" ca="1" si="219"/>
        <v>46.571368602710542</v>
      </c>
      <c r="E1412" s="182">
        <v>0</v>
      </c>
      <c r="F1412" s="182">
        <f t="shared" ca="1" si="223"/>
        <v>0</v>
      </c>
      <c r="G1412" s="182">
        <f t="shared" ca="1" si="220"/>
        <v>0</v>
      </c>
      <c r="H1412" s="182">
        <f t="shared" ca="1" si="221"/>
        <v>69903.62427266853</v>
      </c>
      <c r="I1412" s="183">
        <v>0</v>
      </c>
      <c r="J1412" s="263">
        <f t="shared" ca="1" si="217"/>
        <v>69903.62427266853</v>
      </c>
      <c r="K1412" s="182"/>
      <c r="L1412" s="182"/>
      <c r="M1412" s="182"/>
      <c r="N1412" s="182"/>
      <c r="O1412" s="182"/>
    </row>
    <row r="1413" spans="1:15" x14ac:dyDescent="0.25">
      <c r="A1413" s="180">
        <f t="shared" ca="1" si="218"/>
        <v>47503</v>
      </c>
      <c r="B1413" s="181">
        <v>1399</v>
      </c>
      <c r="C1413" s="182">
        <f t="shared" ca="1" si="222"/>
        <v>69903.62427266853</v>
      </c>
      <c r="D1413" s="182">
        <f t="shared" ca="1" si="219"/>
        <v>46.60241618177902</v>
      </c>
      <c r="E1413" s="182">
        <v>0</v>
      </c>
      <c r="F1413" s="182">
        <f t="shared" ca="1" si="223"/>
        <v>0</v>
      </c>
      <c r="G1413" s="182">
        <f t="shared" ca="1" si="220"/>
        <v>0</v>
      </c>
      <c r="H1413" s="182">
        <f t="shared" ca="1" si="221"/>
        <v>69950.226688850307</v>
      </c>
      <c r="I1413" s="183">
        <v>0</v>
      </c>
      <c r="J1413" s="263">
        <f t="shared" ca="1" si="217"/>
        <v>69950.226688850307</v>
      </c>
      <c r="K1413" s="182"/>
      <c r="L1413" s="182"/>
      <c r="M1413" s="182"/>
      <c r="N1413" s="182"/>
      <c r="O1413" s="182"/>
    </row>
    <row r="1414" spans="1:15" x14ac:dyDescent="0.25">
      <c r="A1414" s="180">
        <f t="shared" ca="1" si="218"/>
        <v>47504</v>
      </c>
      <c r="B1414" s="181">
        <v>1400</v>
      </c>
      <c r="C1414" s="182">
        <f t="shared" ca="1" si="222"/>
        <v>69950.226688850307</v>
      </c>
      <c r="D1414" s="182">
        <f t="shared" ca="1" si="219"/>
        <v>46.633484459233536</v>
      </c>
      <c r="E1414" s="182">
        <v>0</v>
      </c>
      <c r="F1414" s="182">
        <f t="shared" ca="1" si="223"/>
        <v>0</v>
      </c>
      <c r="G1414" s="182">
        <f t="shared" ca="1" si="220"/>
        <v>0</v>
      </c>
      <c r="H1414" s="182">
        <f t="shared" ca="1" si="221"/>
        <v>69996.860173309542</v>
      </c>
      <c r="I1414" s="183">
        <v>0</v>
      </c>
      <c r="J1414" s="263">
        <f t="shared" ca="1" si="217"/>
        <v>69996.860173309542</v>
      </c>
      <c r="K1414" s="182"/>
      <c r="L1414" s="182"/>
      <c r="M1414" s="182"/>
      <c r="N1414" s="182"/>
      <c r="O1414" s="182"/>
    </row>
    <row r="1415" spans="1:15" x14ac:dyDescent="0.25">
      <c r="A1415" s="180">
        <f t="shared" ca="1" si="218"/>
        <v>47505</v>
      </c>
      <c r="B1415" s="181">
        <v>1401</v>
      </c>
      <c r="C1415" s="182">
        <f t="shared" ca="1" si="222"/>
        <v>69996.860173309542</v>
      </c>
      <c r="D1415" s="182">
        <f t="shared" ca="1" si="219"/>
        <v>46.664573448873028</v>
      </c>
      <c r="E1415" s="182">
        <v>0</v>
      </c>
      <c r="F1415" s="182">
        <f t="shared" ca="1" si="223"/>
        <v>0</v>
      </c>
      <c r="G1415" s="182">
        <f t="shared" ca="1" si="220"/>
        <v>0</v>
      </c>
      <c r="H1415" s="182">
        <f t="shared" ca="1" si="221"/>
        <v>70043.524746758412</v>
      </c>
      <c r="I1415" s="183">
        <v>0</v>
      </c>
      <c r="J1415" s="263">
        <f t="shared" ca="1" si="217"/>
        <v>70043.524746758412</v>
      </c>
      <c r="K1415" s="182"/>
      <c r="L1415" s="182"/>
      <c r="M1415" s="182"/>
      <c r="N1415" s="182"/>
      <c r="O1415" s="182"/>
    </row>
    <row r="1416" spans="1:15" x14ac:dyDescent="0.25">
      <c r="A1416" s="180">
        <f t="shared" ca="1" si="218"/>
        <v>47506</v>
      </c>
      <c r="B1416" s="181">
        <v>1402</v>
      </c>
      <c r="C1416" s="182">
        <f t="shared" ca="1" si="222"/>
        <v>70043.524746758412</v>
      </c>
      <c r="D1416" s="182">
        <f t="shared" ca="1" si="219"/>
        <v>46.69568316450561</v>
      </c>
      <c r="E1416" s="182">
        <v>0</v>
      </c>
      <c r="F1416" s="182">
        <f t="shared" ca="1" si="223"/>
        <v>0</v>
      </c>
      <c r="G1416" s="182">
        <f t="shared" ca="1" si="220"/>
        <v>0</v>
      </c>
      <c r="H1416" s="182">
        <f t="shared" ca="1" si="221"/>
        <v>70090.22042992292</v>
      </c>
      <c r="I1416" s="183">
        <v>0</v>
      </c>
      <c r="J1416" s="263">
        <f t="shared" ca="1" si="217"/>
        <v>70090.22042992292</v>
      </c>
      <c r="K1416" s="182"/>
      <c r="L1416" s="182"/>
      <c r="M1416" s="182"/>
      <c r="N1416" s="182"/>
      <c r="O1416" s="182"/>
    </row>
    <row r="1417" spans="1:15" x14ac:dyDescent="0.25">
      <c r="A1417" s="180">
        <f t="shared" ca="1" si="218"/>
        <v>47507</v>
      </c>
      <c r="B1417" s="181">
        <v>1403</v>
      </c>
      <c r="C1417" s="182">
        <f t="shared" ca="1" si="222"/>
        <v>70090.22042992292</v>
      </c>
      <c r="D1417" s="182">
        <f t="shared" ca="1" si="219"/>
        <v>46.726813619948615</v>
      </c>
      <c r="E1417" s="182">
        <v>0</v>
      </c>
      <c r="F1417" s="182">
        <f t="shared" ca="1" si="223"/>
        <v>0</v>
      </c>
      <c r="G1417" s="182">
        <f t="shared" ca="1" si="220"/>
        <v>0</v>
      </c>
      <c r="H1417" s="182">
        <f t="shared" ca="1" si="221"/>
        <v>70136.947243542862</v>
      </c>
      <c r="I1417" s="183">
        <v>0</v>
      </c>
      <c r="J1417" s="263">
        <f t="shared" ca="1" si="217"/>
        <v>70136.947243542862</v>
      </c>
      <c r="K1417" s="182"/>
      <c r="L1417" s="182"/>
      <c r="M1417" s="182"/>
      <c r="N1417" s="182"/>
      <c r="O1417" s="182"/>
    </row>
    <row r="1418" spans="1:15" x14ac:dyDescent="0.25">
      <c r="A1418" s="180">
        <f t="shared" ca="1" si="218"/>
        <v>47508</v>
      </c>
      <c r="B1418" s="181">
        <v>1404</v>
      </c>
      <c r="C1418" s="182">
        <f t="shared" ca="1" si="222"/>
        <v>70136.947243542862</v>
      </c>
      <c r="D1418" s="182">
        <f t="shared" ca="1" si="219"/>
        <v>46.757964829028573</v>
      </c>
      <c r="E1418" s="182">
        <v>0</v>
      </c>
      <c r="F1418" s="182">
        <f t="shared" ca="1" si="223"/>
        <v>0</v>
      </c>
      <c r="G1418" s="182">
        <f t="shared" ca="1" si="220"/>
        <v>0</v>
      </c>
      <c r="H1418" s="182">
        <f t="shared" ca="1" si="221"/>
        <v>70183.705208371888</v>
      </c>
      <c r="I1418" s="183">
        <v>0</v>
      </c>
      <c r="J1418" s="263">
        <f t="shared" ca="1" si="217"/>
        <v>70183.705208371888</v>
      </c>
      <c r="K1418" s="182"/>
      <c r="L1418" s="182"/>
      <c r="M1418" s="182"/>
      <c r="N1418" s="182"/>
      <c r="O1418" s="182"/>
    </row>
    <row r="1419" spans="1:15" x14ac:dyDescent="0.25">
      <c r="A1419" s="180">
        <f t="shared" ca="1" si="218"/>
        <v>47509</v>
      </c>
      <c r="B1419" s="181">
        <v>1405</v>
      </c>
      <c r="C1419" s="182">
        <f t="shared" ca="1" si="222"/>
        <v>70183.705208371888</v>
      </c>
      <c r="D1419" s="182">
        <f t="shared" ca="1" si="219"/>
        <v>46.789136805581258</v>
      </c>
      <c r="E1419" s="182">
        <v>0</v>
      </c>
      <c r="F1419" s="182">
        <f t="shared" ca="1" si="223"/>
        <v>0</v>
      </c>
      <c r="G1419" s="182">
        <f t="shared" ca="1" si="220"/>
        <v>0</v>
      </c>
      <c r="H1419" s="182">
        <f t="shared" ca="1" si="221"/>
        <v>70230.494345177474</v>
      </c>
      <c r="I1419" s="183">
        <v>0</v>
      </c>
      <c r="J1419" s="263">
        <f t="shared" ca="1" si="217"/>
        <v>70230.494345177474</v>
      </c>
      <c r="K1419" s="182"/>
      <c r="L1419" s="182"/>
      <c r="M1419" s="182"/>
      <c r="N1419" s="182"/>
      <c r="O1419" s="182"/>
    </row>
    <row r="1420" spans="1:15" x14ac:dyDescent="0.25">
      <c r="A1420" s="180">
        <f t="shared" ca="1" si="218"/>
        <v>47510</v>
      </c>
      <c r="B1420" s="181">
        <v>1406</v>
      </c>
      <c r="C1420" s="182">
        <f t="shared" ca="1" si="222"/>
        <v>70230.494345177474</v>
      </c>
      <c r="D1420" s="182">
        <f t="shared" ca="1" si="219"/>
        <v>46.820329563451651</v>
      </c>
      <c r="E1420" s="182">
        <v>0</v>
      </c>
      <c r="F1420" s="182">
        <f t="shared" ca="1" si="223"/>
        <v>0</v>
      </c>
      <c r="G1420" s="182">
        <f t="shared" ca="1" si="220"/>
        <v>0</v>
      </c>
      <c r="H1420" s="182">
        <f t="shared" ca="1" si="221"/>
        <v>70277.314674740919</v>
      </c>
      <c r="I1420" s="183">
        <v>0</v>
      </c>
      <c r="J1420" s="263">
        <f t="shared" ca="1" si="217"/>
        <v>70277.314674740919</v>
      </c>
      <c r="K1420" s="182"/>
      <c r="L1420" s="182"/>
      <c r="M1420" s="182"/>
      <c r="N1420" s="182"/>
      <c r="O1420" s="182"/>
    </row>
    <row r="1421" spans="1:15" x14ac:dyDescent="0.25">
      <c r="A1421" s="180">
        <f t="shared" ca="1" si="218"/>
        <v>47511</v>
      </c>
      <c r="B1421" s="181">
        <v>1407</v>
      </c>
      <c r="C1421" s="182">
        <f t="shared" ca="1" si="222"/>
        <v>70277.314674740919</v>
      </c>
      <c r="D1421" s="182">
        <f t="shared" ca="1" si="219"/>
        <v>46.851543116493943</v>
      </c>
      <c r="E1421" s="182">
        <v>0</v>
      </c>
      <c r="F1421" s="182">
        <f t="shared" ca="1" si="223"/>
        <v>0</v>
      </c>
      <c r="G1421" s="182">
        <f t="shared" ca="1" si="220"/>
        <v>0</v>
      </c>
      <c r="H1421" s="182">
        <f t="shared" ca="1" si="221"/>
        <v>70324.166217857419</v>
      </c>
      <c r="I1421" s="183">
        <v>0</v>
      </c>
      <c r="J1421" s="263">
        <f t="shared" ca="1" si="217"/>
        <v>70324.166217857419</v>
      </c>
      <c r="K1421" s="182"/>
      <c r="L1421" s="182"/>
      <c r="M1421" s="182"/>
      <c r="N1421" s="182"/>
      <c r="O1421" s="182"/>
    </row>
    <row r="1422" spans="1:15" x14ac:dyDescent="0.25">
      <c r="A1422" s="180">
        <f t="shared" ca="1" si="218"/>
        <v>47512</v>
      </c>
      <c r="B1422" s="181">
        <v>1408</v>
      </c>
      <c r="C1422" s="182">
        <f t="shared" ca="1" si="222"/>
        <v>70324.166217857419</v>
      </c>
      <c r="D1422" s="182">
        <f t="shared" ca="1" si="219"/>
        <v>46.882777478571612</v>
      </c>
      <c r="E1422" s="182">
        <v>0</v>
      </c>
      <c r="F1422" s="182">
        <f t="shared" ca="1" si="223"/>
        <v>0</v>
      </c>
      <c r="G1422" s="182">
        <f t="shared" ca="1" si="220"/>
        <v>0</v>
      </c>
      <c r="H1422" s="182">
        <f t="shared" ca="1" si="221"/>
        <v>70371.048995335994</v>
      </c>
      <c r="I1422" s="183">
        <v>0</v>
      </c>
      <c r="J1422" s="263">
        <f t="shared" ca="1" si="217"/>
        <v>70371.048995335994</v>
      </c>
      <c r="K1422" s="182"/>
      <c r="L1422" s="182"/>
      <c r="M1422" s="182"/>
      <c r="N1422" s="182"/>
      <c r="O1422" s="182"/>
    </row>
    <row r="1423" spans="1:15" x14ac:dyDescent="0.25">
      <c r="A1423" s="180">
        <f t="shared" ca="1" si="218"/>
        <v>47513</v>
      </c>
      <c r="B1423" s="181">
        <v>1409</v>
      </c>
      <c r="C1423" s="182">
        <f t="shared" ca="1" si="222"/>
        <v>70371.048995335994</v>
      </c>
      <c r="D1423" s="182">
        <f t="shared" ca="1" si="219"/>
        <v>46.914032663557329</v>
      </c>
      <c r="E1423" s="182">
        <v>0</v>
      </c>
      <c r="F1423" s="182">
        <f t="shared" ca="1" si="223"/>
        <v>0</v>
      </c>
      <c r="G1423" s="182">
        <f t="shared" ca="1" si="220"/>
        <v>0</v>
      </c>
      <c r="H1423" s="182">
        <f t="shared" ca="1" si="221"/>
        <v>70417.963027999547</v>
      </c>
      <c r="I1423" s="183">
        <v>0</v>
      </c>
      <c r="J1423" s="263">
        <f t="shared" ref="J1423:J1486" ca="1" si="224">H1423-IF(I$8-G1423&lt;Q$42,I$8-Q$42,G1423)</f>
        <v>70417.963027999547</v>
      </c>
      <c r="K1423" s="182"/>
      <c r="L1423" s="182"/>
      <c r="M1423" s="182"/>
      <c r="N1423" s="182"/>
      <c r="O1423" s="182"/>
    </row>
    <row r="1424" spans="1:15" x14ac:dyDescent="0.25">
      <c r="A1424" s="180">
        <f t="shared" ca="1" si="218"/>
        <v>47514</v>
      </c>
      <c r="B1424" s="181">
        <v>1410</v>
      </c>
      <c r="C1424" s="182">
        <f t="shared" ca="1" si="222"/>
        <v>70417.963027999547</v>
      </c>
      <c r="D1424" s="182">
        <f t="shared" ca="1" si="219"/>
        <v>46.945308685333032</v>
      </c>
      <c r="E1424" s="182">
        <v>0</v>
      </c>
      <c r="F1424" s="182">
        <f t="shared" ca="1" si="223"/>
        <v>0</v>
      </c>
      <c r="G1424" s="182">
        <f t="shared" ca="1" si="220"/>
        <v>0</v>
      </c>
      <c r="H1424" s="182">
        <f t="shared" ca="1" si="221"/>
        <v>70464.908336684879</v>
      </c>
      <c r="I1424" s="183">
        <v>0</v>
      </c>
      <c r="J1424" s="263">
        <f t="shared" ca="1" si="224"/>
        <v>70464.908336684879</v>
      </c>
      <c r="K1424" s="182"/>
      <c r="L1424" s="182"/>
      <c r="M1424" s="182"/>
      <c r="N1424" s="182"/>
      <c r="O1424" s="182"/>
    </row>
    <row r="1425" spans="1:15" x14ac:dyDescent="0.25">
      <c r="A1425" s="180">
        <f t="shared" ref="A1425:A1488" ca="1" si="225">A1424+1</f>
        <v>47515</v>
      </c>
      <c r="B1425" s="181">
        <v>1411</v>
      </c>
      <c r="C1425" s="182">
        <f t="shared" ca="1" si="222"/>
        <v>70464.908336684879</v>
      </c>
      <c r="D1425" s="182">
        <f t="shared" ref="D1425:D1488" ca="1" si="226">(($C$6/360))*C1425</f>
        <v>46.976605557789917</v>
      </c>
      <c r="E1425" s="182">
        <v>0</v>
      </c>
      <c r="F1425" s="182">
        <f t="shared" ca="1" si="223"/>
        <v>0</v>
      </c>
      <c r="G1425" s="182">
        <f t="shared" ref="G1425:G1488" ca="1" si="227">IF(G1424-D1425-E1425&gt;0,G1424-D1425-E1425,0)</f>
        <v>0</v>
      </c>
      <c r="H1425" s="182">
        <f t="shared" ca="1" si="221"/>
        <v>70511.884942242672</v>
      </c>
      <c r="I1425" s="183">
        <v>0</v>
      </c>
      <c r="J1425" s="263">
        <f t="shared" ca="1" si="224"/>
        <v>70511.884942242672</v>
      </c>
      <c r="K1425" s="182"/>
      <c r="L1425" s="182"/>
      <c r="M1425" s="182"/>
      <c r="N1425" s="182"/>
      <c r="O1425" s="182"/>
    </row>
    <row r="1426" spans="1:15" x14ac:dyDescent="0.25">
      <c r="A1426" s="180">
        <f t="shared" ca="1" si="225"/>
        <v>47516</v>
      </c>
      <c r="B1426" s="181">
        <v>1412</v>
      </c>
      <c r="C1426" s="182">
        <f t="shared" ca="1" si="222"/>
        <v>70511.884942242672</v>
      </c>
      <c r="D1426" s="182">
        <f t="shared" ca="1" si="226"/>
        <v>47.007923294828444</v>
      </c>
      <c r="E1426" s="182">
        <v>0</v>
      </c>
      <c r="F1426" s="182">
        <f t="shared" ca="1" si="223"/>
        <v>0</v>
      </c>
      <c r="G1426" s="182">
        <f t="shared" ca="1" si="227"/>
        <v>0</v>
      </c>
      <c r="H1426" s="182">
        <f t="shared" ca="1" si="221"/>
        <v>70558.892865537506</v>
      </c>
      <c r="I1426" s="183">
        <v>0</v>
      </c>
      <c r="J1426" s="263">
        <f t="shared" ca="1" si="224"/>
        <v>70558.892865537506</v>
      </c>
      <c r="K1426" s="182"/>
      <c r="L1426" s="182"/>
      <c r="M1426" s="182"/>
      <c r="N1426" s="182"/>
      <c r="O1426" s="182"/>
    </row>
    <row r="1427" spans="1:15" x14ac:dyDescent="0.25">
      <c r="A1427" s="180">
        <f t="shared" ca="1" si="225"/>
        <v>47517</v>
      </c>
      <c r="B1427" s="181">
        <v>1413</v>
      </c>
      <c r="C1427" s="182">
        <f t="shared" ca="1" si="222"/>
        <v>70558.892865537506</v>
      </c>
      <c r="D1427" s="182">
        <f t="shared" ca="1" si="226"/>
        <v>47.039261910358334</v>
      </c>
      <c r="E1427" s="182">
        <v>0</v>
      </c>
      <c r="F1427" s="182">
        <f t="shared" ca="1" si="223"/>
        <v>0</v>
      </c>
      <c r="G1427" s="182">
        <f t="shared" ca="1" si="227"/>
        <v>0</v>
      </c>
      <c r="H1427" s="182">
        <f t="shared" ca="1" si="221"/>
        <v>70605.932127447857</v>
      </c>
      <c r="I1427" s="183">
        <v>0</v>
      </c>
      <c r="J1427" s="263">
        <f t="shared" ca="1" si="224"/>
        <v>70605.932127447857</v>
      </c>
      <c r="K1427" s="182"/>
      <c r="L1427" s="182"/>
      <c r="M1427" s="182"/>
      <c r="N1427" s="182"/>
      <c r="O1427" s="182"/>
    </row>
    <row r="1428" spans="1:15" x14ac:dyDescent="0.25">
      <c r="A1428" s="180">
        <f t="shared" ca="1" si="225"/>
        <v>47518</v>
      </c>
      <c r="B1428" s="181">
        <v>1414</v>
      </c>
      <c r="C1428" s="182">
        <f t="shared" ca="1" si="222"/>
        <v>70605.932127447857</v>
      </c>
      <c r="D1428" s="182">
        <f t="shared" ca="1" si="226"/>
        <v>47.070621418298572</v>
      </c>
      <c r="E1428" s="182">
        <v>0</v>
      </c>
      <c r="F1428" s="182">
        <f t="shared" ca="1" si="223"/>
        <v>0</v>
      </c>
      <c r="G1428" s="182">
        <f t="shared" ca="1" si="227"/>
        <v>0</v>
      </c>
      <c r="H1428" s="182">
        <f t="shared" ca="1" si="221"/>
        <v>70653.002748866158</v>
      </c>
      <c r="I1428" s="183">
        <v>0</v>
      </c>
      <c r="J1428" s="263">
        <f t="shared" ca="1" si="224"/>
        <v>70653.002748866158</v>
      </c>
      <c r="K1428" s="182"/>
      <c r="L1428" s="182"/>
      <c r="M1428" s="182"/>
      <c r="N1428" s="182"/>
      <c r="O1428" s="182"/>
    </row>
    <row r="1429" spans="1:15" x14ac:dyDescent="0.25">
      <c r="A1429" s="180">
        <f t="shared" ca="1" si="225"/>
        <v>47519</v>
      </c>
      <c r="B1429" s="181">
        <v>1415</v>
      </c>
      <c r="C1429" s="182">
        <f t="shared" ca="1" si="222"/>
        <v>70653.002748866158</v>
      </c>
      <c r="D1429" s="182">
        <f t="shared" ca="1" si="226"/>
        <v>47.102001832577436</v>
      </c>
      <c r="E1429" s="182">
        <v>0</v>
      </c>
      <c r="F1429" s="182">
        <f t="shared" ca="1" si="223"/>
        <v>0</v>
      </c>
      <c r="G1429" s="182">
        <f t="shared" ca="1" si="227"/>
        <v>0</v>
      </c>
      <c r="H1429" s="182">
        <f t="shared" ca="1" si="221"/>
        <v>70700.104750698738</v>
      </c>
      <c r="I1429" s="183">
        <v>0</v>
      </c>
      <c r="J1429" s="263">
        <f t="shared" ca="1" si="224"/>
        <v>70700.104750698738</v>
      </c>
      <c r="K1429" s="182"/>
      <c r="L1429" s="182"/>
      <c r="M1429" s="182"/>
      <c r="N1429" s="182"/>
      <c r="O1429" s="182"/>
    </row>
    <row r="1430" spans="1:15" x14ac:dyDescent="0.25">
      <c r="A1430" s="180">
        <f t="shared" ca="1" si="225"/>
        <v>47520</v>
      </c>
      <c r="B1430" s="181">
        <v>1416</v>
      </c>
      <c r="C1430" s="182">
        <f t="shared" ca="1" si="222"/>
        <v>70700.104750698738</v>
      </c>
      <c r="D1430" s="182">
        <f t="shared" ca="1" si="226"/>
        <v>47.133403167132492</v>
      </c>
      <c r="E1430" s="182">
        <v>0</v>
      </c>
      <c r="F1430" s="182">
        <f t="shared" ca="1" si="223"/>
        <v>0</v>
      </c>
      <c r="G1430" s="182">
        <f t="shared" ca="1" si="227"/>
        <v>0</v>
      </c>
      <c r="H1430" s="182">
        <f t="shared" ca="1" si="221"/>
        <v>70747.238153865866</v>
      </c>
      <c r="I1430" s="183">
        <v>0</v>
      </c>
      <c r="J1430" s="263">
        <f t="shared" ca="1" si="224"/>
        <v>70747.238153865866</v>
      </c>
      <c r="K1430" s="182"/>
      <c r="L1430" s="182"/>
      <c r="M1430" s="182"/>
      <c r="N1430" s="182"/>
      <c r="O1430" s="182"/>
    </row>
    <row r="1431" spans="1:15" x14ac:dyDescent="0.25">
      <c r="A1431" s="180">
        <f t="shared" ca="1" si="225"/>
        <v>47521</v>
      </c>
      <c r="B1431" s="181">
        <v>1417</v>
      </c>
      <c r="C1431" s="182">
        <f t="shared" ca="1" si="222"/>
        <v>70747.238153865866</v>
      </c>
      <c r="D1431" s="182">
        <f t="shared" ca="1" si="226"/>
        <v>47.164825435910579</v>
      </c>
      <c r="E1431" s="182">
        <v>0</v>
      </c>
      <c r="F1431" s="182">
        <f t="shared" ca="1" si="223"/>
        <v>0</v>
      </c>
      <c r="G1431" s="182">
        <f t="shared" ca="1" si="227"/>
        <v>0</v>
      </c>
      <c r="H1431" s="182">
        <f t="shared" ca="1" si="221"/>
        <v>70794.402979301783</v>
      </c>
      <c r="I1431" s="183">
        <v>0</v>
      </c>
      <c r="J1431" s="263">
        <f t="shared" ca="1" si="224"/>
        <v>70794.402979301783</v>
      </c>
      <c r="K1431" s="182"/>
      <c r="L1431" s="182"/>
      <c r="M1431" s="182"/>
      <c r="N1431" s="182"/>
      <c r="O1431" s="182"/>
    </row>
    <row r="1432" spans="1:15" x14ac:dyDescent="0.25">
      <c r="A1432" s="180">
        <f t="shared" ca="1" si="225"/>
        <v>47522</v>
      </c>
      <c r="B1432" s="181">
        <v>1418</v>
      </c>
      <c r="C1432" s="182">
        <f t="shared" ca="1" si="222"/>
        <v>70794.402979301783</v>
      </c>
      <c r="D1432" s="182">
        <f t="shared" ca="1" si="226"/>
        <v>47.196268652867857</v>
      </c>
      <c r="E1432" s="182">
        <v>0</v>
      </c>
      <c r="F1432" s="182">
        <f t="shared" ca="1" si="223"/>
        <v>0</v>
      </c>
      <c r="G1432" s="182">
        <f t="shared" ca="1" si="227"/>
        <v>0</v>
      </c>
      <c r="H1432" s="182">
        <f t="shared" ca="1" si="221"/>
        <v>70841.599247954655</v>
      </c>
      <c r="I1432" s="183">
        <v>0</v>
      </c>
      <c r="J1432" s="263">
        <f t="shared" ca="1" si="224"/>
        <v>70841.599247954655</v>
      </c>
      <c r="K1432" s="182"/>
      <c r="L1432" s="182"/>
      <c r="M1432" s="182"/>
      <c r="N1432" s="182"/>
      <c r="O1432" s="182"/>
    </row>
    <row r="1433" spans="1:15" x14ac:dyDescent="0.25">
      <c r="A1433" s="180">
        <f t="shared" ca="1" si="225"/>
        <v>47523</v>
      </c>
      <c r="B1433" s="181">
        <v>1419</v>
      </c>
      <c r="C1433" s="182">
        <f t="shared" ca="1" si="222"/>
        <v>70841.599247954655</v>
      </c>
      <c r="D1433" s="182">
        <f t="shared" ca="1" si="226"/>
        <v>47.227732831969767</v>
      </c>
      <c r="E1433" s="182">
        <v>0</v>
      </c>
      <c r="F1433" s="182">
        <f t="shared" ca="1" si="223"/>
        <v>0</v>
      </c>
      <c r="G1433" s="182">
        <f t="shared" ca="1" si="227"/>
        <v>0</v>
      </c>
      <c r="H1433" s="182">
        <f t="shared" ca="1" si="221"/>
        <v>70888.826980786631</v>
      </c>
      <c r="I1433" s="183">
        <v>0</v>
      </c>
      <c r="J1433" s="263">
        <f t="shared" ca="1" si="224"/>
        <v>70888.826980786631</v>
      </c>
      <c r="K1433" s="182"/>
      <c r="L1433" s="182"/>
      <c r="M1433" s="182"/>
      <c r="N1433" s="182"/>
      <c r="O1433" s="182"/>
    </row>
    <row r="1434" spans="1:15" x14ac:dyDescent="0.25">
      <c r="A1434" s="180">
        <f t="shared" ca="1" si="225"/>
        <v>47524</v>
      </c>
      <c r="B1434" s="181">
        <v>1420</v>
      </c>
      <c r="C1434" s="182">
        <f t="shared" ca="1" si="222"/>
        <v>70888.826980786631</v>
      </c>
      <c r="D1434" s="182">
        <f t="shared" ca="1" si="226"/>
        <v>47.259217987191086</v>
      </c>
      <c r="E1434" s="182">
        <v>0</v>
      </c>
      <c r="F1434" s="182">
        <f t="shared" ca="1" si="223"/>
        <v>0</v>
      </c>
      <c r="G1434" s="182">
        <f t="shared" ca="1" si="227"/>
        <v>0</v>
      </c>
      <c r="H1434" s="182">
        <f t="shared" ca="1" si="221"/>
        <v>70936.086198773817</v>
      </c>
      <c r="I1434" s="183">
        <v>0</v>
      </c>
      <c r="J1434" s="263">
        <f t="shared" ca="1" si="224"/>
        <v>70936.086198773817</v>
      </c>
      <c r="K1434" s="182"/>
      <c r="L1434" s="182"/>
      <c r="M1434" s="182"/>
      <c r="N1434" s="182"/>
      <c r="O1434" s="182"/>
    </row>
    <row r="1435" spans="1:15" x14ac:dyDescent="0.25">
      <c r="A1435" s="180">
        <f t="shared" ca="1" si="225"/>
        <v>47525</v>
      </c>
      <c r="B1435" s="181">
        <v>1421</v>
      </c>
      <c r="C1435" s="182">
        <f t="shared" ca="1" si="222"/>
        <v>70936.086198773817</v>
      </c>
      <c r="D1435" s="182">
        <f t="shared" ca="1" si="226"/>
        <v>47.290724132515876</v>
      </c>
      <c r="E1435" s="182">
        <v>0</v>
      </c>
      <c r="F1435" s="182">
        <f t="shared" ca="1" si="223"/>
        <v>0</v>
      </c>
      <c r="G1435" s="182">
        <f t="shared" ca="1" si="227"/>
        <v>0</v>
      </c>
      <c r="H1435" s="182">
        <f t="shared" ca="1" si="221"/>
        <v>70983.376922906333</v>
      </c>
      <c r="I1435" s="183">
        <v>0</v>
      </c>
      <c r="J1435" s="263">
        <f t="shared" ca="1" si="224"/>
        <v>70983.376922906333</v>
      </c>
      <c r="K1435" s="182"/>
      <c r="L1435" s="182"/>
      <c r="M1435" s="182"/>
      <c r="N1435" s="182"/>
      <c r="O1435" s="182"/>
    </row>
    <row r="1436" spans="1:15" x14ac:dyDescent="0.25">
      <c r="A1436" s="180">
        <f t="shared" ca="1" si="225"/>
        <v>47526</v>
      </c>
      <c r="B1436" s="181">
        <v>1422</v>
      </c>
      <c r="C1436" s="182">
        <f t="shared" ca="1" si="222"/>
        <v>70983.376922906333</v>
      </c>
      <c r="D1436" s="182">
        <f t="shared" ca="1" si="226"/>
        <v>47.322251281937554</v>
      </c>
      <c r="E1436" s="182">
        <v>0</v>
      </c>
      <c r="F1436" s="182">
        <f t="shared" ca="1" si="223"/>
        <v>0</v>
      </c>
      <c r="G1436" s="182">
        <f t="shared" ca="1" si="227"/>
        <v>0</v>
      </c>
      <c r="H1436" s="182">
        <f t="shared" ca="1" si="221"/>
        <v>71030.699174188267</v>
      </c>
      <c r="I1436" s="183">
        <v>0</v>
      </c>
      <c r="J1436" s="263">
        <f t="shared" ca="1" si="224"/>
        <v>71030.699174188267</v>
      </c>
      <c r="K1436" s="182"/>
      <c r="L1436" s="182"/>
      <c r="M1436" s="182"/>
      <c r="N1436" s="182"/>
      <c r="O1436" s="182"/>
    </row>
    <row r="1437" spans="1:15" x14ac:dyDescent="0.25">
      <c r="A1437" s="180">
        <f t="shared" ca="1" si="225"/>
        <v>47527</v>
      </c>
      <c r="B1437" s="181">
        <v>1423</v>
      </c>
      <c r="C1437" s="182">
        <f t="shared" ca="1" si="222"/>
        <v>71030.699174188267</v>
      </c>
      <c r="D1437" s="182">
        <f t="shared" ca="1" si="226"/>
        <v>47.35379944945884</v>
      </c>
      <c r="E1437" s="182">
        <v>0</v>
      </c>
      <c r="F1437" s="182">
        <f t="shared" ca="1" si="223"/>
        <v>0</v>
      </c>
      <c r="G1437" s="182">
        <f t="shared" ca="1" si="227"/>
        <v>0</v>
      </c>
      <c r="H1437" s="182">
        <f t="shared" ca="1" si="221"/>
        <v>71078.052973637721</v>
      </c>
      <c r="I1437" s="183">
        <v>0</v>
      </c>
      <c r="J1437" s="263">
        <f t="shared" ca="1" si="224"/>
        <v>71078.052973637721</v>
      </c>
      <c r="K1437" s="182"/>
      <c r="L1437" s="182"/>
      <c r="M1437" s="182"/>
      <c r="N1437" s="182"/>
      <c r="O1437" s="182"/>
    </row>
    <row r="1438" spans="1:15" x14ac:dyDescent="0.25">
      <c r="A1438" s="180">
        <f t="shared" ca="1" si="225"/>
        <v>47528</v>
      </c>
      <c r="B1438" s="181">
        <v>1424</v>
      </c>
      <c r="C1438" s="182">
        <f t="shared" ca="1" si="222"/>
        <v>71078.052973637721</v>
      </c>
      <c r="D1438" s="182">
        <f t="shared" ca="1" si="226"/>
        <v>47.385368649091809</v>
      </c>
      <c r="E1438" s="182">
        <v>0</v>
      </c>
      <c r="F1438" s="182">
        <f t="shared" ca="1" si="223"/>
        <v>0</v>
      </c>
      <c r="G1438" s="182">
        <f t="shared" ca="1" si="227"/>
        <v>0</v>
      </c>
      <c r="H1438" s="182">
        <f t="shared" ca="1" si="221"/>
        <v>71125.438342286812</v>
      </c>
      <c r="I1438" s="183">
        <v>0</v>
      </c>
      <c r="J1438" s="263">
        <f t="shared" ca="1" si="224"/>
        <v>71125.438342286812</v>
      </c>
      <c r="K1438" s="182"/>
      <c r="L1438" s="182"/>
      <c r="M1438" s="182"/>
      <c r="N1438" s="182"/>
      <c r="O1438" s="182"/>
    </row>
    <row r="1439" spans="1:15" x14ac:dyDescent="0.25">
      <c r="A1439" s="180">
        <f t="shared" ca="1" si="225"/>
        <v>47529</v>
      </c>
      <c r="B1439" s="181">
        <v>1425</v>
      </c>
      <c r="C1439" s="182">
        <f t="shared" ca="1" si="222"/>
        <v>71125.438342286812</v>
      </c>
      <c r="D1439" s="182">
        <f t="shared" ca="1" si="226"/>
        <v>47.416958894857871</v>
      </c>
      <c r="E1439" s="182">
        <v>0</v>
      </c>
      <c r="F1439" s="182">
        <f t="shared" ca="1" si="223"/>
        <v>0</v>
      </c>
      <c r="G1439" s="182">
        <f t="shared" ca="1" si="227"/>
        <v>0</v>
      </c>
      <c r="H1439" s="182">
        <f t="shared" ca="1" si="221"/>
        <v>71172.855301181669</v>
      </c>
      <c r="I1439" s="183">
        <v>0</v>
      </c>
      <c r="J1439" s="263">
        <f t="shared" ca="1" si="224"/>
        <v>71172.855301181669</v>
      </c>
      <c r="K1439" s="182"/>
      <c r="L1439" s="182"/>
      <c r="M1439" s="182"/>
      <c r="N1439" s="182"/>
      <c r="O1439" s="182"/>
    </row>
    <row r="1440" spans="1:15" x14ac:dyDescent="0.25">
      <c r="A1440" s="180">
        <f t="shared" ca="1" si="225"/>
        <v>47530</v>
      </c>
      <c r="B1440" s="181">
        <v>1426</v>
      </c>
      <c r="C1440" s="182">
        <f t="shared" ca="1" si="222"/>
        <v>71172.855301181669</v>
      </c>
      <c r="D1440" s="182">
        <f t="shared" ca="1" si="226"/>
        <v>47.448570200787778</v>
      </c>
      <c r="E1440" s="182">
        <v>0</v>
      </c>
      <c r="F1440" s="182">
        <f t="shared" ca="1" si="223"/>
        <v>0</v>
      </c>
      <c r="G1440" s="182">
        <f t="shared" ca="1" si="227"/>
        <v>0</v>
      </c>
      <c r="H1440" s="182">
        <f t="shared" ca="1" si="221"/>
        <v>71220.30387138245</v>
      </c>
      <c r="I1440" s="183">
        <v>0</v>
      </c>
      <c r="J1440" s="263">
        <f t="shared" ca="1" si="224"/>
        <v>71220.30387138245</v>
      </c>
      <c r="K1440" s="182"/>
      <c r="L1440" s="182"/>
      <c r="M1440" s="182"/>
      <c r="N1440" s="182"/>
      <c r="O1440" s="182"/>
    </row>
    <row r="1441" spans="1:15" x14ac:dyDescent="0.25">
      <c r="A1441" s="180">
        <f t="shared" ca="1" si="225"/>
        <v>47531</v>
      </c>
      <c r="B1441" s="181">
        <v>1427</v>
      </c>
      <c r="C1441" s="182">
        <f t="shared" ca="1" si="222"/>
        <v>71220.30387138245</v>
      </c>
      <c r="D1441" s="182">
        <f t="shared" ca="1" si="226"/>
        <v>47.480202580921635</v>
      </c>
      <c r="E1441" s="182">
        <v>0</v>
      </c>
      <c r="F1441" s="182">
        <f t="shared" ca="1" si="223"/>
        <v>0</v>
      </c>
      <c r="G1441" s="182">
        <f t="shared" ca="1" si="227"/>
        <v>0</v>
      </c>
      <c r="H1441" s="182">
        <f t="shared" ca="1" si="221"/>
        <v>71267.784073963368</v>
      </c>
      <c r="I1441" s="183">
        <v>0</v>
      </c>
      <c r="J1441" s="263">
        <f t="shared" ca="1" si="224"/>
        <v>71267.784073963368</v>
      </c>
      <c r="K1441" s="182"/>
      <c r="L1441" s="182"/>
      <c r="M1441" s="182"/>
      <c r="N1441" s="182"/>
      <c r="O1441" s="182"/>
    </row>
    <row r="1442" spans="1:15" x14ac:dyDescent="0.25">
      <c r="A1442" s="180">
        <f t="shared" ca="1" si="225"/>
        <v>47532</v>
      </c>
      <c r="B1442" s="181">
        <v>1428</v>
      </c>
      <c r="C1442" s="182">
        <f t="shared" ca="1" si="222"/>
        <v>71267.784073963368</v>
      </c>
      <c r="D1442" s="182">
        <f t="shared" ca="1" si="226"/>
        <v>47.511856049308911</v>
      </c>
      <c r="E1442" s="182">
        <v>0</v>
      </c>
      <c r="F1442" s="182">
        <f t="shared" ca="1" si="223"/>
        <v>0</v>
      </c>
      <c r="G1442" s="182">
        <f t="shared" ca="1" si="227"/>
        <v>0</v>
      </c>
      <c r="H1442" s="182">
        <f t="shared" ca="1" si="221"/>
        <v>71315.295930012682</v>
      </c>
      <c r="I1442" s="183">
        <v>0</v>
      </c>
      <c r="J1442" s="263">
        <f t="shared" ca="1" si="224"/>
        <v>71315.295930012682</v>
      </c>
      <c r="K1442" s="182"/>
      <c r="L1442" s="182"/>
      <c r="M1442" s="182"/>
      <c r="N1442" s="182"/>
      <c r="O1442" s="182"/>
    </row>
    <row r="1443" spans="1:15" x14ac:dyDescent="0.25">
      <c r="A1443" s="180">
        <f t="shared" ca="1" si="225"/>
        <v>47533</v>
      </c>
      <c r="B1443" s="181">
        <v>1429</v>
      </c>
      <c r="C1443" s="182">
        <f t="shared" ca="1" si="222"/>
        <v>71315.295930012682</v>
      </c>
      <c r="D1443" s="182">
        <f t="shared" ca="1" si="226"/>
        <v>47.543530620008454</v>
      </c>
      <c r="E1443" s="182">
        <v>0</v>
      </c>
      <c r="F1443" s="182">
        <f t="shared" ca="1" si="223"/>
        <v>0</v>
      </c>
      <c r="G1443" s="182">
        <f t="shared" ca="1" si="227"/>
        <v>0</v>
      </c>
      <c r="H1443" s="182">
        <f t="shared" ref="H1443:H1506" ca="1" si="228">IF(G1443&gt;0,C1443+F1443+I1443,SUM(C1443:F1443)-G1442)</f>
        <v>71362.839460632691</v>
      </c>
      <c r="I1443" s="183">
        <v>0</v>
      </c>
      <c r="J1443" s="263">
        <f t="shared" ca="1" si="224"/>
        <v>71362.839460632691</v>
      </c>
      <c r="K1443" s="182"/>
      <c r="L1443" s="182"/>
      <c r="M1443" s="182"/>
      <c r="N1443" s="182"/>
      <c r="O1443" s="182"/>
    </row>
    <row r="1444" spans="1:15" x14ac:dyDescent="0.25">
      <c r="A1444" s="180">
        <f t="shared" ca="1" si="225"/>
        <v>47534</v>
      </c>
      <c r="B1444" s="181">
        <v>1430</v>
      </c>
      <c r="C1444" s="182">
        <f t="shared" ca="1" si="222"/>
        <v>71362.839460632691</v>
      </c>
      <c r="D1444" s="182">
        <f t="shared" ca="1" si="226"/>
        <v>47.575226307088457</v>
      </c>
      <c r="E1444" s="182">
        <v>0</v>
      </c>
      <c r="F1444" s="182">
        <f t="shared" ca="1" si="223"/>
        <v>0</v>
      </c>
      <c r="G1444" s="182">
        <f t="shared" ca="1" si="227"/>
        <v>0</v>
      </c>
      <c r="H1444" s="182">
        <f t="shared" ca="1" si="228"/>
        <v>71410.414686939781</v>
      </c>
      <c r="I1444" s="183">
        <v>0</v>
      </c>
      <c r="J1444" s="263">
        <f t="shared" ca="1" si="224"/>
        <v>71410.414686939781</v>
      </c>
      <c r="K1444" s="182"/>
      <c r="L1444" s="182"/>
      <c r="M1444" s="182"/>
      <c r="N1444" s="182"/>
      <c r="O1444" s="182"/>
    </row>
    <row r="1445" spans="1:15" x14ac:dyDescent="0.25">
      <c r="A1445" s="180">
        <f t="shared" ca="1" si="225"/>
        <v>47535</v>
      </c>
      <c r="B1445" s="181">
        <v>1431</v>
      </c>
      <c r="C1445" s="182">
        <f t="shared" ca="1" si="222"/>
        <v>71410.414686939781</v>
      </c>
      <c r="D1445" s="182">
        <f t="shared" ca="1" si="226"/>
        <v>47.606943124626518</v>
      </c>
      <c r="E1445" s="182">
        <v>0</v>
      </c>
      <c r="F1445" s="182">
        <f t="shared" ca="1" si="223"/>
        <v>0</v>
      </c>
      <c r="G1445" s="182">
        <f t="shared" ca="1" si="227"/>
        <v>0</v>
      </c>
      <c r="H1445" s="182">
        <f t="shared" ca="1" si="228"/>
        <v>71458.02163006441</v>
      </c>
      <c r="I1445" s="183">
        <v>0</v>
      </c>
      <c r="J1445" s="263">
        <f t="shared" ca="1" si="224"/>
        <v>71458.02163006441</v>
      </c>
      <c r="K1445" s="182"/>
      <c r="L1445" s="182"/>
      <c r="M1445" s="182"/>
      <c r="N1445" s="182"/>
      <c r="O1445" s="182"/>
    </row>
    <row r="1446" spans="1:15" x14ac:dyDescent="0.25">
      <c r="A1446" s="180">
        <f t="shared" ca="1" si="225"/>
        <v>47536</v>
      </c>
      <c r="B1446" s="181">
        <v>1432</v>
      </c>
      <c r="C1446" s="182">
        <f t="shared" ca="1" si="222"/>
        <v>71458.02163006441</v>
      </c>
      <c r="D1446" s="182">
        <f t="shared" ca="1" si="226"/>
        <v>47.638681086709603</v>
      </c>
      <c r="E1446" s="182">
        <v>0</v>
      </c>
      <c r="F1446" s="182">
        <f t="shared" ca="1" si="223"/>
        <v>0</v>
      </c>
      <c r="G1446" s="182">
        <f t="shared" ca="1" si="227"/>
        <v>0</v>
      </c>
      <c r="H1446" s="182">
        <f t="shared" ca="1" si="228"/>
        <v>71505.660311151121</v>
      </c>
      <c r="I1446" s="183">
        <v>0</v>
      </c>
      <c r="J1446" s="263">
        <f t="shared" ca="1" si="224"/>
        <v>71505.660311151121</v>
      </c>
      <c r="K1446" s="182"/>
      <c r="L1446" s="182"/>
      <c r="M1446" s="182"/>
      <c r="N1446" s="182"/>
      <c r="O1446" s="182"/>
    </row>
    <row r="1447" spans="1:15" x14ac:dyDescent="0.25">
      <c r="A1447" s="180">
        <f t="shared" ca="1" si="225"/>
        <v>47537</v>
      </c>
      <c r="B1447" s="181">
        <v>1433</v>
      </c>
      <c r="C1447" s="182">
        <f t="shared" ca="1" si="222"/>
        <v>71505.660311151121</v>
      </c>
      <c r="D1447" s="182">
        <f t="shared" ca="1" si="226"/>
        <v>47.670440207434076</v>
      </c>
      <c r="E1447" s="182">
        <v>0</v>
      </c>
      <c r="F1447" s="182">
        <f t="shared" ca="1" si="223"/>
        <v>0</v>
      </c>
      <c r="G1447" s="182">
        <f t="shared" ca="1" si="227"/>
        <v>0</v>
      </c>
      <c r="H1447" s="182">
        <f t="shared" ca="1" si="228"/>
        <v>71553.330751358561</v>
      </c>
      <c r="I1447" s="183">
        <v>0</v>
      </c>
      <c r="J1447" s="263">
        <f t="shared" ca="1" si="224"/>
        <v>71553.330751358561</v>
      </c>
      <c r="K1447" s="182"/>
      <c r="L1447" s="182"/>
      <c r="M1447" s="182"/>
      <c r="N1447" s="182"/>
      <c r="O1447" s="182"/>
    </row>
    <row r="1448" spans="1:15" x14ac:dyDescent="0.25">
      <c r="A1448" s="180">
        <f t="shared" ca="1" si="225"/>
        <v>47538</v>
      </c>
      <c r="B1448" s="181">
        <v>1434</v>
      </c>
      <c r="C1448" s="182">
        <f t="shared" ca="1" si="222"/>
        <v>71553.330751358561</v>
      </c>
      <c r="D1448" s="182">
        <f t="shared" ca="1" si="226"/>
        <v>47.702220500905703</v>
      </c>
      <c r="E1448" s="182">
        <v>0</v>
      </c>
      <c r="F1448" s="182">
        <f t="shared" ca="1" si="223"/>
        <v>0</v>
      </c>
      <c r="G1448" s="182">
        <f t="shared" ca="1" si="227"/>
        <v>0</v>
      </c>
      <c r="H1448" s="182">
        <f t="shared" ca="1" si="228"/>
        <v>71601.032971859473</v>
      </c>
      <c r="I1448" s="183">
        <v>0</v>
      </c>
      <c r="J1448" s="263">
        <f t="shared" ca="1" si="224"/>
        <v>71601.032971859473</v>
      </c>
      <c r="K1448" s="182"/>
      <c r="L1448" s="182"/>
      <c r="M1448" s="182"/>
      <c r="N1448" s="182"/>
      <c r="O1448" s="182"/>
    </row>
    <row r="1449" spans="1:15" x14ac:dyDescent="0.25">
      <c r="A1449" s="180">
        <f t="shared" ca="1" si="225"/>
        <v>47539</v>
      </c>
      <c r="B1449" s="181">
        <v>1435</v>
      </c>
      <c r="C1449" s="182">
        <f t="shared" ca="1" si="222"/>
        <v>71601.032971859473</v>
      </c>
      <c r="D1449" s="182">
        <f t="shared" ca="1" si="226"/>
        <v>47.73402198123965</v>
      </c>
      <c r="E1449" s="182">
        <v>0</v>
      </c>
      <c r="F1449" s="182">
        <f t="shared" ca="1" si="223"/>
        <v>0</v>
      </c>
      <c r="G1449" s="182">
        <f t="shared" ca="1" si="227"/>
        <v>0</v>
      </c>
      <c r="H1449" s="182">
        <f t="shared" ca="1" si="228"/>
        <v>71648.76699384072</v>
      </c>
      <c r="I1449" s="183">
        <v>0</v>
      </c>
      <c r="J1449" s="263">
        <f t="shared" ca="1" si="224"/>
        <v>71648.76699384072</v>
      </c>
      <c r="K1449" s="182"/>
      <c r="L1449" s="182"/>
      <c r="M1449" s="182"/>
      <c r="N1449" s="182"/>
      <c r="O1449" s="182"/>
    </row>
    <row r="1450" spans="1:15" x14ac:dyDescent="0.25">
      <c r="A1450" s="180">
        <f t="shared" ca="1" si="225"/>
        <v>47540</v>
      </c>
      <c r="B1450" s="181">
        <v>1436</v>
      </c>
      <c r="C1450" s="182">
        <f t="shared" ca="1" si="222"/>
        <v>71648.76699384072</v>
      </c>
      <c r="D1450" s="182">
        <f t="shared" ca="1" si="226"/>
        <v>47.765844662560475</v>
      </c>
      <c r="E1450" s="182">
        <v>0</v>
      </c>
      <c r="F1450" s="182">
        <f t="shared" ca="1" si="223"/>
        <v>0</v>
      </c>
      <c r="G1450" s="182">
        <f t="shared" ca="1" si="227"/>
        <v>0</v>
      </c>
      <c r="H1450" s="182">
        <f t="shared" ca="1" si="228"/>
        <v>71696.532838503277</v>
      </c>
      <c r="I1450" s="183">
        <v>0</v>
      </c>
      <c r="J1450" s="263">
        <f t="shared" ca="1" si="224"/>
        <v>71696.532838503277</v>
      </c>
      <c r="K1450" s="182"/>
      <c r="L1450" s="182"/>
      <c r="M1450" s="182"/>
      <c r="N1450" s="182"/>
      <c r="O1450" s="182"/>
    </row>
    <row r="1451" spans="1:15" x14ac:dyDescent="0.25">
      <c r="A1451" s="180">
        <f t="shared" ca="1" si="225"/>
        <v>47541</v>
      </c>
      <c r="B1451" s="181">
        <v>1437</v>
      </c>
      <c r="C1451" s="182">
        <f t="shared" ref="C1451:C1514" ca="1" si="229">H1450</f>
        <v>71696.532838503277</v>
      </c>
      <c r="D1451" s="182">
        <f t="shared" ca="1" si="226"/>
        <v>47.797688559002182</v>
      </c>
      <c r="E1451" s="182">
        <v>0</v>
      </c>
      <c r="F1451" s="182">
        <f t="shared" ca="1" si="223"/>
        <v>0</v>
      </c>
      <c r="G1451" s="182">
        <f t="shared" ca="1" si="227"/>
        <v>0</v>
      </c>
      <c r="H1451" s="182">
        <f t="shared" ca="1" si="228"/>
        <v>71744.33052706228</v>
      </c>
      <c r="I1451" s="183">
        <v>0</v>
      </c>
      <c r="J1451" s="263">
        <f t="shared" ca="1" si="224"/>
        <v>71744.33052706228</v>
      </c>
      <c r="K1451" s="182"/>
      <c r="L1451" s="182"/>
      <c r="M1451" s="182"/>
      <c r="N1451" s="182"/>
      <c r="O1451" s="182"/>
    </row>
    <row r="1452" spans="1:15" x14ac:dyDescent="0.25">
      <c r="A1452" s="180">
        <f t="shared" ca="1" si="225"/>
        <v>47542</v>
      </c>
      <c r="B1452" s="181">
        <v>1438</v>
      </c>
      <c r="C1452" s="182">
        <f t="shared" ca="1" si="229"/>
        <v>71744.33052706228</v>
      </c>
      <c r="D1452" s="182">
        <f t="shared" ca="1" si="226"/>
        <v>47.829553684708188</v>
      </c>
      <c r="E1452" s="182">
        <v>0</v>
      </c>
      <c r="F1452" s="182">
        <f t="shared" ref="F1452:F1515" ca="1" si="230">IFERROR(-VLOOKUP(A1452,$P$4:$R$31,2,FALSE),0)</f>
        <v>0</v>
      </c>
      <c r="G1452" s="182">
        <f t="shared" ca="1" si="227"/>
        <v>0</v>
      </c>
      <c r="H1452" s="182">
        <f t="shared" ca="1" si="228"/>
        <v>71792.160080746995</v>
      </c>
      <c r="I1452" s="183">
        <v>0</v>
      </c>
      <c r="J1452" s="263">
        <f t="shared" ca="1" si="224"/>
        <v>71792.160080746995</v>
      </c>
      <c r="K1452" s="182"/>
      <c r="L1452" s="182"/>
      <c r="M1452" s="182"/>
      <c r="N1452" s="182"/>
      <c r="O1452" s="182"/>
    </row>
    <row r="1453" spans="1:15" x14ac:dyDescent="0.25">
      <c r="A1453" s="180">
        <f t="shared" ca="1" si="225"/>
        <v>47543</v>
      </c>
      <c r="B1453" s="181">
        <v>1439</v>
      </c>
      <c r="C1453" s="182">
        <f t="shared" ca="1" si="229"/>
        <v>71792.160080746995</v>
      </c>
      <c r="D1453" s="182">
        <f t="shared" ca="1" si="226"/>
        <v>47.86144005383133</v>
      </c>
      <c r="E1453" s="182">
        <v>0</v>
      </c>
      <c r="F1453" s="182">
        <f t="shared" ca="1" si="230"/>
        <v>0</v>
      </c>
      <c r="G1453" s="182">
        <f t="shared" ca="1" si="227"/>
        <v>0</v>
      </c>
      <c r="H1453" s="182">
        <f t="shared" ca="1" si="228"/>
        <v>71840.02152080083</v>
      </c>
      <c r="I1453" s="183">
        <v>0</v>
      </c>
      <c r="J1453" s="263">
        <f t="shared" ca="1" si="224"/>
        <v>71840.02152080083</v>
      </c>
      <c r="K1453" s="182"/>
      <c r="L1453" s="182"/>
      <c r="M1453" s="182"/>
      <c r="N1453" s="182"/>
      <c r="O1453" s="182"/>
    </row>
    <row r="1454" spans="1:15" x14ac:dyDescent="0.25">
      <c r="A1454" s="180">
        <f t="shared" ca="1" si="225"/>
        <v>47544</v>
      </c>
      <c r="B1454" s="181">
        <v>1440</v>
      </c>
      <c r="C1454" s="182">
        <f t="shared" ca="1" si="229"/>
        <v>71840.02152080083</v>
      </c>
      <c r="D1454" s="182">
        <f t="shared" ca="1" si="226"/>
        <v>47.893347680533886</v>
      </c>
      <c r="E1454" s="182">
        <v>0</v>
      </c>
      <c r="F1454" s="182">
        <f t="shared" ca="1" si="230"/>
        <v>0</v>
      </c>
      <c r="G1454" s="182">
        <f t="shared" ca="1" si="227"/>
        <v>0</v>
      </c>
      <c r="H1454" s="182">
        <f t="shared" ca="1" si="228"/>
        <v>71887.91486848137</v>
      </c>
      <c r="I1454" s="183">
        <v>0</v>
      </c>
      <c r="J1454" s="263">
        <f t="shared" ca="1" si="224"/>
        <v>71887.91486848137</v>
      </c>
      <c r="K1454" s="182"/>
      <c r="L1454" s="182"/>
      <c r="M1454" s="182"/>
      <c r="N1454" s="182"/>
      <c r="O1454" s="182"/>
    </row>
    <row r="1455" spans="1:15" x14ac:dyDescent="0.25">
      <c r="A1455" s="180">
        <f t="shared" ca="1" si="225"/>
        <v>47545</v>
      </c>
      <c r="B1455" s="181">
        <v>1441</v>
      </c>
      <c r="C1455" s="182">
        <f t="shared" ca="1" si="229"/>
        <v>71887.91486848137</v>
      </c>
      <c r="D1455" s="182">
        <f t="shared" ca="1" si="226"/>
        <v>47.925276578987578</v>
      </c>
      <c r="E1455" s="182">
        <v>0</v>
      </c>
      <c r="F1455" s="182">
        <f t="shared" ca="1" si="230"/>
        <v>0</v>
      </c>
      <c r="G1455" s="182">
        <f t="shared" ca="1" si="227"/>
        <v>0</v>
      </c>
      <c r="H1455" s="182">
        <f t="shared" ca="1" si="228"/>
        <v>71935.840145060356</v>
      </c>
      <c r="I1455" s="183">
        <v>0</v>
      </c>
      <c r="J1455" s="263">
        <f t="shared" ca="1" si="224"/>
        <v>71935.840145060356</v>
      </c>
      <c r="K1455" s="182"/>
      <c r="L1455" s="182"/>
      <c r="M1455" s="182"/>
      <c r="N1455" s="182"/>
      <c r="O1455" s="182"/>
    </row>
    <row r="1456" spans="1:15" x14ac:dyDescent="0.25">
      <c r="A1456" s="180">
        <f t="shared" ca="1" si="225"/>
        <v>47546</v>
      </c>
      <c r="B1456" s="181">
        <v>1442</v>
      </c>
      <c r="C1456" s="182">
        <f t="shared" ca="1" si="229"/>
        <v>71935.840145060356</v>
      </c>
      <c r="D1456" s="182">
        <f t="shared" ca="1" si="226"/>
        <v>47.957226763373569</v>
      </c>
      <c r="E1456" s="182">
        <v>0</v>
      </c>
      <c r="F1456" s="182">
        <f t="shared" ca="1" si="230"/>
        <v>0</v>
      </c>
      <c r="G1456" s="182">
        <f t="shared" ca="1" si="227"/>
        <v>0</v>
      </c>
      <c r="H1456" s="182">
        <f t="shared" ca="1" si="228"/>
        <v>71983.797371823734</v>
      </c>
      <c r="I1456" s="183">
        <v>0</v>
      </c>
      <c r="J1456" s="263">
        <f t="shared" ca="1" si="224"/>
        <v>71983.797371823734</v>
      </c>
      <c r="K1456" s="182"/>
      <c r="L1456" s="182"/>
      <c r="M1456" s="182"/>
      <c r="N1456" s="182"/>
      <c r="O1456" s="182"/>
    </row>
    <row r="1457" spans="1:15" x14ac:dyDescent="0.25">
      <c r="A1457" s="180">
        <f t="shared" ca="1" si="225"/>
        <v>47547</v>
      </c>
      <c r="B1457" s="181">
        <v>1443</v>
      </c>
      <c r="C1457" s="182">
        <f t="shared" ca="1" si="229"/>
        <v>71983.797371823734</v>
      </c>
      <c r="D1457" s="182">
        <f t="shared" ca="1" si="226"/>
        <v>47.989198247882484</v>
      </c>
      <c r="E1457" s="182">
        <v>0</v>
      </c>
      <c r="F1457" s="182">
        <f t="shared" ca="1" si="230"/>
        <v>0</v>
      </c>
      <c r="G1457" s="182">
        <f t="shared" ca="1" si="227"/>
        <v>0</v>
      </c>
      <c r="H1457" s="182">
        <f t="shared" ca="1" si="228"/>
        <v>72031.786570071621</v>
      </c>
      <c r="I1457" s="183">
        <v>0</v>
      </c>
      <c r="J1457" s="263">
        <f t="shared" ca="1" si="224"/>
        <v>72031.786570071621</v>
      </c>
      <c r="K1457" s="182"/>
      <c r="L1457" s="182"/>
      <c r="M1457" s="182"/>
      <c r="N1457" s="182"/>
      <c r="O1457" s="182"/>
    </row>
    <row r="1458" spans="1:15" x14ac:dyDescent="0.25">
      <c r="A1458" s="180">
        <f t="shared" ca="1" si="225"/>
        <v>47548</v>
      </c>
      <c r="B1458" s="181">
        <v>1444</v>
      </c>
      <c r="C1458" s="182">
        <f t="shared" ca="1" si="229"/>
        <v>72031.786570071621</v>
      </c>
      <c r="D1458" s="182">
        <f t="shared" ca="1" si="226"/>
        <v>48.021191046714414</v>
      </c>
      <c r="E1458" s="182">
        <v>0</v>
      </c>
      <c r="F1458" s="182">
        <f t="shared" ca="1" si="230"/>
        <v>0</v>
      </c>
      <c r="G1458" s="182">
        <f t="shared" ca="1" si="227"/>
        <v>0</v>
      </c>
      <c r="H1458" s="182">
        <f t="shared" ca="1" si="228"/>
        <v>72079.80776111834</v>
      </c>
      <c r="I1458" s="183">
        <v>0</v>
      </c>
      <c r="J1458" s="263">
        <f t="shared" ca="1" si="224"/>
        <v>72079.80776111834</v>
      </c>
      <c r="K1458" s="182"/>
      <c r="L1458" s="182"/>
      <c r="M1458" s="182"/>
      <c r="N1458" s="182"/>
      <c r="O1458" s="182"/>
    </row>
    <row r="1459" spans="1:15" x14ac:dyDescent="0.25">
      <c r="A1459" s="180">
        <f t="shared" ca="1" si="225"/>
        <v>47549</v>
      </c>
      <c r="B1459" s="181">
        <v>1445</v>
      </c>
      <c r="C1459" s="182">
        <f t="shared" ca="1" si="229"/>
        <v>72079.80776111834</v>
      </c>
      <c r="D1459" s="182">
        <f t="shared" ca="1" si="226"/>
        <v>48.05320517407889</v>
      </c>
      <c r="E1459" s="182">
        <v>0</v>
      </c>
      <c r="F1459" s="182">
        <f t="shared" ca="1" si="230"/>
        <v>0</v>
      </c>
      <c r="G1459" s="182">
        <f t="shared" ca="1" si="227"/>
        <v>0</v>
      </c>
      <c r="H1459" s="182">
        <f t="shared" ca="1" si="228"/>
        <v>72127.860966292414</v>
      </c>
      <c r="I1459" s="183">
        <v>0</v>
      </c>
      <c r="J1459" s="263">
        <f t="shared" ca="1" si="224"/>
        <v>72127.860966292414</v>
      </c>
      <c r="K1459" s="182"/>
      <c r="L1459" s="182"/>
      <c r="M1459" s="182"/>
      <c r="N1459" s="182"/>
      <c r="O1459" s="182"/>
    </row>
    <row r="1460" spans="1:15" x14ac:dyDescent="0.25">
      <c r="A1460" s="180">
        <f t="shared" ca="1" si="225"/>
        <v>47550</v>
      </c>
      <c r="B1460" s="181">
        <v>1446</v>
      </c>
      <c r="C1460" s="182">
        <f t="shared" ca="1" si="229"/>
        <v>72127.860966292414</v>
      </c>
      <c r="D1460" s="182">
        <f t="shared" ca="1" si="226"/>
        <v>48.08524064419494</v>
      </c>
      <c r="E1460" s="182">
        <v>0</v>
      </c>
      <c r="F1460" s="182">
        <f t="shared" ca="1" si="230"/>
        <v>0</v>
      </c>
      <c r="G1460" s="182">
        <f t="shared" ca="1" si="227"/>
        <v>0</v>
      </c>
      <c r="H1460" s="182">
        <f t="shared" ca="1" si="228"/>
        <v>72175.946206936613</v>
      </c>
      <c r="I1460" s="183">
        <v>0</v>
      </c>
      <c r="J1460" s="263">
        <f t="shared" ca="1" si="224"/>
        <v>72175.946206936613</v>
      </c>
      <c r="K1460" s="182"/>
      <c r="L1460" s="182"/>
      <c r="M1460" s="182"/>
      <c r="N1460" s="182"/>
      <c r="O1460" s="182"/>
    </row>
    <row r="1461" spans="1:15" x14ac:dyDescent="0.25">
      <c r="A1461" s="180">
        <f t="shared" ca="1" si="225"/>
        <v>47551</v>
      </c>
      <c r="B1461" s="181">
        <v>1447</v>
      </c>
      <c r="C1461" s="182">
        <f t="shared" ca="1" si="229"/>
        <v>72175.946206936613</v>
      </c>
      <c r="D1461" s="182">
        <f t="shared" ca="1" si="226"/>
        <v>48.117297471291074</v>
      </c>
      <c r="E1461" s="182">
        <v>0</v>
      </c>
      <c r="F1461" s="182">
        <f t="shared" ca="1" si="230"/>
        <v>0</v>
      </c>
      <c r="G1461" s="182">
        <f t="shared" ca="1" si="227"/>
        <v>0</v>
      </c>
      <c r="H1461" s="182">
        <f t="shared" ca="1" si="228"/>
        <v>72224.06350440791</v>
      </c>
      <c r="I1461" s="183">
        <v>0</v>
      </c>
      <c r="J1461" s="263">
        <f t="shared" ca="1" si="224"/>
        <v>72224.06350440791</v>
      </c>
      <c r="K1461" s="182"/>
      <c r="L1461" s="182"/>
      <c r="M1461" s="182"/>
      <c r="N1461" s="182"/>
      <c r="O1461" s="182"/>
    </row>
    <row r="1462" spans="1:15" x14ac:dyDescent="0.25">
      <c r="A1462" s="180">
        <f t="shared" ca="1" si="225"/>
        <v>47552</v>
      </c>
      <c r="B1462" s="181">
        <v>1448</v>
      </c>
      <c r="C1462" s="182">
        <f t="shared" ca="1" si="229"/>
        <v>72224.06350440791</v>
      </c>
      <c r="D1462" s="182">
        <f t="shared" ca="1" si="226"/>
        <v>48.14937566960527</v>
      </c>
      <c r="E1462" s="182">
        <v>0</v>
      </c>
      <c r="F1462" s="182">
        <f t="shared" ca="1" si="230"/>
        <v>0</v>
      </c>
      <c r="G1462" s="182">
        <f t="shared" ca="1" si="227"/>
        <v>0</v>
      </c>
      <c r="H1462" s="182">
        <f t="shared" ca="1" si="228"/>
        <v>72272.21288007751</v>
      </c>
      <c r="I1462" s="183">
        <v>0</v>
      </c>
      <c r="J1462" s="263">
        <f t="shared" ca="1" si="224"/>
        <v>72272.21288007751</v>
      </c>
      <c r="K1462" s="182"/>
      <c r="L1462" s="182"/>
      <c r="M1462" s="182"/>
      <c r="N1462" s="182"/>
      <c r="O1462" s="182"/>
    </row>
    <row r="1463" spans="1:15" x14ac:dyDescent="0.25">
      <c r="A1463" s="180">
        <f t="shared" ca="1" si="225"/>
        <v>47553</v>
      </c>
      <c r="B1463" s="181">
        <v>1449</v>
      </c>
      <c r="C1463" s="182">
        <f t="shared" ca="1" si="229"/>
        <v>72272.21288007751</v>
      </c>
      <c r="D1463" s="182">
        <f t="shared" ca="1" si="226"/>
        <v>48.181475253385003</v>
      </c>
      <c r="E1463" s="182">
        <v>0</v>
      </c>
      <c r="F1463" s="182">
        <f t="shared" ca="1" si="230"/>
        <v>0</v>
      </c>
      <c r="G1463" s="182">
        <f t="shared" ca="1" si="227"/>
        <v>0</v>
      </c>
      <c r="H1463" s="182">
        <f t="shared" ca="1" si="228"/>
        <v>72320.394355330893</v>
      </c>
      <c r="I1463" s="183">
        <v>0</v>
      </c>
      <c r="J1463" s="263">
        <f t="shared" ca="1" si="224"/>
        <v>72320.394355330893</v>
      </c>
      <c r="K1463" s="182"/>
      <c r="L1463" s="182"/>
      <c r="M1463" s="182"/>
      <c r="N1463" s="182"/>
      <c r="O1463" s="182"/>
    </row>
    <row r="1464" spans="1:15" x14ac:dyDescent="0.25">
      <c r="A1464" s="180">
        <f t="shared" ca="1" si="225"/>
        <v>47554</v>
      </c>
      <c r="B1464" s="181">
        <v>1450</v>
      </c>
      <c r="C1464" s="182">
        <f t="shared" ca="1" si="229"/>
        <v>72320.394355330893</v>
      </c>
      <c r="D1464" s="182">
        <f t="shared" ca="1" si="226"/>
        <v>48.213596236887263</v>
      </c>
      <c r="E1464" s="182">
        <v>0</v>
      </c>
      <c r="F1464" s="182">
        <f t="shared" ca="1" si="230"/>
        <v>0</v>
      </c>
      <c r="G1464" s="182">
        <f t="shared" ca="1" si="227"/>
        <v>0</v>
      </c>
      <c r="H1464" s="182">
        <f t="shared" ca="1" si="228"/>
        <v>72368.607951567785</v>
      </c>
      <c r="I1464" s="183">
        <v>0</v>
      </c>
      <c r="J1464" s="263">
        <f t="shared" ca="1" si="224"/>
        <v>72368.607951567785</v>
      </c>
      <c r="K1464" s="182"/>
      <c r="L1464" s="182"/>
      <c r="M1464" s="182"/>
      <c r="N1464" s="182"/>
      <c r="O1464" s="182"/>
    </row>
    <row r="1465" spans="1:15" x14ac:dyDescent="0.25">
      <c r="A1465" s="180">
        <f t="shared" ca="1" si="225"/>
        <v>47555</v>
      </c>
      <c r="B1465" s="181">
        <v>1451</v>
      </c>
      <c r="C1465" s="182">
        <f t="shared" ca="1" si="229"/>
        <v>72368.607951567785</v>
      </c>
      <c r="D1465" s="182">
        <f t="shared" ca="1" si="226"/>
        <v>48.245738634378519</v>
      </c>
      <c r="E1465" s="182">
        <v>0</v>
      </c>
      <c r="F1465" s="182">
        <f t="shared" ca="1" si="230"/>
        <v>0</v>
      </c>
      <c r="G1465" s="182">
        <f t="shared" ca="1" si="227"/>
        <v>0</v>
      </c>
      <c r="H1465" s="182">
        <f t="shared" ca="1" si="228"/>
        <v>72416.853690202159</v>
      </c>
      <c r="I1465" s="183">
        <v>0</v>
      </c>
      <c r="J1465" s="263">
        <f t="shared" ca="1" si="224"/>
        <v>72416.853690202159</v>
      </c>
      <c r="K1465" s="182"/>
      <c r="L1465" s="182"/>
      <c r="M1465" s="182"/>
      <c r="N1465" s="182"/>
      <c r="O1465" s="182"/>
    </row>
    <row r="1466" spans="1:15" x14ac:dyDescent="0.25">
      <c r="A1466" s="180">
        <f t="shared" ca="1" si="225"/>
        <v>47556</v>
      </c>
      <c r="B1466" s="181">
        <v>1452</v>
      </c>
      <c r="C1466" s="182">
        <f t="shared" ca="1" si="229"/>
        <v>72416.853690202159</v>
      </c>
      <c r="D1466" s="182">
        <f t="shared" ca="1" si="226"/>
        <v>48.277902460134769</v>
      </c>
      <c r="E1466" s="182">
        <v>0</v>
      </c>
      <c r="F1466" s="182">
        <f t="shared" ca="1" si="230"/>
        <v>0</v>
      </c>
      <c r="G1466" s="182">
        <f t="shared" ca="1" si="227"/>
        <v>0</v>
      </c>
      <c r="H1466" s="182">
        <f t="shared" ca="1" si="228"/>
        <v>72465.131592662292</v>
      </c>
      <c r="I1466" s="183">
        <v>0</v>
      </c>
      <c r="J1466" s="263">
        <f t="shared" ca="1" si="224"/>
        <v>72465.131592662292</v>
      </c>
      <c r="K1466" s="182"/>
      <c r="L1466" s="182"/>
      <c r="M1466" s="182"/>
      <c r="N1466" s="182"/>
      <c r="O1466" s="182"/>
    </row>
    <row r="1467" spans="1:15" x14ac:dyDescent="0.25">
      <c r="A1467" s="180">
        <f t="shared" ca="1" si="225"/>
        <v>47557</v>
      </c>
      <c r="B1467" s="181">
        <v>1453</v>
      </c>
      <c r="C1467" s="182">
        <f t="shared" ca="1" si="229"/>
        <v>72465.131592662292</v>
      </c>
      <c r="D1467" s="182">
        <f t="shared" ca="1" si="226"/>
        <v>48.310087728441523</v>
      </c>
      <c r="E1467" s="182">
        <v>0</v>
      </c>
      <c r="F1467" s="182">
        <f t="shared" ca="1" si="230"/>
        <v>0</v>
      </c>
      <c r="G1467" s="182">
        <f t="shared" ca="1" si="227"/>
        <v>0</v>
      </c>
      <c r="H1467" s="182">
        <f t="shared" ca="1" si="228"/>
        <v>72513.441680390737</v>
      </c>
      <c r="I1467" s="183">
        <v>0</v>
      </c>
      <c r="J1467" s="263">
        <f t="shared" ca="1" si="224"/>
        <v>72513.441680390737</v>
      </c>
      <c r="K1467" s="182"/>
      <c r="L1467" s="182"/>
      <c r="M1467" s="182"/>
      <c r="N1467" s="182"/>
      <c r="O1467" s="182"/>
    </row>
    <row r="1468" spans="1:15" x14ac:dyDescent="0.25">
      <c r="A1468" s="180">
        <f t="shared" ca="1" si="225"/>
        <v>47558</v>
      </c>
      <c r="B1468" s="181">
        <v>1454</v>
      </c>
      <c r="C1468" s="182">
        <f t="shared" ca="1" si="229"/>
        <v>72513.441680390737</v>
      </c>
      <c r="D1468" s="182">
        <f t="shared" ca="1" si="226"/>
        <v>48.342294453593823</v>
      </c>
      <c r="E1468" s="182">
        <v>0</v>
      </c>
      <c r="F1468" s="182">
        <f t="shared" ca="1" si="230"/>
        <v>0</v>
      </c>
      <c r="G1468" s="182">
        <f t="shared" ca="1" si="227"/>
        <v>0</v>
      </c>
      <c r="H1468" s="182">
        <f t="shared" ca="1" si="228"/>
        <v>72561.783974844337</v>
      </c>
      <c r="I1468" s="183">
        <v>0</v>
      </c>
      <c r="J1468" s="263">
        <f t="shared" ca="1" si="224"/>
        <v>72561.783974844337</v>
      </c>
      <c r="K1468" s="182"/>
      <c r="L1468" s="182"/>
      <c r="M1468" s="182"/>
      <c r="N1468" s="182"/>
      <c r="O1468" s="182"/>
    </row>
    <row r="1469" spans="1:15" x14ac:dyDescent="0.25">
      <c r="A1469" s="180">
        <f t="shared" ca="1" si="225"/>
        <v>47559</v>
      </c>
      <c r="B1469" s="181">
        <v>1455</v>
      </c>
      <c r="C1469" s="182">
        <f t="shared" ca="1" si="229"/>
        <v>72561.783974844337</v>
      </c>
      <c r="D1469" s="182">
        <f t="shared" ca="1" si="226"/>
        <v>48.374522649896221</v>
      </c>
      <c r="E1469" s="182">
        <v>0</v>
      </c>
      <c r="F1469" s="182">
        <f t="shared" ca="1" si="230"/>
        <v>0</v>
      </c>
      <c r="G1469" s="182">
        <f t="shared" ca="1" si="227"/>
        <v>0</v>
      </c>
      <c r="H1469" s="182">
        <f t="shared" ca="1" si="228"/>
        <v>72610.158497494238</v>
      </c>
      <c r="I1469" s="183">
        <v>0</v>
      </c>
      <c r="J1469" s="263">
        <f t="shared" ca="1" si="224"/>
        <v>72610.158497494238</v>
      </c>
      <c r="K1469" s="182"/>
      <c r="L1469" s="182"/>
      <c r="M1469" s="182"/>
      <c r="N1469" s="182"/>
      <c r="O1469" s="182"/>
    </row>
    <row r="1470" spans="1:15" x14ac:dyDescent="0.25">
      <c r="A1470" s="180">
        <f t="shared" ca="1" si="225"/>
        <v>47560</v>
      </c>
      <c r="B1470" s="181">
        <v>1456</v>
      </c>
      <c r="C1470" s="182">
        <f t="shared" ca="1" si="229"/>
        <v>72610.158497494238</v>
      </c>
      <c r="D1470" s="182">
        <f t="shared" ca="1" si="226"/>
        <v>48.406772331662822</v>
      </c>
      <c r="E1470" s="182">
        <v>0</v>
      </c>
      <c r="F1470" s="182">
        <f t="shared" ca="1" si="230"/>
        <v>0</v>
      </c>
      <c r="G1470" s="182">
        <f t="shared" ca="1" si="227"/>
        <v>0</v>
      </c>
      <c r="H1470" s="182">
        <f t="shared" ca="1" si="228"/>
        <v>72658.565269825907</v>
      </c>
      <c r="I1470" s="183">
        <v>0</v>
      </c>
      <c r="J1470" s="263">
        <f t="shared" ca="1" si="224"/>
        <v>72658.565269825907</v>
      </c>
      <c r="K1470" s="182"/>
      <c r="L1470" s="182"/>
      <c r="M1470" s="182"/>
      <c r="N1470" s="182"/>
      <c r="O1470" s="182"/>
    </row>
    <row r="1471" spans="1:15" x14ac:dyDescent="0.25">
      <c r="A1471" s="180">
        <f t="shared" ca="1" si="225"/>
        <v>47561</v>
      </c>
      <c r="B1471" s="181">
        <v>1457</v>
      </c>
      <c r="C1471" s="182">
        <f t="shared" ca="1" si="229"/>
        <v>72658.565269825907</v>
      </c>
      <c r="D1471" s="182">
        <f t="shared" ca="1" si="226"/>
        <v>48.439043513217271</v>
      </c>
      <c r="E1471" s="182">
        <v>0</v>
      </c>
      <c r="F1471" s="182">
        <f t="shared" ca="1" si="230"/>
        <v>0</v>
      </c>
      <c r="G1471" s="182">
        <f t="shared" ca="1" si="227"/>
        <v>0</v>
      </c>
      <c r="H1471" s="182">
        <f t="shared" ca="1" si="228"/>
        <v>72707.00431333913</v>
      </c>
      <c r="I1471" s="183">
        <v>0</v>
      </c>
      <c r="J1471" s="263">
        <f t="shared" ca="1" si="224"/>
        <v>72707.00431333913</v>
      </c>
      <c r="K1471" s="182"/>
      <c r="L1471" s="182"/>
      <c r="M1471" s="182"/>
      <c r="N1471" s="182"/>
      <c r="O1471" s="182"/>
    </row>
    <row r="1472" spans="1:15" x14ac:dyDescent="0.25">
      <c r="A1472" s="180">
        <f t="shared" ca="1" si="225"/>
        <v>47562</v>
      </c>
      <c r="B1472" s="181">
        <v>1458</v>
      </c>
      <c r="C1472" s="182">
        <f t="shared" ca="1" si="229"/>
        <v>72707.00431333913</v>
      </c>
      <c r="D1472" s="182">
        <f t="shared" ca="1" si="226"/>
        <v>48.471336208892751</v>
      </c>
      <c r="E1472" s="182">
        <v>0</v>
      </c>
      <c r="F1472" s="182">
        <f t="shared" ca="1" si="230"/>
        <v>0</v>
      </c>
      <c r="G1472" s="182">
        <f t="shared" ca="1" si="227"/>
        <v>0</v>
      </c>
      <c r="H1472" s="182">
        <f t="shared" ca="1" si="228"/>
        <v>72755.475649548025</v>
      </c>
      <c r="I1472" s="183">
        <v>0</v>
      </c>
      <c r="J1472" s="263">
        <f t="shared" ca="1" si="224"/>
        <v>72755.475649548025</v>
      </c>
      <c r="K1472" s="182"/>
      <c r="L1472" s="182"/>
      <c r="M1472" s="182"/>
      <c r="N1472" s="182"/>
      <c r="O1472" s="182"/>
    </row>
    <row r="1473" spans="1:15" x14ac:dyDescent="0.25">
      <c r="A1473" s="180">
        <f t="shared" ca="1" si="225"/>
        <v>47563</v>
      </c>
      <c r="B1473" s="181">
        <v>1459</v>
      </c>
      <c r="C1473" s="182">
        <f t="shared" ca="1" si="229"/>
        <v>72755.475649548025</v>
      </c>
      <c r="D1473" s="182">
        <f t="shared" ca="1" si="226"/>
        <v>48.503650433032014</v>
      </c>
      <c r="E1473" s="182">
        <v>0</v>
      </c>
      <c r="F1473" s="182">
        <f t="shared" ca="1" si="230"/>
        <v>0</v>
      </c>
      <c r="G1473" s="182">
        <f t="shared" ca="1" si="227"/>
        <v>0</v>
      </c>
      <c r="H1473" s="182">
        <f t="shared" ca="1" si="228"/>
        <v>72803.97929998106</v>
      </c>
      <c r="I1473" s="183">
        <v>0</v>
      </c>
      <c r="J1473" s="263">
        <f t="shared" ca="1" si="224"/>
        <v>72803.97929998106</v>
      </c>
      <c r="K1473" s="182"/>
      <c r="L1473" s="182"/>
      <c r="M1473" s="182"/>
      <c r="N1473" s="182"/>
      <c r="O1473" s="182"/>
    </row>
    <row r="1474" spans="1:15" x14ac:dyDescent="0.25">
      <c r="A1474" s="180">
        <f t="shared" ca="1" si="225"/>
        <v>47564</v>
      </c>
      <c r="B1474" s="181">
        <v>1460</v>
      </c>
      <c r="C1474" s="182">
        <f t="shared" ca="1" si="229"/>
        <v>72803.97929998106</v>
      </c>
      <c r="D1474" s="182">
        <f t="shared" ca="1" si="226"/>
        <v>48.53598619998737</v>
      </c>
      <c r="E1474" s="182">
        <v>0</v>
      </c>
      <c r="F1474" s="182">
        <f t="shared" ca="1" si="230"/>
        <v>0</v>
      </c>
      <c r="G1474" s="182">
        <f t="shared" ca="1" si="227"/>
        <v>0</v>
      </c>
      <c r="H1474" s="182">
        <f t="shared" ca="1" si="228"/>
        <v>72852.515286181049</v>
      </c>
      <c r="I1474" s="183">
        <v>0</v>
      </c>
      <c r="J1474" s="263">
        <f t="shared" ca="1" si="224"/>
        <v>72852.515286181049</v>
      </c>
      <c r="K1474" s="182"/>
      <c r="L1474" s="182"/>
      <c r="M1474" s="182"/>
      <c r="N1474" s="182"/>
      <c r="O1474" s="182"/>
    </row>
    <row r="1475" spans="1:15" x14ac:dyDescent="0.25">
      <c r="A1475" s="180">
        <f t="shared" ca="1" si="225"/>
        <v>47565</v>
      </c>
      <c r="B1475" s="181">
        <v>1461</v>
      </c>
      <c r="C1475" s="182">
        <f t="shared" ca="1" si="229"/>
        <v>72852.515286181049</v>
      </c>
      <c r="D1475" s="182">
        <f t="shared" ca="1" si="226"/>
        <v>48.568343524120699</v>
      </c>
      <c r="E1475" s="182">
        <v>0</v>
      </c>
      <c r="F1475" s="182">
        <f t="shared" ca="1" si="230"/>
        <v>0</v>
      </c>
      <c r="G1475" s="182">
        <f t="shared" ca="1" si="227"/>
        <v>0</v>
      </c>
      <c r="H1475" s="182">
        <f t="shared" ca="1" si="228"/>
        <v>72901.083629705172</v>
      </c>
      <c r="I1475" s="183">
        <v>0</v>
      </c>
      <c r="J1475" s="263">
        <f t="shared" ca="1" si="224"/>
        <v>72901.083629705172</v>
      </c>
      <c r="K1475" s="182"/>
      <c r="L1475" s="182"/>
      <c r="M1475" s="182"/>
      <c r="N1475" s="182"/>
      <c r="O1475" s="182"/>
    </row>
    <row r="1476" spans="1:15" x14ac:dyDescent="0.25">
      <c r="A1476" s="180">
        <f t="shared" ca="1" si="225"/>
        <v>47566</v>
      </c>
      <c r="B1476" s="181">
        <v>1462</v>
      </c>
      <c r="C1476" s="182">
        <f t="shared" ca="1" si="229"/>
        <v>72901.083629705172</v>
      </c>
      <c r="D1476" s="182">
        <f t="shared" ca="1" si="226"/>
        <v>48.600722419803446</v>
      </c>
      <c r="E1476" s="182">
        <v>0</v>
      </c>
      <c r="F1476" s="182">
        <f t="shared" ca="1" si="230"/>
        <v>0</v>
      </c>
      <c r="G1476" s="182">
        <f t="shared" ca="1" si="227"/>
        <v>0</v>
      </c>
      <c r="H1476" s="182">
        <f t="shared" ca="1" si="228"/>
        <v>72949.684352124968</v>
      </c>
      <c r="I1476" s="183">
        <v>0</v>
      </c>
      <c r="J1476" s="263">
        <f t="shared" ca="1" si="224"/>
        <v>72949.684352124968</v>
      </c>
      <c r="K1476" s="182"/>
      <c r="L1476" s="182"/>
      <c r="M1476" s="182"/>
      <c r="N1476" s="182"/>
      <c r="O1476" s="182"/>
    </row>
    <row r="1477" spans="1:15" x14ac:dyDescent="0.25">
      <c r="A1477" s="180">
        <f t="shared" ca="1" si="225"/>
        <v>47567</v>
      </c>
      <c r="B1477" s="181">
        <v>1463</v>
      </c>
      <c r="C1477" s="182">
        <f t="shared" ca="1" si="229"/>
        <v>72949.684352124968</v>
      </c>
      <c r="D1477" s="182">
        <f t="shared" ca="1" si="226"/>
        <v>48.633122901416641</v>
      </c>
      <c r="E1477" s="182">
        <v>0</v>
      </c>
      <c r="F1477" s="182">
        <f t="shared" ca="1" si="230"/>
        <v>0</v>
      </c>
      <c r="G1477" s="182">
        <f t="shared" ca="1" si="227"/>
        <v>0</v>
      </c>
      <c r="H1477" s="182">
        <f t="shared" ca="1" si="228"/>
        <v>72998.317475026386</v>
      </c>
      <c r="I1477" s="183">
        <v>0</v>
      </c>
      <c r="J1477" s="263">
        <f t="shared" ca="1" si="224"/>
        <v>72998.317475026386</v>
      </c>
      <c r="K1477" s="182"/>
      <c r="L1477" s="182"/>
      <c r="M1477" s="182"/>
      <c r="N1477" s="182"/>
      <c r="O1477" s="182"/>
    </row>
    <row r="1478" spans="1:15" x14ac:dyDescent="0.25">
      <c r="A1478" s="180">
        <f t="shared" ca="1" si="225"/>
        <v>47568</v>
      </c>
      <c r="B1478" s="181">
        <v>1464</v>
      </c>
      <c r="C1478" s="182">
        <f t="shared" ca="1" si="229"/>
        <v>72998.317475026386</v>
      </c>
      <c r="D1478" s="182">
        <f t="shared" ca="1" si="226"/>
        <v>48.665544983350919</v>
      </c>
      <c r="E1478" s="182">
        <v>0</v>
      </c>
      <c r="F1478" s="182">
        <f t="shared" ca="1" si="230"/>
        <v>0</v>
      </c>
      <c r="G1478" s="182">
        <f t="shared" ca="1" si="227"/>
        <v>0</v>
      </c>
      <c r="H1478" s="182">
        <f t="shared" ca="1" si="228"/>
        <v>73046.983020009735</v>
      </c>
      <c r="I1478" s="183">
        <v>0</v>
      </c>
      <c r="J1478" s="263">
        <f t="shared" ca="1" si="224"/>
        <v>73046.983020009735</v>
      </c>
      <c r="K1478" s="182"/>
      <c r="L1478" s="182"/>
      <c r="M1478" s="182"/>
      <c r="N1478" s="182"/>
      <c r="O1478" s="182"/>
    </row>
    <row r="1479" spans="1:15" x14ac:dyDescent="0.25">
      <c r="A1479" s="180">
        <f t="shared" ca="1" si="225"/>
        <v>47569</v>
      </c>
      <c r="B1479" s="181">
        <v>1465</v>
      </c>
      <c r="C1479" s="182">
        <f t="shared" ca="1" si="229"/>
        <v>73046.983020009735</v>
      </c>
      <c r="D1479" s="182">
        <f t="shared" ca="1" si="226"/>
        <v>48.697988680006489</v>
      </c>
      <c r="E1479" s="182">
        <v>0</v>
      </c>
      <c r="F1479" s="182">
        <f t="shared" ca="1" si="230"/>
        <v>0</v>
      </c>
      <c r="G1479" s="182">
        <f t="shared" ca="1" si="227"/>
        <v>0</v>
      </c>
      <c r="H1479" s="182">
        <f t="shared" ca="1" si="228"/>
        <v>73095.681008689746</v>
      </c>
      <c r="I1479" s="183">
        <v>0</v>
      </c>
      <c r="J1479" s="263">
        <f t="shared" ca="1" si="224"/>
        <v>73095.681008689746</v>
      </c>
      <c r="K1479" s="182"/>
      <c r="L1479" s="182"/>
      <c r="M1479" s="182"/>
      <c r="N1479" s="182"/>
      <c r="O1479" s="182"/>
    </row>
    <row r="1480" spans="1:15" x14ac:dyDescent="0.25">
      <c r="A1480" s="180">
        <f t="shared" ca="1" si="225"/>
        <v>47570</v>
      </c>
      <c r="B1480" s="181">
        <v>1466</v>
      </c>
      <c r="C1480" s="182">
        <f t="shared" ca="1" si="229"/>
        <v>73095.681008689746</v>
      </c>
      <c r="D1480" s="182">
        <f t="shared" ca="1" si="226"/>
        <v>48.730454005793163</v>
      </c>
      <c r="E1480" s="182">
        <v>0</v>
      </c>
      <c r="F1480" s="182">
        <f t="shared" ca="1" si="230"/>
        <v>0</v>
      </c>
      <c r="G1480" s="182">
        <f t="shared" ca="1" si="227"/>
        <v>0</v>
      </c>
      <c r="H1480" s="182">
        <f t="shared" ca="1" si="228"/>
        <v>73144.411462695542</v>
      </c>
      <c r="I1480" s="183">
        <v>0</v>
      </c>
      <c r="J1480" s="263">
        <f t="shared" ca="1" si="224"/>
        <v>73144.411462695542</v>
      </c>
      <c r="K1480" s="182"/>
      <c r="L1480" s="182"/>
      <c r="M1480" s="182"/>
      <c r="N1480" s="182"/>
      <c r="O1480" s="182"/>
    </row>
    <row r="1481" spans="1:15" x14ac:dyDescent="0.25">
      <c r="A1481" s="180">
        <f t="shared" ca="1" si="225"/>
        <v>47571</v>
      </c>
      <c r="B1481" s="181">
        <v>1467</v>
      </c>
      <c r="C1481" s="182">
        <f t="shared" ca="1" si="229"/>
        <v>73144.411462695542</v>
      </c>
      <c r="D1481" s="182">
        <f t="shared" ca="1" si="226"/>
        <v>48.762940975130363</v>
      </c>
      <c r="E1481" s="182">
        <v>0</v>
      </c>
      <c r="F1481" s="182">
        <f t="shared" ca="1" si="230"/>
        <v>0</v>
      </c>
      <c r="G1481" s="182">
        <f t="shared" ca="1" si="227"/>
        <v>0</v>
      </c>
      <c r="H1481" s="182">
        <f t="shared" ca="1" si="228"/>
        <v>73193.174403670666</v>
      </c>
      <c r="I1481" s="183">
        <v>0</v>
      </c>
      <c r="J1481" s="263">
        <f t="shared" ca="1" si="224"/>
        <v>73193.174403670666</v>
      </c>
      <c r="K1481" s="182"/>
      <c r="L1481" s="182"/>
      <c r="M1481" s="182"/>
      <c r="N1481" s="182"/>
      <c r="O1481" s="182"/>
    </row>
    <row r="1482" spans="1:15" x14ac:dyDescent="0.25">
      <c r="A1482" s="180">
        <f t="shared" ca="1" si="225"/>
        <v>47572</v>
      </c>
      <c r="B1482" s="181">
        <v>1468</v>
      </c>
      <c r="C1482" s="182">
        <f t="shared" ca="1" si="229"/>
        <v>73193.174403670666</v>
      </c>
      <c r="D1482" s="182">
        <f t="shared" ca="1" si="226"/>
        <v>48.795449602447107</v>
      </c>
      <c r="E1482" s="182">
        <v>0</v>
      </c>
      <c r="F1482" s="182">
        <f t="shared" ca="1" si="230"/>
        <v>0</v>
      </c>
      <c r="G1482" s="182">
        <f t="shared" ca="1" si="227"/>
        <v>0</v>
      </c>
      <c r="H1482" s="182">
        <f t="shared" ca="1" si="228"/>
        <v>73241.969853273113</v>
      </c>
      <c r="I1482" s="183">
        <v>0</v>
      </c>
      <c r="J1482" s="263">
        <f t="shared" ca="1" si="224"/>
        <v>73241.969853273113</v>
      </c>
      <c r="K1482" s="182"/>
      <c r="L1482" s="182"/>
      <c r="M1482" s="182"/>
      <c r="N1482" s="182"/>
      <c r="O1482" s="182"/>
    </row>
    <row r="1483" spans="1:15" x14ac:dyDescent="0.25">
      <c r="A1483" s="180">
        <f t="shared" ca="1" si="225"/>
        <v>47573</v>
      </c>
      <c r="B1483" s="181">
        <v>1469</v>
      </c>
      <c r="C1483" s="182">
        <f t="shared" ca="1" si="229"/>
        <v>73241.969853273113</v>
      </c>
      <c r="D1483" s="182">
        <f t="shared" ca="1" si="226"/>
        <v>48.827979902182072</v>
      </c>
      <c r="E1483" s="182">
        <v>0</v>
      </c>
      <c r="F1483" s="182">
        <f t="shared" ca="1" si="230"/>
        <v>0</v>
      </c>
      <c r="G1483" s="182">
        <f t="shared" ca="1" si="227"/>
        <v>0</v>
      </c>
      <c r="H1483" s="182">
        <f t="shared" ca="1" si="228"/>
        <v>73290.797833175297</v>
      </c>
      <c r="I1483" s="183">
        <v>0</v>
      </c>
      <c r="J1483" s="263">
        <f t="shared" ca="1" si="224"/>
        <v>73290.797833175297</v>
      </c>
      <c r="K1483" s="182"/>
      <c r="L1483" s="182"/>
      <c r="M1483" s="182"/>
      <c r="N1483" s="182"/>
      <c r="O1483" s="182"/>
    </row>
    <row r="1484" spans="1:15" x14ac:dyDescent="0.25">
      <c r="A1484" s="180">
        <f t="shared" ca="1" si="225"/>
        <v>47574</v>
      </c>
      <c r="B1484" s="181">
        <v>1470</v>
      </c>
      <c r="C1484" s="182">
        <f t="shared" ca="1" si="229"/>
        <v>73290.797833175297</v>
      </c>
      <c r="D1484" s="182">
        <f t="shared" ca="1" si="226"/>
        <v>48.860531888783527</v>
      </c>
      <c r="E1484" s="182">
        <v>0</v>
      </c>
      <c r="F1484" s="182">
        <f t="shared" ca="1" si="230"/>
        <v>0</v>
      </c>
      <c r="G1484" s="182">
        <f t="shared" ca="1" si="227"/>
        <v>0</v>
      </c>
      <c r="H1484" s="182">
        <f t="shared" ca="1" si="228"/>
        <v>73339.658365064082</v>
      </c>
      <c r="I1484" s="183">
        <v>0</v>
      </c>
      <c r="J1484" s="263">
        <f t="shared" ca="1" si="224"/>
        <v>73339.658365064082</v>
      </c>
      <c r="K1484" s="182"/>
      <c r="L1484" s="182"/>
      <c r="M1484" s="182"/>
      <c r="N1484" s="182"/>
      <c r="O1484" s="182"/>
    </row>
    <row r="1485" spans="1:15" x14ac:dyDescent="0.25">
      <c r="A1485" s="180">
        <f t="shared" ca="1" si="225"/>
        <v>47575</v>
      </c>
      <c r="B1485" s="181">
        <v>1471</v>
      </c>
      <c r="C1485" s="182">
        <f t="shared" ca="1" si="229"/>
        <v>73339.658365064082</v>
      </c>
      <c r="D1485" s="182">
        <f t="shared" ca="1" si="226"/>
        <v>48.893105576709388</v>
      </c>
      <c r="E1485" s="182">
        <v>0</v>
      </c>
      <c r="F1485" s="182">
        <f t="shared" ca="1" si="230"/>
        <v>0</v>
      </c>
      <c r="G1485" s="182">
        <f t="shared" ca="1" si="227"/>
        <v>0</v>
      </c>
      <c r="H1485" s="182">
        <f t="shared" ca="1" si="228"/>
        <v>73388.551470640785</v>
      </c>
      <c r="I1485" s="183">
        <v>0</v>
      </c>
      <c r="J1485" s="263">
        <f t="shared" ca="1" si="224"/>
        <v>73388.551470640785</v>
      </c>
      <c r="K1485" s="182"/>
      <c r="L1485" s="182"/>
      <c r="M1485" s="182"/>
      <c r="N1485" s="182"/>
      <c r="O1485" s="182"/>
    </row>
    <row r="1486" spans="1:15" x14ac:dyDescent="0.25">
      <c r="A1486" s="180">
        <f t="shared" ca="1" si="225"/>
        <v>47576</v>
      </c>
      <c r="B1486" s="181">
        <v>1472</v>
      </c>
      <c r="C1486" s="182">
        <f t="shared" ca="1" si="229"/>
        <v>73388.551470640785</v>
      </c>
      <c r="D1486" s="182">
        <f t="shared" ca="1" si="226"/>
        <v>48.925700980427187</v>
      </c>
      <c r="E1486" s="182">
        <v>0</v>
      </c>
      <c r="F1486" s="182">
        <f t="shared" ca="1" si="230"/>
        <v>0</v>
      </c>
      <c r="G1486" s="182">
        <f t="shared" ca="1" si="227"/>
        <v>0</v>
      </c>
      <c r="H1486" s="182">
        <f t="shared" ca="1" si="228"/>
        <v>73437.477171621213</v>
      </c>
      <c r="I1486" s="183">
        <v>0</v>
      </c>
      <c r="J1486" s="263">
        <f t="shared" ca="1" si="224"/>
        <v>73437.477171621213</v>
      </c>
      <c r="K1486" s="182"/>
      <c r="L1486" s="182"/>
      <c r="M1486" s="182"/>
      <c r="N1486" s="182"/>
      <c r="O1486" s="182"/>
    </row>
    <row r="1487" spans="1:15" x14ac:dyDescent="0.25">
      <c r="A1487" s="180">
        <f t="shared" ca="1" si="225"/>
        <v>47577</v>
      </c>
      <c r="B1487" s="181">
        <v>1473</v>
      </c>
      <c r="C1487" s="182">
        <f t="shared" ca="1" si="229"/>
        <v>73437.477171621213</v>
      </c>
      <c r="D1487" s="182">
        <f t="shared" ca="1" si="226"/>
        <v>48.958318114414141</v>
      </c>
      <c r="E1487" s="182">
        <v>0</v>
      </c>
      <c r="F1487" s="182">
        <f t="shared" ca="1" si="230"/>
        <v>0</v>
      </c>
      <c r="G1487" s="182">
        <f t="shared" ca="1" si="227"/>
        <v>0</v>
      </c>
      <c r="H1487" s="182">
        <f t="shared" ca="1" si="228"/>
        <v>73486.435489735624</v>
      </c>
      <c r="I1487" s="183">
        <v>0</v>
      </c>
      <c r="J1487" s="263">
        <f t="shared" ref="J1487:J1550" ca="1" si="231">H1487-IF(I$8-G1487&lt;Q$42,I$8-Q$42,G1487)</f>
        <v>73486.435489735624</v>
      </c>
      <c r="K1487" s="182"/>
      <c r="L1487" s="182"/>
      <c r="M1487" s="182"/>
      <c r="N1487" s="182"/>
      <c r="O1487" s="182"/>
    </row>
    <row r="1488" spans="1:15" x14ac:dyDescent="0.25">
      <c r="A1488" s="180">
        <f t="shared" ca="1" si="225"/>
        <v>47578</v>
      </c>
      <c r="B1488" s="181">
        <v>1474</v>
      </c>
      <c r="C1488" s="182">
        <f t="shared" ca="1" si="229"/>
        <v>73486.435489735624</v>
      </c>
      <c r="D1488" s="182">
        <f t="shared" ca="1" si="226"/>
        <v>48.990956993157084</v>
      </c>
      <c r="E1488" s="182">
        <v>0</v>
      </c>
      <c r="F1488" s="182">
        <f t="shared" ca="1" si="230"/>
        <v>0</v>
      </c>
      <c r="G1488" s="182">
        <f t="shared" ca="1" si="227"/>
        <v>0</v>
      </c>
      <c r="H1488" s="182">
        <f t="shared" ca="1" si="228"/>
        <v>73535.426446728787</v>
      </c>
      <c r="I1488" s="183">
        <v>0</v>
      </c>
      <c r="J1488" s="263">
        <f t="shared" ca="1" si="231"/>
        <v>73535.426446728787</v>
      </c>
      <c r="K1488" s="182"/>
      <c r="L1488" s="182"/>
      <c r="M1488" s="182"/>
      <c r="N1488" s="182"/>
      <c r="O1488" s="182"/>
    </row>
    <row r="1489" spans="1:15" x14ac:dyDescent="0.25">
      <c r="A1489" s="180">
        <f t="shared" ref="A1489:A1552" ca="1" si="232">A1488+1</f>
        <v>47579</v>
      </c>
      <c r="B1489" s="181">
        <v>1475</v>
      </c>
      <c r="C1489" s="182">
        <f t="shared" ca="1" si="229"/>
        <v>73535.426446728787</v>
      </c>
      <c r="D1489" s="182">
        <f t="shared" ref="D1489:D1552" ca="1" si="233">(($C$6/360))*C1489</f>
        <v>49.023617631152526</v>
      </c>
      <c r="E1489" s="182">
        <v>0</v>
      </c>
      <c r="F1489" s="182">
        <f t="shared" ca="1" si="230"/>
        <v>0</v>
      </c>
      <c r="G1489" s="182">
        <f t="shared" ref="G1489:G1552" ca="1" si="234">IF(G1488-D1489-E1489&gt;0,G1488-D1489-E1489,0)</f>
        <v>0</v>
      </c>
      <c r="H1489" s="182">
        <f t="shared" ca="1" si="228"/>
        <v>73584.450064359946</v>
      </c>
      <c r="I1489" s="183">
        <v>0</v>
      </c>
      <c r="J1489" s="263">
        <f t="shared" ca="1" si="231"/>
        <v>73584.450064359946</v>
      </c>
      <c r="K1489" s="182"/>
      <c r="L1489" s="182"/>
      <c r="M1489" s="182"/>
      <c r="N1489" s="182"/>
      <c r="O1489" s="182"/>
    </row>
    <row r="1490" spans="1:15" x14ac:dyDescent="0.25">
      <c r="A1490" s="180">
        <f t="shared" ca="1" si="232"/>
        <v>47580</v>
      </c>
      <c r="B1490" s="181">
        <v>1476</v>
      </c>
      <c r="C1490" s="182">
        <f t="shared" ca="1" si="229"/>
        <v>73584.450064359946</v>
      </c>
      <c r="D1490" s="182">
        <f t="shared" ca="1" si="233"/>
        <v>49.056300042906628</v>
      </c>
      <c r="E1490" s="182">
        <v>0</v>
      </c>
      <c r="F1490" s="182">
        <f t="shared" ca="1" si="230"/>
        <v>0</v>
      </c>
      <c r="G1490" s="182">
        <f t="shared" ca="1" si="234"/>
        <v>0</v>
      </c>
      <c r="H1490" s="182">
        <f t="shared" ca="1" si="228"/>
        <v>73633.506364402856</v>
      </c>
      <c r="I1490" s="183">
        <v>0</v>
      </c>
      <c r="J1490" s="263">
        <f t="shared" ca="1" si="231"/>
        <v>73633.506364402856</v>
      </c>
      <c r="K1490" s="182"/>
      <c r="L1490" s="182"/>
      <c r="M1490" s="182"/>
      <c r="N1490" s="182"/>
      <c r="O1490" s="182"/>
    </row>
    <row r="1491" spans="1:15" x14ac:dyDescent="0.25">
      <c r="A1491" s="180">
        <f t="shared" ca="1" si="232"/>
        <v>47581</v>
      </c>
      <c r="B1491" s="181">
        <v>1477</v>
      </c>
      <c r="C1491" s="182">
        <f t="shared" ca="1" si="229"/>
        <v>73633.506364402856</v>
      </c>
      <c r="D1491" s="182">
        <f t="shared" ca="1" si="233"/>
        <v>49.089004242935239</v>
      </c>
      <c r="E1491" s="182">
        <v>0</v>
      </c>
      <c r="F1491" s="182">
        <f t="shared" ca="1" si="230"/>
        <v>0</v>
      </c>
      <c r="G1491" s="182">
        <f t="shared" ca="1" si="234"/>
        <v>0</v>
      </c>
      <c r="H1491" s="182">
        <f t="shared" ca="1" si="228"/>
        <v>73682.595368645794</v>
      </c>
      <c r="I1491" s="183">
        <v>0</v>
      </c>
      <c r="J1491" s="263">
        <f t="shared" ca="1" si="231"/>
        <v>73682.595368645794</v>
      </c>
      <c r="K1491" s="182"/>
      <c r="L1491" s="182"/>
      <c r="M1491" s="182"/>
      <c r="N1491" s="182"/>
      <c r="O1491" s="182"/>
    </row>
    <row r="1492" spans="1:15" x14ac:dyDescent="0.25">
      <c r="A1492" s="180">
        <f t="shared" ca="1" si="232"/>
        <v>47582</v>
      </c>
      <c r="B1492" s="181">
        <v>1478</v>
      </c>
      <c r="C1492" s="182">
        <f t="shared" ca="1" si="229"/>
        <v>73682.595368645794</v>
      </c>
      <c r="D1492" s="182">
        <f t="shared" ca="1" si="233"/>
        <v>49.121730245763864</v>
      </c>
      <c r="E1492" s="182">
        <v>0</v>
      </c>
      <c r="F1492" s="182">
        <f t="shared" ca="1" si="230"/>
        <v>0</v>
      </c>
      <c r="G1492" s="182">
        <f t="shared" ca="1" si="234"/>
        <v>0</v>
      </c>
      <c r="H1492" s="182">
        <f t="shared" ca="1" si="228"/>
        <v>73731.71709889156</v>
      </c>
      <c r="I1492" s="183">
        <v>0</v>
      </c>
      <c r="J1492" s="263">
        <f t="shared" ca="1" si="231"/>
        <v>73731.71709889156</v>
      </c>
      <c r="K1492" s="182"/>
      <c r="L1492" s="182"/>
      <c r="M1492" s="182"/>
      <c r="N1492" s="182"/>
      <c r="O1492" s="182"/>
    </row>
    <row r="1493" spans="1:15" x14ac:dyDescent="0.25">
      <c r="A1493" s="180">
        <f t="shared" ca="1" si="232"/>
        <v>47583</v>
      </c>
      <c r="B1493" s="181">
        <v>1479</v>
      </c>
      <c r="C1493" s="182">
        <f t="shared" ca="1" si="229"/>
        <v>73731.71709889156</v>
      </c>
      <c r="D1493" s="182">
        <f t="shared" ca="1" si="233"/>
        <v>49.154478065927705</v>
      </c>
      <c r="E1493" s="182">
        <v>0</v>
      </c>
      <c r="F1493" s="182">
        <f t="shared" ca="1" si="230"/>
        <v>0</v>
      </c>
      <c r="G1493" s="182">
        <f t="shared" ca="1" si="234"/>
        <v>0</v>
      </c>
      <c r="H1493" s="182">
        <f t="shared" ca="1" si="228"/>
        <v>73780.871576957492</v>
      </c>
      <c r="I1493" s="183">
        <v>0</v>
      </c>
      <c r="J1493" s="263">
        <f t="shared" ca="1" si="231"/>
        <v>73780.871576957492</v>
      </c>
      <c r="K1493" s="182"/>
      <c r="L1493" s="182"/>
      <c r="M1493" s="182"/>
      <c r="N1493" s="182"/>
      <c r="O1493" s="182"/>
    </row>
    <row r="1494" spans="1:15" x14ac:dyDescent="0.25">
      <c r="A1494" s="180">
        <f t="shared" ca="1" si="232"/>
        <v>47584</v>
      </c>
      <c r="B1494" s="181">
        <v>1480</v>
      </c>
      <c r="C1494" s="182">
        <f t="shared" ca="1" si="229"/>
        <v>73780.871576957492</v>
      </c>
      <c r="D1494" s="182">
        <f t="shared" ca="1" si="233"/>
        <v>49.187247717971658</v>
      </c>
      <c r="E1494" s="182">
        <v>0</v>
      </c>
      <c r="F1494" s="182">
        <f t="shared" ca="1" si="230"/>
        <v>0</v>
      </c>
      <c r="G1494" s="182">
        <f t="shared" ca="1" si="234"/>
        <v>0</v>
      </c>
      <c r="H1494" s="182">
        <f t="shared" ca="1" si="228"/>
        <v>73830.058824675463</v>
      </c>
      <c r="I1494" s="183">
        <v>0</v>
      </c>
      <c r="J1494" s="263">
        <f t="shared" ca="1" si="231"/>
        <v>73830.058824675463</v>
      </c>
      <c r="K1494" s="182"/>
      <c r="L1494" s="182"/>
      <c r="M1494" s="182"/>
      <c r="N1494" s="182"/>
      <c r="O1494" s="182"/>
    </row>
    <row r="1495" spans="1:15" x14ac:dyDescent="0.25">
      <c r="A1495" s="180">
        <f t="shared" ca="1" si="232"/>
        <v>47585</v>
      </c>
      <c r="B1495" s="181">
        <v>1481</v>
      </c>
      <c r="C1495" s="182">
        <f t="shared" ca="1" si="229"/>
        <v>73830.058824675463</v>
      </c>
      <c r="D1495" s="182">
        <f t="shared" ca="1" si="233"/>
        <v>49.22003921645031</v>
      </c>
      <c r="E1495" s="182">
        <v>0</v>
      </c>
      <c r="F1495" s="182">
        <f t="shared" ca="1" si="230"/>
        <v>0</v>
      </c>
      <c r="G1495" s="182">
        <f t="shared" ca="1" si="234"/>
        <v>0</v>
      </c>
      <c r="H1495" s="182">
        <f t="shared" ca="1" si="228"/>
        <v>73879.278863891916</v>
      </c>
      <c r="I1495" s="183">
        <v>0</v>
      </c>
      <c r="J1495" s="263">
        <f t="shared" ca="1" si="231"/>
        <v>73879.278863891916</v>
      </c>
      <c r="K1495" s="182"/>
      <c r="L1495" s="182"/>
      <c r="M1495" s="182"/>
      <c r="N1495" s="182"/>
      <c r="O1495" s="182"/>
    </row>
    <row r="1496" spans="1:15" x14ac:dyDescent="0.25">
      <c r="A1496" s="180">
        <f t="shared" ca="1" si="232"/>
        <v>47586</v>
      </c>
      <c r="B1496" s="181">
        <v>1482</v>
      </c>
      <c r="C1496" s="182">
        <f t="shared" ca="1" si="229"/>
        <v>73879.278863891916</v>
      </c>
      <c r="D1496" s="182">
        <f t="shared" ca="1" si="233"/>
        <v>49.252852575927939</v>
      </c>
      <c r="E1496" s="182">
        <v>0</v>
      </c>
      <c r="F1496" s="182">
        <f t="shared" ca="1" si="230"/>
        <v>0</v>
      </c>
      <c r="G1496" s="182">
        <f t="shared" ca="1" si="234"/>
        <v>0</v>
      </c>
      <c r="H1496" s="182">
        <f t="shared" ca="1" si="228"/>
        <v>73928.531716467842</v>
      </c>
      <c r="I1496" s="183">
        <v>0</v>
      </c>
      <c r="J1496" s="263">
        <f t="shared" ca="1" si="231"/>
        <v>73928.531716467842</v>
      </c>
      <c r="K1496" s="182"/>
      <c r="L1496" s="182"/>
      <c r="M1496" s="182"/>
      <c r="N1496" s="182"/>
      <c r="O1496" s="182"/>
    </row>
    <row r="1497" spans="1:15" x14ac:dyDescent="0.25">
      <c r="A1497" s="180">
        <f t="shared" ca="1" si="232"/>
        <v>47587</v>
      </c>
      <c r="B1497" s="181">
        <v>1483</v>
      </c>
      <c r="C1497" s="182">
        <f t="shared" ca="1" si="229"/>
        <v>73928.531716467842</v>
      </c>
      <c r="D1497" s="182">
        <f t="shared" ca="1" si="233"/>
        <v>49.285687810978558</v>
      </c>
      <c r="E1497" s="182">
        <v>0</v>
      </c>
      <c r="F1497" s="182">
        <f t="shared" ca="1" si="230"/>
        <v>0</v>
      </c>
      <c r="G1497" s="182">
        <f t="shared" ca="1" si="234"/>
        <v>0</v>
      </c>
      <c r="H1497" s="182">
        <f t="shared" ca="1" si="228"/>
        <v>73977.817404278816</v>
      </c>
      <c r="I1497" s="183">
        <v>0</v>
      </c>
      <c r="J1497" s="263">
        <f t="shared" ca="1" si="231"/>
        <v>73977.817404278816</v>
      </c>
      <c r="K1497" s="182"/>
      <c r="L1497" s="182"/>
      <c r="M1497" s="182"/>
      <c r="N1497" s="182"/>
      <c r="O1497" s="182"/>
    </row>
    <row r="1498" spans="1:15" x14ac:dyDescent="0.25">
      <c r="A1498" s="180">
        <f t="shared" ca="1" si="232"/>
        <v>47588</v>
      </c>
      <c r="B1498" s="181">
        <v>1484</v>
      </c>
      <c r="C1498" s="182">
        <f t="shared" ca="1" si="229"/>
        <v>73977.817404278816</v>
      </c>
      <c r="D1498" s="182">
        <f t="shared" ca="1" si="233"/>
        <v>49.318544936185873</v>
      </c>
      <c r="E1498" s="182">
        <v>0</v>
      </c>
      <c r="F1498" s="182">
        <f t="shared" ca="1" si="230"/>
        <v>0</v>
      </c>
      <c r="G1498" s="182">
        <f t="shared" ca="1" si="234"/>
        <v>0</v>
      </c>
      <c r="H1498" s="182">
        <f t="shared" ca="1" si="228"/>
        <v>74027.135949215008</v>
      </c>
      <c r="I1498" s="183">
        <v>0</v>
      </c>
      <c r="J1498" s="263">
        <f t="shared" ca="1" si="231"/>
        <v>74027.135949215008</v>
      </c>
      <c r="K1498" s="182"/>
      <c r="L1498" s="182"/>
      <c r="M1498" s="182"/>
      <c r="N1498" s="182"/>
      <c r="O1498" s="182"/>
    </row>
    <row r="1499" spans="1:15" x14ac:dyDescent="0.25">
      <c r="A1499" s="180">
        <f t="shared" ca="1" si="232"/>
        <v>47589</v>
      </c>
      <c r="B1499" s="181">
        <v>1485</v>
      </c>
      <c r="C1499" s="182">
        <f t="shared" ca="1" si="229"/>
        <v>74027.135949215008</v>
      </c>
      <c r="D1499" s="182">
        <f t="shared" ca="1" si="233"/>
        <v>49.351423966143336</v>
      </c>
      <c r="E1499" s="182">
        <v>0</v>
      </c>
      <c r="F1499" s="182">
        <f t="shared" ca="1" si="230"/>
        <v>0</v>
      </c>
      <c r="G1499" s="182">
        <f t="shared" ca="1" si="234"/>
        <v>0</v>
      </c>
      <c r="H1499" s="182">
        <f t="shared" ca="1" si="228"/>
        <v>74076.487373181153</v>
      </c>
      <c r="I1499" s="183">
        <v>0</v>
      </c>
      <c r="J1499" s="263">
        <f t="shared" ca="1" si="231"/>
        <v>74076.487373181153</v>
      </c>
      <c r="K1499" s="182"/>
      <c r="L1499" s="182"/>
      <c r="M1499" s="182"/>
      <c r="N1499" s="182"/>
      <c r="O1499" s="182"/>
    </row>
    <row r="1500" spans="1:15" x14ac:dyDescent="0.25">
      <c r="A1500" s="180">
        <f t="shared" ca="1" si="232"/>
        <v>47590</v>
      </c>
      <c r="B1500" s="181">
        <v>1486</v>
      </c>
      <c r="C1500" s="182">
        <f t="shared" ca="1" si="229"/>
        <v>74076.487373181153</v>
      </c>
      <c r="D1500" s="182">
        <f t="shared" ca="1" si="233"/>
        <v>49.384324915454101</v>
      </c>
      <c r="E1500" s="182">
        <v>0</v>
      </c>
      <c r="F1500" s="182">
        <f t="shared" ca="1" si="230"/>
        <v>0</v>
      </c>
      <c r="G1500" s="182">
        <f t="shared" ca="1" si="234"/>
        <v>0</v>
      </c>
      <c r="H1500" s="182">
        <f t="shared" ca="1" si="228"/>
        <v>74125.871698096613</v>
      </c>
      <c r="I1500" s="183">
        <v>0</v>
      </c>
      <c r="J1500" s="263">
        <f t="shared" ca="1" si="231"/>
        <v>74125.871698096613</v>
      </c>
      <c r="K1500" s="182"/>
      <c r="L1500" s="182"/>
      <c r="M1500" s="182"/>
      <c r="N1500" s="182"/>
      <c r="O1500" s="182"/>
    </row>
    <row r="1501" spans="1:15" x14ac:dyDescent="0.25">
      <c r="A1501" s="180">
        <f t="shared" ca="1" si="232"/>
        <v>47591</v>
      </c>
      <c r="B1501" s="181">
        <v>1487</v>
      </c>
      <c r="C1501" s="182">
        <f t="shared" ca="1" si="229"/>
        <v>74125.871698096613</v>
      </c>
      <c r="D1501" s="182">
        <f t="shared" ca="1" si="233"/>
        <v>49.417247798731076</v>
      </c>
      <c r="E1501" s="182">
        <v>0</v>
      </c>
      <c r="F1501" s="182">
        <f t="shared" ca="1" si="230"/>
        <v>0</v>
      </c>
      <c r="G1501" s="182">
        <f t="shared" ca="1" si="234"/>
        <v>0</v>
      </c>
      <c r="H1501" s="182">
        <f t="shared" ca="1" si="228"/>
        <v>74175.288945895343</v>
      </c>
      <c r="I1501" s="183">
        <v>0</v>
      </c>
      <c r="J1501" s="263">
        <f t="shared" ca="1" si="231"/>
        <v>74175.288945895343</v>
      </c>
      <c r="K1501" s="182"/>
      <c r="L1501" s="182"/>
      <c r="M1501" s="182"/>
      <c r="N1501" s="182"/>
      <c r="O1501" s="182"/>
    </row>
    <row r="1502" spans="1:15" x14ac:dyDescent="0.25">
      <c r="A1502" s="180">
        <f t="shared" ca="1" si="232"/>
        <v>47592</v>
      </c>
      <c r="B1502" s="181">
        <v>1488</v>
      </c>
      <c r="C1502" s="182">
        <f t="shared" ca="1" si="229"/>
        <v>74175.288945895343</v>
      </c>
      <c r="D1502" s="182">
        <f t="shared" ca="1" si="233"/>
        <v>49.450192630596895</v>
      </c>
      <c r="E1502" s="182">
        <v>0</v>
      </c>
      <c r="F1502" s="182">
        <f t="shared" ca="1" si="230"/>
        <v>0</v>
      </c>
      <c r="G1502" s="182">
        <f t="shared" ca="1" si="234"/>
        <v>0</v>
      </c>
      <c r="H1502" s="182">
        <f t="shared" ca="1" si="228"/>
        <v>74224.73913852594</v>
      </c>
      <c r="I1502" s="183">
        <v>0</v>
      </c>
      <c r="J1502" s="263">
        <f t="shared" ca="1" si="231"/>
        <v>74224.73913852594</v>
      </c>
      <c r="K1502" s="182"/>
      <c r="L1502" s="182"/>
      <c r="M1502" s="182"/>
      <c r="N1502" s="182"/>
      <c r="O1502" s="182"/>
    </row>
    <row r="1503" spans="1:15" x14ac:dyDescent="0.25">
      <c r="A1503" s="180">
        <f t="shared" ca="1" si="232"/>
        <v>47593</v>
      </c>
      <c r="B1503" s="181">
        <v>1489</v>
      </c>
      <c r="C1503" s="182">
        <f t="shared" ca="1" si="229"/>
        <v>74224.73913852594</v>
      </c>
      <c r="D1503" s="182">
        <f t="shared" ca="1" si="233"/>
        <v>49.483159425683958</v>
      </c>
      <c r="E1503" s="182">
        <v>0</v>
      </c>
      <c r="F1503" s="182">
        <f t="shared" ca="1" si="230"/>
        <v>0</v>
      </c>
      <c r="G1503" s="182">
        <f t="shared" ca="1" si="234"/>
        <v>0</v>
      </c>
      <c r="H1503" s="182">
        <f t="shared" ca="1" si="228"/>
        <v>74274.222297951623</v>
      </c>
      <c r="I1503" s="183">
        <v>0</v>
      </c>
      <c r="J1503" s="263">
        <f t="shared" ca="1" si="231"/>
        <v>74274.222297951623</v>
      </c>
      <c r="K1503" s="182"/>
      <c r="L1503" s="182"/>
      <c r="M1503" s="182"/>
      <c r="N1503" s="182"/>
      <c r="O1503" s="182"/>
    </row>
    <row r="1504" spans="1:15" x14ac:dyDescent="0.25">
      <c r="A1504" s="180">
        <f t="shared" ca="1" si="232"/>
        <v>47594</v>
      </c>
      <c r="B1504" s="181">
        <v>1490</v>
      </c>
      <c r="C1504" s="182">
        <f t="shared" ca="1" si="229"/>
        <v>74274.222297951623</v>
      </c>
      <c r="D1504" s="182">
        <f t="shared" ca="1" si="233"/>
        <v>49.516148198634411</v>
      </c>
      <c r="E1504" s="182">
        <v>0</v>
      </c>
      <c r="F1504" s="182">
        <f t="shared" ca="1" si="230"/>
        <v>0</v>
      </c>
      <c r="G1504" s="182">
        <f t="shared" ca="1" si="234"/>
        <v>0</v>
      </c>
      <c r="H1504" s="182">
        <f t="shared" ca="1" si="228"/>
        <v>74323.738446150252</v>
      </c>
      <c r="I1504" s="183">
        <v>0</v>
      </c>
      <c r="J1504" s="263">
        <f t="shared" ca="1" si="231"/>
        <v>74323.738446150252</v>
      </c>
      <c r="K1504" s="182"/>
      <c r="L1504" s="182"/>
      <c r="M1504" s="182"/>
      <c r="N1504" s="182"/>
      <c r="O1504" s="182"/>
    </row>
    <row r="1505" spans="1:15" x14ac:dyDescent="0.25">
      <c r="A1505" s="180">
        <f t="shared" ca="1" si="232"/>
        <v>47595</v>
      </c>
      <c r="B1505" s="181">
        <v>1491</v>
      </c>
      <c r="C1505" s="182">
        <f t="shared" ca="1" si="229"/>
        <v>74323.738446150252</v>
      </c>
      <c r="D1505" s="182">
        <f t="shared" ca="1" si="233"/>
        <v>49.549158964100165</v>
      </c>
      <c r="E1505" s="182">
        <v>0</v>
      </c>
      <c r="F1505" s="182">
        <f t="shared" ca="1" si="230"/>
        <v>0</v>
      </c>
      <c r="G1505" s="182">
        <f t="shared" ca="1" si="234"/>
        <v>0</v>
      </c>
      <c r="H1505" s="182">
        <f t="shared" ca="1" si="228"/>
        <v>74373.287605114354</v>
      </c>
      <c r="I1505" s="183">
        <v>0</v>
      </c>
      <c r="J1505" s="263">
        <f t="shared" ca="1" si="231"/>
        <v>74373.287605114354</v>
      </c>
      <c r="K1505" s="182"/>
      <c r="L1505" s="182"/>
      <c r="M1505" s="182"/>
      <c r="N1505" s="182"/>
      <c r="O1505" s="182"/>
    </row>
    <row r="1506" spans="1:15" x14ac:dyDescent="0.25">
      <c r="A1506" s="180">
        <f t="shared" ca="1" si="232"/>
        <v>47596</v>
      </c>
      <c r="B1506" s="181">
        <v>1492</v>
      </c>
      <c r="C1506" s="182">
        <f t="shared" ca="1" si="229"/>
        <v>74373.287605114354</v>
      </c>
      <c r="D1506" s="182">
        <f t="shared" ca="1" si="233"/>
        <v>49.582191736742899</v>
      </c>
      <c r="E1506" s="182">
        <v>0</v>
      </c>
      <c r="F1506" s="182">
        <f t="shared" ca="1" si="230"/>
        <v>0</v>
      </c>
      <c r="G1506" s="182">
        <f t="shared" ca="1" si="234"/>
        <v>0</v>
      </c>
      <c r="H1506" s="182">
        <f t="shared" ca="1" si="228"/>
        <v>74422.869796851097</v>
      </c>
      <c r="I1506" s="183">
        <v>0</v>
      </c>
      <c r="J1506" s="263">
        <f t="shared" ca="1" si="231"/>
        <v>74422.869796851097</v>
      </c>
      <c r="K1506" s="182"/>
      <c r="L1506" s="182"/>
      <c r="M1506" s="182"/>
      <c r="N1506" s="182"/>
      <c r="O1506" s="182"/>
    </row>
    <row r="1507" spans="1:15" x14ac:dyDescent="0.25">
      <c r="A1507" s="180">
        <f t="shared" ca="1" si="232"/>
        <v>47597</v>
      </c>
      <c r="B1507" s="181">
        <v>1493</v>
      </c>
      <c r="C1507" s="182">
        <f t="shared" ca="1" si="229"/>
        <v>74422.869796851097</v>
      </c>
      <c r="D1507" s="182">
        <f t="shared" ca="1" si="233"/>
        <v>49.615246531234064</v>
      </c>
      <c r="E1507" s="182">
        <v>0</v>
      </c>
      <c r="F1507" s="182">
        <f t="shared" ca="1" si="230"/>
        <v>0</v>
      </c>
      <c r="G1507" s="182">
        <f t="shared" ca="1" si="234"/>
        <v>0</v>
      </c>
      <c r="H1507" s="182">
        <f t="shared" ref="H1507:H1570" ca="1" si="235">IF(G1507&gt;0,C1507+F1507+I1507,SUM(C1507:F1507)-G1506)</f>
        <v>74472.48504338233</v>
      </c>
      <c r="I1507" s="183">
        <v>0</v>
      </c>
      <c r="J1507" s="263">
        <f t="shared" ca="1" si="231"/>
        <v>74472.48504338233</v>
      </c>
      <c r="K1507" s="182"/>
      <c r="L1507" s="182"/>
      <c r="M1507" s="182"/>
      <c r="N1507" s="182"/>
      <c r="O1507" s="182"/>
    </row>
    <row r="1508" spans="1:15" x14ac:dyDescent="0.25">
      <c r="A1508" s="180">
        <f t="shared" ca="1" si="232"/>
        <v>47598</v>
      </c>
      <c r="B1508" s="181">
        <v>1494</v>
      </c>
      <c r="C1508" s="182">
        <f t="shared" ca="1" si="229"/>
        <v>74472.48504338233</v>
      </c>
      <c r="D1508" s="182">
        <f t="shared" ca="1" si="233"/>
        <v>49.648323362254885</v>
      </c>
      <c r="E1508" s="182">
        <v>0</v>
      </c>
      <c r="F1508" s="182">
        <f t="shared" ca="1" si="230"/>
        <v>0</v>
      </c>
      <c r="G1508" s="182">
        <f t="shared" ca="1" si="234"/>
        <v>0</v>
      </c>
      <c r="H1508" s="182">
        <f t="shared" ca="1" si="235"/>
        <v>74522.133366744587</v>
      </c>
      <c r="I1508" s="183">
        <v>0</v>
      </c>
      <c r="J1508" s="263">
        <f t="shared" ca="1" si="231"/>
        <v>74522.133366744587</v>
      </c>
      <c r="K1508" s="182"/>
      <c r="L1508" s="182"/>
      <c r="M1508" s="182"/>
      <c r="N1508" s="182"/>
      <c r="O1508" s="182"/>
    </row>
    <row r="1509" spans="1:15" x14ac:dyDescent="0.25">
      <c r="A1509" s="180">
        <f t="shared" ca="1" si="232"/>
        <v>47599</v>
      </c>
      <c r="B1509" s="181">
        <v>1495</v>
      </c>
      <c r="C1509" s="182">
        <f t="shared" ca="1" si="229"/>
        <v>74522.133366744587</v>
      </c>
      <c r="D1509" s="182">
        <f t="shared" ca="1" si="233"/>
        <v>49.681422244496389</v>
      </c>
      <c r="E1509" s="182">
        <v>0</v>
      </c>
      <c r="F1509" s="182">
        <f t="shared" ca="1" si="230"/>
        <v>0</v>
      </c>
      <c r="G1509" s="182">
        <f t="shared" ca="1" si="234"/>
        <v>0</v>
      </c>
      <c r="H1509" s="182">
        <f t="shared" ca="1" si="235"/>
        <v>74571.814788989082</v>
      </c>
      <c r="I1509" s="183">
        <v>0</v>
      </c>
      <c r="J1509" s="263">
        <f t="shared" ca="1" si="231"/>
        <v>74571.814788989082</v>
      </c>
      <c r="K1509" s="182"/>
      <c r="L1509" s="182"/>
      <c r="M1509" s="182"/>
      <c r="N1509" s="182"/>
      <c r="O1509" s="182"/>
    </row>
    <row r="1510" spans="1:15" x14ac:dyDescent="0.25">
      <c r="A1510" s="180">
        <f t="shared" ca="1" si="232"/>
        <v>47600</v>
      </c>
      <c r="B1510" s="181">
        <v>1496</v>
      </c>
      <c r="C1510" s="182">
        <f t="shared" ca="1" si="229"/>
        <v>74571.814788989082</v>
      </c>
      <c r="D1510" s="182">
        <f t="shared" ca="1" si="233"/>
        <v>49.714543192659384</v>
      </c>
      <c r="E1510" s="182">
        <v>0</v>
      </c>
      <c r="F1510" s="182">
        <f t="shared" ca="1" si="230"/>
        <v>0</v>
      </c>
      <c r="G1510" s="182">
        <f t="shared" ca="1" si="234"/>
        <v>0</v>
      </c>
      <c r="H1510" s="182">
        <f t="shared" ca="1" si="235"/>
        <v>74621.529332181744</v>
      </c>
      <c r="I1510" s="183">
        <v>0</v>
      </c>
      <c r="J1510" s="263">
        <f t="shared" ca="1" si="231"/>
        <v>74621.529332181744</v>
      </c>
      <c r="K1510" s="182"/>
      <c r="L1510" s="182"/>
      <c r="M1510" s="182"/>
      <c r="N1510" s="182"/>
      <c r="O1510" s="182"/>
    </row>
    <row r="1511" spans="1:15" x14ac:dyDescent="0.25">
      <c r="A1511" s="180">
        <f t="shared" ca="1" si="232"/>
        <v>47601</v>
      </c>
      <c r="B1511" s="181">
        <v>1497</v>
      </c>
      <c r="C1511" s="182">
        <f t="shared" ca="1" si="229"/>
        <v>74621.529332181744</v>
      </c>
      <c r="D1511" s="182">
        <f t="shared" ca="1" si="233"/>
        <v>49.747686221454494</v>
      </c>
      <c r="E1511" s="182">
        <v>0</v>
      </c>
      <c r="F1511" s="182">
        <f t="shared" ca="1" si="230"/>
        <v>0</v>
      </c>
      <c r="G1511" s="182">
        <f t="shared" ca="1" si="234"/>
        <v>0</v>
      </c>
      <c r="H1511" s="182">
        <f t="shared" ca="1" si="235"/>
        <v>74671.277018403198</v>
      </c>
      <c r="I1511" s="183">
        <v>0</v>
      </c>
      <c r="J1511" s="263">
        <f t="shared" ca="1" si="231"/>
        <v>74671.277018403198</v>
      </c>
      <c r="K1511" s="182"/>
      <c r="L1511" s="182"/>
      <c r="M1511" s="182"/>
      <c r="N1511" s="182"/>
      <c r="O1511" s="182"/>
    </row>
    <row r="1512" spans="1:15" x14ac:dyDescent="0.25">
      <c r="A1512" s="180">
        <f t="shared" ca="1" si="232"/>
        <v>47602</v>
      </c>
      <c r="B1512" s="181">
        <v>1498</v>
      </c>
      <c r="C1512" s="182">
        <f t="shared" ca="1" si="229"/>
        <v>74671.277018403198</v>
      </c>
      <c r="D1512" s="182">
        <f t="shared" ca="1" si="233"/>
        <v>49.78085134560213</v>
      </c>
      <c r="E1512" s="182">
        <v>0</v>
      </c>
      <c r="F1512" s="182">
        <f t="shared" ca="1" si="230"/>
        <v>0</v>
      </c>
      <c r="G1512" s="182">
        <f t="shared" ca="1" si="234"/>
        <v>0</v>
      </c>
      <c r="H1512" s="182">
        <f t="shared" ca="1" si="235"/>
        <v>74721.057869748794</v>
      </c>
      <c r="I1512" s="183">
        <v>0</v>
      </c>
      <c r="J1512" s="263">
        <f t="shared" ca="1" si="231"/>
        <v>74721.057869748794</v>
      </c>
      <c r="K1512" s="182"/>
      <c r="L1512" s="182"/>
      <c r="M1512" s="182"/>
      <c r="N1512" s="182"/>
      <c r="O1512" s="182"/>
    </row>
    <row r="1513" spans="1:15" x14ac:dyDescent="0.25">
      <c r="A1513" s="180">
        <f t="shared" ca="1" si="232"/>
        <v>47603</v>
      </c>
      <c r="B1513" s="181">
        <v>1499</v>
      </c>
      <c r="C1513" s="182">
        <f t="shared" ca="1" si="229"/>
        <v>74721.057869748794</v>
      </c>
      <c r="D1513" s="182">
        <f t="shared" ca="1" si="233"/>
        <v>49.814038579832527</v>
      </c>
      <c r="E1513" s="182">
        <v>0</v>
      </c>
      <c r="F1513" s="182">
        <f t="shared" ca="1" si="230"/>
        <v>0</v>
      </c>
      <c r="G1513" s="182">
        <f t="shared" ca="1" si="234"/>
        <v>0</v>
      </c>
      <c r="H1513" s="182">
        <f t="shared" ca="1" si="235"/>
        <v>74770.871908328627</v>
      </c>
      <c r="I1513" s="183">
        <v>0</v>
      </c>
      <c r="J1513" s="263">
        <f t="shared" ca="1" si="231"/>
        <v>74770.871908328627</v>
      </c>
      <c r="K1513" s="182"/>
      <c r="L1513" s="182"/>
      <c r="M1513" s="182"/>
      <c r="N1513" s="182"/>
      <c r="O1513" s="182"/>
    </row>
    <row r="1514" spans="1:15" x14ac:dyDescent="0.25">
      <c r="A1514" s="180">
        <f t="shared" ca="1" si="232"/>
        <v>47604</v>
      </c>
      <c r="B1514" s="181">
        <v>1500</v>
      </c>
      <c r="C1514" s="182">
        <f t="shared" ca="1" si="229"/>
        <v>74770.871908328627</v>
      </c>
      <c r="D1514" s="182">
        <f t="shared" ca="1" si="233"/>
        <v>49.847247938885751</v>
      </c>
      <c r="E1514" s="182">
        <v>0</v>
      </c>
      <c r="F1514" s="182">
        <f t="shared" ca="1" si="230"/>
        <v>0</v>
      </c>
      <c r="G1514" s="182">
        <f t="shared" ca="1" si="234"/>
        <v>0</v>
      </c>
      <c r="H1514" s="182">
        <f t="shared" ca="1" si="235"/>
        <v>74820.719156267514</v>
      </c>
      <c r="I1514" s="183">
        <v>0</v>
      </c>
      <c r="J1514" s="263">
        <f t="shared" ca="1" si="231"/>
        <v>74820.719156267514</v>
      </c>
      <c r="K1514" s="182"/>
      <c r="L1514" s="182"/>
      <c r="M1514" s="182"/>
      <c r="N1514" s="182"/>
      <c r="O1514" s="182"/>
    </row>
    <row r="1515" spans="1:15" x14ac:dyDescent="0.25">
      <c r="A1515" s="180">
        <f t="shared" ca="1" si="232"/>
        <v>47605</v>
      </c>
      <c r="B1515" s="181">
        <v>1501</v>
      </c>
      <c r="C1515" s="182">
        <f t="shared" ref="C1515:C1578" ca="1" si="236">H1514</f>
        <v>74820.719156267514</v>
      </c>
      <c r="D1515" s="182">
        <f t="shared" ca="1" si="233"/>
        <v>49.880479437511674</v>
      </c>
      <c r="E1515" s="182">
        <v>0</v>
      </c>
      <c r="F1515" s="182">
        <f t="shared" ca="1" si="230"/>
        <v>0</v>
      </c>
      <c r="G1515" s="182">
        <f t="shared" ca="1" si="234"/>
        <v>0</v>
      </c>
      <c r="H1515" s="182">
        <f t="shared" ca="1" si="235"/>
        <v>74870.599635705032</v>
      </c>
      <c r="I1515" s="183">
        <v>0</v>
      </c>
      <c r="J1515" s="263">
        <f t="shared" ca="1" si="231"/>
        <v>74870.599635705032</v>
      </c>
      <c r="K1515" s="182"/>
      <c r="L1515" s="182"/>
      <c r="M1515" s="182"/>
      <c r="N1515" s="182"/>
      <c r="O1515" s="182"/>
    </row>
    <row r="1516" spans="1:15" x14ac:dyDescent="0.25">
      <c r="A1516" s="180">
        <f t="shared" ca="1" si="232"/>
        <v>47606</v>
      </c>
      <c r="B1516" s="181">
        <v>1502</v>
      </c>
      <c r="C1516" s="182">
        <f t="shared" ca="1" si="236"/>
        <v>74870.599635705032</v>
      </c>
      <c r="D1516" s="182">
        <f t="shared" ca="1" si="233"/>
        <v>49.913733090470018</v>
      </c>
      <c r="E1516" s="182">
        <v>0</v>
      </c>
      <c r="F1516" s="182">
        <f t="shared" ref="F1516:F1579" ca="1" si="237">IFERROR(-VLOOKUP(A1516,$P$4:$R$31,2,FALSE),0)</f>
        <v>0</v>
      </c>
      <c r="G1516" s="182">
        <f t="shared" ca="1" si="234"/>
        <v>0</v>
      </c>
      <c r="H1516" s="182">
        <f t="shared" ca="1" si="235"/>
        <v>74920.513368795495</v>
      </c>
      <c r="I1516" s="183">
        <v>0</v>
      </c>
      <c r="J1516" s="263">
        <f t="shared" ca="1" si="231"/>
        <v>74920.513368795495</v>
      </c>
      <c r="K1516" s="182"/>
      <c r="L1516" s="182"/>
      <c r="M1516" s="182"/>
      <c r="N1516" s="182"/>
      <c r="O1516" s="182"/>
    </row>
    <row r="1517" spans="1:15" x14ac:dyDescent="0.25">
      <c r="A1517" s="180">
        <f t="shared" ca="1" si="232"/>
        <v>47607</v>
      </c>
      <c r="B1517" s="181">
        <v>1503</v>
      </c>
      <c r="C1517" s="182">
        <f t="shared" ca="1" si="236"/>
        <v>74920.513368795495</v>
      </c>
      <c r="D1517" s="182">
        <f t="shared" ca="1" si="233"/>
        <v>49.947008912530329</v>
      </c>
      <c r="E1517" s="182">
        <v>0</v>
      </c>
      <c r="F1517" s="182">
        <f t="shared" ca="1" si="237"/>
        <v>0</v>
      </c>
      <c r="G1517" s="182">
        <f t="shared" ca="1" si="234"/>
        <v>0</v>
      </c>
      <c r="H1517" s="182">
        <f t="shared" ca="1" si="235"/>
        <v>74970.460377708019</v>
      </c>
      <c r="I1517" s="183">
        <v>0</v>
      </c>
      <c r="J1517" s="263">
        <f t="shared" ca="1" si="231"/>
        <v>74970.460377708019</v>
      </c>
      <c r="K1517" s="182"/>
      <c r="L1517" s="182"/>
      <c r="M1517" s="182"/>
      <c r="N1517" s="182"/>
      <c r="O1517" s="182"/>
    </row>
    <row r="1518" spans="1:15" x14ac:dyDescent="0.25">
      <c r="A1518" s="180">
        <f t="shared" ca="1" si="232"/>
        <v>47608</v>
      </c>
      <c r="B1518" s="181">
        <v>1504</v>
      </c>
      <c r="C1518" s="182">
        <f t="shared" ca="1" si="236"/>
        <v>74970.460377708019</v>
      </c>
      <c r="D1518" s="182">
        <f t="shared" ca="1" si="233"/>
        <v>49.98030691847201</v>
      </c>
      <c r="E1518" s="182">
        <v>0</v>
      </c>
      <c r="F1518" s="182">
        <f t="shared" ca="1" si="237"/>
        <v>0</v>
      </c>
      <c r="G1518" s="182">
        <f t="shared" ca="1" si="234"/>
        <v>0</v>
      </c>
      <c r="H1518" s="182">
        <f t="shared" ca="1" si="235"/>
        <v>75020.44068462649</v>
      </c>
      <c r="I1518" s="183">
        <v>0</v>
      </c>
      <c r="J1518" s="263">
        <f t="shared" ca="1" si="231"/>
        <v>75020.44068462649</v>
      </c>
      <c r="K1518" s="182"/>
      <c r="L1518" s="182"/>
      <c r="M1518" s="182"/>
      <c r="N1518" s="182"/>
      <c r="O1518" s="182"/>
    </row>
    <row r="1519" spans="1:15" x14ac:dyDescent="0.25">
      <c r="A1519" s="180">
        <f t="shared" ca="1" si="232"/>
        <v>47609</v>
      </c>
      <c r="B1519" s="181">
        <v>1505</v>
      </c>
      <c r="C1519" s="182">
        <f t="shared" ca="1" si="236"/>
        <v>75020.44068462649</v>
      </c>
      <c r="D1519" s="182">
        <f t="shared" ca="1" si="233"/>
        <v>50.013627123084326</v>
      </c>
      <c r="E1519" s="182">
        <v>0</v>
      </c>
      <c r="F1519" s="182">
        <f t="shared" ca="1" si="237"/>
        <v>0</v>
      </c>
      <c r="G1519" s="182">
        <f t="shared" ca="1" si="234"/>
        <v>0</v>
      </c>
      <c r="H1519" s="182">
        <f t="shared" ca="1" si="235"/>
        <v>75070.454311749578</v>
      </c>
      <c r="I1519" s="183">
        <v>0</v>
      </c>
      <c r="J1519" s="263">
        <f t="shared" ca="1" si="231"/>
        <v>75070.454311749578</v>
      </c>
      <c r="K1519" s="182"/>
      <c r="L1519" s="182"/>
      <c r="M1519" s="182"/>
      <c r="N1519" s="182"/>
      <c r="O1519" s="182"/>
    </row>
    <row r="1520" spans="1:15" x14ac:dyDescent="0.25">
      <c r="A1520" s="180">
        <f t="shared" ca="1" si="232"/>
        <v>47610</v>
      </c>
      <c r="B1520" s="181">
        <v>1506</v>
      </c>
      <c r="C1520" s="182">
        <f t="shared" ca="1" si="236"/>
        <v>75070.454311749578</v>
      </c>
      <c r="D1520" s="182">
        <f t="shared" ca="1" si="233"/>
        <v>50.046969541166384</v>
      </c>
      <c r="E1520" s="182">
        <v>0</v>
      </c>
      <c r="F1520" s="182">
        <f t="shared" ca="1" si="237"/>
        <v>0</v>
      </c>
      <c r="G1520" s="182">
        <f t="shared" ca="1" si="234"/>
        <v>0</v>
      </c>
      <c r="H1520" s="182">
        <f t="shared" ca="1" si="235"/>
        <v>75120.501281290737</v>
      </c>
      <c r="I1520" s="183">
        <v>0</v>
      </c>
      <c r="J1520" s="263">
        <f t="shared" ca="1" si="231"/>
        <v>75120.501281290737</v>
      </c>
      <c r="K1520" s="182"/>
      <c r="L1520" s="182"/>
      <c r="M1520" s="182"/>
      <c r="N1520" s="182"/>
      <c r="O1520" s="182"/>
    </row>
    <row r="1521" spans="1:15" x14ac:dyDescent="0.25">
      <c r="A1521" s="180">
        <f t="shared" ca="1" si="232"/>
        <v>47611</v>
      </c>
      <c r="B1521" s="181">
        <v>1507</v>
      </c>
      <c r="C1521" s="182">
        <f t="shared" ca="1" si="236"/>
        <v>75120.501281290737</v>
      </c>
      <c r="D1521" s="182">
        <f t="shared" ca="1" si="233"/>
        <v>50.080334187527157</v>
      </c>
      <c r="E1521" s="182">
        <v>0</v>
      </c>
      <c r="F1521" s="182">
        <f t="shared" ca="1" si="237"/>
        <v>0</v>
      </c>
      <c r="G1521" s="182">
        <f t="shared" ca="1" si="234"/>
        <v>0</v>
      </c>
      <c r="H1521" s="182">
        <f t="shared" ca="1" si="235"/>
        <v>75170.581615478266</v>
      </c>
      <c r="I1521" s="183">
        <v>0</v>
      </c>
      <c r="J1521" s="263">
        <f t="shared" ca="1" si="231"/>
        <v>75170.581615478266</v>
      </c>
      <c r="K1521" s="182"/>
      <c r="L1521" s="182"/>
      <c r="M1521" s="182"/>
      <c r="N1521" s="182"/>
      <c r="O1521" s="182"/>
    </row>
    <row r="1522" spans="1:15" x14ac:dyDescent="0.25">
      <c r="A1522" s="180">
        <f t="shared" ca="1" si="232"/>
        <v>47612</v>
      </c>
      <c r="B1522" s="181">
        <v>1508</v>
      </c>
      <c r="C1522" s="182">
        <f t="shared" ca="1" si="236"/>
        <v>75170.581615478266</v>
      </c>
      <c r="D1522" s="182">
        <f t="shared" ca="1" si="233"/>
        <v>50.113721076985506</v>
      </c>
      <c r="E1522" s="182">
        <v>0</v>
      </c>
      <c r="F1522" s="182">
        <f t="shared" ca="1" si="237"/>
        <v>0</v>
      </c>
      <c r="G1522" s="182">
        <f t="shared" ca="1" si="234"/>
        <v>0</v>
      </c>
      <c r="H1522" s="182">
        <f t="shared" ca="1" si="235"/>
        <v>75220.695336555247</v>
      </c>
      <c r="I1522" s="183">
        <v>0</v>
      </c>
      <c r="J1522" s="263">
        <f t="shared" ca="1" si="231"/>
        <v>75220.695336555247</v>
      </c>
      <c r="K1522" s="182"/>
      <c r="L1522" s="182"/>
      <c r="M1522" s="182"/>
      <c r="N1522" s="182"/>
      <c r="O1522" s="182"/>
    </row>
    <row r="1523" spans="1:15" x14ac:dyDescent="0.25">
      <c r="A1523" s="180">
        <f t="shared" ca="1" si="232"/>
        <v>47613</v>
      </c>
      <c r="B1523" s="181">
        <v>1509</v>
      </c>
      <c r="C1523" s="182">
        <f t="shared" ca="1" si="236"/>
        <v>75220.695336555247</v>
      </c>
      <c r="D1523" s="182">
        <f t="shared" ca="1" si="233"/>
        <v>50.147130224370166</v>
      </c>
      <c r="E1523" s="182">
        <v>0</v>
      </c>
      <c r="F1523" s="182">
        <f t="shared" ca="1" si="237"/>
        <v>0</v>
      </c>
      <c r="G1523" s="182">
        <f t="shared" ca="1" si="234"/>
        <v>0</v>
      </c>
      <c r="H1523" s="182">
        <f t="shared" ca="1" si="235"/>
        <v>75270.842466779621</v>
      </c>
      <c r="I1523" s="183">
        <v>0</v>
      </c>
      <c r="J1523" s="263">
        <f t="shared" ca="1" si="231"/>
        <v>75270.842466779621</v>
      </c>
      <c r="K1523" s="182"/>
      <c r="L1523" s="182"/>
      <c r="M1523" s="182"/>
      <c r="N1523" s="182"/>
      <c r="O1523" s="182"/>
    </row>
    <row r="1524" spans="1:15" x14ac:dyDescent="0.25">
      <c r="A1524" s="180">
        <f t="shared" ca="1" si="232"/>
        <v>47614</v>
      </c>
      <c r="B1524" s="181">
        <v>1510</v>
      </c>
      <c r="C1524" s="182">
        <f t="shared" ca="1" si="236"/>
        <v>75270.842466779621</v>
      </c>
      <c r="D1524" s="182">
        <f t="shared" ca="1" si="233"/>
        <v>50.180561644519749</v>
      </c>
      <c r="E1524" s="182">
        <v>0</v>
      </c>
      <c r="F1524" s="182">
        <f t="shared" ca="1" si="237"/>
        <v>0</v>
      </c>
      <c r="G1524" s="182">
        <f t="shared" ca="1" si="234"/>
        <v>0</v>
      </c>
      <c r="H1524" s="182">
        <f t="shared" ca="1" si="235"/>
        <v>75321.023028424141</v>
      </c>
      <c r="I1524" s="183">
        <v>0</v>
      </c>
      <c r="J1524" s="263">
        <f t="shared" ca="1" si="231"/>
        <v>75321.023028424141</v>
      </c>
      <c r="K1524" s="182"/>
      <c r="L1524" s="182"/>
      <c r="M1524" s="182"/>
      <c r="N1524" s="182"/>
      <c r="O1524" s="182"/>
    </row>
    <row r="1525" spans="1:15" x14ac:dyDescent="0.25">
      <c r="A1525" s="180">
        <f t="shared" ca="1" si="232"/>
        <v>47615</v>
      </c>
      <c r="B1525" s="181">
        <v>1511</v>
      </c>
      <c r="C1525" s="182">
        <f t="shared" ca="1" si="236"/>
        <v>75321.023028424141</v>
      </c>
      <c r="D1525" s="182">
        <f t="shared" ca="1" si="233"/>
        <v>50.214015352282757</v>
      </c>
      <c r="E1525" s="182">
        <v>0</v>
      </c>
      <c r="F1525" s="182">
        <f t="shared" ca="1" si="237"/>
        <v>0</v>
      </c>
      <c r="G1525" s="182">
        <f t="shared" ca="1" si="234"/>
        <v>0</v>
      </c>
      <c r="H1525" s="182">
        <f t="shared" ca="1" si="235"/>
        <v>75371.237043776418</v>
      </c>
      <c r="I1525" s="183">
        <v>0</v>
      </c>
      <c r="J1525" s="263">
        <f t="shared" ca="1" si="231"/>
        <v>75371.237043776418</v>
      </c>
      <c r="K1525" s="182"/>
      <c r="L1525" s="182"/>
      <c r="M1525" s="182"/>
      <c r="N1525" s="182"/>
      <c r="O1525" s="182"/>
    </row>
    <row r="1526" spans="1:15" x14ac:dyDescent="0.25">
      <c r="A1526" s="180">
        <f t="shared" ca="1" si="232"/>
        <v>47616</v>
      </c>
      <c r="B1526" s="181">
        <v>1512</v>
      </c>
      <c r="C1526" s="182">
        <f t="shared" ca="1" si="236"/>
        <v>75371.237043776418</v>
      </c>
      <c r="D1526" s="182">
        <f t="shared" ca="1" si="233"/>
        <v>50.247491362517607</v>
      </c>
      <c r="E1526" s="182">
        <v>0</v>
      </c>
      <c r="F1526" s="182">
        <f t="shared" ca="1" si="237"/>
        <v>0</v>
      </c>
      <c r="G1526" s="182">
        <f t="shared" ca="1" si="234"/>
        <v>0</v>
      </c>
      <c r="H1526" s="182">
        <f t="shared" ca="1" si="235"/>
        <v>75421.484535138938</v>
      </c>
      <c r="I1526" s="183">
        <v>0</v>
      </c>
      <c r="J1526" s="263">
        <f t="shared" ca="1" si="231"/>
        <v>75421.484535138938</v>
      </c>
      <c r="K1526" s="182"/>
      <c r="L1526" s="182"/>
      <c r="M1526" s="182"/>
      <c r="N1526" s="182"/>
      <c r="O1526" s="182"/>
    </row>
    <row r="1527" spans="1:15" x14ac:dyDescent="0.25">
      <c r="A1527" s="180">
        <f t="shared" ca="1" si="232"/>
        <v>47617</v>
      </c>
      <c r="B1527" s="181">
        <v>1513</v>
      </c>
      <c r="C1527" s="182">
        <f t="shared" ca="1" si="236"/>
        <v>75421.484535138938</v>
      </c>
      <c r="D1527" s="182">
        <f t="shared" ca="1" si="233"/>
        <v>50.280989690092625</v>
      </c>
      <c r="E1527" s="182">
        <v>0</v>
      </c>
      <c r="F1527" s="182">
        <f t="shared" ca="1" si="237"/>
        <v>0</v>
      </c>
      <c r="G1527" s="182">
        <f t="shared" ca="1" si="234"/>
        <v>0</v>
      </c>
      <c r="H1527" s="182">
        <f t="shared" ca="1" si="235"/>
        <v>75471.765524829025</v>
      </c>
      <c r="I1527" s="183">
        <v>0</v>
      </c>
      <c r="J1527" s="263">
        <f t="shared" ca="1" si="231"/>
        <v>75471.765524829025</v>
      </c>
      <c r="K1527" s="182"/>
      <c r="L1527" s="182"/>
      <c r="M1527" s="182"/>
      <c r="N1527" s="182"/>
      <c r="O1527" s="182"/>
    </row>
    <row r="1528" spans="1:15" x14ac:dyDescent="0.25">
      <c r="A1528" s="180">
        <f t="shared" ca="1" si="232"/>
        <v>47618</v>
      </c>
      <c r="B1528" s="181">
        <v>1514</v>
      </c>
      <c r="C1528" s="182">
        <f t="shared" ca="1" si="236"/>
        <v>75471.765524829025</v>
      </c>
      <c r="D1528" s="182">
        <f t="shared" ca="1" si="233"/>
        <v>50.314510349886014</v>
      </c>
      <c r="E1528" s="182">
        <v>0</v>
      </c>
      <c r="F1528" s="182">
        <f t="shared" ca="1" si="237"/>
        <v>0</v>
      </c>
      <c r="G1528" s="182">
        <f t="shared" ca="1" si="234"/>
        <v>0</v>
      </c>
      <c r="H1528" s="182">
        <f t="shared" ca="1" si="235"/>
        <v>75522.080035178908</v>
      </c>
      <c r="I1528" s="183">
        <v>0</v>
      </c>
      <c r="J1528" s="263">
        <f t="shared" ca="1" si="231"/>
        <v>75522.080035178908</v>
      </c>
      <c r="K1528" s="182"/>
      <c r="L1528" s="182"/>
      <c r="M1528" s="182"/>
      <c r="N1528" s="182"/>
      <c r="O1528" s="182"/>
    </row>
    <row r="1529" spans="1:15" x14ac:dyDescent="0.25">
      <c r="A1529" s="180">
        <f t="shared" ca="1" si="232"/>
        <v>47619</v>
      </c>
      <c r="B1529" s="181">
        <v>1515</v>
      </c>
      <c r="C1529" s="182">
        <f t="shared" ca="1" si="236"/>
        <v>75522.080035178908</v>
      </c>
      <c r="D1529" s="182">
        <f t="shared" ca="1" si="233"/>
        <v>50.34805335678594</v>
      </c>
      <c r="E1529" s="182">
        <v>0</v>
      </c>
      <c r="F1529" s="182">
        <f t="shared" ca="1" si="237"/>
        <v>0</v>
      </c>
      <c r="G1529" s="182">
        <f t="shared" ca="1" si="234"/>
        <v>0</v>
      </c>
      <c r="H1529" s="182">
        <f t="shared" ca="1" si="235"/>
        <v>75572.4280885357</v>
      </c>
      <c r="I1529" s="183">
        <v>0</v>
      </c>
      <c r="J1529" s="263">
        <f t="shared" ca="1" si="231"/>
        <v>75572.4280885357</v>
      </c>
      <c r="K1529" s="182"/>
      <c r="L1529" s="182"/>
      <c r="M1529" s="182"/>
      <c r="N1529" s="182"/>
      <c r="O1529" s="182"/>
    </row>
    <row r="1530" spans="1:15" x14ac:dyDescent="0.25">
      <c r="A1530" s="180">
        <f t="shared" ca="1" si="232"/>
        <v>47620</v>
      </c>
      <c r="B1530" s="181">
        <v>1516</v>
      </c>
      <c r="C1530" s="182">
        <f t="shared" ca="1" si="236"/>
        <v>75572.4280885357</v>
      </c>
      <c r="D1530" s="182">
        <f t="shared" ca="1" si="233"/>
        <v>50.381618725690466</v>
      </c>
      <c r="E1530" s="182">
        <v>0</v>
      </c>
      <c r="F1530" s="182">
        <f t="shared" ca="1" si="237"/>
        <v>0</v>
      </c>
      <c r="G1530" s="182">
        <f t="shared" ca="1" si="234"/>
        <v>0</v>
      </c>
      <c r="H1530" s="182">
        <f t="shared" ca="1" si="235"/>
        <v>75622.809707261389</v>
      </c>
      <c r="I1530" s="183">
        <v>0</v>
      </c>
      <c r="J1530" s="263">
        <f t="shared" ca="1" si="231"/>
        <v>75622.809707261389</v>
      </c>
      <c r="K1530" s="182"/>
      <c r="L1530" s="182"/>
      <c r="M1530" s="182"/>
      <c r="N1530" s="182"/>
      <c r="O1530" s="182"/>
    </row>
    <row r="1531" spans="1:15" x14ac:dyDescent="0.25">
      <c r="A1531" s="180">
        <f t="shared" ca="1" si="232"/>
        <v>47621</v>
      </c>
      <c r="B1531" s="181">
        <v>1517</v>
      </c>
      <c r="C1531" s="182">
        <f t="shared" ca="1" si="236"/>
        <v>75622.809707261389</v>
      </c>
      <c r="D1531" s="182">
        <f t="shared" ca="1" si="233"/>
        <v>50.415206471507588</v>
      </c>
      <c r="E1531" s="182">
        <v>0</v>
      </c>
      <c r="F1531" s="182">
        <f t="shared" ca="1" si="237"/>
        <v>0</v>
      </c>
      <c r="G1531" s="182">
        <f t="shared" ca="1" si="234"/>
        <v>0</v>
      </c>
      <c r="H1531" s="182">
        <f t="shared" ca="1" si="235"/>
        <v>75673.224913732891</v>
      </c>
      <c r="I1531" s="183">
        <v>0</v>
      </c>
      <c r="J1531" s="263">
        <f t="shared" ca="1" si="231"/>
        <v>75673.224913732891</v>
      </c>
      <c r="K1531" s="182"/>
      <c r="L1531" s="182"/>
      <c r="M1531" s="182"/>
      <c r="N1531" s="182"/>
      <c r="O1531" s="182"/>
    </row>
    <row r="1532" spans="1:15" x14ac:dyDescent="0.25">
      <c r="A1532" s="180">
        <f t="shared" ca="1" si="232"/>
        <v>47622</v>
      </c>
      <c r="B1532" s="181">
        <v>1518</v>
      </c>
      <c r="C1532" s="182">
        <f t="shared" ca="1" si="236"/>
        <v>75673.224913732891</v>
      </c>
      <c r="D1532" s="182">
        <f t="shared" ca="1" si="233"/>
        <v>50.448816609155259</v>
      </c>
      <c r="E1532" s="182">
        <v>0</v>
      </c>
      <c r="F1532" s="182">
        <f t="shared" ca="1" si="237"/>
        <v>0</v>
      </c>
      <c r="G1532" s="182">
        <f t="shared" ca="1" si="234"/>
        <v>0</v>
      </c>
      <c r="H1532" s="182">
        <f t="shared" ca="1" si="235"/>
        <v>75723.673730342052</v>
      </c>
      <c r="I1532" s="183">
        <v>0</v>
      </c>
      <c r="J1532" s="263">
        <f t="shared" ca="1" si="231"/>
        <v>75723.673730342052</v>
      </c>
      <c r="K1532" s="182"/>
      <c r="L1532" s="182"/>
      <c r="M1532" s="182"/>
      <c r="N1532" s="182"/>
      <c r="O1532" s="182"/>
    </row>
    <row r="1533" spans="1:15" x14ac:dyDescent="0.25">
      <c r="A1533" s="180">
        <f t="shared" ca="1" si="232"/>
        <v>47623</v>
      </c>
      <c r="B1533" s="181">
        <v>1519</v>
      </c>
      <c r="C1533" s="182">
        <f t="shared" ca="1" si="236"/>
        <v>75723.673730342052</v>
      </c>
      <c r="D1533" s="182">
        <f t="shared" ca="1" si="233"/>
        <v>50.482449153561369</v>
      </c>
      <c r="E1533" s="182">
        <v>0</v>
      </c>
      <c r="F1533" s="182">
        <f t="shared" ca="1" si="237"/>
        <v>0</v>
      </c>
      <c r="G1533" s="182">
        <f t="shared" ca="1" si="234"/>
        <v>0</v>
      </c>
      <c r="H1533" s="182">
        <f t="shared" ca="1" si="235"/>
        <v>75774.156179495607</v>
      </c>
      <c r="I1533" s="183">
        <v>0</v>
      </c>
      <c r="J1533" s="263">
        <f t="shared" ca="1" si="231"/>
        <v>75774.156179495607</v>
      </c>
      <c r="K1533" s="182"/>
      <c r="L1533" s="182"/>
      <c r="M1533" s="182"/>
      <c r="N1533" s="182"/>
      <c r="O1533" s="182"/>
    </row>
    <row r="1534" spans="1:15" x14ac:dyDescent="0.25">
      <c r="A1534" s="180">
        <f t="shared" ca="1" si="232"/>
        <v>47624</v>
      </c>
      <c r="B1534" s="181">
        <v>1520</v>
      </c>
      <c r="C1534" s="182">
        <f t="shared" ca="1" si="236"/>
        <v>75774.156179495607</v>
      </c>
      <c r="D1534" s="182">
        <f t="shared" ca="1" si="233"/>
        <v>50.516104119663737</v>
      </c>
      <c r="E1534" s="182">
        <v>0</v>
      </c>
      <c r="F1534" s="182">
        <f t="shared" ca="1" si="237"/>
        <v>0</v>
      </c>
      <c r="G1534" s="182">
        <f t="shared" ca="1" si="234"/>
        <v>0</v>
      </c>
      <c r="H1534" s="182">
        <f t="shared" ca="1" si="235"/>
        <v>75824.672283615277</v>
      </c>
      <c r="I1534" s="183">
        <v>0</v>
      </c>
      <c r="J1534" s="263">
        <f t="shared" ca="1" si="231"/>
        <v>75824.672283615277</v>
      </c>
      <c r="K1534" s="182"/>
      <c r="L1534" s="182"/>
      <c r="M1534" s="182"/>
      <c r="N1534" s="182"/>
      <c r="O1534" s="182"/>
    </row>
    <row r="1535" spans="1:15" x14ac:dyDescent="0.25">
      <c r="A1535" s="180">
        <f t="shared" ca="1" si="232"/>
        <v>47625</v>
      </c>
      <c r="B1535" s="181">
        <v>1521</v>
      </c>
      <c r="C1535" s="182">
        <f t="shared" ca="1" si="236"/>
        <v>75824.672283615277</v>
      </c>
      <c r="D1535" s="182">
        <f t="shared" ca="1" si="233"/>
        <v>50.549781522410186</v>
      </c>
      <c r="E1535" s="182">
        <v>0</v>
      </c>
      <c r="F1535" s="182">
        <f t="shared" ca="1" si="237"/>
        <v>0</v>
      </c>
      <c r="G1535" s="182">
        <f t="shared" ca="1" si="234"/>
        <v>0</v>
      </c>
      <c r="H1535" s="182">
        <f t="shared" ca="1" si="235"/>
        <v>75875.222065137685</v>
      </c>
      <c r="I1535" s="183">
        <v>0</v>
      </c>
      <c r="J1535" s="263">
        <f t="shared" ca="1" si="231"/>
        <v>75875.222065137685</v>
      </c>
      <c r="K1535" s="182"/>
      <c r="L1535" s="182"/>
      <c r="M1535" s="182"/>
      <c r="N1535" s="182"/>
      <c r="O1535" s="182"/>
    </row>
    <row r="1536" spans="1:15" x14ac:dyDescent="0.25">
      <c r="A1536" s="180">
        <f t="shared" ca="1" si="232"/>
        <v>47626</v>
      </c>
      <c r="B1536" s="181">
        <v>1522</v>
      </c>
      <c r="C1536" s="182">
        <f t="shared" ca="1" si="236"/>
        <v>75875.222065137685</v>
      </c>
      <c r="D1536" s="182">
        <f t="shared" ca="1" si="233"/>
        <v>50.583481376758456</v>
      </c>
      <c r="E1536" s="182">
        <v>0</v>
      </c>
      <c r="F1536" s="182">
        <f t="shared" ca="1" si="237"/>
        <v>0</v>
      </c>
      <c r="G1536" s="182">
        <f t="shared" ca="1" si="234"/>
        <v>0</v>
      </c>
      <c r="H1536" s="182">
        <f t="shared" ca="1" si="235"/>
        <v>75925.805546514443</v>
      </c>
      <c r="I1536" s="183">
        <v>0</v>
      </c>
      <c r="J1536" s="263">
        <f t="shared" ca="1" si="231"/>
        <v>75925.805546514443</v>
      </c>
      <c r="K1536" s="182"/>
      <c r="L1536" s="182"/>
      <c r="M1536" s="182"/>
      <c r="N1536" s="182"/>
      <c r="O1536" s="182"/>
    </row>
    <row r="1537" spans="1:15" x14ac:dyDescent="0.25">
      <c r="A1537" s="180">
        <f t="shared" ca="1" si="232"/>
        <v>47627</v>
      </c>
      <c r="B1537" s="181">
        <v>1523</v>
      </c>
      <c r="C1537" s="182">
        <f t="shared" ca="1" si="236"/>
        <v>75925.805546514443</v>
      </c>
      <c r="D1537" s="182">
        <f t="shared" ca="1" si="233"/>
        <v>50.617203697676295</v>
      </c>
      <c r="E1537" s="182">
        <v>0</v>
      </c>
      <c r="F1537" s="182">
        <f t="shared" ca="1" si="237"/>
        <v>0</v>
      </c>
      <c r="G1537" s="182">
        <f t="shared" ca="1" si="234"/>
        <v>0</v>
      </c>
      <c r="H1537" s="182">
        <f t="shared" ca="1" si="235"/>
        <v>75976.422750212121</v>
      </c>
      <c r="I1537" s="183">
        <v>0</v>
      </c>
      <c r="J1537" s="263">
        <f t="shared" ca="1" si="231"/>
        <v>75976.422750212121</v>
      </c>
      <c r="K1537" s="182"/>
      <c r="L1537" s="182"/>
      <c r="M1537" s="182"/>
      <c r="N1537" s="182"/>
      <c r="O1537" s="182"/>
    </row>
    <row r="1538" spans="1:15" x14ac:dyDescent="0.25">
      <c r="A1538" s="180">
        <f t="shared" ca="1" si="232"/>
        <v>47628</v>
      </c>
      <c r="B1538" s="181">
        <v>1524</v>
      </c>
      <c r="C1538" s="182">
        <f t="shared" ca="1" si="236"/>
        <v>75976.422750212121</v>
      </c>
      <c r="D1538" s="182">
        <f t="shared" ca="1" si="233"/>
        <v>50.650948500141411</v>
      </c>
      <c r="E1538" s="182">
        <v>0</v>
      </c>
      <c r="F1538" s="182">
        <f t="shared" ca="1" si="237"/>
        <v>0</v>
      </c>
      <c r="G1538" s="182">
        <f t="shared" ca="1" si="234"/>
        <v>0</v>
      </c>
      <c r="H1538" s="182">
        <f t="shared" ca="1" si="235"/>
        <v>76027.073698712265</v>
      </c>
      <c r="I1538" s="183">
        <v>0</v>
      </c>
      <c r="J1538" s="263">
        <f t="shared" ca="1" si="231"/>
        <v>76027.073698712265</v>
      </c>
      <c r="K1538" s="182"/>
      <c r="L1538" s="182"/>
      <c r="M1538" s="182"/>
      <c r="N1538" s="182"/>
      <c r="O1538" s="182"/>
    </row>
    <row r="1539" spans="1:15" x14ac:dyDescent="0.25">
      <c r="A1539" s="180">
        <f t="shared" ca="1" si="232"/>
        <v>47629</v>
      </c>
      <c r="B1539" s="181">
        <v>1525</v>
      </c>
      <c r="C1539" s="182">
        <f t="shared" ca="1" si="236"/>
        <v>76027.073698712265</v>
      </c>
      <c r="D1539" s="182">
        <f t="shared" ca="1" si="233"/>
        <v>50.684715799141507</v>
      </c>
      <c r="E1539" s="182">
        <v>0</v>
      </c>
      <c r="F1539" s="182">
        <f t="shared" ca="1" si="237"/>
        <v>0</v>
      </c>
      <c r="G1539" s="182">
        <f t="shared" ca="1" si="234"/>
        <v>0</v>
      </c>
      <c r="H1539" s="182">
        <f t="shared" ca="1" si="235"/>
        <v>76077.758414511409</v>
      </c>
      <c r="I1539" s="183">
        <v>0</v>
      </c>
      <c r="J1539" s="263">
        <f t="shared" ca="1" si="231"/>
        <v>76077.758414511409</v>
      </c>
      <c r="K1539" s="182"/>
      <c r="L1539" s="182"/>
      <c r="M1539" s="182"/>
      <c r="N1539" s="182"/>
      <c r="O1539" s="182"/>
    </row>
    <row r="1540" spans="1:15" x14ac:dyDescent="0.25">
      <c r="A1540" s="180">
        <f t="shared" ca="1" si="232"/>
        <v>47630</v>
      </c>
      <c r="B1540" s="181">
        <v>1526</v>
      </c>
      <c r="C1540" s="182">
        <f t="shared" ca="1" si="236"/>
        <v>76077.758414511409</v>
      </c>
      <c r="D1540" s="182">
        <f t="shared" ca="1" si="233"/>
        <v>50.718505609674274</v>
      </c>
      <c r="E1540" s="182">
        <v>0</v>
      </c>
      <c r="F1540" s="182">
        <f t="shared" ca="1" si="237"/>
        <v>0</v>
      </c>
      <c r="G1540" s="182">
        <f t="shared" ca="1" si="234"/>
        <v>0</v>
      </c>
      <c r="H1540" s="182">
        <f t="shared" ca="1" si="235"/>
        <v>76128.476920121087</v>
      </c>
      <c r="I1540" s="183">
        <v>0</v>
      </c>
      <c r="J1540" s="263">
        <f t="shared" ca="1" si="231"/>
        <v>76128.476920121087</v>
      </c>
      <c r="K1540" s="182"/>
      <c r="L1540" s="182"/>
      <c r="M1540" s="182"/>
      <c r="N1540" s="182"/>
      <c r="O1540" s="182"/>
    </row>
    <row r="1541" spans="1:15" x14ac:dyDescent="0.25">
      <c r="A1541" s="180">
        <f t="shared" ca="1" si="232"/>
        <v>47631</v>
      </c>
      <c r="B1541" s="181">
        <v>1527</v>
      </c>
      <c r="C1541" s="182">
        <f t="shared" ca="1" si="236"/>
        <v>76128.476920121087</v>
      </c>
      <c r="D1541" s="182">
        <f t="shared" ca="1" si="233"/>
        <v>50.752317946747389</v>
      </c>
      <c r="E1541" s="182">
        <v>0</v>
      </c>
      <c r="F1541" s="182">
        <f t="shared" ca="1" si="237"/>
        <v>0</v>
      </c>
      <c r="G1541" s="182">
        <f t="shared" ca="1" si="234"/>
        <v>0</v>
      </c>
      <c r="H1541" s="182">
        <f t="shared" ca="1" si="235"/>
        <v>76179.229238067841</v>
      </c>
      <c r="I1541" s="183">
        <v>0</v>
      </c>
      <c r="J1541" s="263">
        <f t="shared" ca="1" si="231"/>
        <v>76179.229238067841</v>
      </c>
      <c r="K1541" s="182"/>
      <c r="L1541" s="182"/>
      <c r="M1541" s="182"/>
      <c r="N1541" s="182"/>
      <c r="O1541" s="182"/>
    </row>
    <row r="1542" spans="1:15" x14ac:dyDescent="0.25">
      <c r="A1542" s="180">
        <f t="shared" ca="1" si="232"/>
        <v>47632</v>
      </c>
      <c r="B1542" s="181">
        <v>1528</v>
      </c>
      <c r="C1542" s="182">
        <f t="shared" ca="1" si="236"/>
        <v>76179.229238067841</v>
      </c>
      <c r="D1542" s="182">
        <f t="shared" ca="1" si="233"/>
        <v>50.786152825378558</v>
      </c>
      <c r="E1542" s="182">
        <v>0</v>
      </c>
      <c r="F1542" s="182">
        <f t="shared" ca="1" si="237"/>
        <v>0</v>
      </c>
      <c r="G1542" s="182">
        <f t="shared" ca="1" si="234"/>
        <v>0</v>
      </c>
      <c r="H1542" s="182">
        <f t="shared" ca="1" si="235"/>
        <v>76230.015390893226</v>
      </c>
      <c r="I1542" s="183">
        <v>0</v>
      </c>
      <c r="J1542" s="263">
        <f t="shared" ca="1" si="231"/>
        <v>76230.015390893226</v>
      </c>
      <c r="K1542" s="182"/>
      <c r="L1542" s="182"/>
      <c r="M1542" s="182"/>
      <c r="N1542" s="182"/>
      <c r="O1542" s="182"/>
    </row>
    <row r="1543" spans="1:15" x14ac:dyDescent="0.25">
      <c r="A1543" s="180">
        <f t="shared" ca="1" si="232"/>
        <v>47633</v>
      </c>
      <c r="B1543" s="181">
        <v>1529</v>
      </c>
      <c r="C1543" s="182">
        <f t="shared" ca="1" si="236"/>
        <v>76230.015390893226</v>
      </c>
      <c r="D1543" s="182">
        <f t="shared" ca="1" si="233"/>
        <v>50.820010260595481</v>
      </c>
      <c r="E1543" s="182">
        <v>0</v>
      </c>
      <c r="F1543" s="182">
        <f t="shared" ca="1" si="237"/>
        <v>0</v>
      </c>
      <c r="G1543" s="182">
        <f t="shared" ca="1" si="234"/>
        <v>0</v>
      </c>
      <c r="H1543" s="182">
        <f t="shared" ca="1" si="235"/>
        <v>76280.835401153818</v>
      </c>
      <c r="I1543" s="183">
        <v>0</v>
      </c>
      <c r="J1543" s="263">
        <f t="shared" ca="1" si="231"/>
        <v>76280.835401153818</v>
      </c>
      <c r="K1543" s="182"/>
      <c r="L1543" s="182"/>
      <c r="M1543" s="182"/>
      <c r="N1543" s="182"/>
      <c r="O1543" s="182"/>
    </row>
    <row r="1544" spans="1:15" x14ac:dyDescent="0.25">
      <c r="A1544" s="180">
        <f t="shared" ca="1" si="232"/>
        <v>47634</v>
      </c>
      <c r="B1544" s="181">
        <v>1530</v>
      </c>
      <c r="C1544" s="182">
        <f t="shared" ca="1" si="236"/>
        <v>76280.835401153818</v>
      </c>
      <c r="D1544" s="182">
        <f t="shared" ca="1" si="233"/>
        <v>50.853890267435879</v>
      </c>
      <c r="E1544" s="182">
        <v>0</v>
      </c>
      <c r="F1544" s="182">
        <f t="shared" ca="1" si="237"/>
        <v>0</v>
      </c>
      <c r="G1544" s="182">
        <f t="shared" ca="1" si="234"/>
        <v>0</v>
      </c>
      <c r="H1544" s="182">
        <f t="shared" ca="1" si="235"/>
        <v>76331.689291421251</v>
      </c>
      <c r="I1544" s="183">
        <v>0</v>
      </c>
      <c r="J1544" s="263">
        <f t="shared" ca="1" si="231"/>
        <v>76331.689291421251</v>
      </c>
      <c r="K1544" s="182"/>
      <c r="L1544" s="182"/>
      <c r="M1544" s="182"/>
      <c r="N1544" s="182"/>
      <c r="O1544" s="182"/>
    </row>
    <row r="1545" spans="1:15" x14ac:dyDescent="0.25">
      <c r="A1545" s="180">
        <f t="shared" ca="1" si="232"/>
        <v>47635</v>
      </c>
      <c r="B1545" s="181">
        <v>1531</v>
      </c>
      <c r="C1545" s="182">
        <f t="shared" ca="1" si="236"/>
        <v>76331.689291421251</v>
      </c>
      <c r="D1545" s="182">
        <f t="shared" ca="1" si="233"/>
        <v>50.887792860947499</v>
      </c>
      <c r="E1545" s="182">
        <v>0</v>
      </c>
      <c r="F1545" s="182">
        <f t="shared" ca="1" si="237"/>
        <v>0</v>
      </c>
      <c r="G1545" s="182">
        <f t="shared" ca="1" si="234"/>
        <v>0</v>
      </c>
      <c r="H1545" s="182">
        <f t="shared" ca="1" si="235"/>
        <v>76382.577084282195</v>
      </c>
      <c r="I1545" s="183">
        <v>0</v>
      </c>
      <c r="J1545" s="263">
        <f t="shared" ca="1" si="231"/>
        <v>76382.577084282195</v>
      </c>
      <c r="K1545" s="182"/>
      <c r="L1545" s="182"/>
      <c r="M1545" s="182"/>
      <c r="N1545" s="182"/>
      <c r="O1545" s="182"/>
    </row>
    <row r="1546" spans="1:15" x14ac:dyDescent="0.25">
      <c r="A1546" s="180">
        <f t="shared" ca="1" si="232"/>
        <v>47636</v>
      </c>
      <c r="B1546" s="181">
        <v>1532</v>
      </c>
      <c r="C1546" s="182">
        <f t="shared" ca="1" si="236"/>
        <v>76382.577084282195</v>
      </c>
      <c r="D1546" s="182">
        <f t="shared" ca="1" si="233"/>
        <v>50.921718056188126</v>
      </c>
      <c r="E1546" s="182">
        <v>0</v>
      </c>
      <c r="F1546" s="182">
        <f t="shared" ca="1" si="237"/>
        <v>0</v>
      </c>
      <c r="G1546" s="182">
        <f t="shared" ca="1" si="234"/>
        <v>0</v>
      </c>
      <c r="H1546" s="182">
        <f t="shared" ca="1" si="235"/>
        <v>76433.498802338378</v>
      </c>
      <c r="I1546" s="183">
        <v>0</v>
      </c>
      <c r="J1546" s="263">
        <f t="shared" ca="1" si="231"/>
        <v>76433.498802338378</v>
      </c>
      <c r="K1546" s="182"/>
      <c r="L1546" s="182"/>
      <c r="M1546" s="182"/>
      <c r="N1546" s="182"/>
      <c r="O1546" s="182"/>
    </row>
    <row r="1547" spans="1:15" x14ac:dyDescent="0.25">
      <c r="A1547" s="180">
        <f t="shared" ca="1" si="232"/>
        <v>47637</v>
      </c>
      <c r="B1547" s="181">
        <v>1533</v>
      </c>
      <c r="C1547" s="182">
        <f t="shared" ca="1" si="236"/>
        <v>76433.498802338378</v>
      </c>
      <c r="D1547" s="182">
        <f t="shared" ca="1" si="233"/>
        <v>50.95566586822558</v>
      </c>
      <c r="E1547" s="182">
        <v>0</v>
      </c>
      <c r="F1547" s="182">
        <f t="shared" ca="1" si="237"/>
        <v>0</v>
      </c>
      <c r="G1547" s="182">
        <f t="shared" ca="1" si="234"/>
        <v>0</v>
      </c>
      <c r="H1547" s="182">
        <f t="shared" ca="1" si="235"/>
        <v>76484.454468206604</v>
      </c>
      <c r="I1547" s="183">
        <v>0</v>
      </c>
      <c r="J1547" s="263">
        <f t="shared" ca="1" si="231"/>
        <v>76484.454468206604</v>
      </c>
      <c r="K1547" s="182"/>
      <c r="L1547" s="182"/>
      <c r="M1547" s="182"/>
      <c r="N1547" s="182"/>
      <c r="O1547" s="182"/>
    </row>
    <row r="1548" spans="1:15" x14ac:dyDescent="0.25">
      <c r="A1548" s="180">
        <f t="shared" ca="1" si="232"/>
        <v>47638</v>
      </c>
      <c r="B1548" s="181">
        <v>1534</v>
      </c>
      <c r="C1548" s="182">
        <f t="shared" ca="1" si="236"/>
        <v>76484.454468206604</v>
      </c>
      <c r="D1548" s="182">
        <f t="shared" ca="1" si="233"/>
        <v>50.989636312137733</v>
      </c>
      <c r="E1548" s="182">
        <v>0</v>
      </c>
      <c r="F1548" s="182">
        <f t="shared" ca="1" si="237"/>
        <v>0</v>
      </c>
      <c r="G1548" s="182">
        <f t="shared" ca="1" si="234"/>
        <v>0</v>
      </c>
      <c r="H1548" s="182">
        <f t="shared" ca="1" si="235"/>
        <v>76535.444104518741</v>
      </c>
      <c r="I1548" s="183">
        <v>0</v>
      </c>
      <c r="J1548" s="263">
        <f t="shared" ca="1" si="231"/>
        <v>76535.444104518741</v>
      </c>
      <c r="K1548" s="182"/>
      <c r="L1548" s="182"/>
      <c r="M1548" s="182"/>
      <c r="N1548" s="182"/>
      <c r="O1548" s="182"/>
    </row>
    <row r="1549" spans="1:15" x14ac:dyDescent="0.25">
      <c r="A1549" s="180">
        <f t="shared" ca="1" si="232"/>
        <v>47639</v>
      </c>
      <c r="B1549" s="181">
        <v>1535</v>
      </c>
      <c r="C1549" s="182">
        <f t="shared" ca="1" si="236"/>
        <v>76535.444104518741</v>
      </c>
      <c r="D1549" s="182">
        <f t="shared" ca="1" si="233"/>
        <v>51.023629403012492</v>
      </c>
      <c r="E1549" s="182">
        <v>0</v>
      </c>
      <c r="F1549" s="182">
        <f t="shared" ca="1" si="237"/>
        <v>0</v>
      </c>
      <c r="G1549" s="182">
        <f t="shared" ca="1" si="234"/>
        <v>0</v>
      </c>
      <c r="H1549" s="182">
        <f t="shared" ca="1" si="235"/>
        <v>76586.46773392176</v>
      </c>
      <c r="I1549" s="183">
        <v>0</v>
      </c>
      <c r="J1549" s="263">
        <f t="shared" ca="1" si="231"/>
        <v>76586.46773392176</v>
      </c>
      <c r="K1549" s="182"/>
      <c r="L1549" s="182"/>
      <c r="M1549" s="182"/>
      <c r="N1549" s="182"/>
      <c r="O1549" s="182"/>
    </row>
    <row r="1550" spans="1:15" x14ac:dyDescent="0.25">
      <c r="A1550" s="180">
        <f t="shared" ca="1" si="232"/>
        <v>47640</v>
      </c>
      <c r="B1550" s="181">
        <v>1536</v>
      </c>
      <c r="C1550" s="182">
        <f t="shared" ca="1" si="236"/>
        <v>76586.46773392176</v>
      </c>
      <c r="D1550" s="182">
        <f t="shared" ca="1" si="233"/>
        <v>51.057645155947839</v>
      </c>
      <c r="E1550" s="182">
        <v>0</v>
      </c>
      <c r="F1550" s="182">
        <f t="shared" ca="1" si="237"/>
        <v>0</v>
      </c>
      <c r="G1550" s="182">
        <f t="shared" ca="1" si="234"/>
        <v>0</v>
      </c>
      <c r="H1550" s="182">
        <f t="shared" ca="1" si="235"/>
        <v>76637.525379077706</v>
      </c>
      <c r="I1550" s="183">
        <v>0</v>
      </c>
      <c r="J1550" s="263">
        <f t="shared" ca="1" si="231"/>
        <v>76637.525379077706</v>
      </c>
      <c r="K1550" s="182"/>
      <c r="L1550" s="182"/>
      <c r="M1550" s="182"/>
      <c r="N1550" s="182"/>
      <c r="O1550" s="182"/>
    </row>
    <row r="1551" spans="1:15" x14ac:dyDescent="0.25">
      <c r="A1551" s="180">
        <f t="shared" ca="1" si="232"/>
        <v>47641</v>
      </c>
      <c r="B1551" s="181">
        <v>1537</v>
      </c>
      <c r="C1551" s="182">
        <f t="shared" ca="1" si="236"/>
        <v>76637.525379077706</v>
      </c>
      <c r="D1551" s="182">
        <f t="shared" ca="1" si="233"/>
        <v>51.091683586051801</v>
      </c>
      <c r="E1551" s="182">
        <v>0</v>
      </c>
      <c r="F1551" s="182">
        <f t="shared" ca="1" si="237"/>
        <v>0</v>
      </c>
      <c r="G1551" s="182">
        <f t="shared" ca="1" si="234"/>
        <v>0</v>
      </c>
      <c r="H1551" s="182">
        <f t="shared" ca="1" si="235"/>
        <v>76688.617062663761</v>
      </c>
      <c r="I1551" s="183">
        <v>0</v>
      </c>
      <c r="J1551" s="263">
        <f t="shared" ref="J1551:J1614" ca="1" si="238">H1551-IF(I$8-G1551&lt;Q$42,I$8-Q$42,G1551)</f>
        <v>76688.617062663761</v>
      </c>
      <c r="K1551" s="182"/>
      <c r="L1551" s="182"/>
      <c r="M1551" s="182"/>
      <c r="N1551" s="182"/>
      <c r="O1551" s="182"/>
    </row>
    <row r="1552" spans="1:15" x14ac:dyDescent="0.25">
      <c r="A1552" s="180">
        <f t="shared" ca="1" si="232"/>
        <v>47642</v>
      </c>
      <c r="B1552" s="181">
        <v>1538</v>
      </c>
      <c r="C1552" s="182">
        <f t="shared" ca="1" si="236"/>
        <v>76688.617062663761</v>
      </c>
      <c r="D1552" s="182">
        <f t="shared" ca="1" si="233"/>
        <v>51.125744708442504</v>
      </c>
      <c r="E1552" s="182">
        <v>0</v>
      </c>
      <c r="F1552" s="182">
        <f t="shared" ca="1" si="237"/>
        <v>0</v>
      </c>
      <c r="G1552" s="182">
        <f t="shared" ca="1" si="234"/>
        <v>0</v>
      </c>
      <c r="H1552" s="182">
        <f t="shared" ca="1" si="235"/>
        <v>76739.742807372197</v>
      </c>
      <c r="I1552" s="183">
        <v>0</v>
      </c>
      <c r="J1552" s="263">
        <f t="shared" ca="1" si="238"/>
        <v>76739.742807372197</v>
      </c>
      <c r="K1552" s="182"/>
      <c r="L1552" s="182"/>
      <c r="M1552" s="182"/>
      <c r="N1552" s="182"/>
      <c r="O1552" s="182"/>
    </row>
    <row r="1553" spans="1:15" x14ac:dyDescent="0.25">
      <c r="A1553" s="180">
        <f t="shared" ref="A1553:A1616" ca="1" si="239">A1552+1</f>
        <v>47643</v>
      </c>
      <c r="B1553" s="181">
        <v>1539</v>
      </c>
      <c r="C1553" s="182">
        <f t="shared" ca="1" si="236"/>
        <v>76739.742807372197</v>
      </c>
      <c r="D1553" s="182">
        <f t="shared" ref="D1553:D1616" ca="1" si="240">(($C$6/360))*C1553</f>
        <v>51.159828538248128</v>
      </c>
      <c r="E1553" s="182">
        <v>0</v>
      </c>
      <c r="F1553" s="182">
        <f t="shared" ca="1" si="237"/>
        <v>0</v>
      </c>
      <c r="G1553" s="182">
        <f t="shared" ref="G1553:G1616" ca="1" si="241">IF(G1552-D1553-E1553&gt;0,G1552-D1553-E1553,0)</f>
        <v>0</v>
      </c>
      <c r="H1553" s="182">
        <f t="shared" ca="1" si="235"/>
        <v>76790.902635910446</v>
      </c>
      <c r="I1553" s="183">
        <v>0</v>
      </c>
      <c r="J1553" s="263">
        <f t="shared" ca="1" si="238"/>
        <v>76790.902635910446</v>
      </c>
      <c r="K1553" s="182"/>
      <c r="L1553" s="182"/>
      <c r="M1553" s="182"/>
      <c r="N1553" s="182"/>
      <c r="O1553" s="182"/>
    </row>
    <row r="1554" spans="1:15" x14ac:dyDescent="0.25">
      <c r="A1554" s="180">
        <f t="shared" ca="1" si="239"/>
        <v>47644</v>
      </c>
      <c r="B1554" s="181">
        <v>1540</v>
      </c>
      <c r="C1554" s="182">
        <f t="shared" ca="1" si="236"/>
        <v>76790.902635910446</v>
      </c>
      <c r="D1554" s="182">
        <f t="shared" ca="1" si="240"/>
        <v>51.193935090606963</v>
      </c>
      <c r="E1554" s="182">
        <v>0</v>
      </c>
      <c r="F1554" s="182">
        <f t="shared" ca="1" si="237"/>
        <v>0</v>
      </c>
      <c r="G1554" s="182">
        <f t="shared" ca="1" si="241"/>
        <v>0</v>
      </c>
      <c r="H1554" s="182">
        <f t="shared" ca="1" si="235"/>
        <v>76842.09657100105</v>
      </c>
      <c r="I1554" s="183">
        <v>0</v>
      </c>
      <c r="J1554" s="263">
        <f t="shared" ca="1" si="238"/>
        <v>76842.09657100105</v>
      </c>
      <c r="K1554" s="182"/>
      <c r="L1554" s="182"/>
      <c r="M1554" s="182"/>
      <c r="N1554" s="182"/>
      <c r="O1554" s="182"/>
    </row>
    <row r="1555" spans="1:15" x14ac:dyDescent="0.25">
      <c r="A1555" s="180">
        <f t="shared" ca="1" si="239"/>
        <v>47645</v>
      </c>
      <c r="B1555" s="181">
        <v>1541</v>
      </c>
      <c r="C1555" s="182">
        <f t="shared" ca="1" si="236"/>
        <v>76842.09657100105</v>
      </c>
      <c r="D1555" s="182">
        <f t="shared" ca="1" si="240"/>
        <v>51.228064380667362</v>
      </c>
      <c r="E1555" s="182">
        <v>0</v>
      </c>
      <c r="F1555" s="182">
        <f t="shared" ca="1" si="237"/>
        <v>0</v>
      </c>
      <c r="G1555" s="182">
        <f t="shared" ca="1" si="241"/>
        <v>0</v>
      </c>
      <c r="H1555" s="182">
        <f t="shared" ca="1" si="235"/>
        <v>76893.324635381723</v>
      </c>
      <c r="I1555" s="183">
        <v>0</v>
      </c>
      <c r="J1555" s="263">
        <f t="shared" ca="1" si="238"/>
        <v>76893.324635381723</v>
      </c>
      <c r="K1555" s="182"/>
      <c r="L1555" s="182"/>
      <c r="M1555" s="182"/>
      <c r="N1555" s="182"/>
      <c r="O1555" s="182"/>
    </row>
    <row r="1556" spans="1:15" x14ac:dyDescent="0.25">
      <c r="A1556" s="180">
        <f t="shared" ca="1" si="239"/>
        <v>47646</v>
      </c>
      <c r="B1556" s="181">
        <v>1542</v>
      </c>
      <c r="C1556" s="182">
        <f t="shared" ca="1" si="236"/>
        <v>76893.324635381723</v>
      </c>
      <c r="D1556" s="182">
        <f t="shared" ca="1" si="240"/>
        <v>51.262216423587816</v>
      </c>
      <c r="E1556" s="182">
        <v>0</v>
      </c>
      <c r="F1556" s="182">
        <f t="shared" ca="1" si="237"/>
        <v>0</v>
      </c>
      <c r="G1556" s="182">
        <f t="shared" ca="1" si="241"/>
        <v>0</v>
      </c>
      <c r="H1556" s="182">
        <f t="shared" ca="1" si="235"/>
        <v>76944.586851805318</v>
      </c>
      <c r="I1556" s="183">
        <v>0</v>
      </c>
      <c r="J1556" s="263">
        <f t="shared" ca="1" si="238"/>
        <v>76944.586851805318</v>
      </c>
      <c r="K1556" s="182"/>
      <c r="L1556" s="182"/>
      <c r="M1556" s="182"/>
      <c r="N1556" s="182"/>
      <c r="O1556" s="182"/>
    </row>
    <row r="1557" spans="1:15" x14ac:dyDescent="0.25">
      <c r="A1557" s="180">
        <f t="shared" ca="1" si="239"/>
        <v>47647</v>
      </c>
      <c r="B1557" s="181">
        <v>1543</v>
      </c>
      <c r="C1557" s="182">
        <f t="shared" ca="1" si="236"/>
        <v>76944.586851805318</v>
      </c>
      <c r="D1557" s="182">
        <f t="shared" ca="1" si="240"/>
        <v>51.296391234536877</v>
      </c>
      <c r="E1557" s="182">
        <v>0</v>
      </c>
      <c r="F1557" s="182">
        <f t="shared" ca="1" si="237"/>
        <v>0</v>
      </c>
      <c r="G1557" s="182">
        <f t="shared" ca="1" si="241"/>
        <v>0</v>
      </c>
      <c r="H1557" s="182">
        <f t="shared" ca="1" si="235"/>
        <v>76995.883243039862</v>
      </c>
      <c r="I1557" s="183">
        <v>0</v>
      </c>
      <c r="J1557" s="263">
        <f t="shared" ca="1" si="238"/>
        <v>76995.883243039862</v>
      </c>
      <c r="K1557" s="182"/>
      <c r="L1557" s="182"/>
      <c r="M1557" s="182"/>
      <c r="N1557" s="182"/>
      <c r="O1557" s="182"/>
    </row>
    <row r="1558" spans="1:15" x14ac:dyDescent="0.25">
      <c r="A1558" s="180">
        <f t="shared" ca="1" si="239"/>
        <v>47648</v>
      </c>
      <c r="B1558" s="181">
        <v>1544</v>
      </c>
      <c r="C1558" s="182">
        <f t="shared" ca="1" si="236"/>
        <v>76995.883243039862</v>
      </c>
      <c r="D1558" s="182">
        <f t="shared" ca="1" si="240"/>
        <v>51.330588828693237</v>
      </c>
      <c r="E1558" s="182">
        <v>0</v>
      </c>
      <c r="F1558" s="182">
        <f t="shared" ca="1" si="237"/>
        <v>0</v>
      </c>
      <c r="G1558" s="182">
        <f t="shared" ca="1" si="241"/>
        <v>0</v>
      </c>
      <c r="H1558" s="182">
        <f t="shared" ca="1" si="235"/>
        <v>77047.213831868561</v>
      </c>
      <c r="I1558" s="183">
        <v>0</v>
      </c>
      <c r="J1558" s="263">
        <f t="shared" ca="1" si="238"/>
        <v>77047.213831868561</v>
      </c>
      <c r="K1558" s="182"/>
      <c r="L1558" s="182"/>
      <c r="M1558" s="182"/>
      <c r="N1558" s="182"/>
      <c r="O1558" s="182"/>
    </row>
    <row r="1559" spans="1:15" x14ac:dyDescent="0.25">
      <c r="A1559" s="180">
        <f t="shared" ca="1" si="239"/>
        <v>47649</v>
      </c>
      <c r="B1559" s="181">
        <v>1545</v>
      </c>
      <c r="C1559" s="182">
        <f t="shared" ca="1" si="236"/>
        <v>77047.213831868561</v>
      </c>
      <c r="D1559" s="182">
        <f t="shared" ca="1" si="240"/>
        <v>51.364809221245707</v>
      </c>
      <c r="E1559" s="182">
        <v>0</v>
      </c>
      <c r="F1559" s="182">
        <f t="shared" ca="1" si="237"/>
        <v>0</v>
      </c>
      <c r="G1559" s="182">
        <f t="shared" ca="1" si="241"/>
        <v>0</v>
      </c>
      <c r="H1559" s="182">
        <f t="shared" ca="1" si="235"/>
        <v>77098.5786410898</v>
      </c>
      <c r="I1559" s="183">
        <v>0</v>
      </c>
      <c r="J1559" s="263">
        <f t="shared" ca="1" si="238"/>
        <v>77098.5786410898</v>
      </c>
      <c r="K1559" s="182"/>
      <c r="L1559" s="182"/>
      <c r="M1559" s="182"/>
      <c r="N1559" s="182"/>
      <c r="O1559" s="182"/>
    </row>
    <row r="1560" spans="1:15" x14ac:dyDescent="0.25">
      <c r="A1560" s="180">
        <f t="shared" ca="1" si="239"/>
        <v>47650</v>
      </c>
      <c r="B1560" s="181">
        <v>1546</v>
      </c>
      <c r="C1560" s="182">
        <f t="shared" ca="1" si="236"/>
        <v>77098.5786410898</v>
      </c>
      <c r="D1560" s="182">
        <f t="shared" ca="1" si="240"/>
        <v>51.399052427393201</v>
      </c>
      <c r="E1560" s="182">
        <v>0</v>
      </c>
      <c r="F1560" s="182">
        <f t="shared" ca="1" si="237"/>
        <v>0</v>
      </c>
      <c r="G1560" s="182">
        <f t="shared" ca="1" si="241"/>
        <v>0</v>
      </c>
      <c r="H1560" s="182">
        <f t="shared" ca="1" si="235"/>
        <v>77149.977693517198</v>
      </c>
      <c r="I1560" s="183">
        <v>0</v>
      </c>
      <c r="J1560" s="263">
        <f t="shared" ca="1" si="238"/>
        <v>77149.977693517198</v>
      </c>
      <c r="K1560" s="182"/>
      <c r="L1560" s="182"/>
      <c r="M1560" s="182"/>
      <c r="N1560" s="182"/>
      <c r="O1560" s="182"/>
    </row>
    <row r="1561" spans="1:15" x14ac:dyDescent="0.25">
      <c r="A1561" s="180">
        <f t="shared" ca="1" si="239"/>
        <v>47651</v>
      </c>
      <c r="B1561" s="181">
        <v>1547</v>
      </c>
      <c r="C1561" s="182">
        <f t="shared" ca="1" si="236"/>
        <v>77149.977693517198</v>
      </c>
      <c r="D1561" s="182">
        <f t="shared" ca="1" si="240"/>
        <v>51.433318462344793</v>
      </c>
      <c r="E1561" s="182">
        <v>0</v>
      </c>
      <c r="F1561" s="182">
        <f t="shared" ca="1" si="237"/>
        <v>0</v>
      </c>
      <c r="G1561" s="182">
        <f t="shared" ca="1" si="241"/>
        <v>0</v>
      </c>
      <c r="H1561" s="182">
        <f t="shared" ca="1" si="235"/>
        <v>77201.411011979537</v>
      </c>
      <c r="I1561" s="183">
        <v>0</v>
      </c>
      <c r="J1561" s="263">
        <f t="shared" ca="1" si="238"/>
        <v>77201.411011979537</v>
      </c>
      <c r="K1561" s="182"/>
      <c r="L1561" s="182"/>
      <c r="M1561" s="182"/>
      <c r="N1561" s="182"/>
      <c r="O1561" s="182"/>
    </row>
    <row r="1562" spans="1:15" x14ac:dyDescent="0.25">
      <c r="A1562" s="180">
        <f t="shared" ca="1" si="239"/>
        <v>47652</v>
      </c>
      <c r="B1562" s="181">
        <v>1548</v>
      </c>
      <c r="C1562" s="182">
        <f t="shared" ca="1" si="236"/>
        <v>77201.411011979537</v>
      </c>
      <c r="D1562" s="182">
        <f t="shared" ca="1" si="240"/>
        <v>51.467607341319692</v>
      </c>
      <c r="E1562" s="182">
        <v>0</v>
      </c>
      <c r="F1562" s="182">
        <f t="shared" ca="1" si="237"/>
        <v>0</v>
      </c>
      <c r="G1562" s="182">
        <f t="shared" ca="1" si="241"/>
        <v>0</v>
      </c>
      <c r="H1562" s="182">
        <f t="shared" ca="1" si="235"/>
        <v>77252.878619320851</v>
      </c>
      <c r="I1562" s="183">
        <v>0</v>
      </c>
      <c r="J1562" s="263">
        <f t="shared" ca="1" si="238"/>
        <v>77252.878619320851</v>
      </c>
      <c r="K1562" s="182"/>
      <c r="L1562" s="182"/>
      <c r="M1562" s="182"/>
      <c r="N1562" s="182"/>
      <c r="O1562" s="182"/>
    </row>
    <row r="1563" spans="1:15" x14ac:dyDescent="0.25">
      <c r="A1563" s="180">
        <f t="shared" ca="1" si="239"/>
        <v>47653</v>
      </c>
      <c r="B1563" s="181">
        <v>1549</v>
      </c>
      <c r="C1563" s="182">
        <f t="shared" ca="1" si="236"/>
        <v>77252.878619320851</v>
      </c>
      <c r="D1563" s="182">
        <f t="shared" ca="1" si="240"/>
        <v>51.501919079547235</v>
      </c>
      <c r="E1563" s="182">
        <v>0</v>
      </c>
      <c r="F1563" s="182">
        <f t="shared" ca="1" si="237"/>
        <v>0</v>
      </c>
      <c r="G1563" s="182">
        <f t="shared" ca="1" si="241"/>
        <v>0</v>
      </c>
      <c r="H1563" s="182">
        <f t="shared" ca="1" si="235"/>
        <v>77304.380538400394</v>
      </c>
      <c r="I1563" s="183">
        <v>0</v>
      </c>
      <c r="J1563" s="263">
        <f t="shared" ca="1" si="238"/>
        <v>77304.380538400394</v>
      </c>
      <c r="K1563" s="182"/>
      <c r="L1563" s="182"/>
      <c r="M1563" s="182"/>
      <c r="N1563" s="182"/>
      <c r="O1563" s="182"/>
    </row>
    <row r="1564" spans="1:15" x14ac:dyDescent="0.25">
      <c r="A1564" s="180">
        <f t="shared" ca="1" si="239"/>
        <v>47654</v>
      </c>
      <c r="B1564" s="181">
        <v>1550</v>
      </c>
      <c r="C1564" s="182">
        <f t="shared" ca="1" si="236"/>
        <v>77304.380538400394</v>
      </c>
      <c r="D1564" s="182">
        <f t="shared" ca="1" si="240"/>
        <v>51.536253692266925</v>
      </c>
      <c r="E1564" s="182">
        <v>0</v>
      </c>
      <c r="F1564" s="182">
        <f t="shared" ca="1" si="237"/>
        <v>0</v>
      </c>
      <c r="G1564" s="182">
        <f t="shared" ca="1" si="241"/>
        <v>0</v>
      </c>
      <c r="H1564" s="182">
        <f t="shared" ca="1" si="235"/>
        <v>77355.916792092656</v>
      </c>
      <c r="I1564" s="183">
        <v>0</v>
      </c>
      <c r="J1564" s="263">
        <f t="shared" ca="1" si="238"/>
        <v>77355.916792092656</v>
      </c>
      <c r="K1564" s="182"/>
      <c r="L1564" s="182"/>
      <c r="M1564" s="182"/>
      <c r="N1564" s="182"/>
      <c r="O1564" s="182"/>
    </row>
    <row r="1565" spans="1:15" x14ac:dyDescent="0.25">
      <c r="A1565" s="180">
        <f t="shared" ca="1" si="239"/>
        <v>47655</v>
      </c>
      <c r="B1565" s="181">
        <v>1551</v>
      </c>
      <c r="C1565" s="182">
        <f t="shared" ca="1" si="236"/>
        <v>77355.916792092656</v>
      </c>
      <c r="D1565" s="182">
        <f t="shared" ca="1" si="240"/>
        <v>51.570611194728436</v>
      </c>
      <c r="E1565" s="182">
        <v>0</v>
      </c>
      <c r="F1565" s="182">
        <f t="shared" ca="1" si="237"/>
        <v>0</v>
      </c>
      <c r="G1565" s="182">
        <f t="shared" ca="1" si="241"/>
        <v>0</v>
      </c>
      <c r="H1565" s="182">
        <f t="shared" ca="1" si="235"/>
        <v>77407.487403287378</v>
      </c>
      <c r="I1565" s="183">
        <v>0</v>
      </c>
      <c r="J1565" s="263">
        <f t="shared" ca="1" si="238"/>
        <v>77407.487403287378</v>
      </c>
      <c r="K1565" s="182"/>
      <c r="L1565" s="182"/>
      <c r="M1565" s="182"/>
      <c r="N1565" s="182"/>
      <c r="O1565" s="182"/>
    </row>
    <row r="1566" spans="1:15" x14ac:dyDescent="0.25">
      <c r="A1566" s="180">
        <f t="shared" ca="1" si="239"/>
        <v>47656</v>
      </c>
      <c r="B1566" s="181">
        <v>1552</v>
      </c>
      <c r="C1566" s="182">
        <f t="shared" ca="1" si="236"/>
        <v>77407.487403287378</v>
      </c>
      <c r="D1566" s="182">
        <f t="shared" ca="1" si="240"/>
        <v>51.604991602191582</v>
      </c>
      <c r="E1566" s="182">
        <v>0</v>
      </c>
      <c r="F1566" s="182">
        <f t="shared" ca="1" si="237"/>
        <v>0</v>
      </c>
      <c r="G1566" s="182">
        <f t="shared" ca="1" si="241"/>
        <v>0</v>
      </c>
      <c r="H1566" s="182">
        <f t="shared" ca="1" si="235"/>
        <v>77459.092394889565</v>
      </c>
      <c r="I1566" s="183">
        <v>0</v>
      </c>
      <c r="J1566" s="263">
        <f t="shared" ca="1" si="238"/>
        <v>77459.092394889565</v>
      </c>
      <c r="K1566" s="182"/>
      <c r="L1566" s="182"/>
      <c r="M1566" s="182"/>
      <c r="N1566" s="182"/>
      <c r="O1566" s="182"/>
    </row>
    <row r="1567" spans="1:15" x14ac:dyDescent="0.25">
      <c r="A1567" s="180">
        <f t="shared" ca="1" si="239"/>
        <v>47657</v>
      </c>
      <c r="B1567" s="181">
        <v>1553</v>
      </c>
      <c r="C1567" s="182">
        <f t="shared" ca="1" si="236"/>
        <v>77459.092394889565</v>
      </c>
      <c r="D1567" s="182">
        <f t="shared" ca="1" si="240"/>
        <v>51.639394929926375</v>
      </c>
      <c r="E1567" s="182">
        <v>0</v>
      </c>
      <c r="F1567" s="182">
        <f t="shared" ca="1" si="237"/>
        <v>0</v>
      </c>
      <c r="G1567" s="182">
        <f t="shared" ca="1" si="241"/>
        <v>0</v>
      </c>
      <c r="H1567" s="182">
        <f t="shared" ca="1" si="235"/>
        <v>77510.731789819489</v>
      </c>
      <c r="I1567" s="183">
        <v>0</v>
      </c>
      <c r="J1567" s="263">
        <f t="shared" ca="1" si="238"/>
        <v>77510.731789819489</v>
      </c>
      <c r="K1567" s="182"/>
      <c r="L1567" s="182"/>
      <c r="M1567" s="182"/>
      <c r="N1567" s="182"/>
      <c r="O1567" s="182"/>
    </row>
    <row r="1568" spans="1:15" x14ac:dyDescent="0.25">
      <c r="A1568" s="180">
        <f t="shared" ca="1" si="239"/>
        <v>47658</v>
      </c>
      <c r="B1568" s="181">
        <v>1554</v>
      </c>
      <c r="C1568" s="182">
        <f t="shared" ca="1" si="236"/>
        <v>77510.731789819489</v>
      </c>
      <c r="D1568" s="182">
        <f t="shared" ca="1" si="240"/>
        <v>51.673821193212994</v>
      </c>
      <c r="E1568" s="182">
        <v>0</v>
      </c>
      <c r="F1568" s="182">
        <f t="shared" ca="1" si="237"/>
        <v>0</v>
      </c>
      <c r="G1568" s="182">
        <f t="shared" ca="1" si="241"/>
        <v>0</v>
      </c>
      <c r="H1568" s="182">
        <f t="shared" ca="1" si="235"/>
        <v>77562.405611012699</v>
      </c>
      <c r="I1568" s="183">
        <v>0</v>
      </c>
      <c r="J1568" s="263">
        <f t="shared" ca="1" si="238"/>
        <v>77562.405611012699</v>
      </c>
      <c r="K1568" s="182"/>
      <c r="L1568" s="182"/>
      <c r="M1568" s="182"/>
      <c r="N1568" s="182"/>
      <c r="O1568" s="182"/>
    </row>
    <row r="1569" spans="1:15" x14ac:dyDescent="0.25">
      <c r="A1569" s="180">
        <f t="shared" ca="1" si="239"/>
        <v>47659</v>
      </c>
      <c r="B1569" s="181">
        <v>1555</v>
      </c>
      <c r="C1569" s="182">
        <f t="shared" ca="1" si="236"/>
        <v>77562.405611012699</v>
      </c>
      <c r="D1569" s="182">
        <f t="shared" ca="1" si="240"/>
        <v>51.7082704073418</v>
      </c>
      <c r="E1569" s="182">
        <v>0</v>
      </c>
      <c r="F1569" s="182">
        <f t="shared" ca="1" si="237"/>
        <v>0</v>
      </c>
      <c r="G1569" s="182">
        <f t="shared" ca="1" si="241"/>
        <v>0</v>
      </c>
      <c r="H1569" s="182">
        <f t="shared" ca="1" si="235"/>
        <v>77614.113881420039</v>
      </c>
      <c r="I1569" s="183">
        <v>0</v>
      </c>
      <c r="J1569" s="263">
        <f t="shared" ca="1" si="238"/>
        <v>77614.113881420039</v>
      </c>
      <c r="K1569" s="182"/>
      <c r="L1569" s="182"/>
      <c r="M1569" s="182"/>
      <c r="N1569" s="182"/>
      <c r="O1569" s="182"/>
    </row>
    <row r="1570" spans="1:15" x14ac:dyDescent="0.25">
      <c r="A1570" s="180">
        <f t="shared" ca="1" si="239"/>
        <v>47660</v>
      </c>
      <c r="B1570" s="181">
        <v>1556</v>
      </c>
      <c r="C1570" s="182">
        <f t="shared" ca="1" si="236"/>
        <v>77614.113881420039</v>
      </c>
      <c r="D1570" s="182">
        <f t="shared" ca="1" si="240"/>
        <v>51.742742587613357</v>
      </c>
      <c r="E1570" s="182">
        <v>0</v>
      </c>
      <c r="F1570" s="182">
        <f t="shared" ca="1" si="237"/>
        <v>0</v>
      </c>
      <c r="G1570" s="182">
        <f t="shared" ca="1" si="241"/>
        <v>0</v>
      </c>
      <c r="H1570" s="182">
        <f t="shared" ca="1" si="235"/>
        <v>77665.856624007647</v>
      </c>
      <c r="I1570" s="183">
        <v>0</v>
      </c>
      <c r="J1570" s="263">
        <f t="shared" ca="1" si="238"/>
        <v>77665.856624007647</v>
      </c>
      <c r="K1570" s="182"/>
      <c r="L1570" s="182"/>
      <c r="M1570" s="182"/>
      <c r="N1570" s="182"/>
      <c r="O1570" s="182"/>
    </row>
    <row r="1571" spans="1:15" x14ac:dyDescent="0.25">
      <c r="A1571" s="180">
        <f t="shared" ca="1" si="239"/>
        <v>47661</v>
      </c>
      <c r="B1571" s="181">
        <v>1557</v>
      </c>
      <c r="C1571" s="182">
        <f t="shared" ca="1" si="236"/>
        <v>77665.856624007647</v>
      </c>
      <c r="D1571" s="182">
        <f t="shared" ca="1" si="240"/>
        <v>51.777237749338433</v>
      </c>
      <c r="E1571" s="182">
        <v>0</v>
      </c>
      <c r="F1571" s="182">
        <f t="shared" ca="1" si="237"/>
        <v>0</v>
      </c>
      <c r="G1571" s="182">
        <f t="shared" ca="1" si="241"/>
        <v>0</v>
      </c>
      <c r="H1571" s="182">
        <f t="shared" ref="H1571:H1634" ca="1" si="242">IF(G1571&gt;0,C1571+F1571+I1571,SUM(C1571:F1571)-G1570)</f>
        <v>77717.633861756985</v>
      </c>
      <c r="I1571" s="183">
        <v>0</v>
      </c>
      <c r="J1571" s="263">
        <f t="shared" ca="1" si="238"/>
        <v>77717.633861756985</v>
      </c>
      <c r="K1571" s="182"/>
      <c r="L1571" s="182"/>
      <c r="M1571" s="182"/>
      <c r="N1571" s="182"/>
      <c r="O1571" s="182"/>
    </row>
    <row r="1572" spans="1:15" x14ac:dyDescent="0.25">
      <c r="A1572" s="180">
        <f t="shared" ca="1" si="239"/>
        <v>47662</v>
      </c>
      <c r="B1572" s="181">
        <v>1558</v>
      </c>
      <c r="C1572" s="182">
        <f t="shared" ca="1" si="236"/>
        <v>77717.633861756985</v>
      </c>
      <c r="D1572" s="182">
        <f t="shared" ca="1" si="240"/>
        <v>51.811755907837991</v>
      </c>
      <c r="E1572" s="182">
        <v>0</v>
      </c>
      <c r="F1572" s="182">
        <f t="shared" ca="1" si="237"/>
        <v>0</v>
      </c>
      <c r="G1572" s="182">
        <f t="shared" ca="1" si="241"/>
        <v>0</v>
      </c>
      <c r="H1572" s="182">
        <f t="shared" ca="1" si="242"/>
        <v>77769.445617664824</v>
      </c>
      <c r="I1572" s="183">
        <v>0</v>
      </c>
      <c r="J1572" s="263">
        <f t="shared" ca="1" si="238"/>
        <v>77769.445617664824</v>
      </c>
      <c r="K1572" s="182"/>
      <c r="L1572" s="182"/>
      <c r="M1572" s="182"/>
      <c r="N1572" s="182"/>
      <c r="O1572" s="182"/>
    </row>
    <row r="1573" spans="1:15" x14ac:dyDescent="0.25">
      <c r="A1573" s="180">
        <f t="shared" ca="1" si="239"/>
        <v>47663</v>
      </c>
      <c r="B1573" s="181">
        <v>1559</v>
      </c>
      <c r="C1573" s="182">
        <f t="shared" ca="1" si="236"/>
        <v>77769.445617664824</v>
      </c>
      <c r="D1573" s="182">
        <f t="shared" ca="1" si="240"/>
        <v>51.846297078443214</v>
      </c>
      <c r="E1573" s="182">
        <v>0</v>
      </c>
      <c r="F1573" s="182">
        <f t="shared" ca="1" si="237"/>
        <v>0</v>
      </c>
      <c r="G1573" s="182">
        <f t="shared" ca="1" si="241"/>
        <v>0</v>
      </c>
      <c r="H1573" s="182">
        <f t="shared" ca="1" si="242"/>
        <v>77821.291914743269</v>
      </c>
      <c r="I1573" s="183">
        <v>0</v>
      </c>
      <c r="J1573" s="263">
        <f t="shared" ca="1" si="238"/>
        <v>77821.291914743269</v>
      </c>
      <c r="K1573" s="182"/>
      <c r="L1573" s="182"/>
      <c r="M1573" s="182"/>
      <c r="N1573" s="182"/>
      <c r="O1573" s="182"/>
    </row>
    <row r="1574" spans="1:15" x14ac:dyDescent="0.25">
      <c r="A1574" s="180">
        <f t="shared" ca="1" si="239"/>
        <v>47664</v>
      </c>
      <c r="B1574" s="181">
        <v>1560</v>
      </c>
      <c r="C1574" s="182">
        <f t="shared" ca="1" si="236"/>
        <v>77821.291914743269</v>
      </c>
      <c r="D1574" s="182">
        <f t="shared" ca="1" si="240"/>
        <v>51.880861276495509</v>
      </c>
      <c r="E1574" s="182">
        <v>0</v>
      </c>
      <c r="F1574" s="182">
        <f t="shared" ca="1" si="237"/>
        <v>0</v>
      </c>
      <c r="G1574" s="182">
        <f t="shared" ca="1" si="241"/>
        <v>0</v>
      </c>
      <c r="H1574" s="182">
        <f t="shared" ca="1" si="242"/>
        <v>77873.172776019768</v>
      </c>
      <c r="I1574" s="183">
        <v>0</v>
      </c>
      <c r="J1574" s="263">
        <f t="shared" ca="1" si="238"/>
        <v>77873.172776019768</v>
      </c>
      <c r="K1574" s="182"/>
      <c r="L1574" s="182"/>
      <c r="M1574" s="182"/>
      <c r="N1574" s="182"/>
      <c r="O1574" s="182"/>
    </row>
    <row r="1575" spans="1:15" x14ac:dyDescent="0.25">
      <c r="A1575" s="180">
        <f t="shared" ca="1" si="239"/>
        <v>47665</v>
      </c>
      <c r="B1575" s="181">
        <v>1561</v>
      </c>
      <c r="C1575" s="182">
        <f t="shared" ca="1" si="236"/>
        <v>77873.172776019768</v>
      </c>
      <c r="D1575" s="182">
        <f t="shared" ca="1" si="240"/>
        <v>51.915448517346512</v>
      </c>
      <c r="E1575" s="182">
        <v>0</v>
      </c>
      <c r="F1575" s="182">
        <f t="shared" ca="1" si="237"/>
        <v>0</v>
      </c>
      <c r="G1575" s="182">
        <f t="shared" ca="1" si="241"/>
        <v>0</v>
      </c>
      <c r="H1575" s="182">
        <f t="shared" ca="1" si="242"/>
        <v>77925.088224537118</v>
      </c>
      <c r="I1575" s="183">
        <v>0</v>
      </c>
      <c r="J1575" s="263">
        <f t="shared" ca="1" si="238"/>
        <v>77925.088224537118</v>
      </c>
      <c r="K1575" s="182"/>
      <c r="L1575" s="182"/>
      <c r="M1575" s="182"/>
      <c r="N1575" s="182"/>
      <c r="O1575" s="182"/>
    </row>
    <row r="1576" spans="1:15" x14ac:dyDescent="0.25">
      <c r="A1576" s="180">
        <f t="shared" ca="1" si="239"/>
        <v>47666</v>
      </c>
      <c r="B1576" s="181">
        <v>1562</v>
      </c>
      <c r="C1576" s="182">
        <f t="shared" ca="1" si="236"/>
        <v>77925.088224537118</v>
      </c>
      <c r="D1576" s="182">
        <f t="shared" ca="1" si="240"/>
        <v>51.95005881635808</v>
      </c>
      <c r="E1576" s="182">
        <v>0</v>
      </c>
      <c r="F1576" s="182">
        <f t="shared" ca="1" si="237"/>
        <v>0</v>
      </c>
      <c r="G1576" s="182">
        <f t="shared" ca="1" si="241"/>
        <v>0</v>
      </c>
      <c r="H1576" s="182">
        <f t="shared" ca="1" si="242"/>
        <v>77977.038283353482</v>
      </c>
      <c r="I1576" s="183">
        <v>0</v>
      </c>
      <c r="J1576" s="263">
        <f t="shared" ca="1" si="238"/>
        <v>77977.038283353482</v>
      </c>
      <c r="K1576" s="182"/>
      <c r="L1576" s="182"/>
      <c r="M1576" s="182"/>
      <c r="N1576" s="182"/>
      <c r="O1576" s="182"/>
    </row>
    <row r="1577" spans="1:15" x14ac:dyDescent="0.25">
      <c r="A1577" s="180">
        <f t="shared" ca="1" si="239"/>
        <v>47667</v>
      </c>
      <c r="B1577" s="181">
        <v>1563</v>
      </c>
      <c r="C1577" s="182">
        <f t="shared" ca="1" si="236"/>
        <v>77977.038283353482</v>
      </c>
      <c r="D1577" s="182">
        <f t="shared" ca="1" si="240"/>
        <v>51.984692188902322</v>
      </c>
      <c r="E1577" s="182">
        <v>0</v>
      </c>
      <c r="F1577" s="182">
        <f t="shared" ca="1" si="237"/>
        <v>0</v>
      </c>
      <c r="G1577" s="182">
        <f t="shared" ca="1" si="241"/>
        <v>0</v>
      </c>
      <c r="H1577" s="182">
        <f t="shared" ca="1" si="242"/>
        <v>78029.022975542379</v>
      </c>
      <c r="I1577" s="183">
        <v>0</v>
      </c>
      <c r="J1577" s="263">
        <f t="shared" ca="1" si="238"/>
        <v>78029.022975542379</v>
      </c>
      <c r="K1577" s="182"/>
      <c r="L1577" s="182"/>
      <c r="M1577" s="182"/>
      <c r="N1577" s="182"/>
      <c r="O1577" s="182"/>
    </row>
    <row r="1578" spans="1:15" x14ac:dyDescent="0.25">
      <c r="A1578" s="180">
        <f t="shared" ca="1" si="239"/>
        <v>47668</v>
      </c>
      <c r="B1578" s="181">
        <v>1564</v>
      </c>
      <c r="C1578" s="182">
        <f t="shared" ca="1" si="236"/>
        <v>78029.022975542379</v>
      </c>
      <c r="D1578" s="182">
        <f t="shared" ca="1" si="240"/>
        <v>52.019348650361586</v>
      </c>
      <c r="E1578" s="182">
        <v>0</v>
      </c>
      <c r="F1578" s="182">
        <f t="shared" ca="1" si="237"/>
        <v>0</v>
      </c>
      <c r="G1578" s="182">
        <f t="shared" ca="1" si="241"/>
        <v>0</v>
      </c>
      <c r="H1578" s="182">
        <f t="shared" ca="1" si="242"/>
        <v>78081.042324192735</v>
      </c>
      <c r="I1578" s="183">
        <v>0</v>
      </c>
      <c r="J1578" s="263">
        <f t="shared" ca="1" si="238"/>
        <v>78081.042324192735</v>
      </c>
      <c r="K1578" s="182"/>
      <c r="L1578" s="182"/>
      <c r="M1578" s="182"/>
      <c r="N1578" s="182"/>
      <c r="O1578" s="182"/>
    </row>
    <row r="1579" spans="1:15" x14ac:dyDescent="0.25">
      <c r="A1579" s="180">
        <f t="shared" ca="1" si="239"/>
        <v>47669</v>
      </c>
      <c r="B1579" s="181">
        <v>1565</v>
      </c>
      <c r="C1579" s="182">
        <f t="shared" ref="C1579:C1642" ca="1" si="243">H1578</f>
        <v>78081.042324192735</v>
      </c>
      <c r="D1579" s="182">
        <f t="shared" ca="1" si="240"/>
        <v>52.054028216128486</v>
      </c>
      <c r="E1579" s="182">
        <v>0</v>
      </c>
      <c r="F1579" s="182">
        <f t="shared" ca="1" si="237"/>
        <v>0</v>
      </c>
      <c r="G1579" s="182">
        <f t="shared" ca="1" si="241"/>
        <v>0</v>
      </c>
      <c r="H1579" s="182">
        <f t="shared" ca="1" si="242"/>
        <v>78133.096352408858</v>
      </c>
      <c r="I1579" s="183">
        <v>0</v>
      </c>
      <c r="J1579" s="263">
        <f t="shared" ca="1" si="238"/>
        <v>78133.096352408858</v>
      </c>
      <c r="K1579" s="182"/>
      <c r="L1579" s="182"/>
      <c r="M1579" s="182"/>
      <c r="N1579" s="182"/>
      <c r="O1579" s="182"/>
    </row>
    <row r="1580" spans="1:15" x14ac:dyDescent="0.25">
      <c r="A1580" s="180">
        <f t="shared" ca="1" si="239"/>
        <v>47670</v>
      </c>
      <c r="B1580" s="181">
        <v>1566</v>
      </c>
      <c r="C1580" s="182">
        <f t="shared" ca="1" si="243"/>
        <v>78133.096352408858</v>
      </c>
      <c r="D1580" s="182">
        <f t="shared" ca="1" si="240"/>
        <v>52.088730901605906</v>
      </c>
      <c r="E1580" s="182">
        <v>0</v>
      </c>
      <c r="F1580" s="182">
        <f t="shared" ref="F1580:F1643" ca="1" si="244">IFERROR(-VLOOKUP(A1580,$P$4:$R$31,2,FALSE),0)</f>
        <v>0</v>
      </c>
      <c r="G1580" s="182">
        <f t="shared" ca="1" si="241"/>
        <v>0</v>
      </c>
      <c r="H1580" s="182">
        <f t="shared" ca="1" si="242"/>
        <v>78185.185083310469</v>
      </c>
      <c r="I1580" s="183">
        <v>0</v>
      </c>
      <c r="J1580" s="263">
        <f t="shared" ca="1" si="238"/>
        <v>78185.185083310469</v>
      </c>
      <c r="K1580" s="182"/>
      <c r="L1580" s="182"/>
      <c r="M1580" s="182"/>
      <c r="N1580" s="182"/>
      <c r="O1580" s="182"/>
    </row>
    <row r="1581" spans="1:15" x14ac:dyDescent="0.25">
      <c r="A1581" s="180">
        <f t="shared" ca="1" si="239"/>
        <v>47671</v>
      </c>
      <c r="B1581" s="181">
        <v>1567</v>
      </c>
      <c r="C1581" s="182">
        <f t="shared" ca="1" si="243"/>
        <v>78185.185083310469</v>
      </c>
      <c r="D1581" s="182">
        <f t="shared" ca="1" si="240"/>
        <v>52.123456722206974</v>
      </c>
      <c r="E1581" s="182">
        <v>0</v>
      </c>
      <c r="F1581" s="182">
        <f t="shared" ca="1" si="244"/>
        <v>0</v>
      </c>
      <c r="G1581" s="182">
        <f t="shared" ca="1" si="241"/>
        <v>0</v>
      </c>
      <c r="H1581" s="182">
        <f t="shared" ca="1" si="242"/>
        <v>78237.308540032682</v>
      </c>
      <c r="I1581" s="183">
        <v>0</v>
      </c>
      <c r="J1581" s="263">
        <f t="shared" ca="1" si="238"/>
        <v>78237.308540032682</v>
      </c>
      <c r="K1581" s="182"/>
      <c r="L1581" s="182"/>
      <c r="M1581" s="182"/>
      <c r="N1581" s="182"/>
      <c r="O1581" s="182"/>
    </row>
    <row r="1582" spans="1:15" x14ac:dyDescent="0.25">
      <c r="A1582" s="180">
        <f t="shared" ca="1" si="239"/>
        <v>47672</v>
      </c>
      <c r="B1582" s="181">
        <v>1568</v>
      </c>
      <c r="C1582" s="182">
        <f t="shared" ca="1" si="243"/>
        <v>78237.308540032682</v>
      </c>
      <c r="D1582" s="182">
        <f t="shared" ca="1" si="240"/>
        <v>52.158205693355121</v>
      </c>
      <c r="E1582" s="182">
        <v>0</v>
      </c>
      <c r="F1582" s="182">
        <f t="shared" ca="1" si="244"/>
        <v>0</v>
      </c>
      <c r="G1582" s="182">
        <f t="shared" ca="1" si="241"/>
        <v>0</v>
      </c>
      <c r="H1582" s="182">
        <f t="shared" ca="1" si="242"/>
        <v>78289.466745726037</v>
      </c>
      <c r="I1582" s="183">
        <v>0</v>
      </c>
      <c r="J1582" s="263">
        <f t="shared" ca="1" si="238"/>
        <v>78289.466745726037</v>
      </c>
      <c r="K1582" s="182"/>
      <c r="L1582" s="182"/>
      <c r="M1582" s="182"/>
      <c r="N1582" s="182"/>
      <c r="O1582" s="182"/>
    </row>
    <row r="1583" spans="1:15" x14ac:dyDescent="0.25">
      <c r="A1583" s="180">
        <f t="shared" ca="1" si="239"/>
        <v>47673</v>
      </c>
      <c r="B1583" s="181">
        <v>1569</v>
      </c>
      <c r="C1583" s="182">
        <f t="shared" ca="1" si="243"/>
        <v>78289.466745726037</v>
      </c>
      <c r="D1583" s="182">
        <f t="shared" ca="1" si="240"/>
        <v>52.192977830484026</v>
      </c>
      <c r="E1583" s="182">
        <v>0</v>
      </c>
      <c r="F1583" s="182">
        <f t="shared" ca="1" si="244"/>
        <v>0</v>
      </c>
      <c r="G1583" s="182">
        <f t="shared" ca="1" si="241"/>
        <v>0</v>
      </c>
      <c r="H1583" s="182">
        <f t="shared" ca="1" si="242"/>
        <v>78341.659723556528</v>
      </c>
      <c r="I1583" s="183">
        <v>0</v>
      </c>
      <c r="J1583" s="263">
        <f t="shared" ca="1" si="238"/>
        <v>78341.659723556528</v>
      </c>
      <c r="K1583" s="182"/>
      <c r="L1583" s="182"/>
      <c r="M1583" s="182"/>
      <c r="N1583" s="182"/>
      <c r="O1583" s="182"/>
    </row>
    <row r="1584" spans="1:15" x14ac:dyDescent="0.25">
      <c r="A1584" s="180">
        <f t="shared" ca="1" si="239"/>
        <v>47674</v>
      </c>
      <c r="B1584" s="181">
        <v>1570</v>
      </c>
      <c r="C1584" s="182">
        <f t="shared" ca="1" si="243"/>
        <v>78341.659723556528</v>
      </c>
      <c r="D1584" s="182">
        <f t="shared" ca="1" si="240"/>
        <v>52.227773149037681</v>
      </c>
      <c r="E1584" s="182">
        <v>0</v>
      </c>
      <c r="F1584" s="182">
        <f t="shared" ca="1" si="244"/>
        <v>0</v>
      </c>
      <c r="G1584" s="182">
        <f t="shared" ca="1" si="241"/>
        <v>0</v>
      </c>
      <c r="H1584" s="182">
        <f t="shared" ca="1" si="242"/>
        <v>78393.88749670556</v>
      </c>
      <c r="I1584" s="183">
        <v>0</v>
      </c>
      <c r="J1584" s="263">
        <f t="shared" ca="1" si="238"/>
        <v>78393.88749670556</v>
      </c>
      <c r="K1584" s="182"/>
      <c r="L1584" s="182"/>
      <c r="M1584" s="182"/>
      <c r="N1584" s="182"/>
      <c r="O1584" s="182"/>
    </row>
    <row r="1585" spans="1:15" x14ac:dyDescent="0.25">
      <c r="A1585" s="180">
        <f t="shared" ca="1" si="239"/>
        <v>47675</v>
      </c>
      <c r="B1585" s="181">
        <v>1571</v>
      </c>
      <c r="C1585" s="182">
        <f t="shared" ca="1" si="243"/>
        <v>78393.88749670556</v>
      </c>
      <c r="D1585" s="182">
        <f t="shared" ca="1" si="240"/>
        <v>52.262591664470371</v>
      </c>
      <c r="E1585" s="182">
        <v>0</v>
      </c>
      <c r="F1585" s="182">
        <f t="shared" ca="1" si="244"/>
        <v>0</v>
      </c>
      <c r="G1585" s="182">
        <f t="shared" ca="1" si="241"/>
        <v>0</v>
      </c>
      <c r="H1585" s="182">
        <f t="shared" ca="1" si="242"/>
        <v>78446.150088370036</v>
      </c>
      <c r="I1585" s="183">
        <v>0</v>
      </c>
      <c r="J1585" s="263">
        <f t="shared" ca="1" si="238"/>
        <v>78446.150088370036</v>
      </c>
      <c r="K1585" s="182"/>
      <c r="L1585" s="182"/>
      <c r="M1585" s="182"/>
      <c r="N1585" s="182"/>
      <c r="O1585" s="182"/>
    </row>
    <row r="1586" spans="1:15" x14ac:dyDescent="0.25">
      <c r="A1586" s="180">
        <f t="shared" ca="1" si="239"/>
        <v>47676</v>
      </c>
      <c r="B1586" s="181">
        <v>1572</v>
      </c>
      <c r="C1586" s="182">
        <f t="shared" ca="1" si="243"/>
        <v>78446.150088370036</v>
      </c>
      <c r="D1586" s="182">
        <f t="shared" ca="1" si="240"/>
        <v>52.297433392246688</v>
      </c>
      <c r="E1586" s="182">
        <v>0</v>
      </c>
      <c r="F1586" s="182">
        <f t="shared" ca="1" si="244"/>
        <v>0</v>
      </c>
      <c r="G1586" s="182">
        <f t="shared" ca="1" si="241"/>
        <v>0</v>
      </c>
      <c r="H1586" s="182">
        <f t="shared" ca="1" si="242"/>
        <v>78498.447521762282</v>
      </c>
      <c r="I1586" s="183">
        <v>0</v>
      </c>
      <c r="J1586" s="263">
        <f t="shared" ca="1" si="238"/>
        <v>78498.447521762282</v>
      </c>
      <c r="K1586" s="182"/>
      <c r="L1586" s="182"/>
      <c r="M1586" s="182"/>
      <c r="N1586" s="182"/>
      <c r="O1586" s="182"/>
    </row>
    <row r="1587" spans="1:15" x14ac:dyDescent="0.25">
      <c r="A1587" s="180">
        <f t="shared" ca="1" si="239"/>
        <v>47677</v>
      </c>
      <c r="B1587" s="181">
        <v>1573</v>
      </c>
      <c r="C1587" s="182">
        <f t="shared" ca="1" si="243"/>
        <v>78498.447521762282</v>
      </c>
      <c r="D1587" s="182">
        <f t="shared" ca="1" si="240"/>
        <v>52.332298347841522</v>
      </c>
      <c r="E1587" s="182">
        <v>0</v>
      </c>
      <c r="F1587" s="182">
        <f t="shared" ca="1" si="244"/>
        <v>0</v>
      </c>
      <c r="G1587" s="182">
        <f t="shared" ca="1" si="241"/>
        <v>0</v>
      </c>
      <c r="H1587" s="182">
        <f t="shared" ca="1" si="242"/>
        <v>78550.779820110125</v>
      </c>
      <c r="I1587" s="183">
        <v>0</v>
      </c>
      <c r="J1587" s="263">
        <f t="shared" ca="1" si="238"/>
        <v>78550.779820110125</v>
      </c>
      <c r="K1587" s="182"/>
      <c r="L1587" s="182"/>
      <c r="M1587" s="182"/>
      <c r="N1587" s="182"/>
      <c r="O1587" s="182"/>
    </row>
    <row r="1588" spans="1:15" x14ac:dyDescent="0.25">
      <c r="A1588" s="180">
        <f t="shared" ca="1" si="239"/>
        <v>47678</v>
      </c>
      <c r="B1588" s="181">
        <v>1574</v>
      </c>
      <c r="C1588" s="182">
        <f t="shared" ca="1" si="243"/>
        <v>78550.779820110125</v>
      </c>
      <c r="D1588" s="182">
        <f t="shared" ca="1" si="240"/>
        <v>52.367186546740079</v>
      </c>
      <c r="E1588" s="182">
        <v>0</v>
      </c>
      <c r="F1588" s="182">
        <f t="shared" ca="1" si="244"/>
        <v>0</v>
      </c>
      <c r="G1588" s="182">
        <f t="shared" ca="1" si="241"/>
        <v>0</v>
      </c>
      <c r="H1588" s="182">
        <f t="shared" ca="1" si="242"/>
        <v>78603.147006656858</v>
      </c>
      <c r="I1588" s="183">
        <v>0</v>
      </c>
      <c r="J1588" s="263">
        <f t="shared" ca="1" si="238"/>
        <v>78603.147006656858</v>
      </c>
      <c r="K1588" s="182"/>
      <c r="L1588" s="182"/>
      <c r="M1588" s="182"/>
      <c r="N1588" s="182"/>
      <c r="O1588" s="182"/>
    </row>
    <row r="1589" spans="1:15" x14ac:dyDescent="0.25">
      <c r="A1589" s="180">
        <f t="shared" ca="1" si="239"/>
        <v>47679</v>
      </c>
      <c r="B1589" s="181">
        <v>1575</v>
      </c>
      <c r="C1589" s="182">
        <f t="shared" ca="1" si="243"/>
        <v>78603.147006656858</v>
      </c>
      <c r="D1589" s="182">
        <f t="shared" ca="1" si="240"/>
        <v>52.402098004437903</v>
      </c>
      <c r="E1589" s="182">
        <v>0</v>
      </c>
      <c r="F1589" s="182">
        <f t="shared" ca="1" si="244"/>
        <v>0</v>
      </c>
      <c r="G1589" s="182">
        <f t="shared" ca="1" si="241"/>
        <v>0</v>
      </c>
      <c r="H1589" s="182">
        <f t="shared" ca="1" si="242"/>
        <v>78655.549104661302</v>
      </c>
      <c r="I1589" s="183">
        <v>0</v>
      </c>
      <c r="J1589" s="263">
        <f t="shared" ca="1" si="238"/>
        <v>78655.549104661302</v>
      </c>
      <c r="K1589" s="182"/>
      <c r="L1589" s="182"/>
      <c r="M1589" s="182"/>
      <c r="N1589" s="182"/>
      <c r="O1589" s="182"/>
    </row>
    <row r="1590" spans="1:15" x14ac:dyDescent="0.25">
      <c r="A1590" s="180">
        <f t="shared" ca="1" si="239"/>
        <v>47680</v>
      </c>
      <c r="B1590" s="181">
        <v>1576</v>
      </c>
      <c r="C1590" s="182">
        <f t="shared" ca="1" si="243"/>
        <v>78655.549104661302</v>
      </c>
      <c r="D1590" s="182">
        <f t="shared" ca="1" si="240"/>
        <v>52.437032736440869</v>
      </c>
      <c r="E1590" s="182">
        <v>0</v>
      </c>
      <c r="F1590" s="182">
        <f t="shared" ca="1" si="244"/>
        <v>0</v>
      </c>
      <c r="G1590" s="182">
        <f t="shared" ca="1" si="241"/>
        <v>0</v>
      </c>
      <c r="H1590" s="182">
        <f t="shared" ca="1" si="242"/>
        <v>78707.986137397747</v>
      </c>
      <c r="I1590" s="183">
        <v>0</v>
      </c>
      <c r="J1590" s="263">
        <f t="shared" ca="1" si="238"/>
        <v>78707.986137397747</v>
      </c>
      <c r="K1590" s="182"/>
      <c r="L1590" s="182"/>
      <c r="M1590" s="182"/>
      <c r="N1590" s="182"/>
      <c r="O1590" s="182"/>
    </row>
    <row r="1591" spans="1:15" x14ac:dyDescent="0.25">
      <c r="A1591" s="180">
        <f t="shared" ca="1" si="239"/>
        <v>47681</v>
      </c>
      <c r="B1591" s="181">
        <v>1577</v>
      </c>
      <c r="C1591" s="182">
        <f t="shared" ca="1" si="243"/>
        <v>78707.986137397747</v>
      </c>
      <c r="D1591" s="182">
        <f t="shared" ca="1" si="240"/>
        <v>52.471990758265164</v>
      </c>
      <c r="E1591" s="182">
        <v>0</v>
      </c>
      <c r="F1591" s="182">
        <f t="shared" ca="1" si="244"/>
        <v>0</v>
      </c>
      <c r="G1591" s="182">
        <f t="shared" ca="1" si="241"/>
        <v>0</v>
      </c>
      <c r="H1591" s="182">
        <f t="shared" ca="1" si="242"/>
        <v>78760.458128156009</v>
      </c>
      <c r="I1591" s="183">
        <v>0</v>
      </c>
      <c r="J1591" s="263">
        <f t="shared" ca="1" si="238"/>
        <v>78760.458128156009</v>
      </c>
      <c r="K1591" s="182"/>
      <c r="L1591" s="182"/>
      <c r="M1591" s="182"/>
      <c r="N1591" s="182"/>
      <c r="O1591" s="182"/>
    </row>
    <row r="1592" spans="1:15" x14ac:dyDescent="0.25">
      <c r="A1592" s="180">
        <f t="shared" ca="1" si="239"/>
        <v>47682</v>
      </c>
      <c r="B1592" s="181">
        <v>1578</v>
      </c>
      <c r="C1592" s="182">
        <f t="shared" ca="1" si="243"/>
        <v>78760.458128156009</v>
      </c>
      <c r="D1592" s="182">
        <f t="shared" ca="1" si="240"/>
        <v>52.50697208543734</v>
      </c>
      <c r="E1592" s="182">
        <v>0</v>
      </c>
      <c r="F1592" s="182">
        <f t="shared" ca="1" si="244"/>
        <v>0</v>
      </c>
      <c r="G1592" s="182">
        <f t="shared" ca="1" si="241"/>
        <v>0</v>
      </c>
      <c r="H1592" s="182">
        <f t="shared" ca="1" si="242"/>
        <v>78812.965100241447</v>
      </c>
      <c r="I1592" s="183">
        <v>0</v>
      </c>
      <c r="J1592" s="263">
        <f t="shared" ca="1" si="238"/>
        <v>78812.965100241447</v>
      </c>
      <c r="K1592" s="182"/>
      <c r="L1592" s="182"/>
      <c r="M1592" s="182"/>
      <c r="N1592" s="182"/>
      <c r="O1592" s="182"/>
    </row>
    <row r="1593" spans="1:15" x14ac:dyDescent="0.25">
      <c r="A1593" s="180">
        <f t="shared" ca="1" si="239"/>
        <v>47683</v>
      </c>
      <c r="B1593" s="181">
        <v>1579</v>
      </c>
      <c r="C1593" s="182">
        <f t="shared" ca="1" si="243"/>
        <v>78812.965100241447</v>
      </c>
      <c r="D1593" s="182">
        <f t="shared" ca="1" si="240"/>
        <v>52.541976733494295</v>
      </c>
      <c r="E1593" s="182">
        <v>0</v>
      </c>
      <c r="F1593" s="182">
        <f t="shared" ca="1" si="244"/>
        <v>0</v>
      </c>
      <c r="G1593" s="182">
        <f t="shared" ca="1" si="241"/>
        <v>0</v>
      </c>
      <c r="H1593" s="182">
        <f t="shared" ca="1" si="242"/>
        <v>78865.507076974944</v>
      </c>
      <c r="I1593" s="183">
        <v>0</v>
      </c>
      <c r="J1593" s="263">
        <f t="shared" ca="1" si="238"/>
        <v>78865.507076974944</v>
      </c>
      <c r="K1593" s="182"/>
      <c r="L1593" s="182"/>
      <c r="M1593" s="182"/>
      <c r="N1593" s="182"/>
      <c r="O1593" s="182"/>
    </row>
    <row r="1594" spans="1:15" x14ac:dyDescent="0.25">
      <c r="A1594" s="180">
        <f t="shared" ca="1" si="239"/>
        <v>47684</v>
      </c>
      <c r="B1594" s="181">
        <v>1580</v>
      </c>
      <c r="C1594" s="182">
        <f t="shared" ca="1" si="243"/>
        <v>78865.507076974944</v>
      </c>
      <c r="D1594" s="182">
        <f t="shared" ca="1" si="240"/>
        <v>52.577004717983293</v>
      </c>
      <c r="E1594" s="182">
        <v>0</v>
      </c>
      <c r="F1594" s="182">
        <f t="shared" ca="1" si="244"/>
        <v>0</v>
      </c>
      <c r="G1594" s="182">
        <f t="shared" ca="1" si="241"/>
        <v>0</v>
      </c>
      <c r="H1594" s="182">
        <f t="shared" ca="1" si="242"/>
        <v>78918.084081692927</v>
      </c>
      <c r="I1594" s="183">
        <v>0</v>
      </c>
      <c r="J1594" s="263">
        <f t="shared" ca="1" si="238"/>
        <v>78918.084081692927</v>
      </c>
      <c r="K1594" s="182"/>
      <c r="L1594" s="182"/>
      <c r="M1594" s="182"/>
      <c r="N1594" s="182"/>
      <c r="O1594" s="182"/>
    </row>
    <row r="1595" spans="1:15" x14ac:dyDescent="0.25">
      <c r="A1595" s="180">
        <f t="shared" ca="1" si="239"/>
        <v>47685</v>
      </c>
      <c r="B1595" s="181">
        <v>1581</v>
      </c>
      <c r="C1595" s="182">
        <f t="shared" ca="1" si="243"/>
        <v>78918.084081692927</v>
      </c>
      <c r="D1595" s="182">
        <f t="shared" ca="1" si="240"/>
        <v>52.612056054461952</v>
      </c>
      <c r="E1595" s="182">
        <v>0</v>
      </c>
      <c r="F1595" s="182">
        <f t="shared" ca="1" si="244"/>
        <v>0</v>
      </c>
      <c r="G1595" s="182">
        <f t="shared" ca="1" si="241"/>
        <v>0</v>
      </c>
      <c r="H1595" s="182">
        <f t="shared" ca="1" si="242"/>
        <v>78970.696137747393</v>
      </c>
      <c r="I1595" s="183">
        <v>0</v>
      </c>
      <c r="J1595" s="263">
        <f t="shared" ca="1" si="238"/>
        <v>78970.696137747393</v>
      </c>
      <c r="K1595" s="182"/>
      <c r="L1595" s="182"/>
      <c r="M1595" s="182"/>
      <c r="N1595" s="182"/>
      <c r="O1595" s="182"/>
    </row>
    <row r="1596" spans="1:15" x14ac:dyDescent="0.25">
      <c r="A1596" s="180">
        <f t="shared" ca="1" si="239"/>
        <v>47686</v>
      </c>
      <c r="B1596" s="181">
        <v>1582</v>
      </c>
      <c r="C1596" s="182">
        <f t="shared" ca="1" si="243"/>
        <v>78970.696137747393</v>
      </c>
      <c r="D1596" s="182">
        <f t="shared" ca="1" si="240"/>
        <v>52.647130758498257</v>
      </c>
      <c r="E1596" s="182">
        <v>0</v>
      </c>
      <c r="F1596" s="182">
        <f t="shared" ca="1" si="244"/>
        <v>0</v>
      </c>
      <c r="G1596" s="182">
        <f t="shared" ca="1" si="241"/>
        <v>0</v>
      </c>
      <c r="H1596" s="182">
        <f t="shared" ca="1" si="242"/>
        <v>79023.343268505894</v>
      </c>
      <c r="I1596" s="183">
        <v>0</v>
      </c>
      <c r="J1596" s="263">
        <f t="shared" ca="1" si="238"/>
        <v>79023.343268505894</v>
      </c>
      <c r="K1596" s="182"/>
      <c r="L1596" s="182"/>
      <c r="M1596" s="182"/>
      <c r="N1596" s="182"/>
      <c r="O1596" s="182"/>
    </row>
    <row r="1597" spans="1:15" x14ac:dyDescent="0.25">
      <c r="A1597" s="180">
        <f t="shared" ca="1" si="239"/>
        <v>47687</v>
      </c>
      <c r="B1597" s="181">
        <v>1583</v>
      </c>
      <c r="C1597" s="182">
        <f t="shared" ca="1" si="243"/>
        <v>79023.343268505894</v>
      </c>
      <c r="D1597" s="182">
        <f t="shared" ca="1" si="240"/>
        <v>52.682228845670593</v>
      </c>
      <c r="E1597" s="182">
        <v>0</v>
      </c>
      <c r="F1597" s="182">
        <f t="shared" ca="1" si="244"/>
        <v>0</v>
      </c>
      <c r="G1597" s="182">
        <f t="shared" ca="1" si="241"/>
        <v>0</v>
      </c>
      <c r="H1597" s="182">
        <f t="shared" ca="1" si="242"/>
        <v>79076.025497351569</v>
      </c>
      <c r="I1597" s="183">
        <v>0</v>
      </c>
      <c r="J1597" s="263">
        <f t="shared" ca="1" si="238"/>
        <v>79076.025497351569</v>
      </c>
      <c r="K1597" s="182"/>
      <c r="L1597" s="182"/>
      <c r="M1597" s="182"/>
      <c r="N1597" s="182"/>
      <c r="O1597" s="182"/>
    </row>
    <row r="1598" spans="1:15" x14ac:dyDescent="0.25">
      <c r="A1598" s="180">
        <f t="shared" ca="1" si="239"/>
        <v>47688</v>
      </c>
      <c r="B1598" s="181">
        <v>1584</v>
      </c>
      <c r="C1598" s="182">
        <f t="shared" ca="1" si="243"/>
        <v>79076.025497351569</v>
      </c>
      <c r="D1598" s="182">
        <f t="shared" ca="1" si="240"/>
        <v>52.717350331567708</v>
      </c>
      <c r="E1598" s="182">
        <v>0</v>
      </c>
      <c r="F1598" s="182">
        <f t="shared" ca="1" si="244"/>
        <v>0</v>
      </c>
      <c r="G1598" s="182">
        <f t="shared" ca="1" si="241"/>
        <v>0</v>
      </c>
      <c r="H1598" s="182">
        <f t="shared" ca="1" si="242"/>
        <v>79128.742847683141</v>
      </c>
      <c r="I1598" s="183">
        <v>0</v>
      </c>
      <c r="J1598" s="263">
        <f t="shared" ca="1" si="238"/>
        <v>79128.742847683141</v>
      </c>
      <c r="K1598" s="182"/>
      <c r="L1598" s="182"/>
      <c r="M1598" s="182"/>
      <c r="N1598" s="182"/>
      <c r="O1598" s="182"/>
    </row>
    <row r="1599" spans="1:15" x14ac:dyDescent="0.25">
      <c r="A1599" s="180">
        <f t="shared" ca="1" si="239"/>
        <v>47689</v>
      </c>
      <c r="B1599" s="181">
        <v>1585</v>
      </c>
      <c r="C1599" s="182">
        <f t="shared" ca="1" si="243"/>
        <v>79128.742847683141</v>
      </c>
      <c r="D1599" s="182">
        <f t="shared" ca="1" si="240"/>
        <v>52.752495231788757</v>
      </c>
      <c r="E1599" s="182">
        <v>0</v>
      </c>
      <c r="F1599" s="182">
        <f t="shared" ca="1" si="244"/>
        <v>0</v>
      </c>
      <c r="G1599" s="182">
        <f t="shared" ca="1" si="241"/>
        <v>0</v>
      </c>
      <c r="H1599" s="182">
        <f t="shared" ca="1" si="242"/>
        <v>79181.495342914932</v>
      </c>
      <c r="I1599" s="183">
        <v>0</v>
      </c>
      <c r="J1599" s="263">
        <f t="shared" ca="1" si="238"/>
        <v>79181.495342914932</v>
      </c>
      <c r="K1599" s="182"/>
      <c r="L1599" s="182"/>
      <c r="M1599" s="182"/>
      <c r="N1599" s="182"/>
      <c r="O1599" s="182"/>
    </row>
    <row r="1600" spans="1:15" x14ac:dyDescent="0.25">
      <c r="A1600" s="180">
        <f t="shared" ca="1" si="239"/>
        <v>47690</v>
      </c>
      <c r="B1600" s="181">
        <v>1586</v>
      </c>
      <c r="C1600" s="182">
        <f t="shared" ca="1" si="243"/>
        <v>79181.495342914932</v>
      </c>
      <c r="D1600" s="182">
        <f t="shared" ca="1" si="240"/>
        <v>52.787663561943283</v>
      </c>
      <c r="E1600" s="182">
        <v>0</v>
      </c>
      <c r="F1600" s="182">
        <f t="shared" ca="1" si="244"/>
        <v>0</v>
      </c>
      <c r="G1600" s="182">
        <f t="shared" ca="1" si="241"/>
        <v>0</v>
      </c>
      <c r="H1600" s="182">
        <f t="shared" ca="1" si="242"/>
        <v>79234.283006476879</v>
      </c>
      <c r="I1600" s="183">
        <v>0</v>
      </c>
      <c r="J1600" s="263">
        <f t="shared" ca="1" si="238"/>
        <v>79234.283006476879</v>
      </c>
      <c r="K1600" s="182"/>
      <c r="L1600" s="182"/>
      <c r="M1600" s="182"/>
      <c r="N1600" s="182"/>
      <c r="O1600" s="182"/>
    </row>
    <row r="1601" spans="1:15" x14ac:dyDescent="0.25">
      <c r="A1601" s="180">
        <f t="shared" ca="1" si="239"/>
        <v>47691</v>
      </c>
      <c r="B1601" s="181">
        <v>1587</v>
      </c>
      <c r="C1601" s="182">
        <f t="shared" ca="1" si="243"/>
        <v>79234.283006476879</v>
      </c>
      <c r="D1601" s="182">
        <f t="shared" ca="1" si="240"/>
        <v>52.822855337651248</v>
      </c>
      <c r="E1601" s="182">
        <v>0</v>
      </c>
      <c r="F1601" s="182">
        <f t="shared" ca="1" si="244"/>
        <v>0</v>
      </c>
      <c r="G1601" s="182">
        <f t="shared" ca="1" si="241"/>
        <v>0</v>
      </c>
      <c r="H1601" s="182">
        <f t="shared" ca="1" si="242"/>
        <v>79287.105861814533</v>
      </c>
      <c r="I1601" s="183">
        <v>0</v>
      </c>
      <c r="J1601" s="263">
        <f t="shared" ca="1" si="238"/>
        <v>79287.105861814533</v>
      </c>
      <c r="K1601" s="182"/>
      <c r="L1601" s="182"/>
      <c r="M1601" s="182"/>
      <c r="N1601" s="182"/>
      <c r="O1601" s="182"/>
    </row>
    <row r="1602" spans="1:15" x14ac:dyDescent="0.25">
      <c r="A1602" s="180">
        <f t="shared" ca="1" si="239"/>
        <v>47692</v>
      </c>
      <c r="B1602" s="181">
        <v>1588</v>
      </c>
      <c r="C1602" s="182">
        <f t="shared" ca="1" si="243"/>
        <v>79287.105861814533</v>
      </c>
      <c r="D1602" s="182">
        <f t="shared" ca="1" si="240"/>
        <v>52.858070574543021</v>
      </c>
      <c r="E1602" s="182">
        <v>0</v>
      </c>
      <c r="F1602" s="182">
        <f t="shared" ca="1" si="244"/>
        <v>0</v>
      </c>
      <c r="G1602" s="182">
        <f t="shared" ca="1" si="241"/>
        <v>0</v>
      </c>
      <c r="H1602" s="182">
        <f t="shared" ca="1" si="242"/>
        <v>79339.963932389073</v>
      </c>
      <c r="I1602" s="183">
        <v>0</v>
      </c>
      <c r="J1602" s="263">
        <f t="shared" ca="1" si="238"/>
        <v>79339.963932389073</v>
      </c>
      <c r="K1602" s="182"/>
      <c r="L1602" s="182"/>
      <c r="M1602" s="182"/>
      <c r="N1602" s="182"/>
      <c r="O1602" s="182"/>
    </row>
    <row r="1603" spans="1:15" x14ac:dyDescent="0.25">
      <c r="A1603" s="180">
        <f t="shared" ca="1" si="239"/>
        <v>47693</v>
      </c>
      <c r="B1603" s="181">
        <v>1589</v>
      </c>
      <c r="C1603" s="182">
        <f t="shared" ca="1" si="243"/>
        <v>79339.963932389073</v>
      </c>
      <c r="D1603" s="182">
        <f t="shared" ca="1" si="240"/>
        <v>52.893309288259381</v>
      </c>
      <c r="E1603" s="182">
        <v>0</v>
      </c>
      <c r="F1603" s="182">
        <f t="shared" ca="1" si="244"/>
        <v>0</v>
      </c>
      <c r="G1603" s="182">
        <f t="shared" ca="1" si="241"/>
        <v>0</v>
      </c>
      <c r="H1603" s="182">
        <f t="shared" ca="1" si="242"/>
        <v>79392.857241677339</v>
      </c>
      <c r="I1603" s="183">
        <v>0</v>
      </c>
      <c r="J1603" s="263">
        <f t="shared" ca="1" si="238"/>
        <v>79392.857241677339</v>
      </c>
      <c r="K1603" s="182"/>
      <c r="L1603" s="182"/>
      <c r="M1603" s="182"/>
      <c r="N1603" s="182"/>
      <c r="O1603" s="182"/>
    </row>
    <row r="1604" spans="1:15" x14ac:dyDescent="0.25">
      <c r="A1604" s="180">
        <f t="shared" ca="1" si="239"/>
        <v>47694</v>
      </c>
      <c r="B1604" s="181">
        <v>1590</v>
      </c>
      <c r="C1604" s="182">
        <f t="shared" ca="1" si="243"/>
        <v>79392.857241677339</v>
      </c>
      <c r="D1604" s="182">
        <f t="shared" ca="1" si="240"/>
        <v>52.92857149445156</v>
      </c>
      <c r="E1604" s="182">
        <v>0</v>
      </c>
      <c r="F1604" s="182">
        <f t="shared" ca="1" si="244"/>
        <v>0</v>
      </c>
      <c r="G1604" s="182">
        <f t="shared" ca="1" si="241"/>
        <v>0</v>
      </c>
      <c r="H1604" s="182">
        <f t="shared" ca="1" si="242"/>
        <v>79445.785813171795</v>
      </c>
      <c r="I1604" s="183">
        <v>0</v>
      </c>
      <c r="J1604" s="263">
        <f t="shared" ca="1" si="238"/>
        <v>79445.785813171795</v>
      </c>
      <c r="K1604" s="182"/>
      <c r="L1604" s="182"/>
      <c r="M1604" s="182"/>
      <c r="N1604" s="182"/>
      <c r="O1604" s="182"/>
    </row>
    <row r="1605" spans="1:15" x14ac:dyDescent="0.25">
      <c r="A1605" s="180">
        <f t="shared" ca="1" si="239"/>
        <v>47695</v>
      </c>
      <c r="B1605" s="181">
        <v>1591</v>
      </c>
      <c r="C1605" s="182">
        <f t="shared" ca="1" si="243"/>
        <v>79445.785813171795</v>
      </c>
      <c r="D1605" s="182">
        <f t="shared" ca="1" si="240"/>
        <v>52.963857208781192</v>
      </c>
      <c r="E1605" s="182">
        <v>0</v>
      </c>
      <c r="F1605" s="182">
        <f t="shared" ca="1" si="244"/>
        <v>0</v>
      </c>
      <c r="G1605" s="182">
        <f t="shared" ca="1" si="241"/>
        <v>0</v>
      </c>
      <c r="H1605" s="182">
        <f t="shared" ca="1" si="242"/>
        <v>79498.749670380581</v>
      </c>
      <c r="I1605" s="183">
        <v>0</v>
      </c>
      <c r="J1605" s="263">
        <f t="shared" ca="1" si="238"/>
        <v>79498.749670380581</v>
      </c>
      <c r="K1605" s="182"/>
      <c r="L1605" s="182"/>
      <c r="M1605" s="182"/>
      <c r="N1605" s="182"/>
      <c r="O1605" s="182"/>
    </row>
    <row r="1606" spans="1:15" x14ac:dyDescent="0.25">
      <c r="A1606" s="180">
        <f t="shared" ca="1" si="239"/>
        <v>47696</v>
      </c>
      <c r="B1606" s="181">
        <v>1592</v>
      </c>
      <c r="C1606" s="182">
        <f t="shared" ca="1" si="243"/>
        <v>79498.749670380581</v>
      </c>
      <c r="D1606" s="182">
        <f t="shared" ca="1" si="240"/>
        <v>52.999166446920384</v>
      </c>
      <c r="E1606" s="182">
        <v>0</v>
      </c>
      <c r="F1606" s="182">
        <f t="shared" ca="1" si="244"/>
        <v>0</v>
      </c>
      <c r="G1606" s="182">
        <f t="shared" ca="1" si="241"/>
        <v>0</v>
      </c>
      <c r="H1606" s="182">
        <f t="shared" ca="1" si="242"/>
        <v>79551.748836827508</v>
      </c>
      <c r="I1606" s="183">
        <v>0</v>
      </c>
      <c r="J1606" s="263">
        <f t="shared" ca="1" si="238"/>
        <v>79551.748836827508</v>
      </c>
      <c r="K1606" s="182"/>
      <c r="L1606" s="182"/>
      <c r="M1606" s="182"/>
      <c r="N1606" s="182"/>
      <c r="O1606" s="182"/>
    </row>
    <row r="1607" spans="1:15" x14ac:dyDescent="0.25">
      <c r="A1607" s="180">
        <f t="shared" ca="1" si="239"/>
        <v>47697</v>
      </c>
      <c r="B1607" s="181">
        <v>1593</v>
      </c>
      <c r="C1607" s="182">
        <f t="shared" ca="1" si="243"/>
        <v>79551.748836827508</v>
      </c>
      <c r="D1607" s="182">
        <f t="shared" ca="1" si="240"/>
        <v>53.034499224551674</v>
      </c>
      <c r="E1607" s="182">
        <v>0</v>
      </c>
      <c r="F1607" s="182">
        <f t="shared" ca="1" si="244"/>
        <v>0</v>
      </c>
      <c r="G1607" s="182">
        <f t="shared" ca="1" si="241"/>
        <v>0</v>
      </c>
      <c r="H1607" s="182">
        <f t="shared" ca="1" si="242"/>
        <v>79604.78333605206</v>
      </c>
      <c r="I1607" s="183">
        <v>0</v>
      </c>
      <c r="J1607" s="263">
        <f t="shared" ca="1" si="238"/>
        <v>79604.78333605206</v>
      </c>
      <c r="K1607" s="182"/>
      <c r="L1607" s="182"/>
      <c r="M1607" s="182"/>
      <c r="N1607" s="182"/>
      <c r="O1607" s="182"/>
    </row>
    <row r="1608" spans="1:15" x14ac:dyDescent="0.25">
      <c r="A1608" s="180">
        <f t="shared" ca="1" si="239"/>
        <v>47698</v>
      </c>
      <c r="B1608" s="181">
        <v>1594</v>
      </c>
      <c r="C1608" s="182">
        <f t="shared" ca="1" si="243"/>
        <v>79604.78333605206</v>
      </c>
      <c r="D1608" s="182">
        <f t="shared" ca="1" si="240"/>
        <v>53.069855557368037</v>
      </c>
      <c r="E1608" s="182">
        <v>0</v>
      </c>
      <c r="F1608" s="182">
        <f t="shared" ca="1" si="244"/>
        <v>0</v>
      </c>
      <c r="G1608" s="182">
        <f t="shared" ca="1" si="241"/>
        <v>0</v>
      </c>
      <c r="H1608" s="182">
        <f t="shared" ca="1" si="242"/>
        <v>79657.853191609422</v>
      </c>
      <c r="I1608" s="183">
        <v>0</v>
      </c>
      <c r="J1608" s="263">
        <f t="shared" ca="1" si="238"/>
        <v>79657.853191609422</v>
      </c>
      <c r="K1608" s="182"/>
      <c r="L1608" s="182"/>
      <c r="M1608" s="182"/>
      <c r="N1608" s="182"/>
      <c r="O1608" s="182"/>
    </row>
    <row r="1609" spans="1:15" x14ac:dyDescent="0.25">
      <c r="A1609" s="180">
        <f t="shared" ca="1" si="239"/>
        <v>47699</v>
      </c>
      <c r="B1609" s="181">
        <v>1595</v>
      </c>
      <c r="C1609" s="182">
        <f t="shared" ca="1" si="243"/>
        <v>79657.853191609422</v>
      </c>
      <c r="D1609" s="182">
        <f t="shared" ca="1" si="240"/>
        <v>53.105235461072944</v>
      </c>
      <c r="E1609" s="182">
        <v>0</v>
      </c>
      <c r="F1609" s="182">
        <f t="shared" ca="1" si="244"/>
        <v>0</v>
      </c>
      <c r="G1609" s="182">
        <f t="shared" ca="1" si="241"/>
        <v>0</v>
      </c>
      <c r="H1609" s="182">
        <f t="shared" ca="1" si="242"/>
        <v>79710.958427070495</v>
      </c>
      <c r="I1609" s="183">
        <v>0</v>
      </c>
      <c r="J1609" s="263">
        <f t="shared" ca="1" si="238"/>
        <v>79710.958427070495</v>
      </c>
      <c r="K1609" s="182"/>
      <c r="L1609" s="182"/>
      <c r="M1609" s="182"/>
      <c r="N1609" s="182"/>
      <c r="O1609" s="182"/>
    </row>
    <row r="1610" spans="1:15" x14ac:dyDescent="0.25">
      <c r="A1610" s="180">
        <f t="shared" ca="1" si="239"/>
        <v>47700</v>
      </c>
      <c r="B1610" s="181">
        <v>1596</v>
      </c>
      <c r="C1610" s="182">
        <f t="shared" ca="1" si="243"/>
        <v>79710.958427070495</v>
      </c>
      <c r="D1610" s="182">
        <f t="shared" ca="1" si="240"/>
        <v>53.140638951380325</v>
      </c>
      <c r="E1610" s="182">
        <v>0</v>
      </c>
      <c r="F1610" s="182">
        <f t="shared" ca="1" si="244"/>
        <v>0</v>
      </c>
      <c r="G1610" s="182">
        <f t="shared" ca="1" si="241"/>
        <v>0</v>
      </c>
      <c r="H1610" s="182">
        <f t="shared" ca="1" si="242"/>
        <v>79764.099066021881</v>
      </c>
      <c r="I1610" s="183">
        <v>0</v>
      </c>
      <c r="J1610" s="263">
        <f t="shared" ca="1" si="238"/>
        <v>79764.099066021881</v>
      </c>
      <c r="K1610" s="182"/>
      <c r="L1610" s="182"/>
      <c r="M1610" s="182"/>
      <c r="N1610" s="182"/>
      <c r="O1610" s="182"/>
    </row>
    <row r="1611" spans="1:15" x14ac:dyDescent="0.25">
      <c r="A1611" s="180">
        <f t="shared" ca="1" si="239"/>
        <v>47701</v>
      </c>
      <c r="B1611" s="181">
        <v>1597</v>
      </c>
      <c r="C1611" s="182">
        <f t="shared" ca="1" si="243"/>
        <v>79764.099066021881</v>
      </c>
      <c r="D1611" s="182">
        <f t="shared" ca="1" si="240"/>
        <v>53.176066044014583</v>
      </c>
      <c r="E1611" s="182">
        <v>0</v>
      </c>
      <c r="F1611" s="182">
        <f t="shared" ca="1" si="244"/>
        <v>0</v>
      </c>
      <c r="G1611" s="182">
        <f t="shared" ca="1" si="241"/>
        <v>0</v>
      </c>
      <c r="H1611" s="182">
        <f t="shared" ca="1" si="242"/>
        <v>79817.275132065901</v>
      </c>
      <c r="I1611" s="183">
        <v>0</v>
      </c>
      <c r="J1611" s="263">
        <f t="shared" ca="1" si="238"/>
        <v>79817.275132065901</v>
      </c>
      <c r="K1611" s="182"/>
      <c r="L1611" s="182"/>
      <c r="M1611" s="182"/>
      <c r="N1611" s="182"/>
      <c r="O1611" s="182"/>
    </row>
    <row r="1612" spans="1:15" x14ac:dyDescent="0.25">
      <c r="A1612" s="180">
        <f t="shared" ca="1" si="239"/>
        <v>47702</v>
      </c>
      <c r="B1612" s="181">
        <v>1598</v>
      </c>
      <c r="C1612" s="182">
        <f t="shared" ca="1" si="243"/>
        <v>79817.275132065901</v>
      </c>
      <c r="D1612" s="182">
        <f t="shared" ca="1" si="240"/>
        <v>53.211516754710601</v>
      </c>
      <c r="E1612" s="182">
        <v>0</v>
      </c>
      <c r="F1612" s="182">
        <f t="shared" ca="1" si="244"/>
        <v>0</v>
      </c>
      <c r="G1612" s="182">
        <f t="shared" ca="1" si="241"/>
        <v>0</v>
      </c>
      <c r="H1612" s="182">
        <f t="shared" ca="1" si="242"/>
        <v>79870.486648820617</v>
      </c>
      <c r="I1612" s="183">
        <v>0</v>
      </c>
      <c r="J1612" s="263">
        <f t="shared" ca="1" si="238"/>
        <v>79870.486648820617</v>
      </c>
      <c r="K1612" s="182"/>
      <c r="L1612" s="182"/>
      <c r="M1612" s="182"/>
      <c r="N1612" s="182"/>
      <c r="O1612" s="182"/>
    </row>
    <row r="1613" spans="1:15" x14ac:dyDescent="0.25">
      <c r="A1613" s="180">
        <f t="shared" ca="1" si="239"/>
        <v>47703</v>
      </c>
      <c r="B1613" s="181">
        <v>1599</v>
      </c>
      <c r="C1613" s="182">
        <f t="shared" ca="1" si="243"/>
        <v>79870.486648820617</v>
      </c>
      <c r="D1613" s="182">
        <f t="shared" ca="1" si="240"/>
        <v>53.246991099213744</v>
      </c>
      <c r="E1613" s="182">
        <v>0</v>
      </c>
      <c r="F1613" s="182">
        <f t="shared" ca="1" si="244"/>
        <v>0</v>
      </c>
      <c r="G1613" s="182">
        <f t="shared" ca="1" si="241"/>
        <v>0</v>
      </c>
      <c r="H1613" s="182">
        <f t="shared" ca="1" si="242"/>
        <v>79923.733639919825</v>
      </c>
      <c r="I1613" s="183">
        <v>0</v>
      </c>
      <c r="J1613" s="263">
        <f t="shared" ca="1" si="238"/>
        <v>79923.733639919825</v>
      </c>
      <c r="K1613" s="182"/>
      <c r="L1613" s="182"/>
      <c r="M1613" s="182"/>
      <c r="N1613" s="182"/>
      <c r="O1613" s="182"/>
    </row>
    <row r="1614" spans="1:15" x14ac:dyDescent="0.25">
      <c r="A1614" s="180">
        <f t="shared" ca="1" si="239"/>
        <v>47704</v>
      </c>
      <c r="B1614" s="181">
        <v>1600</v>
      </c>
      <c r="C1614" s="182">
        <f t="shared" ca="1" si="243"/>
        <v>79923.733639919825</v>
      </c>
      <c r="D1614" s="182">
        <f t="shared" ca="1" si="240"/>
        <v>53.282489093279878</v>
      </c>
      <c r="E1614" s="182">
        <v>0</v>
      </c>
      <c r="F1614" s="182">
        <f t="shared" ca="1" si="244"/>
        <v>0</v>
      </c>
      <c r="G1614" s="182">
        <f t="shared" ca="1" si="241"/>
        <v>0</v>
      </c>
      <c r="H1614" s="182">
        <f t="shared" ca="1" si="242"/>
        <v>79977.016129013107</v>
      </c>
      <c r="I1614" s="183">
        <v>0</v>
      </c>
      <c r="J1614" s="263">
        <f t="shared" ca="1" si="238"/>
        <v>79977.016129013107</v>
      </c>
      <c r="K1614" s="182"/>
      <c r="L1614" s="182"/>
      <c r="M1614" s="182"/>
      <c r="N1614" s="182"/>
      <c r="O1614" s="182"/>
    </row>
    <row r="1615" spans="1:15" x14ac:dyDescent="0.25">
      <c r="A1615" s="180">
        <f t="shared" ca="1" si="239"/>
        <v>47705</v>
      </c>
      <c r="B1615" s="181">
        <v>1601</v>
      </c>
      <c r="C1615" s="182">
        <f t="shared" ca="1" si="243"/>
        <v>79977.016129013107</v>
      </c>
      <c r="D1615" s="182">
        <f t="shared" ca="1" si="240"/>
        <v>53.318010752675406</v>
      </c>
      <c r="E1615" s="182">
        <v>0</v>
      </c>
      <c r="F1615" s="182">
        <f t="shared" ca="1" si="244"/>
        <v>0</v>
      </c>
      <c r="G1615" s="182">
        <f t="shared" ca="1" si="241"/>
        <v>0</v>
      </c>
      <c r="H1615" s="182">
        <f t="shared" ca="1" si="242"/>
        <v>80030.334139765779</v>
      </c>
      <c r="I1615" s="183">
        <v>0</v>
      </c>
      <c r="J1615" s="263">
        <f t="shared" ref="J1615:J1678" ca="1" si="245">H1615-IF(I$8-G1615&lt;Q$42,I$8-Q$42,G1615)</f>
        <v>80030.334139765779</v>
      </c>
      <c r="K1615" s="182"/>
      <c r="L1615" s="182"/>
      <c r="M1615" s="182"/>
      <c r="N1615" s="182"/>
      <c r="O1615" s="182"/>
    </row>
    <row r="1616" spans="1:15" x14ac:dyDescent="0.25">
      <c r="A1616" s="180">
        <f t="shared" ca="1" si="239"/>
        <v>47706</v>
      </c>
      <c r="B1616" s="181">
        <v>1602</v>
      </c>
      <c r="C1616" s="182">
        <f t="shared" ca="1" si="243"/>
        <v>80030.334139765779</v>
      </c>
      <c r="D1616" s="182">
        <f t="shared" ca="1" si="240"/>
        <v>53.353556093177183</v>
      </c>
      <c r="E1616" s="182">
        <v>0</v>
      </c>
      <c r="F1616" s="182">
        <f t="shared" ca="1" si="244"/>
        <v>0</v>
      </c>
      <c r="G1616" s="182">
        <f t="shared" ca="1" si="241"/>
        <v>0</v>
      </c>
      <c r="H1616" s="182">
        <f t="shared" ca="1" si="242"/>
        <v>80083.687695858956</v>
      </c>
      <c r="I1616" s="183">
        <v>0</v>
      </c>
      <c r="J1616" s="263">
        <f t="shared" ca="1" si="245"/>
        <v>80083.687695858956</v>
      </c>
      <c r="K1616" s="182"/>
      <c r="L1616" s="182"/>
      <c r="M1616" s="182"/>
      <c r="N1616" s="182"/>
      <c r="O1616" s="182"/>
    </row>
    <row r="1617" spans="1:15" x14ac:dyDescent="0.25">
      <c r="A1617" s="180">
        <f t="shared" ref="A1617:A1680" ca="1" si="246">A1616+1</f>
        <v>47707</v>
      </c>
      <c r="B1617" s="181">
        <v>1603</v>
      </c>
      <c r="C1617" s="182">
        <f t="shared" ca="1" si="243"/>
        <v>80083.687695858956</v>
      </c>
      <c r="D1617" s="182">
        <f t="shared" ref="D1617:D1680" ca="1" si="247">(($C$6/360))*C1617</f>
        <v>53.389125130572637</v>
      </c>
      <c r="E1617" s="182">
        <v>0</v>
      </c>
      <c r="F1617" s="182">
        <f t="shared" ca="1" si="244"/>
        <v>0</v>
      </c>
      <c r="G1617" s="182">
        <f t="shared" ref="G1617:G1680" ca="1" si="248">IF(G1616-D1617-E1617&gt;0,G1616-D1617-E1617,0)</f>
        <v>0</v>
      </c>
      <c r="H1617" s="182">
        <f t="shared" ca="1" si="242"/>
        <v>80137.076820989532</v>
      </c>
      <c r="I1617" s="183">
        <v>0</v>
      </c>
      <c r="J1617" s="263">
        <f t="shared" ca="1" si="245"/>
        <v>80137.076820989532</v>
      </c>
      <c r="K1617" s="182"/>
      <c r="L1617" s="182"/>
      <c r="M1617" s="182"/>
      <c r="N1617" s="182"/>
      <c r="O1617" s="182"/>
    </row>
    <row r="1618" spans="1:15" x14ac:dyDescent="0.25">
      <c r="A1618" s="180">
        <f t="shared" ca="1" si="246"/>
        <v>47708</v>
      </c>
      <c r="B1618" s="181">
        <v>1604</v>
      </c>
      <c r="C1618" s="182">
        <f t="shared" ca="1" si="243"/>
        <v>80137.076820989532</v>
      </c>
      <c r="D1618" s="182">
        <f t="shared" ca="1" si="247"/>
        <v>53.424717880659685</v>
      </c>
      <c r="E1618" s="182">
        <v>0</v>
      </c>
      <c r="F1618" s="182">
        <f t="shared" ca="1" si="244"/>
        <v>0</v>
      </c>
      <c r="G1618" s="182">
        <f t="shared" ca="1" si="248"/>
        <v>0</v>
      </c>
      <c r="H1618" s="182">
        <f t="shared" ca="1" si="242"/>
        <v>80190.501538870187</v>
      </c>
      <c r="I1618" s="183">
        <v>0</v>
      </c>
      <c r="J1618" s="263">
        <f t="shared" ca="1" si="245"/>
        <v>80190.501538870187</v>
      </c>
      <c r="K1618" s="182"/>
      <c r="L1618" s="182"/>
      <c r="M1618" s="182"/>
      <c r="N1618" s="182"/>
      <c r="O1618" s="182"/>
    </row>
    <row r="1619" spans="1:15" x14ac:dyDescent="0.25">
      <c r="A1619" s="180">
        <f t="shared" ca="1" si="246"/>
        <v>47709</v>
      </c>
      <c r="B1619" s="181">
        <v>1605</v>
      </c>
      <c r="C1619" s="182">
        <f t="shared" ca="1" si="243"/>
        <v>80190.501538870187</v>
      </c>
      <c r="D1619" s="182">
        <f t="shared" ca="1" si="247"/>
        <v>53.460334359246787</v>
      </c>
      <c r="E1619" s="182">
        <v>0</v>
      </c>
      <c r="F1619" s="182">
        <f t="shared" ca="1" si="244"/>
        <v>0</v>
      </c>
      <c r="G1619" s="182">
        <f t="shared" ca="1" si="248"/>
        <v>0</v>
      </c>
      <c r="H1619" s="182">
        <f t="shared" ca="1" si="242"/>
        <v>80243.961873229433</v>
      </c>
      <c r="I1619" s="183">
        <v>0</v>
      </c>
      <c r="J1619" s="263">
        <f t="shared" ca="1" si="245"/>
        <v>80243.961873229433</v>
      </c>
      <c r="K1619" s="182"/>
      <c r="L1619" s="182"/>
      <c r="M1619" s="182"/>
      <c r="N1619" s="182"/>
      <c r="O1619" s="182"/>
    </row>
    <row r="1620" spans="1:15" x14ac:dyDescent="0.25">
      <c r="A1620" s="180">
        <f t="shared" ca="1" si="246"/>
        <v>47710</v>
      </c>
      <c r="B1620" s="181">
        <v>1606</v>
      </c>
      <c r="C1620" s="182">
        <f t="shared" ca="1" si="243"/>
        <v>80243.961873229433</v>
      </c>
      <c r="D1620" s="182">
        <f t="shared" ca="1" si="247"/>
        <v>53.495974582152954</v>
      </c>
      <c r="E1620" s="182">
        <v>0</v>
      </c>
      <c r="F1620" s="182">
        <f t="shared" ca="1" si="244"/>
        <v>0</v>
      </c>
      <c r="G1620" s="182">
        <f t="shared" ca="1" si="248"/>
        <v>0</v>
      </c>
      <c r="H1620" s="182">
        <f t="shared" ca="1" si="242"/>
        <v>80297.457847811587</v>
      </c>
      <c r="I1620" s="183">
        <v>0</v>
      </c>
      <c r="J1620" s="263">
        <f t="shared" ca="1" si="245"/>
        <v>80297.457847811587</v>
      </c>
      <c r="K1620" s="182"/>
      <c r="L1620" s="182"/>
      <c r="M1620" s="182"/>
      <c r="N1620" s="182"/>
      <c r="O1620" s="182"/>
    </row>
    <row r="1621" spans="1:15" x14ac:dyDescent="0.25">
      <c r="A1621" s="180">
        <f t="shared" ca="1" si="246"/>
        <v>47711</v>
      </c>
      <c r="B1621" s="181">
        <v>1607</v>
      </c>
      <c r="C1621" s="182">
        <f t="shared" ca="1" si="243"/>
        <v>80297.457847811587</v>
      </c>
      <c r="D1621" s="182">
        <f t="shared" ca="1" si="247"/>
        <v>53.531638565207722</v>
      </c>
      <c r="E1621" s="182">
        <v>0</v>
      </c>
      <c r="F1621" s="182">
        <f t="shared" ca="1" si="244"/>
        <v>0</v>
      </c>
      <c r="G1621" s="182">
        <f t="shared" ca="1" si="248"/>
        <v>0</v>
      </c>
      <c r="H1621" s="182">
        <f t="shared" ca="1" si="242"/>
        <v>80350.989486376799</v>
      </c>
      <c r="I1621" s="183">
        <v>0</v>
      </c>
      <c r="J1621" s="263">
        <f t="shared" ca="1" si="245"/>
        <v>80350.989486376799</v>
      </c>
      <c r="K1621" s="182"/>
      <c r="L1621" s="182"/>
      <c r="M1621" s="182"/>
      <c r="N1621" s="182"/>
      <c r="O1621" s="182"/>
    </row>
    <row r="1622" spans="1:15" x14ac:dyDescent="0.25">
      <c r="A1622" s="180">
        <f t="shared" ca="1" si="246"/>
        <v>47712</v>
      </c>
      <c r="B1622" s="181">
        <v>1608</v>
      </c>
      <c r="C1622" s="182">
        <f t="shared" ca="1" si="243"/>
        <v>80350.989486376799</v>
      </c>
      <c r="D1622" s="182">
        <f t="shared" ca="1" si="247"/>
        <v>53.567326324251198</v>
      </c>
      <c r="E1622" s="182">
        <v>0</v>
      </c>
      <c r="F1622" s="182">
        <f t="shared" ca="1" si="244"/>
        <v>0</v>
      </c>
      <c r="G1622" s="182">
        <f t="shared" ca="1" si="248"/>
        <v>0</v>
      </c>
      <c r="H1622" s="182">
        <f t="shared" ca="1" si="242"/>
        <v>80404.556812701048</v>
      </c>
      <c r="I1622" s="183">
        <v>0</v>
      </c>
      <c r="J1622" s="263">
        <f t="shared" ca="1" si="245"/>
        <v>80404.556812701048</v>
      </c>
      <c r="K1622" s="182"/>
      <c r="L1622" s="182"/>
      <c r="M1622" s="182"/>
      <c r="N1622" s="182"/>
      <c r="O1622" s="182"/>
    </row>
    <row r="1623" spans="1:15" x14ac:dyDescent="0.25">
      <c r="A1623" s="180">
        <f t="shared" ca="1" si="246"/>
        <v>47713</v>
      </c>
      <c r="B1623" s="181">
        <v>1609</v>
      </c>
      <c r="C1623" s="182">
        <f t="shared" ca="1" si="243"/>
        <v>80404.556812701048</v>
      </c>
      <c r="D1623" s="182">
        <f t="shared" ca="1" si="247"/>
        <v>53.603037875134028</v>
      </c>
      <c r="E1623" s="182">
        <v>0</v>
      </c>
      <c r="F1623" s="182">
        <f t="shared" ca="1" si="244"/>
        <v>0</v>
      </c>
      <c r="G1623" s="182">
        <f t="shared" ca="1" si="248"/>
        <v>0</v>
      </c>
      <c r="H1623" s="182">
        <f t="shared" ca="1" si="242"/>
        <v>80458.159850576179</v>
      </c>
      <c r="I1623" s="183">
        <v>0</v>
      </c>
      <c r="J1623" s="263">
        <f t="shared" ca="1" si="245"/>
        <v>80458.159850576179</v>
      </c>
      <c r="K1623" s="182"/>
      <c r="L1623" s="182"/>
      <c r="M1623" s="182"/>
      <c r="N1623" s="182"/>
      <c r="O1623" s="182"/>
    </row>
    <row r="1624" spans="1:15" x14ac:dyDescent="0.25">
      <c r="A1624" s="180">
        <f t="shared" ca="1" si="246"/>
        <v>47714</v>
      </c>
      <c r="B1624" s="181">
        <v>1610</v>
      </c>
      <c r="C1624" s="182">
        <f t="shared" ca="1" si="243"/>
        <v>80458.159850576179</v>
      </c>
      <c r="D1624" s="182">
        <f t="shared" ca="1" si="247"/>
        <v>53.638773233717451</v>
      </c>
      <c r="E1624" s="182">
        <v>0</v>
      </c>
      <c r="F1624" s="182">
        <f t="shared" ca="1" si="244"/>
        <v>0</v>
      </c>
      <c r="G1624" s="182">
        <f t="shared" ca="1" si="248"/>
        <v>0</v>
      </c>
      <c r="H1624" s="182">
        <f t="shared" ca="1" si="242"/>
        <v>80511.798623809897</v>
      </c>
      <c r="I1624" s="183">
        <v>0</v>
      </c>
      <c r="J1624" s="263">
        <f t="shared" ca="1" si="245"/>
        <v>80511.798623809897</v>
      </c>
      <c r="K1624" s="182"/>
      <c r="L1624" s="182"/>
      <c r="M1624" s="182"/>
      <c r="N1624" s="182"/>
      <c r="O1624" s="182"/>
    </row>
    <row r="1625" spans="1:15" x14ac:dyDescent="0.25">
      <c r="A1625" s="180">
        <f t="shared" ca="1" si="246"/>
        <v>47715</v>
      </c>
      <c r="B1625" s="181">
        <v>1611</v>
      </c>
      <c r="C1625" s="182">
        <f t="shared" ca="1" si="243"/>
        <v>80511.798623809897</v>
      </c>
      <c r="D1625" s="182">
        <f t="shared" ca="1" si="247"/>
        <v>53.674532415873266</v>
      </c>
      <c r="E1625" s="182">
        <v>0</v>
      </c>
      <c r="F1625" s="182">
        <f t="shared" ca="1" si="244"/>
        <v>0</v>
      </c>
      <c r="G1625" s="182">
        <f t="shared" ca="1" si="248"/>
        <v>0</v>
      </c>
      <c r="H1625" s="182">
        <f t="shared" ca="1" si="242"/>
        <v>80565.473156225766</v>
      </c>
      <c r="I1625" s="183">
        <v>0</v>
      </c>
      <c r="J1625" s="263">
        <f t="shared" ca="1" si="245"/>
        <v>80565.473156225766</v>
      </c>
      <c r="K1625" s="182"/>
      <c r="L1625" s="182"/>
      <c r="M1625" s="182"/>
      <c r="N1625" s="182"/>
      <c r="O1625" s="182"/>
    </row>
    <row r="1626" spans="1:15" x14ac:dyDescent="0.25">
      <c r="A1626" s="180">
        <f t="shared" ca="1" si="246"/>
        <v>47716</v>
      </c>
      <c r="B1626" s="181">
        <v>1612</v>
      </c>
      <c r="C1626" s="182">
        <f t="shared" ca="1" si="243"/>
        <v>80565.473156225766</v>
      </c>
      <c r="D1626" s="182">
        <f t="shared" ca="1" si="247"/>
        <v>53.710315437483843</v>
      </c>
      <c r="E1626" s="182">
        <v>0</v>
      </c>
      <c r="F1626" s="182">
        <f t="shared" ca="1" si="244"/>
        <v>0</v>
      </c>
      <c r="G1626" s="182">
        <f t="shared" ca="1" si="248"/>
        <v>0</v>
      </c>
      <c r="H1626" s="182">
        <f t="shared" ca="1" si="242"/>
        <v>80619.183471663244</v>
      </c>
      <c r="I1626" s="183">
        <v>0</v>
      </c>
      <c r="J1626" s="263">
        <f t="shared" ca="1" si="245"/>
        <v>80619.183471663244</v>
      </c>
      <c r="K1626" s="182"/>
      <c r="L1626" s="182"/>
      <c r="M1626" s="182"/>
      <c r="N1626" s="182"/>
      <c r="O1626" s="182"/>
    </row>
    <row r="1627" spans="1:15" x14ac:dyDescent="0.25">
      <c r="A1627" s="180">
        <f t="shared" ca="1" si="246"/>
        <v>47717</v>
      </c>
      <c r="B1627" s="181">
        <v>1613</v>
      </c>
      <c r="C1627" s="182">
        <f t="shared" ca="1" si="243"/>
        <v>80619.183471663244</v>
      </c>
      <c r="D1627" s="182">
        <f t="shared" ca="1" si="247"/>
        <v>53.746122314442161</v>
      </c>
      <c r="E1627" s="182">
        <v>0</v>
      </c>
      <c r="F1627" s="182">
        <f t="shared" ca="1" si="244"/>
        <v>0</v>
      </c>
      <c r="G1627" s="182">
        <f t="shared" ca="1" si="248"/>
        <v>0</v>
      </c>
      <c r="H1627" s="182">
        <f t="shared" ca="1" si="242"/>
        <v>80672.929593977693</v>
      </c>
      <c r="I1627" s="183">
        <v>0</v>
      </c>
      <c r="J1627" s="263">
        <f t="shared" ca="1" si="245"/>
        <v>80672.929593977693</v>
      </c>
      <c r="K1627" s="182"/>
      <c r="L1627" s="182"/>
      <c r="M1627" s="182"/>
      <c r="N1627" s="182"/>
      <c r="O1627" s="182"/>
    </row>
    <row r="1628" spans="1:15" x14ac:dyDescent="0.25">
      <c r="A1628" s="180">
        <f t="shared" ca="1" si="246"/>
        <v>47718</v>
      </c>
      <c r="B1628" s="181">
        <v>1614</v>
      </c>
      <c r="C1628" s="182">
        <f t="shared" ca="1" si="243"/>
        <v>80672.929593977693</v>
      </c>
      <c r="D1628" s="182">
        <f t="shared" ca="1" si="247"/>
        <v>53.781953062651795</v>
      </c>
      <c r="E1628" s="182">
        <v>0</v>
      </c>
      <c r="F1628" s="182">
        <f t="shared" ca="1" si="244"/>
        <v>0</v>
      </c>
      <c r="G1628" s="182">
        <f t="shared" ca="1" si="248"/>
        <v>0</v>
      </c>
      <c r="H1628" s="182">
        <f t="shared" ca="1" si="242"/>
        <v>80726.711547040351</v>
      </c>
      <c r="I1628" s="183">
        <v>0</v>
      </c>
      <c r="J1628" s="263">
        <f t="shared" ca="1" si="245"/>
        <v>80726.711547040351</v>
      </c>
      <c r="K1628" s="182"/>
      <c r="L1628" s="182"/>
      <c r="M1628" s="182"/>
      <c r="N1628" s="182"/>
      <c r="O1628" s="182"/>
    </row>
    <row r="1629" spans="1:15" x14ac:dyDescent="0.25">
      <c r="A1629" s="180">
        <f t="shared" ca="1" si="246"/>
        <v>47719</v>
      </c>
      <c r="B1629" s="181">
        <v>1615</v>
      </c>
      <c r="C1629" s="182">
        <f t="shared" ca="1" si="243"/>
        <v>80726.711547040351</v>
      </c>
      <c r="D1629" s="182">
        <f t="shared" ca="1" si="247"/>
        <v>53.817807698026897</v>
      </c>
      <c r="E1629" s="182">
        <v>0</v>
      </c>
      <c r="F1629" s="182">
        <f t="shared" ca="1" si="244"/>
        <v>0</v>
      </c>
      <c r="G1629" s="182">
        <f t="shared" ca="1" si="248"/>
        <v>0</v>
      </c>
      <c r="H1629" s="182">
        <f t="shared" ca="1" si="242"/>
        <v>80780.529354738377</v>
      </c>
      <c r="I1629" s="183">
        <v>0</v>
      </c>
      <c r="J1629" s="263">
        <f t="shared" ca="1" si="245"/>
        <v>80780.529354738377</v>
      </c>
      <c r="K1629" s="182"/>
      <c r="L1629" s="182"/>
      <c r="M1629" s="182"/>
      <c r="N1629" s="182"/>
      <c r="O1629" s="182"/>
    </row>
    <row r="1630" spans="1:15" x14ac:dyDescent="0.25">
      <c r="A1630" s="180">
        <f t="shared" ca="1" si="246"/>
        <v>47720</v>
      </c>
      <c r="B1630" s="181">
        <v>1616</v>
      </c>
      <c r="C1630" s="182">
        <f t="shared" ca="1" si="243"/>
        <v>80780.529354738377</v>
      </c>
      <c r="D1630" s="182">
        <f t="shared" ca="1" si="247"/>
        <v>53.853686236492251</v>
      </c>
      <c r="E1630" s="182">
        <v>0</v>
      </c>
      <c r="F1630" s="182">
        <f t="shared" ca="1" si="244"/>
        <v>0</v>
      </c>
      <c r="G1630" s="182">
        <f t="shared" ca="1" si="248"/>
        <v>0</v>
      </c>
      <c r="H1630" s="182">
        <f t="shared" ca="1" si="242"/>
        <v>80834.383040974863</v>
      </c>
      <c r="I1630" s="183">
        <v>0</v>
      </c>
      <c r="J1630" s="263">
        <f t="shared" ca="1" si="245"/>
        <v>80834.383040974863</v>
      </c>
      <c r="K1630" s="182"/>
      <c r="L1630" s="182"/>
      <c r="M1630" s="182"/>
      <c r="N1630" s="182"/>
      <c r="O1630" s="182"/>
    </row>
    <row r="1631" spans="1:15" x14ac:dyDescent="0.25">
      <c r="A1631" s="180">
        <f t="shared" ca="1" si="246"/>
        <v>47721</v>
      </c>
      <c r="B1631" s="181">
        <v>1617</v>
      </c>
      <c r="C1631" s="182">
        <f t="shared" ca="1" si="243"/>
        <v>80834.383040974863</v>
      </c>
      <c r="D1631" s="182">
        <f t="shared" ca="1" si="247"/>
        <v>53.889588693983242</v>
      </c>
      <c r="E1631" s="182">
        <v>0</v>
      </c>
      <c r="F1631" s="182">
        <f t="shared" ca="1" si="244"/>
        <v>0</v>
      </c>
      <c r="G1631" s="182">
        <f t="shared" ca="1" si="248"/>
        <v>0</v>
      </c>
      <c r="H1631" s="182">
        <f t="shared" ca="1" si="242"/>
        <v>80888.272629668849</v>
      </c>
      <c r="I1631" s="183">
        <v>0</v>
      </c>
      <c r="J1631" s="263">
        <f t="shared" ca="1" si="245"/>
        <v>80888.272629668849</v>
      </c>
      <c r="K1631" s="182"/>
      <c r="L1631" s="182"/>
      <c r="M1631" s="182"/>
      <c r="N1631" s="182"/>
      <c r="O1631" s="182"/>
    </row>
    <row r="1632" spans="1:15" x14ac:dyDescent="0.25">
      <c r="A1632" s="180">
        <f t="shared" ca="1" si="246"/>
        <v>47722</v>
      </c>
      <c r="B1632" s="181">
        <v>1618</v>
      </c>
      <c r="C1632" s="182">
        <f t="shared" ca="1" si="243"/>
        <v>80888.272629668849</v>
      </c>
      <c r="D1632" s="182">
        <f t="shared" ca="1" si="247"/>
        <v>53.925515086445898</v>
      </c>
      <c r="E1632" s="182">
        <v>0</v>
      </c>
      <c r="F1632" s="182">
        <f t="shared" ca="1" si="244"/>
        <v>0</v>
      </c>
      <c r="G1632" s="182">
        <f t="shared" ca="1" si="248"/>
        <v>0</v>
      </c>
      <c r="H1632" s="182">
        <f t="shared" ca="1" si="242"/>
        <v>80942.198144755297</v>
      </c>
      <c r="I1632" s="183">
        <v>0</v>
      </c>
      <c r="J1632" s="263">
        <f t="shared" ca="1" si="245"/>
        <v>80942.198144755297</v>
      </c>
      <c r="K1632" s="182"/>
      <c r="L1632" s="182"/>
      <c r="M1632" s="182"/>
      <c r="N1632" s="182"/>
      <c r="O1632" s="182"/>
    </row>
    <row r="1633" spans="1:15" x14ac:dyDescent="0.25">
      <c r="A1633" s="180">
        <f t="shared" ca="1" si="246"/>
        <v>47723</v>
      </c>
      <c r="B1633" s="181">
        <v>1619</v>
      </c>
      <c r="C1633" s="182">
        <f t="shared" ca="1" si="243"/>
        <v>80942.198144755297</v>
      </c>
      <c r="D1633" s="182">
        <f t="shared" ca="1" si="247"/>
        <v>53.961465429836863</v>
      </c>
      <c r="E1633" s="182">
        <v>0</v>
      </c>
      <c r="F1633" s="182">
        <f t="shared" ca="1" si="244"/>
        <v>0</v>
      </c>
      <c r="G1633" s="182">
        <f t="shared" ca="1" si="248"/>
        <v>0</v>
      </c>
      <c r="H1633" s="182">
        <f t="shared" ca="1" si="242"/>
        <v>80996.159610185132</v>
      </c>
      <c r="I1633" s="183">
        <v>0</v>
      </c>
      <c r="J1633" s="263">
        <f t="shared" ca="1" si="245"/>
        <v>80996.159610185132</v>
      </c>
      <c r="K1633" s="182"/>
      <c r="L1633" s="182"/>
      <c r="M1633" s="182"/>
      <c r="N1633" s="182"/>
      <c r="O1633" s="182"/>
    </row>
    <row r="1634" spans="1:15" x14ac:dyDescent="0.25">
      <c r="A1634" s="180">
        <f t="shared" ca="1" si="246"/>
        <v>47724</v>
      </c>
      <c r="B1634" s="181">
        <v>1620</v>
      </c>
      <c r="C1634" s="182">
        <f t="shared" ca="1" si="243"/>
        <v>80996.159610185132</v>
      </c>
      <c r="D1634" s="182">
        <f t="shared" ca="1" si="247"/>
        <v>53.997439740123419</v>
      </c>
      <c r="E1634" s="182">
        <v>0</v>
      </c>
      <c r="F1634" s="182">
        <f t="shared" ca="1" si="244"/>
        <v>0</v>
      </c>
      <c r="G1634" s="182">
        <f t="shared" ca="1" si="248"/>
        <v>0</v>
      </c>
      <c r="H1634" s="182">
        <f t="shared" ca="1" si="242"/>
        <v>81050.157049925256</v>
      </c>
      <c r="I1634" s="183">
        <v>0</v>
      </c>
      <c r="J1634" s="263">
        <f t="shared" ca="1" si="245"/>
        <v>81050.157049925256</v>
      </c>
      <c r="K1634" s="182"/>
      <c r="L1634" s="182"/>
      <c r="M1634" s="182"/>
      <c r="N1634" s="182"/>
      <c r="O1634" s="182"/>
    </row>
    <row r="1635" spans="1:15" x14ac:dyDescent="0.25">
      <c r="A1635" s="180">
        <f t="shared" ca="1" si="246"/>
        <v>47725</v>
      </c>
      <c r="B1635" s="181">
        <v>1621</v>
      </c>
      <c r="C1635" s="182">
        <f t="shared" ca="1" si="243"/>
        <v>81050.157049925256</v>
      </c>
      <c r="D1635" s="182">
        <f t="shared" ca="1" si="247"/>
        <v>54.033438033283502</v>
      </c>
      <c r="E1635" s="182">
        <v>0</v>
      </c>
      <c r="F1635" s="182">
        <f t="shared" ca="1" si="244"/>
        <v>0</v>
      </c>
      <c r="G1635" s="182">
        <f t="shared" ca="1" si="248"/>
        <v>0</v>
      </c>
      <c r="H1635" s="182">
        <f t="shared" ref="H1635:H1698" ca="1" si="249">IF(G1635&gt;0,C1635+F1635+I1635,SUM(C1635:F1635)-G1634)</f>
        <v>81104.190487958535</v>
      </c>
      <c r="I1635" s="183">
        <v>0</v>
      </c>
      <c r="J1635" s="263">
        <f t="shared" ca="1" si="245"/>
        <v>81104.190487958535</v>
      </c>
      <c r="K1635" s="182"/>
      <c r="L1635" s="182"/>
      <c r="M1635" s="182"/>
      <c r="N1635" s="182"/>
      <c r="O1635" s="182"/>
    </row>
    <row r="1636" spans="1:15" x14ac:dyDescent="0.25">
      <c r="A1636" s="180">
        <f t="shared" ca="1" si="246"/>
        <v>47726</v>
      </c>
      <c r="B1636" s="181">
        <v>1622</v>
      </c>
      <c r="C1636" s="182">
        <f t="shared" ca="1" si="243"/>
        <v>81104.190487958535</v>
      </c>
      <c r="D1636" s="182">
        <f t="shared" ca="1" si="247"/>
        <v>54.069460325305691</v>
      </c>
      <c r="E1636" s="182">
        <v>0</v>
      </c>
      <c r="F1636" s="182">
        <f t="shared" ca="1" si="244"/>
        <v>0</v>
      </c>
      <c r="G1636" s="182">
        <f t="shared" ca="1" si="248"/>
        <v>0</v>
      </c>
      <c r="H1636" s="182">
        <f t="shared" ca="1" si="249"/>
        <v>81158.259948283841</v>
      </c>
      <c r="I1636" s="183">
        <v>0</v>
      </c>
      <c r="J1636" s="263">
        <f t="shared" ca="1" si="245"/>
        <v>81158.259948283841</v>
      </c>
      <c r="K1636" s="182"/>
      <c r="L1636" s="182"/>
      <c r="M1636" s="182"/>
      <c r="N1636" s="182"/>
      <c r="O1636" s="182"/>
    </row>
    <row r="1637" spans="1:15" x14ac:dyDescent="0.25">
      <c r="A1637" s="180">
        <f t="shared" ca="1" si="246"/>
        <v>47727</v>
      </c>
      <c r="B1637" s="181">
        <v>1623</v>
      </c>
      <c r="C1637" s="182">
        <f t="shared" ca="1" si="243"/>
        <v>81158.259948283841</v>
      </c>
      <c r="D1637" s="182">
        <f t="shared" ca="1" si="247"/>
        <v>54.105506632189226</v>
      </c>
      <c r="E1637" s="182">
        <v>0</v>
      </c>
      <c r="F1637" s="182">
        <f t="shared" ca="1" si="244"/>
        <v>0</v>
      </c>
      <c r="G1637" s="182">
        <f t="shared" ca="1" si="248"/>
        <v>0</v>
      </c>
      <c r="H1637" s="182">
        <f t="shared" ca="1" si="249"/>
        <v>81212.365454916027</v>
      </c>
      <c r="I1637" s="183">
        <v>0</v>
      </c>
      <c r="J1637" s="263">
        <f t="shared" ca="1" si="245"/>
        <v>81212.365454916027</v>
      </c>
      <c r="K1637" s="182"/>
      <c r="L1637" s="182"/>
      <c r="M1637" s="182"/>
      <c r="N1637" s="182"/>
      <c r="O1637" s="182"/>
    </row>
    <row r="1638" spans="1:15" x14ac:dyDescent="0.25">
      <c r="A1638" s="180">
        <f t="shared" ca="1" si="246"/>
        <v>47728</v>
      </c>
      <c r="B1638" s="181">
        <v>1624</v>
      </c>
      <c r="C1638" s="182">
        <f t="shared" ca="1" si="243"/>
        <v>81212.365454916027</v>
      </c>
      <c r="D1638" s="182">
        <f t="shared" ca="1" si="247"/>
        <v>54.141576969944019</v>
      </c>
      <c r="E1638" s="182">
        <v>0</v>
      </c>
      <c r="F1638" s="182">
        <f t="shared" ca="1" si="244"/>
        <v>0</v>
      </c>
      <c r="G1638" s="182">
        <f t="shared" ca="1" si="248"/>
        <v>0</v>
      </c>
      <c r="H1638" s="182">
        <f t="shared" ca="1" si="249"/>
        <v>81266.507031885965</v>
      </c>
      <c r="I1638" s="183">
        <v>0</v>
      </c>
      <c r="J1638" s="263">
        <f t="shared" ca="1" si="245"/>
        <v>81266.507031885965</v>
      </c>
      <c r="K1638" s="182"/>
      <c r="L1638" s="182"/>
      <c r="M1638" s="182"/>
      <c r="N1638" s="182"/>
      <c r="O1638" s="182"/>
    </row>
    <row r="1639" spans="1:15" x14ac:dyDescent="0.25">
      <c r="A1639" s="180">
        <f t="shared" ca="1" si="246"/>
        <v>47729</v>
      </c>
      <c r="B1639" s="181">
        <v>1625</v>
      </c>
      <c r="C1639" s="182">
        <f t="shared" ca="1" si="243"/>
        <v>81266.507031885965</v>
      </c>
      <c r="D1639" s="182">
        <f t="shared" ca="1" si="247"/>
        <v>54.177671354590643</v>
      </c>
      <c r="E1639" s="182">
        <v>0</v>
      </c>
      <c r="F1639" s="182">
        <f t="shared" ca="1" si="244"/>
        <v>0</v>
      </c>
      <c r="G1639" s="182">
        <f t="shared" ca="1" si="248"/>
        <v>0</v>
      </c>
      <c r="H1639" s="182">
        <f t="shared" ca="1" si="249"/>
        <v>81320.684703240549</v>
      </c>
      <c r="I1639" s="183">
        <v>0</v>
      </c>
      <c r="J1639" s="263">
        <f t="shared" ca="1" si="245"/>
        <v>81320.684703240549</v>
      </c>
      <c r="K1639" s="182"/>
      <c r="L1639" s="182"/>
      <c r="M1639" s="182"/>
      <c r="N1639" s="182"/>
      <c r="O1639" s="182"/>
    </row>
    <row r="1640" spans="1:15" x14ac:dyDescent="0.25">
      <c r="A1640" s="180">
        <f t="shared" ca="1" si="246"/>
        <v>47730</v>
      </c>
      <c r="B1640" s="181">
        <v>1626</v>
      </c>
      <c r="C1640" s="182">
        <f t="shared" ca="1" si="243"/>
        <v>81320.684703240549</v>
      </c>
      <c r="D1640" s="182">
        <f t="shared" ca="1" si="247"/>
        <v>54.213789802160363</v>
      </c>
      <c r="E1640" s="182">
        <v>0</v>
      </c>
      <c r="F1640" s="182">
        <f t="shared" ca="1" si="244"/>
        <v>0</v>
      </c>
      <c r="G1640" s="182">
        <f t="shared" ca="1" si="248"/>
        <v>0</v>
      </c>
      <c r="H1640" s="182">
        <f t="shared" ca="1" si="249"/>
        <v>81374.89849304271</v>
      </c>
      <c r="I1640" s="183">
        <v>0</v>
      </c>
      <c r="J1640" s="263">
        <f t="shared" ca="1" si="245"/>
        <v>81374.89849304271</v>
      </c>
      <c r="K1640" s="182"/>
      <c r="L1640" s="182"/>
      <c r="M1640" s="182"/>
      <c r="N1640" s="182"/>
      <c r="O1640" s="182"/>
    </row>
    <row r="1641" spans="1:15" x14ac:dyDescent="0.25">
      <c r="A1641" s="180">
        <f t="shared" ca="1" si="246"/>
        <v>47731</v>
      </c>
      <c r="B1641" s="181">
        <v>1627</v>
      </c>
      <c r="C1641" s="182">
        <f t="shared" ca="1" si="243"/>
        <v>81374.89849304271</v>
      </c>
      <c r="D1641" s="182">
        <f t="shared" ca="1" si="247"/>
        <v>54.249932328695138</v>
      </c>
      <c r="E1641" s="182">
        <v>0</v>
      </c>
      <c r="F1641" s="182">
        <f t="shared" ca="1" si="244"/>
        <v>0</v>
      </c>
      <c r="G1641" s="182">
        <f t="shared" ca="1" si="248"/>
        <v>0</v>
      </c>
      <c r="H1641" s="182">
        <f t="shared" ca="1" si="249"/>
        <v>81429.148425371401</v>
      </c>
      <c r="I1641" s="183">
        <v>0</v>
      </c>
      <c r="J1641" s="263">
        <f t="shared" ca="1" si="245"/>
        <v>81429.148425371401</v>
      </c>
      <c r="K1641" s="182"/>
      <c r="L1641" s="182"/>
      <c r="M1641" s="182"/>
      <c r="N1641" s="182"/>
      <c r="O1641" s="182"/>
    </row>
    <row r="1642" spans="1:15" x14ac:dyDescent="0.25">
      <c r="A1642" s="180">
        <f t="shared" ca="1" si="246"/>
        <v>47732</v>
      </c>
      <c r="B1642" s="181">
        <v>1628</v>
      </c>
      <c r="C1642" s="182">
        <f t="shared" ca="1" si="243"/>
        <v>81429.148425371401</v>
      </c>
      <c r="D1642" s="182">
        <f t="shared" ca="1" si="247"/>
        <v>54.286098950247599</v>
      </c>
      <c r="E1642" s="182">
        <v>0</v>
      </c>
      <c r="F1642" s="182">
        <f t="shared" ca="1" si="244"/>
        <v>0</v>
      </c>
      <c r="G1642" s="182">
        <f t="shared" ca="1" si="248"/>
        <v>0</v>
      </c>
      <c r="H1642" s="182">
        <f t="shared" ca="1" si="249"/>
        <v>81483.434524321652</v>
      </c>
      <c r="I1642" s="183">
        <v>0</v>
      </c>
      <c r="J1642" s="263">
        <f t="shared" ca="1" si="245"/>
        <v>81483.434524321652</v>
      </c>
      <c r="K1642" s="182"/>
      <c r="L1642" s="182"/>
      <c r="M1642" s="182"/>
      <c r="N1642" s="182"/>
      <c r="O1642" s="182"/>
    </row>
    <row r="1643" spans="1:15" x14ac:dyDescent="0.25">
      <c r="A1643" s="180">
        <f t="shared" ca="1" si="246"/>
        <v>47733</v>
      </c>
      <c r="B1643" s="181">
        <v>1629</v>
      </c>
      <c r="C1643" s="182">
        <f t="shared" ref="C1643:C1706" ca="1" si="250">H1642</f>
        <v>81483.434524321652</v>
      </c>
      <c r="D1643" s="182">
        <f t="shared" ca="1" si="247"/>
        <v>54.322289682881099</v>
      </c>
      <c r="E1643" s="182">
        <v>0</v>
      </c>
      <c r="F1643" s="182">
        <f t="shared" ca="1" si="244"/>
        <v>0</v>
      </c>
      <c r="G1643" s="182">
        <f t="shared" ca="1" si="248"/>
        <v>0</v>
      </c>
      <c r="H1643" s="182">
        <f t="shared" ca="1" si="249"/>
        <v>81537.756814004533</v>
      </c>
      <c r="I1643" s="183">
        <v>0</v>
      </c>
      <c r="J1643" s="263">
        <f t="shared" ca="1" si="245"/>
        <v>81537.756814004533</v>
      </c>
      <c r="K1643" s="182"/>
      <c r="L1643" s="182"/>
      <c r="M1643" s="182"/>
      <c r="N1643" s="182"/>
      <c r="O1643" s="182"/>
    </row>
    <row r="1644" spans="1:15" x14ac:dyDescent="0.25">
      <c r="A1644" s="180">
        <f t="shared" ca="1" si="246"/>
        <v>47734</v>
      </c>
      <c r="B1644" s="181">
        <v>1630</v>
      </c>
      <c r="C1644" s="182">
        <f t="shared" ca="1" si="250"/>
        <v>81537.756814004533</v>
      </c>
      <c r="D1644" s="182">
        <f t="shared" ca="1" si="247"/>
        <v>54.358504542669685</v>
      </c>
      <c r="E1644" s="182">
        <v>0</v>
      </c>
      <c r="F1644" s="182">
        <f t="shared" ref="F1644:F1707" ca="1" si="251">IFERROR(-VLOOKUP(A1644,$P$4:$R$31,2,FALSE),0)</f>
        <v>0</v>
      </c>
      <c r="G1644" s="182">
        <f t="shared" ca="1" si="248"/>
        <v>0</v>
      </c>
      <c r="H1644" s="182">
        <f t="shared" ca="1" si="249"/>
        <v>81592.115318547207</v>
      </c>
      <c r="I1644" s="183">
        <v>0</v>
      </c>
      <c r="J1644" s="263">
        <f t="shared" ca="1" si="245"/>
        <v>81592.115318547207</v>
      </c>
      <c r="K1644" s="182"/>
      <c r="L1644" s="182"/>
      <c r="M1644" s="182"/>
      <c r="N1644" s="182"/>
      <c r="O1644" s="182"/>
    </row>
    <row r="1645" spans="1:15" x14ac:dyDescent="0.25">
      <c r="A1645" s="180">
        <f t="shared" ca="1" si="246"/>
        <v>47735</v>
      </c>
      <c r="B1645" s="181">
        <v>1631</v>
      </c>
      <c r="C1645" s="182">
        <f t="shared" ca="1" si="250"/>
        <v>81592.115318547207</v>
      </c>
      <c r="D1645" s="182">
        <f t="shared" ca="1" si="247"/>
        <v>54.394743545698134</v>
      </c>
      <c r="E1645" s="182">
        <v>0</v>
      </c>
      <c r="F1645" s="182">
        <f t="shared" ca="1" si="251"/>
        <v>0</v>
      </c>
      <c r="G1645" s="182">
        <f t="shared" ca="1" si="248"/>
        <v>0</v>
      </c>
      <c r="H1645" s="182">
        <f t="shared" ca="1" si="249"/>
        <v>81646.510062092901</v>
      </c>
      <c r="I1645" s="183">
        <v>0</v>
      </c>
      <c r="J1645" s="263">
        <f t="shared" ca="1" si="245"/>
        <v>81646.510062092901</v>
      </c>
      <c r="K1645" s="182"/>
      <c r="L1645" s="182"/>
      <c r="M1645" s="182"/>
      <c r="N1645" s="182"/>
      <c r="O1645" s="182"/>
    </row>
    <row r="1646" spans="1:15" x14ac:dyDescent="0.25">
      <c r="A1646" s="180">
        <f t="shared" ca="1" si="246"/>
        <v>47736</v>
      </c>
      <c r="B1646" s="181">
        <v>1632</v>
      </c>
      <c r="C1646" s="182">
        <f t="shared" ca="1" si="250"/>
        <v>81646.510062092901</v>
      </c>
      <c r="D1646" s="182">
        <f t="shared" ca="1" si="247"/>
        <v>54.431006708061929</v>
      </c>
      <c r="E1646" s="182">
        <v>0</v>
      </c>
      <c r="F1646" s="182">
        <f t="shared" ca="1" si="251"/>
        <v>0</v>
      </c>
      <c r="G1646" s="182">
        <f t="shared" ca="1" si="248"/>
        <v>0</v>
      </c>
      <c r="H1646" s="182">
        <f t="shared" ca="1" si="249"/>
        <v>81700.941068800967</v>
      </c>
      <c r="I1646" s="183">
        <v>0</v>
      </c>
      <c r="J1646" s="263">
        <f t="shared" ca="1" si="245"/>
        <v>81700.941068800967</v>
      </c>
      <c r="K1646" s="182"/>
      <c r="L1646" s="182"/>
      <c r="M1646" s="182"/>
      <c r="N1646" s="182"/>
      <c r="O1646" s="182"/>
    </row>
    <row r="1647" spans="1:15" x14ac:dyDescent="0.25">
      <c r="A1647" s="180">
        <f t="shared" ca="1" si="246"/>
        <v>47737</v>
      </c>
      <c r="B1647" s="181">
        <v>1633</v>
      </c>
      <c r="C1647" s="182">
        <f t="shared" ca="1" si="250"/>
        <v>81700.941068800967</v>
      </c>
      <c r="D1647" s="182">
        <f t="shared" ca="1" si="247"/>
        <v>54.467294045867312</v>
      </c>
      <c r="E1647" s="182">
        <v>0</v>
      </c>
      <c r="F1647" s="182">
        <f t="shared" ca="1" si="251"/>
        <v>0</v>
      </c>
      <c r="G1647" s="182">
        <f t="shared" ca="1" si="248"/>
        <v>0</v>
      </c>
      <c r="H1647" s="182">
        <f t="shared" ca="1" si="249"/>
        <v>81755.408362846836</v>
      </c>
      <c r="I1647" s="183">
        <v>0</v>
      </c>
      <c r="J1647" s="263">
        <f t="shared" ca="1" si="245"/>
        <v>81755.408362846836</v>
      </c>
      <c r="K1647" s="182"/>
      <c r="L1647" s="182"/>
      <c r="M1647" s="182"/>
      <c r="N1647" s="182"/>
      <c r="O1647" s="182"/>
    </row>
    <row r="1648" spans="1:15" x14ac:dyDescent="0.25">
      <c r="A1648" s="180">
        <f t="shared" ca="1" si="246"/>
        <v>47738</v>
      </c>
      <c r="B1648" s="181">
        <v>1634</v>
      </c>
      <c r="C1648" s="182">
        <f t="shared" ca="1" si="250"/>
        <v>81755.408362846836</v>
      </c>
      <c r="D1648" s="182">
        <f t="shared" ca="1" si="247"/>
        <v>54.503605575231219</v>
      </c>
      <c r="E1648" s="182">
        <v>0</v>
      </c>
      <c r="F1648" s="182">
        <f t="shared" ca="1" si="251"/>
        <v>0</v>
      </c>
      <c r="G1648" s="182">
        <f t="shared" ca="1" si="248"/>
        <v>0</v>
      </c>
      <c r="H1648" s="182">
        <f t="shared" ca="1" si="249"/>
        <v>81809.911968422064</v>
      </c>
      <c r="I1648" s="183">
        <v>0</v>
      </c>
      <c r="J1648" s="263">
        <f t="shared" ca="1" si="245"/>
        <v>81809.911968422064</v>
      </c>
      <c r="K1648" s="182"/>
      <c r="L1648" s="182"/>
      <c r="M1648" s="182"/>
      <c r="N1648" s="182"/>
      <c r="O1648" s="182"/>
    </row>
    <row r="1649" spans="1:15" x14ac:dyDescent="0.25">
      <c r="A1649" s="180">
        <f t="shared" ca="1" si="246"/>
        <v>47739</v>
      </c>
      <c r="B1649" s="181">
        <v>1635</v>
      </c>
      <c r="C1649" s="182">
        <f t="shared" ca="1" si="250"/>
        <v>81809.911968422064</v>
      </c>
      <c r="D1649" s="182">
        <f t="shared" ca="1" si="247"/>
        <v>54.539941312281371</v>
      </c>
      <c r="E1649" s="182">
        <v>0</v>
      </c>
      <c r="F1649" s="182">
        <f t="shared" ca="1" si="251"/>
        <v>0</v>
      </c>
      <c r="G1649" s="182">
        <f t="shared" ca="1" si="248"/>
        <v>0</v>
      </c>
      <c r="H1649" s="182">
        <f t="shared" ca="1" si="249"/>
        <v>81864.451909734344</v>
      </c>
      <c r="I1649" s="183">
        <v>0</v>
      </c>
      <c r="J1649" s="263">
        <f t="shared" ca="1" si="245"/>
        <v>81864.451909734344</v>
      </c>
      <c r="K1649" s="182"/>
      <c r="L1649" s="182"/>
      <c r="M1649" s="182"/>
      <c r="N1649" s="182"/>
      <c r="O1649" s="182"/>
    </row>
    <row r="1650" spans="1:15" x14ac:dyDescent="0.25">
      <c r="A1650" s="180">
        <f t="shared" ca="1" si="246"/>
        <v>47740</v>
      </c>
      <c r="B1650" s="181">
        <v>1636</v>
      </c>
      <c r="C1650" s="182">
        <f t="shared" ca="1" si="250"/>
        <v>81864.451909734344</v>
      </c>
      <c r="D1650" s="182">
        <f t="shared" ca="1" si="247"/>
        <v>54.576301273156226</v>
      </c>
      <c r="E1650" s="182">
        <v>0</v>
      </c>
      <c r="F1650" s="182">
        <f t="shared" ca="1" si="251"/>
        <v>0</v>
      </c>
      <c r="G1650" s="182">
        <f t="shared" ca="1" si="248"/>
        <v>0</v>
      </c>
      <c r="H1650" s="182">
        <f t="shared" ca="1" si="249"/>
        <v>81919.028211007506</v>
      </c>
      <c r="I1650" s="183">
        <v>0</v>
      </c>
      <c r="J1650" s="263">
        <f t="shared" ca="1" si="245"/>
        <v>81919.028211007506</v>
      </c>
      <c r="K1650" s="182"/>
      <c r="L1650" s="182"/>
      <c r="M1650" s="182"/>
      <c r="N1650" s="182"/>
      <c r="O1650" s="182"/>
    </row>
    <row r="1651" spans="1:15" x14ac:dyDescent="0.25">
      <c r="A1651" s="180">
        <f t="shared" ca="1" si="246"/>
        <v>47741</v>
      </c>
      <c r="B1651" s="181">
        <v>1637</v>
      </c>
      <c r="C1651" s="182">
        <f t="shared" ca="1" si="250"/>
        <v>81919.028211007506</v>
      </c>
      <c r="D1651" s="182">
        <f t="shared" ca="1" si="247"/>
        <v>54.612685474005005</v>
      </c>
      <c r="E1651" s="182">
        <v>0</v>
      </c>
      <c r="F1651" s="182">
        <f t="shared" ca="1" si="251"/>
        <v>0</v>
      </c>
      <c r="G1651" s="182">
        <f t="shared" ca="1" si="248"/>
        <v>0</v>
      </c>
      <c r="H1651" s="182">
        <f t="shared" ca="1" si="249"/>
        <v>81973.640896481505</v>
      </c>
      <c r="I1651" s="183">
        <v>0</v>
      </c>
      <c r="J1651" s="263">
        <f t="shared" ca="1" si="245"/>
        <v>81973.640896481505</v>
      </c>
      <c r="K1651" s="182"/>
      <c r="L1651" s="182"/>
      <c r="M1651" s="182"/>
      <c r="N1651" s="182"/>
      <c r="O1651" s="182"/>
    </row>
    <row r="1652" spans="1:15" x14ac:dyDescent="0.25">
      <c r="A1652" s="180">
        <f t="shared" ca="1" si="246"/>
        <v>47742</v>
      </c>
      <c r="B1652" s="181">
        <v>1638</v>
      </c>
      <c r="C1652" s="182">
        <f t="shared" ca="1" si="250"/>
        <v>81973.640896481505</v>
      </c>
      <c r="D1652" s="182">
        <f t="shared" ca="1" si="247"/>
        <v>54.649093930987668</v>
      </c>
      <c r="E1652" s="182">
        <v>0</v>
      </c>
      <c r="F1652" s="182">
        <f t="shared" ca="1" si="251"/>
        <v>0</v>
      </c>
      <c r="G1652" s="182">
        <f t="shared" ca="1" si="248"/>
        <v>0</v>
      </c>
      <c r="H1652" s="182">
        <f t="shared" ca="1" si="249"/>
        <v>82028.289990412493</v>
      </c>
      <c r="I1652" s="183">
        <v>0</v>
      </c>
      <c r="J1652" s="263">
        <f t="shared" ca="1" si="245"/>
        <v>82028.289990412493</v>
      </c>
      <c r="K1652" s="182"/>
      <c r="L1652" s="182"/>
      <c r="M1652" s="182"/>
      <c r="N1652" s="182"/>
      <c r="O1652" s="182"/>
    </row>
    <row r="1653" spans="1:15" x14ac:dyDescent="0.25">
      <c r="A1653" s="180">
        <f t="shared" ca="1" si="246"/>
        <v>47743</v>
      </c>
      <c r="B1653" s="181">
        <v>1639</v>
      </c>
      <c r="C1653" s="182">
        <f t="shared" ca="1" si="250"/>
        <v>82028.289990412493</v>
      </c>
      <c r="D1653" s="182">
        <f t="shared" ca="1" si="247"/>
        <v>54.685526660274995</v>
      </c>
      <c r="E1653" s="182">
        <v>0</v>
      </c>
      <c r="F1653" s="182">
        <f t="shared" ca="1" si="251"/>
        <v>0</v>
      </c>
      <c r="G1653" s="182">
        <f t="shared" ca="1" si="248"/>
        <v>0</v>
      </c>
      <c r="H1653" s="182">
        <f t="shared" ca="1" si="249"/>
        <v>82082.975517072773</v>
      </c>
      <c r="I1653" s="183">
        <v>0</v>
      </c>
      <c r="J1653" s="263">
        <f t="shared" ca="1" si="245"/>
        <v>82082.975517072773</v>
      </c>
      <c r="K1653" s="182"/>
      <c r="L1653" s="182"/>
      <c r="M1653" s="182"/>
      <c r="N1653" s="182"/>
      <c r="O1653" s="182"/>
    </row>
    <row r="1654" spans="1:15" x14ac:dyDescent="0.25">
      <c r="A1654" s="180">
        <f t="shared" ca="1" si="246"/>
        <v>47744</v>
      </c>
      <c r="B1654" s="181">
        <v>1640</v>
      </c>
      <c r="C1654" s="182">
        <f t="shared" ca="1" si="250"/>
        <v>82082.975517072773</v>
      </c>
      <c r="D1654" s="182">
        <f t="shared" ca="1" si="247"/>
        <v>54.721983678048517</v>
      </c>
      <c r="E1654" s="182">
        <v>0</v>
      </c>
      <c r="F1654" s="182">
        <f t="shared" ca="1" si="251"/>
        <v>0</v>
      </c>
      <c r="G1654" s="182">
        <f t="shared" ca="1" si="248"/>
        <v>0</v>
      </c>
      <c r="H1654" s="182">
        <f t="shared" ca="1" si="249"/>
        <v>82137.697500750815</v>
      </c>
      <c r="I1654" s="183">
        <v>0</v>
      </c>
      <c r="J1654" s="263">
        <f t="shared" ca="1" si="245"/>
        <v>82137.697500750815</v>
      </c>
      <c r="K1654" s="182"/>
      <c r="L1654" s="182"/>
      <c r="M1654" s="182"/>
      <c r="N1654" s="182"/>
      <c r="O1654" s="182"/>
    </row>
    <row r="1655" spans="1:15" x14ac:dyDescent="0.25">
      <c r="A1655" s="180">
        <f t="shared" ca="1" si="246"/>
        <v>47745</v>
      </c>
      <c r="B1655" s="181">
        <v>1641</v>
      </c>
      <c r="C1655" s="182">
        <f t="shared" ca="1" si="250"/>
        <v>82137.697500750815</v>
      </c>
      <c r="D1655" s="182">
        <f t="shared" ca="1" si="247"/>
        <v>54.758465000500543</v>
      </c>
      <c r="E1655" s="182">
        <v>0</v>
      </c>
      <c r="F1655" s="182">
        <f t="shared" ca="1" si="251"/>
        <v>0</v>
      </c>
      <c r="G1655" s="182">
        <f t="shared" ca="1" si="248"/>
        <v>0</v>
      </c>
      <c r="H1655" s="182">
        <f t="shared" ca="1" si="249"/>
        <v>82192.455965751316</v>
      </c>
      <c r="I1655" s="183">
        <v>0</v>
      </c>
      <c r="J1655" s="263">
        <f t="shared" ca="1" si="245"/>
        <v>82192.455965751316</v>
      </c>
      <c r="K1655" s="182"/>
      <c r="L1655" s="182"/>
      <c r="M1655" s="182"/>
      <c r="N1655" s="182"/>
      <c r="O1655" s="182"/>
    </row>
    <row r="1656" spans="1:15" x14ac:dyDescent="0.25">
      <c r="A1656" s="180">
        <f t="shared" ca="1" si="246"/>
        <v>47746</v>
      </c>
      <c r="B1656" s="181">
        <v>1642</v>
      </c>
      <c r="C1656" s="182">
        <f t="shared" ca="1" si="250"/>
        <v>82192.455965751316</v>
      </c>
      <c r="D1656" s="182">
        <f t="shared" ca="1" si="247"/>
        <v>54.794970643834212</v>
      </c>
      <c r="E1656" s="182">
        <v>0</v>
      </c>
      <c r="F1656" s="182">
        <f t="shared" ca="1" si="251"/>
        <v>0</v>
      </c>
      <c r="G1656" s="182">
        <f t="shared" ca="1" si="248"/>
        <v>0</v>
      </c>
      <c r="H1656" s="182">
        <f t="shared" ca="1" si="249"/>
        <v>82247.250936395154</v>
      </c>
      <c r="I1656" s="183">
        <v>0</v>
      </c>
      <c r="J1656" s="263">
        <f t="shared" ca="1" si="245"/>
        <v>82247.250936395154</v>
      </c>
      <c r="K1656" s="182"/>
      <c r="L1656" s="182"/>
      <c r="M1656" s="182"/>
      <c r="N1656" s="182"/>
      <c r="O1656" s="182"/>
    </row>
    <row r="1657" spans="1:15" x14ac:dyDescent="0.25">
      <c r="A1657" s="180">
        <f t="shared" ca="1" si="246"/>
        <v>47747</v>
      </c>
      <c r="B1657" s="181">
        <v>1643</v>
      </c>
      <c r="C1657" s="182">
        <f t="shared" ca="1" si="250"/>
        <v>82247.250936395154</v>
      </c>
      <c r="D1657" s="182">
        <f t="shared" ca="1" si="247"/>
        <v>54.831500624263434</v>
      </c>
      <c r="E1657" s="182">
        <v>0</v>
      </c>
      <c r="F1657" s="182">
        <f t="shared" ca="1" si="251"/>
        <v>0</v>
      </c>
      <c r="G1657" s="182">
        <f t="shared" ca="1" si="248"/>
        <v>0</v>
      </c>
      <c r="H1657" s="182">
        <f t="shared" ca="1" si="249"/>
        <v>82302.082437019417</v>
      </c>
      <c r="I1657" s="183">
        <v>0</v>
      </c>
      <c r="J1657" s="263">
        <f t="shared" ca="1" si="245"/>
        <v>82302.082437019417</v>
      </c>
      <c r="K1657" s="182"/>
      <c r="L1657" s="182"/>
      <c r="M1657" s="182"/>
      <c r="N1657" s="182"/>
      <c r="O1657" s="182"/>
    </row>
    <row r="1658" spans="1:15" x14ac:dyDescent="0.25">
      <c r="A1658" s="180">
        <f t="shared" ca="1" si="246"/>
        <v>47748</v>
      </c>
      <c r="B1658" s="181">
        <v>1644</v>
      </c>
      <c r="C1658" s="182">
        <f t="shared" ca="1" si="250"/>
        <v>82302.082437019417</v>
      </c>
      <c r="D1658" s="182">
        <f t="shared" ca="1" si="247"/>
        <v>54.868054958012941</v>
      </c>
      <c r="E1658" s="182">
        <v>0</v>
      </c>
      <c r="F1658" s="182">
        <f t="shared" ca="1" si="251"/>
        <v>0</v>
      </c>
      <c r="G1658" s="182">
        <f t="shared" ca="1" si="248"/>
        <v>0</v>
      </c>
      <c r="H1658" s="182">
        <f t="shared" ca="1" si="249"/>
        <v>82356.950491977434</v>
      </c>
      <c r="I1658" s="183">
        <v>0</v>
      </c>
      <c r="J1658" s="263">
        <f t="shared" ca="1" si="245"/>
        <v>82356.950491977434</v>
      </c>
      <c r="K1658" s="182"/>
      <c r="L1658" s="182"/>
      <c r="M1658" s="182"/>
      <c r="N1658" s="182"/>
      <c r="O1658" s="182"/>
    </row>
    <row r="1659" spans="1:15" x14ac:dyDescent="0.25">
      <c r="A1659" s="180">
        <f t="shared" ca="1" si="246"/>
        <v>47749</v>
      </c>
      <c r="B1659" s="181">
        <v>1645</v>
      </c>
      <c r="C1659" s="182">
        <f t="shared" ca="1" si="250"/>
        <v>82356.950491977434</v>
      </c>
      <c r="D1659" s="182">
        <f t="shared" ca="1" si="247"/>
        <v>54.904633661318286</v>
      </c>
      <c r="E1659" s="182">
        <v>0</v>
      </c>
      <c r="F1659" s="182">
        <f t="shared" ca="1" si="251"/>
        <v>0</v>
      </c>
      <c r="G1659" s="182">
        <f t="shared" ca="1" si="248"/>
        <v>0</v>
      </c>
      <c r="H1659" s="182">
        <f t="shared" ca="1" si="249"/>
        <v>82411.855125638758</v>
      </c>
      <c r="I1659" s="183">
        <v>0</v>
      </c>
      <c r="J1659" s="263">
        <f t="shared" ca="1" si="245"/>
        <v>82411.855125638758</v>
      </c>
      <c r="K1659" s="182"/>
      <c r="L1659" s="182"/>
      <c r="M1659" s="182"/>
      <c r="N1659" s="182"/>
      <c r="O1659" s="182"/>
    </row>
    <row r="1660" spans="1:15" x14ac:dyDescent="0.25">
      <c r="A1660" s="180">
        <f t="shared" ca="1" si="246"/>
        <v>47750</v>
      </c>
      <c r="B1660" s="181">
        <v>1646</v>
      </c>
      <c r="C1660" s="182">
        <f t="shared" ca="1" si="250"/>
        <v>82411.855125638758</v>
      </c>
      <c r="D1660" s="182">
        <f t="shared" ca="1" si="247"/>
        <v>54.941236750425837</v>
      </c>
      <c r="E1660" s="182">
        <v>0</v>
      </c>
      <c r="F1660" s="182">
        <f t="shared" ca="1" si="251"/>
        <v>0</v>
      </c>
      <c r="G1660" s="182">
        <f t="shared" ca="1" si="248"/>
        <v>0</v>
      </c>
      <c r="H1660" s="182">
        <f t="shared" ca="1" si="249"/>
        <v>82466.796362389185</v>
      </c>
      <c r="I1660" s="183">
        <v>0</v>
      </c>
      <c r="J1660" s="263">
        <f t="shared" ca="1" si="245"/>
        <v>82466.796362389185</v>
      </c>
      <c r="K1660" s="182"/>
      <c r="L1660" s="182"/>
      <c r="M1660" s="182"/>
      <c r="N1660" s="182"/>
      <c r="O1660" s="182"/>
    </row>
    <row r="1661" spans="1:15" x14ac:dyDescent="0.25">
      <c r="A1661" s="180">
        <f t="shared" ca="1" si="246"/>
        <v>47751</v>
      </c>
      <c r="B1661" s="181">
        <v>1647</v>
      </c>
      <c r="C1661" s="182">
        <f t="shared" ca="1" si="250"/>
        <v>82466.796362389185</v>
      </c>
      <c r="D1661" s="182">
        <f t="shared" ca="1" si="247"/>
        <v>54.977864241592791</v>
      </c>
      <c r="E1661" s="182">
        <v>0</v>
      </c>
      <c r="F1661" s="182">
        <f t="shared" ca="1" si="251"/>
        <v>0</v>
      </c>
      <c r="G1661" s="182">
        <f t="shared" ca="1" si="248"/>
        <v>0</v>
      </c>
      <c r="H1661" s="182">
        <f t="shared" ca="1" si="249"/>
        <v>82521.774226630776</v>
      </c>
      <c r="I1661" s="183">
        <v>0</v>
      </c>
      <c r="J1661" s="263">
        <f t="shared" ca="1" si="245"/>
        <v>82521.774226630776</v>
      </c>
      <c r="K1661" s="182"/>
      <c r="L1661" s="182"/>
      <c r="M1661" s="182"/>
      <c r="N1661" s="182"/>
      <c r="O1661" s="182"/>
    </row>
    <row r="1662" spans="1:15" x14ac:dyDescent="0.25">
      <c r="A1662" s="180">
        <f t="shared" ca="1" si="246"/>
        <v>47752</v>
      </c>
      <c r="B1662" s="181">
        <v>1648</v>
      </c>
      <c r="C1662" s="182">
        <f t="shared" ca="1" si="250"/>
        <v>82521.774226630776</v>
      </c>
      <c r="D1662" s="182">
        <f t="shared" ca="1" si="247"/>
        <v>55.014516151087179</v>
      </c>
      <c r="E1662" s="182">
        <v>0</v>
      </c>
      <c r="F1662" s="182">
        <f t="shared" ca="1" si="251"/>
        <v>0</v>
      </c>
      <c r="G1662" s="182">
        <f t="shared" ca="1" si="248"/>
        <v>0</v>
      </c>
      <c r="H1662" s="182">
        <f t="shared" ca="1" si="249"/>
        <v>82576.788742781864</v>
      </c>
      <c r="I1662" s="183">
        <v>0</v>
      </c>
      <c r="J1662" s="263">
        <f t="shared" ca="1" si="245"/>
        <v>82576.788742781864</v>
      </c>
      <c r="K1662" s="182"/>
      <c r="L1662" s="182"/>
      <c r="M1662" s="182"/>
      <c r="N1662" s="182"/>
      <c r="O1662" s="182"/>
    </row>
    <row r="1663" spans="1:15" x14ac:dyDescent="0.25">
      <c r="A1663" s="180">
        <f t="shared" ca="1" si="246"/>
        <v>47753</v>
      </c>
      <c r="B1663" s="181">
        <v>1649</v>
      </c>
      <c r="C1663" s="182">
        <f t="shared" ca="1" si="250"/>
        <v>82576.788742781864</v>
      </c>
      <c r="D1663" s="182">
        <f t="shared" ca="1" si="247"/>
        <v>55.051192495187905</v>
      </c>
      <c r="E1663" s="182">
        <v>0</v>
      </c>
      <c r="F1663" s="182">
        <f t="shared" ca="1" si="251"/>
        <v>0</v>
      </c>
      <c r="G1663" s="182">
        <f t="shared" ca="1" si="248"/>
        <v>0</v>
      </c>
      <c r="H1663" s="182">
        <f t="shared" ca="1" si="249"/>
        <v>82631.83993527705</v>
      </c>
      <c r="I1663" s="183">
        <v>0</v>
      </c>
      <c r="J1663" s="263">
        <f t="shared" ca="1" si="245"/>
        <v>82631.83993527705</v>
      </c>
      <c r="K1663" s="182"/>
      <c r="L1663" s="182"/>
      <c r="M1663" s="182"/>
      <c r="N1663" s="182"/>
      <c r="O1663" s="182"/>
    </row>
    <row r="1664" spans="1:15" x14ac:dyDescent="0.25">
      <c r="A1664" s="180">
        <f t="shared" ca="1" si="246"/>
        <v>47754</v>
      </c>
      <c r="B1664" s="181">
        <v>1650</v>
      </c>
      <c r="C1664" s="182">
        <f t="shared" ca="1" si="250"/>
        <v>82631.83993527705</v>
      </c>
      <c r="D1664" s="182">
        <f t="shared" ca="1" si="247"/>
        <v>55.087893290184695</v>
      </c>
      <c r="E1664" s="182">
        <v>0</v>
      </c>
      <c r="F1664" s="182">
        <f t="shared" ca="1" si="251"/>
        <v>0</v>
      </c>
      <c r="G1664" s="182">
        <f t="shared" ca="1" si="248"/>
        <v>0</v>
      </c>
      <c r="H1664" s="182">
        <f t="shared" ca="1" si="249"/>
        <v>82686.927828567234</v>
      </c>
      <c r="I1664" s="183">
        <v>0</v>
      </c>
      <c r="J1664" s="263">
        <f t="shared" ca="1" si="245"/>
        <v>82686.927828567234</v>
      </c>
      <c r="K1664" s="182"/>
      <c r="L1664" s="182"/>
      <c r="M1664" s="182"/>
      <c r="N1664" s="182"/>
      <c r="O1664" s="182"/>
    </row>
    <row r="1665" spans="1:15" x14ac:dyDescent="0.25">
      <c r="A1665" s="180">
        <f t="shared" ca="1" si="246"/>
        <v>47755</v>
      </c>
      <c r="B1665" s="181">
        <v>1651</v>
      </c>
      <c r="C1665" s="182">
        <f t="shared" ca="1" si="250"/>
        <v>82686.927828567234</v>
      </c>
      <c r="D1665" s="182">
        <f t="shared" ca="1" si="247"/>
        <v>55.124618552378152</v>
      </c>
      <c r="E1665" s="182">
        <v>0</v>
      </c>
      <c r="F1665" s="182">
        <f t="shared" ca="1" si="251"/>
        <v>0</v>
      </c>
      <c r="G1665" s="182">
        <f t="shared" ca="1" si="248"/>
        <v>0</v>
      </c>
      <c r="H1665" s="182">
        <f t="shared" ca="1" si="249"/>
        <v>82742.052447119611</v>
      </c>
      <c r="I1665" s="183">
        <v>0</v>
      </c>
      <c r="J1665" s="263">
        <f t="shared" ca="1" si="245"/>
        <v>82742.052447119611</v>
      </c>
      <c r="K1665" s="182"/>
      <c r="L1665" s="182"/>
      <c r="M1665" s="182"/>
      <c r="N1665" s="182"/>
      <c r="O1665" s="182"/>
    </row>
    <row r="1666" spans="1:15" x14ac:dyDescent="0.25">
      <c r="A1666" s="180">
        <f t="shared" ca="1" si="246"/>
        <v>47756</v>
      </c>
      <c r="B1666" s="181">
        <v>1652</v>
      </c>
      <c r="C1666" s="182">
        <f t="shared" ca="1" si="250"/>
        <v>82742.052447119611</v>
      </c>
      <c r="D1666" s="182">
        <f t="shared" ca="1" si="247"/>
        <v>55.161368298079736</v>
      </c>
      <c r="E1666" s="182">
        <v>0</v>
      </c>
      <c r="F1666" s="182">
        <f t="shared" ca="1" si="251"/>
        <v>0</v>
      </c>
      <c r="G1666" s="182">
        <f t="shared" ca="1" si="248"/>
        <v>0</v>
      </c>
      <c r="H1666" s="182">
        <f t="shared" ca="1" si="249"/>
        <v>82797.213815417694</v>
      </c>
      <c r="I1666" s="183">
        <v>0</v>
      </c>
      <c r="J1666" s="263">
        <f t="shared" ca="1" si="245"/>
        <v>82797.213815417694</v>
      </c>
      <c r="K1666" s="182"/>
      <c r="L1666" s="182"/>
      <c r="M1666" s="182"/>
      <c r="N1666" s="182"/>
      <c r="O1666" s="182"/>
    </row>
    <row r="1667" spans="1:15" x14ac:dyDescent="0.25">
      <c r="A1667" s="180">
        <f t="shared" ca="1" si="246"/>
        <v>47757</v>
      </c>
      <c r="B1667" s="181">
        <v>1653</v>
      </c>
      <c r="C1667" s="182">
        <f t="shared" ca="1" si="250"/>
        <v>82797.213815417694</v>
      </c>
      <c r="D1667" s="182">
        <f t="shared" ca="1" si="247"/>
        <v>55.198142543611795</v>
      </c>
      <c r="E1667" s="182">
        <v>0</v>
      </c>
      <c r="F1667" s="182">
        <f t="shared" ca="1" si="251"/>
        <v>0</v>
      </c>
      <c r="G1667" s="182">
        <f t="shared" ca="1" si="248"/>
        <v>0</v>
      </c>
      <c r="H1667" s="182">
        <f t="shared" ca="1" si="249"/>
        <v>82852.411957961303</v>
      </c>
      <c r="I1667" s="183">
        <v>0</v>
      </c>
      <c r="J1667" s="263">
        <f t="shared" ca="1" si="245"/>
        <v>82852.411957961303</v>
      </c>
      <c r="K1667" s="182"/>
      <c r="L1667" s="182"/>
      <c r="M1667" s="182"/>
      <c r="N1667" s="182"/>
      <c r="O1667" s="182"/>
    </row>
    <row r="1668" spans="1:15" x14ac:dyDescent="0.25">
      <c r="A1668" s="180">
        <f t="shared" ca="1" si="246"/>
        <v>47758</v>
      </c>
      <c r="B1668" s="181">
        <v>1654</v>
      </c>
      <c r="C1668" s="182">
        <f t="shared" ca="1" si="250"/>
        <v>82852.411957961303</v>
      </c>
      <c r="D1668" s="182">
        <f t="shared" ca="1" si="247"/>
        <v>55.234941305307537</v>
      </c>
      <c r="E1668" s="182">
        <v>0</v>
      </c>
      <c r="F1668" s="182">
        <f t="shared" ca="1" si="251"/>
        <v>0</v>
      </c>
      <c r="G1668" s="182">
        <f t="shared" ca="1" si="248"/>
        <v>0</v>
      </c>
      <c r="H1668" s="182">
        <f t="shared" ca="1" si="249"/>
        <v>82907.646899266605</v>
      </c>
      <c r="I1668" s="183">
        <v>0</v>
      </c>
      <c r="J1668" s="263">
        <f t="shared" ca="1" si="245"/>
        <v>82907.646899266605</v>
      </c>
      <c r="K1668" s="182"/>
      <c r="L1668" s="182"/>
      <c r="M1668" s="182"/>
      <c r="N1668" s="182"/>
      <c r="O1668" s="182"/>
    </row>
    <row r="1669" spans="1:15" x14ac:dyDescent="0.25">
      <c r="A1669" s="180">
        <f t="shared" ca="1" si="246"/>
        <v>47759</v>
      </c>
      <c r="B1669" s="181">
        <v>1655</v>
      </c>
      <c r="C1669" s="182">
        <f t="shared" ca="1" si="250"/>
        <v>82907.646899266605</v>
      </c>
      <c r="D1669" s="182">
        <f t="shared" ca="1" si="247"/>
        <v>55.271764599511066</v>
      </c>
      <c r="E1669" s="182">
        <v>0</v>
      </c>
      <c r="F1669" s="182">
        <f t="shared" ca="1" si="251"/>
        <v>0</v>
      </c>
      <c r="G1669" s="182">
        <f t="shared" ca="1" si="248"/>
        <v>0</v>
      </c>
      <c r="H1669" s="182">
        <f t="shared" ca="1" si="249"/>
        <v>82962.918663866119</v>
      </c>
      <c r="I1669" s="183">
        <v>0</v>
      </c>
      <c r="J1669" s="263">
        <f t="shared" ca="1" si="245"/>
        <v>82962.918663866119</v>
      </c>
      <c r="K1669" s="182"/>
      <c r="L1669" s="182"/>
      <c r="M1669" s="182"/>
      <c r="N1669" s="182"/>
      <c r="O1669" s="182"/>
    </row>
    <row r="1670" spans="1:15" x14ac:dyDescent="0.25">
      <c r="A1670" s="180">
        <f t="shared" ca="1" si="246"/>
        <v>47760</v>
      </c>
      <c r="B1670" s="181">
        <v>1656</v>
      </c>
      <c r="C1670" s="182">
        <f t="shared" ca="1" si="250"/>
        <v>82962.918663866119</v>
      </c>
      <c r="D1670" s="182">
        <f t="shared" ca="1" si="247"/>
        <v>55.308612442577413</v>
      </c>
      <c r="E1670" s="182">
        <v>0</v>
      </c>
      <c r="F1670" s="182">
        <f t="shared" ca="1" si="251"/>
        <v>0</v>
      </c>
      <c r="G1670" s="182">
        <f t="shared" ca="1" si="248"/>
        <v>0</v>
      </c>
      <c r="H1670" s="182">
        <f t="shared" ca="1" si="249"/>
        <v>83018.227276308695</v>
      </c>
      <c r="I1670" s="183">
        <v>0</v>
      </c>
      <c r="J1670" s="263">
        <f t="shared" ca="1" si="245"/>
        <v>83018.227276308695</v>
      </c>
      <c r="K1670" s="182"/>
      <c r="L1670" s="182"/>
      <c r="M1670" s="182"/>
      <c r="N1670" s="182"/>
      <c r="O1670" s="182"/>
    </row>
    <row r="1671" spans="1:15" x14ac:dyDescent="0.25">
      <c r="A1671" s="180">
        <f t="shared" ca="1" si="246"/>
        <v>47761</v>
      </c>
      <c r="B1671" s="181">
        <v>1657</v>
      </c>
      <c r="C1671" s="182">
        <f t="shared" ca="1" si="250"/>
        <v>83018.227276308695</v>
      </c>
      <c r="D1671" s="182">
        <f t="shared" ca="1" si="247"/>
        <v>55.34548485087246</v>
      </c>
      <c r="E1671" s="182">
        <v>0</v>
      </c>
      <c r="F1671" s="182">
        <f t="shared" ca="1" si="251"/>
        <v>0</v>
      </c>
      <c r="G1671" s="182">
        <f t="shared" ca="1" si="248"/>
        <v>0</v>
      </c>
      <c r="H1671" s="182">
        <f t="shared" ca="1" si="249"/>
        <v>83073.572761159565</v>
      </c>
      <c r="I1671" s="183">
        <v>0</v>
      </c>
      <c r="J1671" s="263">
        <f t="shared" ca="1" si="245"/>
        <v>83073.572761159565</v>
      </c>
      <c r="K1671" s="182"/>
      <c r="L1671" s="182"/>
      <c r="M1671" s="182"/>
      <c r="N1671" s="182"/>
      <c r="O1671" s="182"/>
    </row>
    <row r="1672" spans="1:15" x14ac:dyDescent="0.25">
      <c r="A1672" s="180">
        <f t="shared" ca="1" si="246"/>
        <v>47762</v>
      </c>
      <c r="B1672" s="181">
        <v>1658</v>
      </c>
      <c r="C1672" s="182">
        <f t="shared" ca="1" si="250"/>
        <v>83073.572761159565</v>
      </c>
      <c r="D1672" s="182">
        <f t="shared" ca="1" si="247"/>
        <v>55.382381840773043</v>
      </c>
      <c r="E1672" s="182">
        <v>0</v>
      </c>
      <c r="F1672" s="182">
        <f t="shared" ca="1" si="251"/>
        <v>0</v>
      </c>
      <c r="G1672" s="182">
        <f t="shared" ca="1" si="248"/>
        <v>0</v>
      </c>
      <c r="H1672" s="182">
        <f t="shared" ca="1" si="249"/>
        <v>83128.955143000334</v>
      </c>
      <c r="I1672" s="183">
        <v>0</v>
      </c>
      <c r="J1672" s="263">
        <f t="shared" ca="1" si="245"/>
        <v>83128.955143000334</v>
      </c>
      <c r="K1672" s="182"/>
      <c r="L1672" s="182"/>
      <c r="M1672" s="182"/>
      <c r="N1672" s="182"/>
      <c r="O1672" s="182"/>
    </row>
    <row r="1673" spans="1:15" x14ac:dyDescent="0.25">
      <c r="A1673" s="180">
        <f t="shared" ca="1" si="246"/>
        <v>47763</v>
      </c>
      <c r="B1673" s="181">
        <v>1659</v>
      </c>
      <c r="C1673" s="182">
        <f t="shared" ca="1" si="250"/>
        <v>83128.955143000334</v>
      </c>
      <c r="D1673" s="182">
        <f t="shared" ca="1" si="247"/>
        <v>55.419303428666886</v>
      </c>
      <c r="E1673" s="182">
        <v>0</v>
      </c>
      <c r="F1673" s="182">
        <f t="shared" ca="1" si="251"/>
        <v>0</v>
      </c>
      <c r="G1673" s="182">
        <f t="shared" ca="1" si="248"/>
        <v>0</v>
      </c>
      <c r="H1673" s="182">
        <f t="shared" ca="1" si="249"/>
        <v>83184.374446429007</v>
      </c>
      <c r="I1673" s="183">
        <v>0</v>
      </c>
      <c r="J1673" s="263">
        <f t="shared" ca="1" si="245"/>
        <v>83184.374446429007</v>
      </c>
      <c r="K1673" s="182"/>
      <c r="L1673" s="182"/>
      <c r="M1673" s="182"/>
      <c r="N1673" s="182"/>
      <c r="O1673" s="182"/>
    </row>
    <row r="1674" spans="1:15" x14ac:dyDescent="0.25">
      <c r="A1674" s="180">
        <f t="shared" ca="1" si="246"/>
        <v>47764</v>
      </c>
      <c r="B1674" s="181">
        <v>1660</v>
      </c>
      <c r="C1674" s="182">
        <f t="shared" ca="1" si="250"/>
        <v>83184.374446429007</v>
      </c>
      <c r="D1674" s="182">
        <f t="shared" ca="1" si="247"/>
        <v>55.456249630952669</v>
      </c>
      <c r="E1674" s="182">
        <v>0</v>
      </c>
      <c r="F1674" s="182">
        <f t="shared" ca="1" si="251"/>
        <v>0</v>
      </c>
      <c r="G1674" s="182">
        <f t="shared" ca="1" si="248"/>
        <v>0</v>
      </c>
      <c r="H1674" s="182">
        <f t="shared" ca="1" si="249"/>
        <v>83239.830696059958</v>
      </c>
      <c r="I1674" s="183">
        <v>0</v>
      </c>
      <c r="J1674" s="263">
        <f t="shared" ca="1" si="245"/>
        <v>83239.830696059958</v>
      </c>
      <c r="K1674" s="182"/>
      <c r="L1674" s="182"/>
      <c r="M1674" s="182"/>
      <c r="N1674" s="182"/>
      <c r="O1674" s="182"/>
    </row>
    <row r="1675" spans="1:15" x14ac:dyDescent="0.25">
      <c r="A1675" s="180">
        <f t="shared" ca="1" si="246"/>
        <v>47765</v>
      </c>
      <c r="B1675" s="181">
        <v>1661</v>
      </c>
      <c r="C1675" s="182">
        <f t="shared" ca="1" si="250"/>
        <v>83239.830696059958</v>
      </c>
      <c r="D1675" s="182">
        <f t="shared" ca="1" si="247"/>
        <v>55.493220464039972</v>
      </c>
      <c r="E1675" s="182">
        <v>0</v>
      </c>
      <c r="F1675" s="182">
        <f t="shared" ca="1" si="251"/>
        <v>0</v>
      </c>
      <c r="G1675" s="182">
        <f t="shared" ca="1" si="248"/>
        <v>0</v>
      </c>
      <c r="H1675" s="182">
        <f t="shared" ca="1" si="249"/>
        <v>83295.323916523994</v>
      </c>
      <c r="I1675" s="183">
        <v>0</v>
      </c>
      <c r="J1675" s="263">
        <f t="shared" ca="1" si="245"/>
        <v>83295.323916523994</v>
      </c>
      <c r="K1675" s="182"/>
      <c r="L1675" s="182"/>
      <c r="M1675" s="182"/>
      <c r="N1675" s="182"/>
      <c r="O1675" s="182"/>
    </row>
    <row r="1676" spans="1:15" x14ac:dyDescent="0.25">
      <c r="A1676" s="180">
        <f t="shared" ca="1" si="246"/>
        <v>47766</v>
      </c>
      <c r="B1676" s="181">
        <v>1662</v>
      </c>
      <c r="C1676" s="182">
        <f t="shared" ca="1" si="250"/>
        <v>83295.323916523994</v>
      </c>
      <c r="D1676" s="182">
        <f t="shared" ca="1" si="247"/>
        <v>55.53021594434933</v>
      </c>
      <c r="E1676" s="182">
        <v>0</v>
      </c>
      <c r="F1676" s="182">
        <f t="shared" ca="1" si="251"/>
        <v>0</v>
      </c>
      <c r="G1676" s="182">
        <f t="shared" ca="1" si="248"/>
        <v>0</v>
      </c>
      <c r="H1676" s="182">
        <f t="shared" ca="1" si="249"/>
        <v>83350.854132468347</v>
      </c>
      <c r="I1676" s="183">
        <v>0</v>
      </c>
      <c r="J1676" s="263">
        <f t="shared" ca="1" si="245"/>
        <v>83350.854132468347</v>
      </c>
      <c r="K1676" s="182"/>
      <c r="L1676" s="182"/>
      <c r="M1676" s="182"/>
      <c r="N1676" s="182"/>
      <c r="O1676" s="182"/>
    </row>
    <row r="1677" spans="1:15" x14ac:dyDescent="0.25">
      <c r="A1677" s="180">
        <f t="shared" ca="1" si="246"/>
        <v>47767</v>
      </c>
      <c r="B1677" s="181">
        <v>1663</v>
      </c>
      <c r="C1677" s="182">
        <f t="shared" ca="1" si="250"/>
        <v>83350.854132468347</v>
      </c>
      <c r="D1677" s="182">
        <f t="shared" ca="1" si="247"/>
        <v>55.567236088312228</v>
      </c>
      <c r="E1677" s="182">
        <v>0</v>
      </c>
      <c r="F1677" s="182">
        <f t="shared" ca="1" si="251"/>
        <v>0</v>
      </c>
      <c r="G1677" s="182">
        <f t="shared" ca="1" si="248"/>
        <v>0</v>
      </c>
      <c r="H1677" s="182">
        <f t="shared" ca="1" si="249"/>
        <v>83406.421368556665</v>
      </c>
      <c r="I1677" s="183">
        <v>0</v>
      </c>
      <c r="J1677" s="263">
        <f t="shared" ca="1" si="245"/>
        <v>83406.421368556665</v>
      </c>
      <c r="K1677" s="182"/>
      <c r="L1677" s="182"/>
      <c r="M1677" s="182"/>
      <c r="N1677" s="182"/>
      <c r="O1677" s="182"/>
    </row>
    <row r="1678" spans="1:15" x14ac:dyDescent="0.25">
      <c r="A1678" s="180">
        <f t="shared" ca="1" si="246"/>
        <v>47768</v>
      </c>
      <c r="B1678" s="181">
        <v>1664</v>
      </c>
      <c r="C1678" s="182">
        <f t="shared" ca="1" si="250"/>
        <v>83406.421368556665</v>
      </c>
      <c r="D1678" s="182">
        <f t="shared" ca="1" si="247"/>
        <v>55.604280912371109</v>
      </c>
      <c r="E1678" s="182">
        <v>0</v>
      </c>
      <c r="F1678" s="182">
        <f t="shared" ca="1" si="251"/>
        <v>0</v>
      </c>
      <c r="G1678" s="182">
        <f t="shared" ca="1" si="248"/>
        <v>0</v>
      </c>
      <c r="H1678" s="182">
        <f t="shared" ca="1" si="249"/>
        <v>83462.02564946904</v>
      </c>
      <c r="I1678" s="183">
        <v>0</v>
      </c>
      <c r="J1678" s="263">
        <f t="shared" ca="1" si="245"/>
        <v>83462.02564946904</v>
      </c>
      <c r="K1678" s="182"/>
      <c r="L1678" s="182"/>
      <c r="M1678" s="182"/>
      <c r="N1678" s="182"/>
      <c r="O1678" s="182"/>
    </row>
    <row r="1679" spans="1:15" x14ac:dyDescent="0.25">
      <c r="A1679" s="180">
        <f t="shared" ca="1" si="246"/>
        <v>47769</v>
      </c>
      <c r="B1679" s="181">
        <v>1665</v>
      </c>
      <c r="C1679" s="182">
        <f t="shared" ca="1" si="250"/>
        <v>83462.02564946904</v>
      </c>
      <c r="D1679" s="182">
        <f t="shared" ca="1" si="247"/>
        <v>55.641350432979358</v>
      </c>
      <c r="E1679" s="182">
        <v>0</v>
      </c>
      <c r="F1679" s="182">
        <f t="shared" ca="1" si="251"/>
        <v>0</v>
      </c>
      <c r="G1679" s="182">
        <f t="shared" ca="1" si="248"/>
        <v>0</v>
      </c>
      <c r="H1679" s="182">
        <f t="shared" ca="1" si="249"/>
        <v>83517.666999902023</v>
      </c>
      <c r="I1679" s="183">
        <v>0</v>
      </c>
      <c r="J1679" s="263">
        <f t="shared" ref="J1679:J1742" ca="1" si="252">H1679-IF(I$8-G1679&lt;Q$42,I$8-Q$42,G1679)</f>
        <v>83517.666999902023</v>
      </c>
      <c r="K1679" s="182"/>
      <c r="L1679" s="182"/>
      <c r="M1679" s="182"/>
      <c r="N1679" s="182"/>
      <c r="O1679" s="182"/>
    </row>
    <row r="1680" spans="1:15" x14ac:dyDescent="0.25">
      <c r="A1680" s="180">
        <f t="shared" ca="1" si="246"/>
        <v>47770</v>
      </c>
      <c r="B1680" s="181">
        <v>1666</v>
      </c>
      <c r="C1680" s="182">
        <f t="shared" ca="1" si="250"/>
        <v>83517.666999902023</v>
      </c>
      <c r="D1680" s="182">
        <f t="shared" ca="1" si="247"/>
        <v>55.678444666601344</v>
      </c>
      <c r="E1680" s="182">
        <v>0</v>
      </c>
      <c r="F1680" s="182">
        <f t="shared" ca="1" si="251"/>
        <v>0</v>
      </c>
      <c r="G1680" s="182">
        <f t="shared" ca="1" si="248"/>
        <v>0</v>
      </c>
      <c r="H1680" s="182">
        <f t="shared" ca="1" si="249"/>
        <v>83573.345444568622</v>
      </c>
      <c r="I1680" s="183">
        <v>0</v>
      </c>
      <c r="J1680" s="263">
        <f t="shared" ca="1" si="252"/>
        <v>83573.345444568622</v>
      </c>
      <c r="K1680" s="182"/>
      <c r="L1680" s="182"/>
      <c r="M1680" s="182"/>
      <c r="N1680" s="182"/>
      <c r="O1680" s="182"/>
    </row>
    <row r="1681" spans="1:15" x14ac:dyDescent="0.25">
      <c r="A1681" s="180">
        <f t="shared" ref="A1681:A1744" ca="1" si="253">A1680+1</f>
        <v>47771</v>
      </c>
      <c r="B1681" s="181">
        <v>1667</v>
      </c>
      <c r="C1681" s="182">
        <f t="shared" ca="1" si="250"/>
        <v>83573.345444568622</v>
      </c>
      <c r="D1681" s="182">
        <f t="shared" ref="D1681:D1744" ca="1" si="254">(($C$6/360))*C1681</f>
        <v>55.715563629712413</v>
      </c>
      <c r="E1681" s="182">
        <v>0</v>
      </c>
      <c r="F1681" s="182">
        <f t="shared" ca="1" si="251"/>
        <v>0</v>
      </c>
      <c r="G1681" s="182">
        <f t="shared" ref="G1681:G1744" ca="1" si="255">IF(G1680-D1681-E1681&gt;0,G1680-D1681-E1681,0)</f>
        <v>0</v>
      </c>
      <c r="H1681" s="182">
        <f t="shared" ca="1" si="249"/>
        <v>83629.061008198332</v>
      </c>
      <c r="I1681" s="183">
        <v>0</v>
      </c>
      <c r="J1681" s="263">
        <f t="shared" ca="1" si="252"/>
        <v>83629.061008198332</v>
      </c>
      <c r="K1681" s="182"/>
      <c r="L1681" s="182"/>
      <c r="M1681" s="182"/>
      <c r="N1681" s="182"/>
      <c r="O1681" s="182"/>
    </row>
    <row r="1682" spans="1:15" x14ac:dyDescent="0.25">
      <c r="A1682" s="180">
        <f t="shared" ca="1" si="253"/>
        <v>47772</v>
      </c>
      <c r="B1682" s="181">
        <v>1668</v>
      </c>
      <c r="C1682" s="182">
        <f t="shared" ca="1" si="250"/>
        <v>83629.061008198332</v>
      </c>
      <c r="D1682" s="182">
        <f t="shared" ca="1" si="254"/>
        <v>55.752707338798885</v>
      </c>
      <c r="E1682" s="182">
        <v>0</v>
      </c>
      <c r="F1682" s="182">
        <f t="shared" ca="1" si="251"/>
        <v>0</v>
      </c>
      <c r="G1682" s="182">
        <f t="shared" ca="1" si="255"/>
        <v>0</v>
      </c>
      <c r="H1682" s="182">
        <f t="shared" ca="1" si="249"/>
        <v>83684.813715537137</v>
      </c>
      <c r="I1682" s="183">
        <v>0</v>
      </c>
      <c r="J1682" s="263">
        <f t="shared" ca="1" si="252"/>
        <v>83684.813715537137</v>
      </c>
      <c r="K1682" s="182"/>
      <c r="L1682" s="182"/>
      <c r="M1682" s="182"/>
      <c r="N1682" s="182"/>
      <c r="O1682" s="182"/>
    </row>
    <row r="1683" spans="1:15" x14ac:dyDescent="0.25">
      <c r="A1683" s="180">
        <f t="shared" ca="1" si="253"/>
        <v>47773</v>
      </c>
      <c r="B1683" s="181">
        <v>1669</v>
      </c>
      <c r="C1683" s="182">
        <f t="shared" ca="1" si="250"/>
        <v>83684.813715537137</v>
      </c>
      <c r="D1683" s="182">
        <f t="shared" ca="1" si="254"/>
        <v>55.78987581035809</v>
      </c>
      <c r="E1683" s="182">
        <v>0</v>
      </c>
      <c r="F1683" s="182">
        <f t="shared" ca="1" si="251"/>
        <v>0</v>
      </c>
      <c r="G1683" s="182">
        <f t="shared" ca="1" si="255"/>
        <v>0</v>
      </c>
      <c r="H1683" s="182">
        <f t="shared" ca="1" si="249"/>
        <v>83740.603591347492</v>
      </c>
      <c r="I1683" s="183">
        <v>0</v>
      </c>
      <c r="J1683" s="263">
        <f t="shared" ca="1" si="252"/>
        <v>83740.603591347492</v>
      </c>
      <c r="K1683" s="182"/>
      <c r="L1683" s="182"/>
      <c r="M1683" s="182"/>
      <c r="N1683" s="182"/>
      <c r="O1683" s="182"/>
    </row>
    <row r="1684" spans="1:15" x14ac:dyDescent="0.25">
      <c r="A1684" s="180">
        <f t="shared" ca="1" si="253"/>
        <v>47774</v>
      </c>
      <c r="B1684" s="181">
        <v>1670</v>
      </c>
      <c r="C1684" s="182">
        <f t="shared" ca="1" si="250"/>
        <v>83740.603591347492</v>
      </c>
      <c r="D1684" s="182">
        <f t="shared" ca="1" si="254"/>
        <v>55.827069060898324</v>
      </c>
      <c r="E1684" s="182">
        <v>0</v>
      </c>
      <c r="F1684" s="182">
        <f t="shared" ca="1" si="251"/>
        <v>0</v>
      </c>
      <c r="G1684" s="182">
        <f t="shared" ca="1" si="255"/>
        <v>0</v>
      </c>
      <c r="H1684" s="182">
        <f t="shared" ca="1" si="249"/>
        <v>83796.430660408383</v>
      </c>
      <c r="I1684" s="183">
        <v>0</v>
      </c>
      <c r="J1684" s="263">
        <f t="shared" ca="1" si="252"/>
        <v>83796.430660408383</v>
      </c>
      <c r="K1684" s="182"/>
      <c r="L1684" s="182"/>
      <c r="M1684" s="182"/>
      <c r="N1684" s="182"/>
      <c r="O1684" s="182"/>
    </row>
    <row r="1685" spans="1:15" x14ac:dyDescent="0.25">
      <c r="A1685" s="180">
        <f t="shared" ca="1" si="253"/>
        <v>47775</v>
      </c>
      <c r="B1685" s="181">
        <v>1671</v>
      </c>
      <c r="C1685" s="182">
        <f t="shared" ca="1" si="250"/>
        <v>83796.430660408383</v>
      </c>
      <c r="D1685" s="182">
        <f t="shared" ca="1" si="254"/>
        <v>55.864287106938917</v>
      </c>
      <c r="E1685" s="182">
        <v>0</v>
      </c>
      <c r="F1685" s="182">
        <f t="shared" ca="1" si="251"/>
        <v>0</v>
      </c>
      <c r="G1685" s="182">
        <f t="shared" ca="1" si="255"/>
        <v>0</v>
      </c>
      <c r="H1685" s="182">
        <f t="shared" ca="1" si="249"/>
        <v>83852.294947515329</v>
      </c>
      <c r="I1685" s="183">
        <v>0</v>
      </c>
      <c r="J1685" s="263">
        <f t="shared" ca="1" si="252"/>
        <v>83852.294947515329</v>
      </c>
      <c r="K1685" s="182"/>
      <c r="L1685" s="182"/>
      <c r="M1685" s="182"/>
      <c r="N1685" s="182"/>
      <c r="O1685" s="182"/>
    </row>
    <row r="1686" spans="1:15" x14ac:dyDescent="0.25">
      <c r="A1686" s="180">
        <f t="shared" ca="1" si="253"/>
        <v>47776</v>
      </c>
      <c r="B1686" s="181">
        <v>1672</v>
      </c>
      <c r="C1686" s="182">
        <f t="shared" ca="1" si="250"/>
        <v>83852.294947515329</v>
      </c>
      <c r="D1686" s="182">
        <f t="shared" ca="1" si="254"/>
        <v>55.901529965010219</v>
      </c>
      <c r="E1686" s="182">
        <v>0</v>
      </c>
      <c r="F1686" s="182">
        <f t="shared" ca="1" si="251"/>
        <v>0</v>
      </c>
      <c r="G1686" s="182">
        <f t="shared" ca="1" si="255"/>
        <v>0</v>
      </c>
      <c r="H1686" s="182">
        <f t="shared" ca="1" si="249"/>
        <v>83908.196477480335</v>
      </c>
      <c r="I1686" s="183">
        <v>0</v>
      </c>
      <c r="J1686" s="263">
        <f t="shared" ca="1" si="252"/>
        <v>83908.196477480335</v>
      </c>
      <c r="K1686" s="182"/>
      <c r="L1686" s="182"/>
      <c r="M1686" s="182"/>
      <c r="N1686" s="182"/>
      <c r="O1686" s="182"/>
    </row>
    <row r="1687" spans="1:15" x14ac:dyDescent="0.25">
      <c r="A1687" s="180">
        <f t="shared" ca="1" si="253"/>
        <v>47777</v>
      </c>
      <c r="B1687" s="181">
        <v>1673</v>
      </c>
      <c r="C1687" s="182">
        <f t="shared" ca="1" si="250"/>
        <v>83908.196477480335</v>
      </c>
      <c r="D1687" s="182">
        <f t="shared" ca="1" si="254"/>
        <v>55.938797651653552</v>
      </c>
      <c r="E1687" s="182">
        <v>0</v>
      </c>
      <c r="F1687" s="182">
        <f t="shared" ca="1" si="251"/>
        <v>0</v>
      </c>
      <c r="G1687" s="182">
        <f t="shared" ca="1" si="255"/>
        <v>0</v>
      </c>
      <c r="H1687" s="182">
        <f t="shared" ca="1" si="249"/>
        <v>83964.135275131994</v>
      </c>
      <c r="I1687" s="183">
        <v>0</v>
      </c>
      <c r="J1687" s="263">
        <f t="shared" ca="1" si="252"/>
        <v>83964.135275131994</v>
      </c>
      <c r="K1687" s="182"/>
      <c r="L1687" s="182"/>
      <c r="M1687" s="182"/>
      <c r="N1687" s="182"/>
      <c r="O1687" s="182"/>
    </row>
    <row r="1688" spans="1:15" x14ac:dyDescent="0.25">
      <c r="A1688" s="180">
        <f t="shared" ca="1" si="253"/>
        <v>47778</v>
      </c>
      <c r="B1688" s="181">
        <v>1674</v>
      </c>
      <c r="C1688" s="182">
        <f t="shared" ca="1" si="250"/>
        <v>83964.135275131994</v>
      </c>
      <c r="D1688" s="182">
        <f t="shared" ca="1" si="254"/>
        <v>55.976090183421327</v>
      </c>
      <c r="E1688" s="182">
        <v>0</v>
      </c>
      <c r="F1688" s="182">
        <f t="shared" ca="1" si="251"/>
        <v>0</v>
      </c>
      <c r="G1688" s="182">
        <f t="shared" ca="1" si="255"/>
        <v>0</v>
      </c>
      <c r="H1688" s="182">
        <f t="shared" ca="1" si="249"/>
        <v>84020.111365315417</v>
      </c>
      <c r="I1688" s="183">
        <v>0</v>
      </c>
      <c r="J1688" s="263">
        <f t="shared" ca="1" si="252"/>
        <v>84020.111365315417</v>
      </c>
      <c r="K1688" s="182"/>
      <c r="L1688" s="182"/>
      <c r="M1688" s="182"/>
      <c r="N1688" s="182"/>
      <c r="O1688" s="182"/>
    </row>
    <row r="1689" spans="1:15" x14ac:dyDescent="0.25">
      <c r="A1689" s="180">
        <f t="shared" ca="1" si="253"/>
        <v>47779</v>
      </c>
      <c r="B1689" s="181">
        <v>1675</v>
      </c>
      <c r="C1689" s="182">
        <f t="shared" ca="1" si="250"/>
        <v>84020.111365315417</v>
      </c>
      <c r="D1689" s="182">
        <f t="shared" ca="1" si="254"/>
        <v>56.013407576876943</v>
      </c>
      <c r="E1689" s="182">
        <v>0</v>
      </c>
      <c r="F1689" s="182">
        <f t="shared" ca="1" si="251"/>
        <v>0</v>
      </c>
      <c r="G1689" s="182">
        <f t="shared" ca="1" si="255"/>
        <v>0</v>
      </c>
      <c r="H1689" s="182">
        <f t="shared" ca="1" si="249"/>
        <v>84076.12477289229</v>
      </c>
      <c r="I1689" s="183">
        <v>0</v>
      </c>
      <c r="J1689" s="263">
        <f t="shared" ca="1" si="252"/>
        <v>84076.12477289229</v>
      </c>
      <c r="K1689" s="182"/>
      <c r="L1689" s="182"/>
      <c r="M1689" s="182"/>
      <c r="N1689" s="182"/>
      <c r="O1689" s="182"/>
    </row>
    <row r="1690" spans="1:15" x14ac:dyDescent="0.25">
      <c r="A1690" s="180">
        <f t="shared" ca="1" si="253"/>
        <v>47780</v>
      </c>
      <c r="B1690" s="181">
        <v>1676</v>
      </c>
      <c r="C1690" s="182">
        <f t="shared" ca="1" si="250"/>
        <v>84076.12477289229</v>
      </c>
      <c r="D1690" s="182">
        <f t="shared" ca="1" si="254"/>
        <v>56.050749848594855</v>
      </c>
      <c r="E1690" s="182">
        <v>0</v>
      </c>
      <c r="F1690" s="182">
        <f t="shared" ca="1" si="251"/>
        <v>0</v>
      </c>
      <c r="G1690" s="182">
        <f t="shared" ca="1" si="255"/>
        <v>0</v>
      </c>
      <c r="H1690" s="182">
        <f t="shared" ca="1" si="249"/>
        <v>84132.175522740887</v>
      </c>
      <c r="I1690" s="183">
        <v>0</v>
      </c>
      <c r="J1690" s="263">
        <f t="shared" ca="1" si="252"/>
        <v>84132.175522740887</v>
      </c>
      <c r="K1690" s="182"/>
      <c r="L1690" s="182"/>
      <c r="M1690" s="182"/>
      <c r="N1690" s="182"/>
      <c r="O1690" s="182"/>
    </row>
    <row r="1691" spans="1:15" x14ac:dyDescent="0.25">
      <c r="A1691" s="180">
        <f t="shared" ca="1" si="253"/>
        <v>47781</v>
      </c>
      <c r="B1691" s="181">
        <v>1677</v>
      </c>
      <c r="C1691" s="182">
        <f t="shared" ca="1" si="250"/>
        <v>84132.175522740887</v>
      </c>
      <c r="D1691" s="182">
        <f t="shared" ca="1" si="254"/>
        <v>56.088117015160591</v>
      </c>
      <c r="E1691" s="182">
        <v>0</v>
      </c>
      <c r="F1691" s="182">
        <f t="shared" ca="1" si="251"/>
        <v>0</v>
      </c>
      <c r="G1691" s="182">
        <f t="shared" ca="1" si="255"/>
        <v>0</v>
      </c>
      <c r="H1691" s="182">
        <f t="shared" ca="1" si="249"/>
        <v>84188.263639756042</v>
      </c>
      <c r="I1691" s="183">
        <v>0</v>
      </c>
      <c r="J1691" s="263">
        <f t="shared" ca="1" si="252"/>
        <v>84188.263639756042</v>
      </c>
      <c r="K1691" s="182"/>
      <c r="L1691" s="182"/>
      <c r="M1691" s="182"/>
      <c r="N1691" s="182"/>
      <c r="O1691" s="182"/>
    </row>
    <row r="1692" spans="1:15" x14ac:dyDescent="0.25">
      <c r="A1692" s="180">
        <f t="shared" ca="1" si="253"/>
        <v>47782</v>
      </c>
      <c r="B1692" s="181">
        <v>1678</v>
      </c>
      <c r="C1692" s="182">
        <f t="shared" ca="1" si="250"/>
        <v>84188.263639756042</v>
      </c>
      <c r="D1692" s="182">
        <f t="shared" ca="1" si="254"/>
        <v>56.125509093170692</v>
      </c>
      <c r="E1692" s="182">
        <v>0</v>
      </c>
      <c r="F1692" s="182">
        <f t="shared" ca="1" si="251"/>
        <v>0</v>
      </c>
      <c r="G1692" s="182">
        <f t="shared" ca="1" si="255"/>
        <v>0</v>
      </c>
      <c r="H1692" s="182">
        <f t="shared" ca="1" si="249"/>
        <v>84244.389148849208</v>
      </c>
      <c r="I1692" s="183">
        <v>0</v>
      </c>
      <c r="J1692" s="263">
        <f t="shared" ca="1" si="252"/>
        <v>84244.389148849208</v>
      </c>
      <c r="K1692" s="182"/>
      <c r="L1692" s="182"/>
      <c r="M1692" s="182"/>
      <c r="N1692" s="182"/>
      <c r="O1692" s="182"/>
    </row>
    <row r="1693" spans="1:15" x14ac:dyDescent="0.25">
      <c r="A1693" s="180">
        <f t="shared" ca="1" si="253"/>
        <v>47783</v>
      </c>
      <c r="B1693" s="181">
        <v>1679</v>
      </c>
      <c r="C1693" s="182">
        <f t="shared" ca="1" si="250"/>
        <v>84244.389148849208</v>
      </c>
      <c r="D1693" s="182">
        <f t="shared" ca="1" si="254"/>
        <v>56.162926099232806</v>
      </c>
      <c r="E1693" s="182">
        <v>0</v>
      </c>
      <c r="F1693" s="182">
        <f t="shared" ca="1" si="251"/>
        <v>0</v>
      </c>
      <c r="G1693" s="182">
        <f t="shared" ca="1" si="255"/>
        <v>0</v>
      </c>
      <c r="H1693" s="182">
        <f t="shared" ca="1" si="249"/>
        <v>84300.552074948442</v>
      </c>
      <c r="I1693" s="183">
        <v>0</v>
      </c>
      <c r="J1693" s="263">
        <f t="shared" ca="1" si="252"/>
        <v>84300.552074948442</v>
      </c>
      <c r="K1693" s="182"/>
      <c r="L1693" s="182"/>
      <c r="M1693" s="182"/>
      <c r="N1693" s="182"/>
      <c r="O1693" s="182"/>
    </row>
    <row r="1694" spans="1:15" x14ac:dyDescent="0.25">
      <c r="A1694" s="180">
        <f t="shared" ca="1" si="253"/>
        <v>47784</v>
      </c>
      <c r="B1694" s="181">
        <v>1680</v>
      </c>
      <c r="C1694" s="182">
        <f t="shared" ca="1" si="250"/>
        <v>84300.552074948442</v>
      </c>
      <c r="D1694" s="182">
        <f t="shared" ca="1" si="254"/>
        <v>56.200368049965626</v>
      </c>
      <c r="E1694" s="182">
        <v>0</v>
      </c>
      <c r="F1694" s="182">
        <f t="shared" ca="1" si="251"/>
        <v>0</v>
      </c>
      <c r="G1694" s="182">
        <f t="shared" ca="1" si="255"/>
        <v>0</v>
      </c>
      <c r="H1694" s="182">
        <f t="shared" ca="1" si="249"/>
        <v>84356.752442998404</v>
      </c>
      <c r="I1694" s="183">
        <v>0</v>
      </c>
      <c r="J1694" s="263">
        <f t="shared" ca="1" si="252"/>
        <v>84356.752442998404</v>
      </c>
      <c r="K1694" s="182"/>
      <c r="L1694" s="182"/>
      <c r="M1694" s="182"/>
      <c r="N1694" s="182"/>
      <c r="O1694" s="182"/>
    </row>
    <row r="1695" spans="1:15" x14ac:dyDescent="0.25">
      <c r="A1695" s="180">
        <f t="shared" ca="1" si="253"/>
        <v>47785</v>
      </c>
      <c r="B1695" s="181">
        <v>1681</v>
      </c>
      <c r="C1695" s="182">
        <f t="shared" ca="1" si="250"/>
        <v>84356.752442998404</v>
      </c>
      <c r="D1695" s="182">
        <f t="shared" ca="1" si="254"/>
        <v>56.237834961998935</v>
      </c>
      <c r="E1695" s="182">
        <v>0</v>
      </c>
      <c r="F1695" s="182">
        <f t="shared" ca="1" si="251"/>
        <v>0</v>
      </c>
      <c r="G1695" s="182">
        <f t="shared" ca="1" si="255"/>
        <v>0</v>
      </c>
      <c r="H1695" s="182">
        <f t="shared" ca="1" si="249"/>
        <v>84412.990277960402</v>
      </c>
      <c r="I1695" s="183">
        <v>0</v>
      </c>
      <c r="J1695" s="263">
        <f t="shared" ca="1" si="252"/>
        <v>84412.990277960402</v>
      </c>
      <c r="K1695" s="182"/>
      <c r="L1695" s="182"/>
      <c r="M1695" s="182"/>
      <c r="N1695" s="182"/>
      <c r="O1695" s="182"/>
    </row>
    <row r="1696" spans="1:15" x14ac:dyDescent="0.25">
      <c r="A1696" s="180">
        <f t="shared" ca="1" si="253"/>
        <v>47786</v>
      </c>
      <c r="B1696" s="181">
        <v>1682</v>
      </c>
      <c r="C1696" s="182">
        <f t="shared" ca="1" si="250"/>
        <v>84412.990277960402</v>
      </c>
      <c r="D1696" s="182">
        <f t="shared" ca="1" si="254"/>
        <v>56.275326851973603</v>
      </c>
      <c r="E1696" s="182">
        <v>0</v>
      </c>
      <c r="F1696" s="182">
        <f t="shared" ca="1" si="251"/>
        <v>0</v>
      </c>
      <c r="G1696" s="182">
        <f t="shared" ca="1" si="255"/>
        <v>0</v>
      </c>
      <c r="H1696" s="182">
        <f t="shared" ca="1" si="249"/>
        <v>84469.265604812375</v>
      </c>
      <c r="I1696" s="183">
        <v>0</v>
      </c>
      <c r="J1696" s="263">
        <f t="shared" ca="1" si="252"/>
        <v>84469.265604812375</v>
      </c>
      <c r="K1696" s="182"/>
      <c r="L1696" s="182"/>
      <c r="M1696" s="182"/>
      <c r="N1696" s="182"/>
      <c r="O1696" s="182"/>
    </row>
    <row r="1697" spans="1:15" x14ac:dyDescent="0.25">
      <c r="A1697" s="180">
        <f t="shared" ca="1" si="253"/>
        <v>47787</v>
      </c>
      <c r="B1697" s="181">
        <v>1683</v>
      </c>
      <c r="C1697" s="182">
        <f t="shared" ca="1" si="250"/>
        <v>84469.265604812375</v>
      </c>
      <c r="D1697" s="182">
        <f t="shared" ca="1" si="254"/>
        <v>56.312843736541581</v>
      </c>
      <c r="E1697" s="182">
        <v>0</v>
      </c>
      <c r="F1697" s="182">
        <f t="shared" ca="1" si="251"/>
        <v>0</v>
      </c>
      <c r="G1697" s="182">
        <f t="shared" ca="1" si="255"/>
        <v>0</v>
      </c>
      <c r="H1697" s="182">
        <f t="shared" ca="1" si="249"/>
        <v>84525.578448548913</v>
      </c>
      <c r="I1697" s="183">
        <v>0</v>
      </c>
      <c r="J1697" s="263">
        <f t="shared" ca="1" si="252"/>
        <v>84525.578448548913</v>
      </c>
      <c r="K1697" s="182"/>
      <c r="L1697" s="182"/>
      <c r="M1697" s="182"/>
      <c r="N1697" s="182"/>
      <c r="O1697" s="182"/>
    </row>
    <row r="1698" spans="1:15" x14ac:dyDescent="0.25">
      <c r="A1698" s="180">
        <f t="shared" ca="1" si="253"/>
        <v>47788</v>
      </c>
      <c r="B1698" s="181">
        <v>1684</v>
      </c>
      <c r="C1698" s="182">
        <f t="shared" ca="1" si="250"/>
        <v>84525.578448548913</v>
      </c>
      <c r="D1698" s="182">
        <f t="shared" ca="1" si="254"/>
        <v>56.350385632365942</v>
      </c>
      <c r="E1698" s="182">
        <v>0</v>
      </c>
      <c r="F1698" s="182">
        <f t="shared" ca="1" si="251"/>
        <v>0</v>
      </c>
      <c r="G1698" s="182">
        <f t="shared" ca="1" si="255"/>
        <v>0</v>
      </c>
      <c r="H1698" s="182">
        <f t="shared" ca="1" si="249"/>
        <v>84581.928834181279</v>
      </c>
      <c r="I1698" s="183">
        <v>0</v>
      </c>
      <c r="J1698" s="263">
        <f t="shared" ca="1" si="252"/>
        <v>84581.928834181279</v>
      </c>
      <c r="K1698" s="182"/>
      <c r="L1698" s="182"/>
      <c r="M1698" s="182"/>
      <c r="N1698" s="182"/>
      <c r="O1698" s="182"/>
    </row>
    <row r="1699" spans="1:15" x14ac:dyDescent="0.25">
      <c r="A1699" s="180">
        <f t="shared" ca="1" si="253"/>
        <v>47789</v>
      </c>
      <c r="B1699" s="181">
        <v>1685</v>
      </c>
      <c r="C1699" s="182">
        <f t="shared" ca="1" si="250"/>
        <v>84581.928834181279</v>
      </c>
      <c r="D1699" s="182">
        <f t="shared" ca="1" si="254"/>
        <v>56.387952556120851</v>
      </c>
      <c r="E1699" s="182">
        <v>0</v>
      </c>
      <c r="F1699" s="182">
        <f t="shared" ca="1" si="251"/>
        <v>0</v>
      </c>
      <c r="G1699" s="182">
        <f t="shared" ca="1" si="255"/>
        <v>0</v>
      </c>
      <c r="H1699" s="182">
        <f t="shared" ref="H1699:H1762" ca="1" si="256">IF(G1699&gt;0,C1699+F1699+I1699,SUM(C1699:F1699)-G1698)</f>
        <v>84638.3167867374</v>
      </c>
      <c r="I1699" s="183">
        <v>0</v>
      </c>
      <c r="J1699" s="263">
        <f t="shared" ca="1" si="252"/>
        <v>84638.3167867374</v>
      </c>
      <c r="K1699" s="182"/>
      <c r="L1699" s="182"/>
      <c r="M1699" s="182"/>
      <c r="N1699" s="182"/>
      <c r="O1699" s="182"/>
    </row>
    <row r="1700" spans="1:15" x14ac:dyDescent="0.25">
      <c r="A1700" s="180">
        <f t="shared" ca="1" si="253"/>
        <v>47790</v>
      </c>
      <c r="B1700" s="181">
        <v>1686</v>
      </c>
      <c r="C1700" s="182">
        <f t="shared" ca="1" si="250"/>
        <v>84638.3167867374</v>
      </c>
      <c r="D1700" s="182">
        <f t="shared" ca="1" si="254"/>
        <v>56.425544524491599</v>
      </c>
      <c r="E1700" s="182">
        <v>0</v>
      </c>
      <c r="F1700" s="182">
        <f t="shared" ca="1" si="251"/>
        <v>0</v>
      </c>
      <c r="G1700" s="182">
        <f t="shared" ca="1" si="255"/>
        <v>0</v>
      </c>
      <c r="H1700" s="182">
        <f t="shared" ca="1" si="256"/>
        <v>84694.742331261892</v>
      </c>
      <c r="I1700" s="183">
        <v>0</v>
      </c>
      <c r="J1700" s="263">
        <f t="shared" ca="1" si="252"/>
        <v>84694.742331261892</v>
      </c>
      <c r="K1700" s="182"/>
      <c r="L1700" s="182"/>
      <c r="M1700" s="182"/>
      <c r="N1700" s="182"/>
      <c r="O1700" s="182"/>
    </row>
    <row r="1701" spans="1:15" x14ac:dyDescent="0.25">
      <c r="A1701" s="180">
        <f t="shared" ca="1" si="253"/>
        <v>47791</v>
      </c>
      <c r="B1701" s="181">
        <v>1687</v>
      </c>
      <c r="C1701" s="182">
        <f t="shared" ca="1" si="250"/>
        <v>84694.742331261892</v>
      </c>
      <c r="D1701" s="182">
        <f t="shared" ca="1" si="254"/>
        <v>56.46316155417459</v>
      </c>
      <c r="E1701" s="182">
        <v>0</v>
      </c>
      <c r="F1701" s="182">
        <f t="shared" ca="1" si="251"/>
        <v>0</v>
      </c>
      <c r="G1701" s="182">
        <f t="shared" ca="1" si="255"/>
        <v>0</v>
      </c>
      <c r="H1701" s="182">
        <f t="shared" ca="1" si="256"/>
        <v>84751.205492816065</v>
      </c>
      <c r="I1701" s="183">
        <v>0</v>
      </c>
      <c r="J1701" s="263">
        <f t="shared" ca="1" si="252"/>
        <v>84751.205492816065</v>
      </c>
      <c r="K1701" s="182"/>
      <c r="L1701" s="182"/>
      <c r="M1701" s="182"/>
      <c r="N1701" s="182"/>
      <c r="O1701" s="182"/>
    </row>
    <row r="1702" spans="1:15" x14ac:dyDescent="0.25">
      <c r="A1702" s="180">
        <f t="shared" ca="1" si="253"/>
        <v>47792</v>
      </c>
      <c r="B1702" s="181">
        <v>1688</v>
      </c>
      <c r="C1702" s="182">
        <f t="shared" ca="1" si="250"/>
        <v>84751.205492816065</v>
      </c>
      <c r="D1702" s="182">
        <f t="shared" ca="1" si="254"/>
        <v>56.500803661877377</v>
      </c>
      <c r="E1702" s="182">
        <v>0</v>
      </c>
      <c r="F1702" s="182">
        <f t="shared" ca="1" si="251"/>
        <v>0</v>
      </c>
      <c r="G1702" s="182">
        <f t="shared" ca="1" si="255"/>
        <v>0</v>
      </c>
      <c r="H1702" s="182">
        <f t="shared" ca="1" si="256"/>
        <v>84807.706296477947</v>
      </c>
      <c r="I1702" s="183">
        <v>0</v>
      </c>
      <c r="J1702" s="263">
        <f t="shared" ca="1" si="252"/>
        <v>84807.706296477947</v>
      </c>
      <c r="K1702" s="182"/>
      <c r="L1702" s="182"/>
      <c r="M1702" s="182"/>
      <c r="N1702" s="182"/>
      <c r="O1702" s="182"/>
    </row>
    <row r="1703" spans="1:15" x14ac:dyDescent="0.25">
      <c r="A1703" s="180">
        <f t="shared" ca="1" si="253"/>
        <v>47793</v>
      </c>
      <c r="B1703" s="181">
        <v>1689</v>
      </c>
      <c r="C1703" s="182">
        <f t="shared" ca="1" si="250"/>
        <v>84807.706296477947</v>
      </c>
      <c r="D1703" s="182">
        <f t="shared" ca="1" si="254"/>
        <v>56.538470864318633</v>
      </c>
      <c r="E1703" s="182">
        <v>0</v>
      </c>
      <c r="F1703" s="182">
        <f t="shared" ca="1" si="251"/>
        <v>0</v>
      </c>
      <c r="G1703" s="182">
        <f t="shared" ca="1" si="255"/>
        <v>0</v>
      </c>
      <c r="H1703" s="182">
        <f t="shared" ca="1" si="256"/>
        <v>84864.244767342272</v>
      </c>
      <c r="I1703" s="183">
        <v>0</v>
      </c>
      <c r="J1703" s="263">
        <f t="shared" ca="1" si="252"/>
        <v>84864.244767342272</v>
      </c>
      <c r="K1703" s="182"/>
      <c r="L1703" s="182"/>
      <c r="M1703" s="182"/>
      <c r="N1703" s="182"/>
      <c r="O1703" s="182"/>
    </row>
    <row r="1704" spans="1:15" x14ac:dyDescent="0.25">
      <c r="A1704" s="180">
        <f t="shared" ca="1" si="253"/>
        <v>47794</v>
      </c>
      <c r="B1704" s="181">
        <v>1690</v>
      </c>
      <c r="C1704" s="182">
        <f t="shared" ca="1" si="250"/>
        <v>84864.244767342272</v>
      </c>
      <c r="D1704" s="182">
        <f t="shared" ca="1" si="254"/>
        <v>56.576163178228178</v>
      </c>
      <c r="E1704" s="182">
        <v>0</v>
      </c>
      <c r="F1704" s="182">
        <f t="shared" ca="1" si="251"/>
        <v>0</v>
      </c>
      <c r="G1704" s="182">
        <f t="shared" ca="1" si="255"/>
        <v>0</v>
      </c>
      <c r="H1704" s="182">
        <f t="shared" ca="1" si="256"/>
        <v>84920.820930520495</v>
      </c>
      <c r="I1704" s="183">
        <v>0</v>
      </c>
      <c r="J1704" s="263">
        <f t="shared" ca="1" si="252"/>
        <v>84920.820930520495</v>
      </c>
      <c r="K1704" s="182"/>
      <c r="L1704" s="182"/>
      <c r="M1704" s="182"/>
      <c r="N1704" s="182"/>
      <c r="O1704" s="182"/>
    </row>
    <row r="1705" spans="1:15" x14ac:dyDescent="0.25">
      <c r="A1705" s="180">
        <f t="shared" ca="1" si="253"/>
        <v>47795</v>
      </c>
      <c r="B1705" s="181">
        <v>1691</v>
      </c>
      <c r="C1705" s="182">
        <f t="shared" ca="1" si="250"/>
        <v>84920.820930520495</v>
      </c>
      <c r="D1705" s="182">
        <f t="shared" ca="1" si="254"/>
        <v>56.613880620346997</v>
      </c>
      <c r="E1705" s="182">
        <v>0</v>
      </c>
      <c r="F1705" s="182">
        <f t="shared" ca="1" si="251"/>
        <v>0</v>
      </c>
      <c r="G1705" s="182">
        <f t="shared" ca="1" si="255"/>
        <v>0</v>
      </c>
      <c r="H1705" s="182">
        <f t="shared" ca="1" si="256"/>
        <v>84977.434811140847</v>
      </c>
      <c r="I1705" s="183">
        <v>0</v>
      </c>
      <c r="J1705" s="263">
        <f t="shared" ca="1" si="252"/>
        <v>84977.434811140847</v>
      </c>
      <c r="K1705" s="182"/>
      <c r="L1705" s="182"/>
      <c r="M1705" s="182"/>
      <c r="N1705" s="182"/>
      <c r="O1705" s="182"/>
    </row>
    <row r="1706" spans="1:15" x14ac:dyDescent="0.25">
      <c r="A1706" s="180">
        <f t="shared" ca="1" si="253"/>
        <v>47796</v>
      </c>
      <c r="B1706" s="181">
        <v>1692</v>
      </c>
      <c r="C1706" s="182">
        <f t="shared" ca="1" si="250"/>
        <v>84977.434811140847</v>
      </c>
      <c r="D1706" s="182">
        <f t="shared" ca="1" si="254"/>
        <v>56.651623207427228</v>
      </c>
      <c r="E1706" s="182">
        <v>0</v>
      </c>
      <c r="F1706" s="182">
        <f t="shared" ca="1" si="251"/>
        <v>0</v>
      </c>
      <c r="G1706" s="182">
        <f t="shared" ca="1" si="255"/>
        <v>0</v>
      </c>
      <c r="H1706" s="182">
        <f t="shared" ca="1" si="256"/>
        <v>85034.086434348268</v>
      </c>
      <c r="I1706" s="183">
        <v>0</v>
      </c>
      <c r="J1706" s="263">
        <f t="shared" ca="1" si="252"/>
        <v>85034.086434348268</v>
      </c>
      <c r="K1706" s="182"/>
      <c r="L1706" s="182"/>
      <c r="M1706" s="182"/>
      <c r="N1706" s="182"/>
      <c r="O1706" s="182"/>
    </row>
    <row r="1707" spans="1:15" x14ac:dyDescent="0.25">
      <c r="A1707" s="180">
        <f t="shared" ca="1" si="253"/>
        <v>47797</v>
      </c>
      <c r="B1707" s="181">
        <v>1693</v>
      </c>
      <c r="C1707" s="182">
        <f t="shared" ref="C1707:C1770" ca="1" si="257">H1706</f>
        <v>85034.086434348268</v>
      </c>
      <c r="D1707" s="182">
        <f t="shared" ca="1" si="254"/>
        <v>56.689390956232174</v>
      </c>
      <c r="E1707" s="182">
        <v>0</v>
      </c>
      <c r="F1707" s="182">
        <f t="shared" ca="1" si="251"/>
        <v>0</v>
      </c>
      <c r="G1707" s="182">
        <f t="shared" ca="1" si="255"/>
        <v>0</v>
      </c>
      <c r="H1707" s="182">
        <f t="shared" ca="1" si="256"/>
        <v>85090.775825304503</v>
      </c>
      <c r="I1707" s="183">
        <v>0</v>
      </c>
      <c r="J1707" s="263">
        <f t="shared" ca="1" si="252"/>
        <v>85090.775825304503</v>
      </c>
      <c r="K1707" s="182"/>
      <c r="L1707" s="182"/>
      <c r="M1707" s="182"/>
      <c r="N1707" s="182"/>
      <c r="O1707" s="182"/>
    </row>
    <row r="1708" spans="1:15" x14ac:dyDescent="0.25">
      <c r="A1708" s="180">
        <f t="shared" ca="1" si="253"/>
        <v>47798</v>
      </c>
      <c r="B1708" s="181">
        <v>1694</v>
      </c>
      <c r="C1708" s="182">
        <f t="shared" ca="1" si="257"/>
        <v>85090.775825304503</v>
      </c>
      <c r="D1708" s="182">
        <f t="shared" ca="1" si="254"/>
        <v>56.727183883536334</v>
      </c>
      <c r="E1708" s="182">
        <v>0</v>
      </c>
      <c r="F1708" s="182">
        <f t="shared" ref="F1708:F1771" ca="1" si="258">IFERROR(-VLOOKUP(A1708,$P$4:$R$31,2,FALSE),0)</f>
        <v>0</v>
      </c>
      <c r="G1708" s="182">
        <f t="shared" ca="1" si="255"/>
        <v>0</v>
      </c>
      <c r="H1708" s="182">
        <f t="shared" ca="1" si="256"/>
        <v>85147.503009188033</v>
      </c>
      <c r="I1708" s="183">
        <v>0</v>
      </c>
      <c r="J1708" s="263">
        <f t="shared" ca="1" si="252"/>
        <v>85147.503009188033</v>
      </c>
      <c r="K1708" s="182"/>
      <c r="L1708" s="182"/>
      <c r="M1708" s="182"/>
      <c r="N1708" s="182"/>
      <c r="O1708" s="182"/>
    </row>
    <row r="1709" spans="1:15" x14ac:dyDescent="0.25">
      <c r="A1709" s="180">
        <f t="shared" ca="1" si="253"/>
        <v>47799</v>
      </c>
      <c r="B1709" s="181">
        <v>1695</v>
      </c>
      <c r="C1709" s="182">
        <f t="shared" ca="1" si="257"/>
        <v>85147.503009188033</v>
      </c>
      <c r="D1709" s="182">
        <f t="shared" ca="1" si="254"/>
        <v>56.76500200612535</v>
      </c>
      <c r="E1709" s="182">
        <v>0</v>
      </c>
      <c r="F1709" s="182">
        <f t="shared" ca="1" si="258"/>
        <v>0</v>
      </c>
      <c r="G1709" s="182">
        <f t="shared" ca="1" si="255"/>
        <v>0</v>
      </c>
      <c r="H1709" s="182">
        <f t="shared" ca="1" si="256"/>
        <v>85204.268011194159</v>
      </c>
      <c r="I1709" s="183">
        <v>0</v>
      </c>
      <c r="J1709" s="263">
        <f t="shared" ca="1" si="252"/>
        <v>85204.268011194159</v>
      </c>
      <c r="K1709" s="182"/>
      <c r="L1709" s="182"/>
      <c r="M1709" s="182"/>
      <c r="N1709" s="182"/>
      <c r="O1709" s="182"/>
    </row>
    <row r="1710" spans="1:15" x14ac:dyDescent="0.25">
      <c r="A1710" s="180">
        <f t="shared" ca="1" si="253"/>
        <v>47800</v>
      </c>
      <c r="B1710" s="181">
        <v>1696</v>
      </c>
      <c r="C1710" s="182">
        <f t="shared" ca="1" si="257"/>
        <v>85204.268011194159</v>
      </c>
      <c r="D1710" s="182">
        <f t="shared" ca="1" si="254"/>
        <v>56.802845340796104</v>
      </c>
      <c r="E1710" s="182">
        <v>0</v>
      </c>
      <c r="F1710" s="182">
        <f t="shared" ca="1" si="258"/>
        <v>0</v>
      </c>
      <c r="G1710" s="182">
        <f t="shared" ca="1" si="255"/>
        <v>0</v>
      </c>
      <c r="H1710" s="182">
        <f t="shared" ca="1" si="256"/>
        <v>85261.070856534949</v>
      </c>
      <c r="I1710" s="183">
        <v>0</v>
      </c>
      <c r="J1710" s="263">
        <f t="shared" ca="1" si="252"/>
        <v>85261.070856534949</v>
      </c>
      <c r="K1710" s="182"/>
      <c r="L1710" s="182"/>
      <c r="M1710" s="182"/>
      <c r="N1710" s="182"/>
      <c r="O1710" s="182"/>
    </row>
    <row r="1711" spans="1:15" x14ac:dyDescent="0.25">
      <c r="A1711" s="180">
        <f t="shared" ca="1" si="253"/>
        <v>47801</v>
      </c>
      <c r="B1711" s="181">
        <v>1697</v>
      </c>
      <c r="C1711" s="182">
        <f t="shared" ca="1" si="257"/>
        <v>85261.070856534949</v>
      </c>
      <c r="D1711" s="182">
        <f t="shared" ca="1" si="254"/>
        <v>56.840713904356633</v>
      </c>
      <c r="E1711" s="182">
        <v>0</v>
      </c>
      <c r="F1711" s="182">
        <f t="shared" ca="1" si="258"/>
        <v>0</v>
      </c>
      <c r="G1711" s="182">
        <f t="shared" ca="1" si="255"/>
        <v>0</v>
      </c>
      <c r="H1711" s="182">
        <f t="shared" ca="1" si="256"/>
        <v>85317.911570439304</v>
      </c>
      <c r="I1711" s="183">
        <v>0</v>
      </c>
      <c r="J1711" s="263">
        <f t="shared" ca="1" si="252"/>
        <v>85317.911570439304</v>
      </c>
      <c r="K1711" s="182"/>
      <c r="L1711" s="182"/>
      <c r="M1711" s="182"/>
      <c r="N1711" s="182"/>
      <c r="O1711" s="182"/>
    </row>
    <row r="1712" spans="1:15" x14ac:dyDescent="0.25">
      <c r="A1712" s="180">
        <f t="shared" ca="1" si="253"/>
        <v>47802</v>
      </c>
      <c r="B1712" s="181">
        <v>1698</v>
      </c>
      <c r="C1712" s="182">
        <f t="shared" ca="1" si="257"/>
        <v>85317.911570439304</v>
      </c>
      <c r="D1712" s="182">
        <f t="shared" ca="1" si="254"/>
        <v>56.878607713626202</v>
      </c>
      <c r="E1712" s="182">
        <v>0</v>
      </c>
      <c r="F1712" s="182">
        <f t="shared" ca="1" si="258"/>
        <v>0</v>
      </c>
      <c r="G1712" s="182">
        <f t="shared" ca="1" si="255"/>
        <v>0</v>
      </c>
      <c r="H1712" s="182">
        <f t="shared" ca="1" si="256"/>
        <v>85374.790178152936</v>
      </c>
      <c r="I1712" s="183">
        <v>0</v>
      </c>
      <c r="J1712" s="263">
        <f t="shared" ca="1" si="252"/>
        <v>85374.790178152936</v>
      </c>
      <c r="K1712" s="182"/>
      <c r="L1712" s="182"/>
      <c r="M1712" s="182"/>
      <c r="N1712" s="182"/>
      <c r="O1712" s="182"/>
    </row>
    <row r="1713" spans="1:15" x14ac:dyDescent="0.25">
      <c r="A1713" s="180">
        <f t="shared" ca="1" si="253"/>
        <v>47803</v>
      </c>
      <c r="B1713" s="181">
        <v>1699</v>
      </c>
      <c r="C1713" s="182">
        <f t="shared" ca="1" si="257"/>
        <v>85374.790178152936</v>
      </c>
      <c r="D1713" s="182">
        <f t="shared" ca="1" si="254"/>
        <v>56.916526785435288</v>
      </c>
      <c r="E1713" s="182">
        <v>0</v>
      </c>
      <c r="F1713" s="182">
        <f t="shared" ca="1" si="258"/>
        <v>0</v>
      </c>
      <c r="G1713" s="182">
        <f t="shared" ca="1" si="255"/>
        <v>0</v>
      </c>
      <c r="H1713" s="182">
        <f t="shared" ca="1" si="256"/>
        <v>85431.706704938377</v>
      </c>
      <c r="I1713" s="183">
        <v>0</v>
      </c>
      <c r="J1713" s="263">
        <f t="shared" ca="1" si="252"/>
        <v>85431.706704938377</v>
      </c>
      <c r="K1713" s="182"/>
      <c r="L1713" s="182"/>
      <c r="M1713" s="182"/>
      <c r="N1713" s="182"/>
      <c r="O1713" s="182"/>
    </row>
    <row r="1714" spans="1:15" x14ac:dyDescent="0.25">
      <c r="A1714" s="180">
        <f t="shared" ca="1" si="253"/>
        <v>47804</v>
      </c>
      <c r="B1714" s="181">
        <v>1700</v>
      </c>
      <c r="C1714" s="182">
        <f t="shared" ca="1" si="257"/>
        <v>85431.706704938377</v>
      </c>
      <c r="D1714" s="182">
        <f t="shared" ca="1" si="254"/>
        <v>56.954471136625585</v>
      </c>
      <c r="E1714" s="182">
        <v>0</v>
      </c>
      <c r="F1714" s="182">
        <f t="shared" ca="1" si="258"/>
        <v>0</v>
      </c>
      <c r="G1714" s="182">
        <f t="shared" ca="1" si="255"/>
        <v>0</v>
      </c>
      <c r="H1714" s="182">
        <f t="shared" ca="1" si="256"/>
        <v>85488.661176075009</v>
      </c>
      <c r="I1714" s="183">
        <v>0</v>
      </c>
      <c r="J1714" s="263">
        <f t="shared" ca="1" si="252"/>
        <v>85488.661176075009</v>
      </c>
      <c r="K1714" s="182"/>
      <c r="L1714" s="182"/>
      <c r="M1714" s="182"/>
      <c r="N1714" s="182"/>
      <c r="O1714" s="182"/>
    </row>
    <row r="1715" spans="1:15" x14ac:dyDescent="0.25">
      <c r="A1715" s="180">
        <f t="shared" ca="1" si="253"/>
        <v>47805</v>
      </c>
      <c r="B1715" s="181">
        <v>1701</v>
      </c>
      <c r="C1715" s="182">
        <f t="shared" ca="1" si="257"/>
        <v>85488.661176075009</v>
      </c>
      <c r="D1715" s="182">
        <f t="shared" ca="1" si="254"/>
        <v>56.992440784050004</v>
      </c>
      <c r="E1715" s="182">
        <v>0</v>
      </c>
      <c r="F1715" s="182">
        <f t="shared" ca="1" si="258"/>
        <v>0</v>
      </c>
      <c r="G1715" s="182">
        <f t="shared" ca="1" si="255"/>
        <v>0</v>
      </c>
      <c r="H1715" s="182">
        <f t="shared" ca="1" si="256"/>
        <v>85545.653616859054</v>
      </c>
      <c r="I1715" s="183">
        <v>0</v>
      </c>
      <c r="J1715" s="263">
        <f t="shared" ca="1" si="252"/>
        <v>85545.653616859054</v>
      </c>
      <c r="K1715" s="182"/>
      <c r="L1715" s="182"/>
      <c r="M1715" s="182"/>
      <c r="N1715" s="182"/>
      <c r="O1715" s="182"/>
    </row>
    <row r="1716" spans="1:15" x14ac:dyDescent="0.25">
      <c r="A1716" s="180">
        <f t="shared" ca="1" si="253"/>
        <v>47806</v>
      </c>
      <c r="B1716" s="181">
        <v>1702</v>
      </c>
      <c r="C1716" s="182">
        <f t="shared" ca="1" si="257"/>
        <v>85545.653616859054</v>
      </c>
      <c r="D1716" s="182">
        <f t="shared" ca="1" si="254"/>
        <v>57.030435744572699</v>
      </c>
      <c r="E1716" s="182">
        <v>0</v>
      </c>
      <c r="F1716" s="182">
        <f t="shared" ca="1" si="258"/>
        <v>0</v>
      </c>
      <c r="G1716" s="182">
        <f t="shared" ca="1" si="255"/>
        <v>0</v>
      </c>
      <c r="H1716" s="182">
        <f t="shared" ca="1" si="256"/>
        <v>85602.684052603625</v>
      </c>
      <c r="I1716" s="183">
        <v>0</v>
      </c>
      <c r="J1716" s="263">
        <f t="shared" ca="1" si="252"/>
        <v>85602.684052603625</v>
      </c>
      <c r="K1716" s="182"/>
      <c r="L1716" s="182"/>
      <c r="M1716" s="182"/>
      <c r="N1716" s="182"/>
      <c r="O1716" s="182"/>
    </row>
    <row r="1717" spans="1:15" x14ac:dyDescent="0.25">
      <c r="A1717" s="180">
        <f t="shared" ca="1" si="253"/>
        <v>47807</v>
      </c>
      <c r="B1717" s="181">
        <v>1703</v>
      </c>
      <c r="C1717" s="182">
        <f t="shared" ca="1" si="257"/>
        <v>85602.684052603625</v>
      </c>
      <c r="D1717" s="182">
        <f t="shared" ca="1" si="254"/>
        <v>57.068456035069083</v>
      </c>
      <c r="E1717" s="182">
        <v>0</v>
      </c>
      <c r="F1717" s="182">
        <f t="shared" ca="1" si="258"/>
        <v>0</v>
      </c>
      <c r="G1717" s="182">
        <f t="shared" ca="1" si="255"/>
        <v>0</v>
      </c>
      <c r="H1717" s="182">
        <f t="shared" ca="1" si="256"/>
        <v>85659.752508638689</v>
      </c>
      <c r="I1717" s="183">
        <v>0</v>
      </c>
      <c r="J1717" s="263">
        <f t="shared" ca="1" si="252"/>
        <v>85659.752508638689</v>
      </c>
      <c r="K1717" s="182"/>
      <c r="L1717" s="182"/>
      <c r="M1717" s="182"/>
      <c r="N1717" s="182"/>
      <c r="O1717" s="182"/>
    </row>
    <row r="1718" spans="1:15" x14ac:dyDescent="0.25">
      <c r="A1718" s="180">
        <f t="shared" ca="1" si="253"/>
        <v>47808</v>
      </c>
      <c r="B1718" s="181">
        <v>1704</v>
      </c>
      <c r="C1718" s="182">
        <f t="shared" ca="1" si="257"/>
        <v>85659.752508638689</v>
      </c>
      <c r="D1718" s="182">
        <f t="shared" ca="1" si="254"/>
        <v>57.106501672425793</v>
      </c>
      <c r="E1718" s="182">
        <v>0</v>
      </c>
      <c r="F1718" s="182">
        <f t="shared" ca="1" si="258"/>
        <v>0</v>
      </c>
      <c r="G1718" s="182">
        <f t="shared" ca="1" si="255"/>
        <v>0</v>
      </c>
      <c r="H1718" s="182">
        <f t="shared" ca="1" si="256"/>
        <v>85716.85901031112</v>
      </c>
      <c r="I1718" s="183">
        <v>0</v>
      </c>
      <c r="J1718" s="263">
        <f t="shared" ca="1" si="252"/>
        <v>85716.85901031112</v>
      </c>
      <c r="K1718" s="182"/>
      <c r="L1718" s="182"/>
      <c r="M1718" s="182"/>
      <c r="N1718" s="182"/>
      <c r="O1718" s="182"/>
    </row>
    <row r="1719" spans="1:15" x14ac:dyDescent="0.25">
      <c r="A1719" s="180">
        <f t="shared" ca="1" si="253"/>
        <v>47809</v>
      </c>
      <c r="B1719" s="181">
        <v>1705</v>
      </c>
      <c r="C1719" s="182">
        <f t="shared" ca="1" si="257"/>
        <v>85716.85901031112</v>
      </c>
      <c r="D1719" s="182">
        <f t="shared" ca="1" si="254"/>
        <v>57.144572673540743</v>
      </c>
      <c r="E1719" s="182">
        <v>0</v>
      </c>
      <c r="F1719" s="182">
        <f t="shared" ca="1" si="258"/>
        <v>0</v>
      </c>
      <c r="G1719" s="182">
        <f t="shared" ca="1" si="255"/>
        <v>0</v>
      </c>
      <c r="H1719" s="182">
        <f t="shared" ca="1" si="256"/>
        <v>85774.00358298466</v>
      </c>
      <c r="I1719" s="183">
        <v>0</v>
      </c>
      <c r="J1719" s="263">
        <f t="shared" ca="1" si="252"/>
        <v>85774.00358298466</v>
      </c>
      <c r="K1719" s="182"/>
      <c r="L1719" s="182"/>
      <c r="M1719" s="182"/>
      <c r="N1719" s="182"/>
      <c r="O1719" s="182"/>
    </row>
    <row r="1720" spans="1:15" x14ac:dyDescent="0.25">
      <c r="A1720" s="180">
        <f t="shared" ca="1" si="253"/>
        <v>47810</v>
      </c>
      <c r="B1720" s="181">
        <v>1706</v>
      </c>
      <c r="C1720" s="182">
        <f t="shared" ca="1" si="257"/>
        <v>85774.00358298466</v>
      </c>
      <c r="D1720" s="182">
        <f t="shared" ca="1" si="254"/>
        <v>57.182669055323103</v>
      </c>
      <c r="E1720" s="182">
        <v>0</v>
      </c>
      <c r="F1720" s="182">
        <f t="shared" ca="1" si="258"/>
        <v>0</v>
      </c>
      <c r="G1720" s="182">
        <f t="shared" ca="1" si="255"/>
        <v>0</v>
      </c>
      <c r="H1720" s="182">
        <f t="shared" ca="1" si="256"/>
        <v>85831.186252039988</v>
      </c>
      <c r="I1720" s="183">
        <v>0</v>
      </c>
      <c r="J1720" s="263">
        <f t="shared" ca="1" si="252"/>
        <v>85831.186252039988</v>
      </c>
      <c r="K1720" s="182"/>
      <c r="L1720" s="182"/>
      <c r="M1720" s="182"/>
      <c r="N1720" s="182"/>
      <c r="O1720" s="182"/>
    </row>
    <row r="1721" spans="1:15" x14ac:dyDescent="0.25">
      <c r="A1721" s="180">
        <f t="shared" ca="1" si="253"/>
        <v>47811</v>
      </c>
      <c r="B1721" s="181">
        <v>1707</v>
      </c>
      <c r="C1721" s="182">
        <f t="shared" ca="1" si="257"/>
        <v>85831.186252039988</v>
      </c>
      <c r="D1721" s="182">
        <f t="shared" ca="1" si="254"/>
        <v>57.220790834693325</v>
      </c>
      <c r="E1721" s="182">
        <v>0</v>
      </c>
      <c r="F1721" s="182">
        <f t="shared" ca="1" si="258"/>
        <v>0</v>
      </c>
      <c r="G1721" s="182">
        <f t="shared" ca="1" si="255"/>
        <v>0</v>
      </c>
      <c r="H1721" s="182">
        <f t="shared" ca="1" si="256"/>
        <v>85888.407042874678</v>
      </c>
      <c r="I1721" s="183">
        <v>0</v>
      </c>
      <c r="J1721" s="263">
        <f t="shared" ca="1" si="252"/>
        <v>85888.407042874678</v>
      </c>
      <c r="K1721" s="182"/>
      <c r="L1721" s="182"/>
      <c r="M1721" s="182"/>
      <c r="N1721" s="182"/>
      <c r="O1721" s="182"/>
    </row>
    <row r="1722" spans="1:15" x14ac:dyDescent="0.25">
      <c r="A1722" s="180">
        <f t="shared" ca="1" si="253"/>
        <v>47812</v>
      </c>
      <c r="B1722" s="181">
        <v>1708</v>
      </c>
      <c r="C1722" s="182">
        <f t="shared" ca="1" si="257"/>
        <v>85888.407042874678</v>
      </c>
      <c r="D1722" s="182">
        <f t="shared" ca="1" si="254"/>
        <v>57.258938028583117</v>
      </c>
      <c r="E1722" s="182">
        <v>0</v>
      </c>
      <c r="F1722" s="182">
        <f t="shared" ca="1" si="258"/>
        <v>0</v>
      </c>
      <c r="G1722" s="182">
        <f t="shared" ca="1" si="255"/>
        <v>0</v>
      </c>
      <c r="H1722" s="182">
        <f t="shared" ca="1" si="256"/>
        <v>85945.665980903257</v>
      </c>
      <c r="I1722" s="183">
        <v>0</v>
      </c>
      <c r="J1722" s="263">
        <f t="shared" ca="1" si="252"/>
        <v>85945.665980903257</v>
      </c>
      <c r="K1722" s="182"/>
      <c r="L1722" s="182"/>
      <c r="M1722" s="182"/>
      <c r="N1722" s="182"/>
      <c r="O1722" s="182"/>
    </row>
    <row r="1723" spans="1:15" x14ac:dyDescent="0.25">
      <c r="A1723" s="180">
        <f t="shared" ca="1" si="253"/>
        <v>47813</v>
      </c>
      <c r="B1723" s="181">
        <v>1709</v>
      </c>
      <c r="C1723" s="182">
        <f t="shared" ca="1" si="257"/>
        <v>85945.665980903257</v>
      </c>
      <c r="D1723" s="182">
        <f t="shared" ca="1" si="254"/>
        <v>57.297110653935505</v>
      </c>
      <c r="E1723" s="182">
        <v>0</v>
      </c>
      <c r="F1723" s="182">
        <f t="shared" ca="1" si="258"/>
        <v>0</v>
      </c>
      <c r="G1723" s="182">
        <f t="shared" ca="1" si="255"/>
        <v>0</v>
      </c>
      <c r="H1723" s="182">
        <f t="shared" ca="1" si="256"/>
        <v>86002.963091557191</v>
      </c>
      <c r="I1723" s="183">
        <v>0</v>
      </c>
      <c r="J1723" s="263">
        <f t="shared" ca="1" si="252"/>
        <v>86002.963091557191</v>
      </c>
      <c r="K1723" s="182"/>
      <c r="L1723" s="182"/>
      <c r="M1723" s="182"/>
      <c r="N1723" s="182"/>
      <c r="O1723" s="182"/>
    </row>
    <row r="1724" spans="1:15" x14ac:dyDescent="0.25">
      <c r="A1724" s="180">
        <f t="shared" ca="1" si="253"/>
        <v>47814</v>
      </c>
      <c r="B1724" s="181">
        <v>1710</v>
      </c>
      <c r="C1724" s="182">
        <f t="shared" ca="1" si="257"/>
        <v>86002.963091557191</v>
      </c>
      <c r="D1724" s="182">
        <f t="shared" ca="1" si="254"/>
        <v>57.335308727704792</v>
      </c>
      <c r="E1724" s="182">
        <v>0</v>
      </c>
      <c r="F1724" s="182">
        <f t="shared" ca="1" si="258"/>
        <v>0</v>
      </c>
      <c r="G1724" s="182">
        <f t="shared" ca="1" si="255"/>
        <v>0</v>
      </c>
      <c r="H1724" s="182">
        <f t="shared" ca="1" si="256"/>
        <v>86060.298400284897</v>
      </c>
      <c r="I1724" s="183">
        <v>0</v>
      </c>
      <c r="J1724" s="263">
        <f t="shared" ca="1" si="252"/>
        <v>86060.298400284897</v>
      </c>
      <c r="K1724" s="182"/>
      <c r="L1724" s="182"/>
      <c r="M1724" s="182"/>
      <c r="N1724" s="182"/>
      <c r="O1724" s="182"/>
    </row>
    <row r="1725" spans="1:15" x14ac:dyDescent="0.25">
      <c r="A1725" s="180">
        <f t="shared" ca="1" si="253"/>
        <v>47815</v>
      </c>
      <c r="B1725" s="181">
        <v>1711</v>
      </c>
      <c r="C1725" s="182">
        <f t="shared" ca="1" si="257"/>
        <v>86060.298400284897</v>
      </c>
      <c r="D1725" s="182">
        <f t="shared" ca="1" si="254"/>
        <v>57.373532266856593</v>
      </c>
      <c r="E1725" s="182">
        <v>0</v>
      </c>
      <c r="F1725" s="182">
        <f t="shared" ca="1" si="258"/>
        <v>0</v>
      </c>
      <c r="G1725" s="182">
        <f t="shared" ca="1" si="255"/>
        <v>0</v>
      </c>
      <c r="H1725" s="182">
        <f t="shared" ca="1" si="256"/>
        <v>86117.671932551748</v>
      </c>
      <c r="I1725" s="183">
        <v>0</v>
      </c>
      <c r="J1725" s="263">
        <f t="shared" ca="1" si="252"/>
        <v>86117.671932551748</v>
      </c>
      <c r="K1725" s="182"/>
      <c r="L1725" s="182"/>
      <c r="M1725" s="182"/>
      <c r="N1725" s="182"/>
      <c r="O1725" s="182"/>
    </row>
    <row r="1726" spans="1:15" x14ac:dyDescent="0.25">
      <c r="A1726" s="180">
        <f t="shared" ca="1" si="253"/>
        <v>47816</v>
      </c>
      <c r="B1726" s="181">
        <v>1712</v>
      </c>
      <c r="C1726" s="182">
        <f t="shared" ca="1" si="257"/>
        <v>86117.671932551748</v>
      </c>
      <c r="D1726" s="182">
        <f t="shared" ca="1" si="254"/>
        <v>57.411781288367827</v>
      </c>
      <c r="E1726" s="182">
        <v>0</v>
      </c>
      <c r="F1726" s="182">
        <f t="shared" ca="1" si="258"/>
        <v>0</v>
      </c>
      <c r="G1726" s="182">
        <f t="shared" ca="1" si="255"/>
        <v>0</v>
      </c>
      <c r="H1726" s="182">
        <f t="shared" ca="1" si="256"/>
        <v>86175.083713840111</v>
      </c>
      <c r="I1726" s="183">
        <v>0</v>
      </c>
      <c r="J1726" s="263">
        <f t="shared" ca="1" si="252"/>
        <v>86175.083713840111</v>
      </c>
      <c r="K1726" s="182"/>
      <c r="L1726" s="182"/>
      <c r="M1726" s="182"/>
      <c r="N1726" s="182"/>
      <c r="O1726" s="182"/>
    </row>
    <row r="1727" spans="1:15" x14ac:dyDescent="0.25">
      <c r="A1727" s="180">
        <f t="shared" ca="1" si="253"/>
        <v>47817</v>
      </c>
      <c r="B1727" s="181">
        <v>1713</v>
      </c>
      <c r="C1727" s="182">
        <f t="shared" ca="1" si="257"/>
        <v>86175.083713840111</v>
      </c>
      <c r="D1727" s="182">
        <f t="shared" ca="1" si="254"/>
        <v>57.45005580922674</v>
      </c>
      <c r="E1727" s="182">
        <v>0</v>
      </c>
      <c r="F1727" s="182">
        <f t="shared" ca="1" si="258"/>
        <v>0</v>
      </c>
      <c r="G1727" s="182">
        <f t="shared" ca="1" si="255"/>
        <v>0</v>
      </c>
      <c r="H1727" s="182">
        <f t="shared" ca="1" si="256"/>
        <v>86232.533769649337</v>
      </c>
      <c r="I1727" s="183">
        <v>0</v>
      </c>
      <c r="J1727" s="263">
        <f t="shared" ca="1" si="252"/>
        <v>86232.533769649337</v>
      </c>
      <c r="K1727" s="182"/>
      <c r="L1727" s="182"/>
      <c r="M1727" s="182"/>
      <c r="N1727" s="182"/>
      <c r="O1727" s="182"/>
    </row>
    <row r="1728" spans="1:15" x14ac:dyDescent="0.25">
      <c r="A1728" s="180">
        <f t="shared" ca="1" si="253"/>
        <v>47818</v>
      </c>
      <c r="B1728" s="181">
        <v>1714</v>
      </c>
      <c r="C1728" s="182">
        <f t="shared" ca="1" si="257"/>
        <v>86232.533769649337</v>
      </c>
      <c r="D1728" s="182">
        <f t="shared" ca="1" si="254"/>
        <v>57.488355846432889</v>
      </c>
      <c r="E1728" s="182">
        <v>0</v>
      </c>
      <c r="F1728" s="182">
        <f t="shared" ca="1" si="258"/>
        <v>0</v>
      </c>
      <c r="G1728" s="182">
        <f t="shared" ca="1" si="255"/>
        <v>0</v>
      </c>
      <c r="H1728" s="182">
        <f t="shared" ca="1" si="256"/>
        <v>86290.022125495772</v>
      </c>
      <c r="I1728" s="183">
        <v>0</v>
      </c>
      <c r="J1728" s="263">
        <f t="shared" ca="1" si="252"/>
        <v>86290.022125495772</v>
      </c>
      <c r="K1728" s="182"/>
      <c r="L1728" s="182"/>
      <c r="M1728" s="182"/>
      <c r="N1728" s="182"/>
      <c r="O1728" s="182"/>
    </row>
    <row r="1729" spans="1:15" x14ac:dyDescent="0.25">
      <c r="A1729" s="180">
        <f t="shared" ca="1" si="253"/>
        <v>47819</v>
      </c>
      <c r="B1729" s="181">
        <v>1715</v>
      </c>
      <c r="C1729" s="182">
        <f t="shared" ca="1" si="257"/>
        <v>86290.022125495772</v>
      </c>
      <c r="D1729" s="182">
        <f t="shared" ca="1" si="254"/>
        <v>57.526681416997178</v>
      </c>
      <c r="E1729" s="182">
        <v>0</v>
      </c>
      <c r="F1729" s="182">
        <f t="shared" ca="1" si="258"/>
        <v>0</v>
      </c>
      <c r="G1729" s="182">
        <f t="shared" ca="1" si="255"/>
        <v>0</v>
      </c>
      <c r="H1729" s="182">
        <f t="shared" ca="1" si="256"/>
        <v>86347.548806912775</v>
      </c>
      <c r="I1729" s="183">
        <v>0</v>
      </c>
      <c r="J1729" s="263">
        <f t="shared" ca="1" si="252"/>
        <v>86347.548806912775</v>
      </c>
      <c r="K1729" s="182"/>
      <c r="L1729" s="182"/>
      <c r="M1729" s="182"/>
      <c r="N1729" s="182"/>
      <c r="O1729" s="182"/>
    </row>
    <row r="1730" spans="1:15" x14ac:dyDescent="0.25">
      <c r="A1730" s="180">
        <f t="shared" ca="1" si="253"/>
        <v>47820</v>
      </c>
      <c r="B1730" s="181">
        <v>1716</v>
      </c>
      <c r="C1730" s="182">
        <f t="shared" ca="1" si="257"/>
        <v>86347.548806912775</v>
      </c>
      <c r="D1730" s="182">
        <f t="shared" ca="1" si="254"/>
        <v>57.565032537941846</v>
      </c>
      <c r="E1730" s="182">
        <v>0</v>
      </c>
      <c r="F1730" s="182">
        <f t="shared" ca="1" si="258"/>
        <v>0</v>
      </c>
      <c r="G1730" s="182">
        <f t="shared" ca="1" si="255"/>
        <v>0</v>
      </c>
      <c r="H1730" s="182">
        <f t="shared" ca="1" si="256"/>
        <v>86405.113839450714</v>
      </c>
      <c r="I1730" s="183">
        <v>0</v>
      </c>
      <c r="J1730" s="263">
        <f t="shared" ca="1" si="252"/>
        <v>86405.113839450714</v>
      </c>
      <c r="K1730" s="182"/>
      <c r="L1730" s="182"/>
      <c r="M1730" s="182"/>
      <c r="N1730" s="182"/>
      <c r="O1730" s="182"/>
    </row>
    <row r="1731" spans="1:15" x14ac:dyDescent="0.25">
      <c r="A1731" s="180">
        <f t="shared" ca="1" si="253"/>
        <v>47821</v>
      </c>
      <c r="B1731" s="181">
        <v>1717</v>
      </c>
      <c r="C1731" s="182">
        <f t="shared" ca="1" si="257"/>
        <v>86405.113839450714</v>
      </c>
      <c r="D1731" s="182">
        <f t="shared" ca="1" si="254"/>
        <v>57.603409226300471</v>
      </c>
      <c r="E1731" s="182">
        <v>0</v>
      </c>
      <c r="F1731" s="182">
        <f t="shared" ca="1" si="258"/>
        <v>0</v>
      </c>
      <c r="G1731" s="182">
        <f t="shared" ca="1" si="255"/>
        <v>0</v>
      </c>
      <c r="H1731" s="182">
        <f t="shared" ca="1" si="256"/>
        <v>86462.717248677014</v>
      </c>
      <c r="I1731" s="183">
        <v>0</v>
      </c>
      <c r="J1731" s="263">
        <f t="shared" ca="1" si="252"/>
        <v>86462.717248677014</v>
      </c>
      <c r="K1731" s="182"/>
      <c r="L1731" s="182"/>
      <c r="M1731" s="182"/>
      <c r="N1731" s="182"/>
      <c r="O1731" s="182"/>
    </row>
    <row r="1732" spans="1:15" x14ac:dyDescent="0.25">
      <c r="A1732" s="180">
        <f t="shared" ca="1" si="253"/>
        <v>47822</v>
      </c>
      <c r="B1732" s="181">
        <v>1718</v>
      </c>
      <c r="C1732" s="182">
        <f t="shared" ca="1" si="257"/>
        <v>86462.717248677014</v>
      </c>
      <c r="D1732" s="182">
        <f t="shared" ca="1" si="254"/>
        <v>57.641811499118006</v>
      </c>
      <c r="E1732" s="182">
        <v>0</v>
      </c>
      <c r="F1732" s="182">
        <f t="shared" ca="1" si="258"/>
        <v>0</v>
      </c>
      <c r="G1732" s="182">
        <f t="shared" ca="1" si="255"/>
        <v>0</v>
      </c>
      <c r="H1732" s="182">
        <f t="shared" ca="1" si="256"/>
        <v>86520.359060176139</v>
      </c>
      <c r="I1732" s="183">
        <v>0</v>
      </c>
      <c r="J1732" s="263">
        <f t="shared" ca="1" si="252"/>
        <v>86520.359060176139</v>
      </c>
      <c r="K1732" s="182"/>
      <c r="L1732" s="182"/>
      <c r="M1732" s="182"/>
      <c r="N1732" s="182"/>
      <c r="O1732" s="182"/>
    </row>
    <row r="1733" spans="1:15" x14ac:dyDescent="0.25">
      <c r="A1733" s="180">
        <f t="shared" ca="1" si="253"/>
        <v>47823</v>
      </c>
      <c r="B1733" s="181">
        <v>1719</v>
      </c>
      <c r="C1733" s="182">
        <f t="shared" ca="1" si="257"/>
        <v>86520.359060176139</v>
      </c>
      <c r="D1733" s="182">
        <f t="shared" ca="1" si="254"/>
        <v>57.68023937345076</v>
      </c>
      <c r="E1733" s="182">
        <v>0</v>
      </c>
      <c r="F1733" s="182">
        <f t="shared" ca="1" si="258"/>
        <v>0</v>
      </c>
      <c r="G1733" s="182">
        <f t="shared" ca="1" si="255"/>
        <v>0</v>
      </c>
      <c r="H1733" s="182">
        <f t="shared" ca="1" si="256"/>
        <v>86578.039299549593</v>
      </c>
      <c r="I1733" s="183">
        <v>0</v>
      </c>
      <c r="J1733" s="263">
        <f t="shared" ca="1" si="252"/>
        <v>86578.039299549593</v>
      </c>
      <c r="K1733" s="182"/>
      <c r="L1733" s="182"/>
      <c r="M1733" s="182"/>
      <c r="N1733" s="182"/>
      <c r="O1733" s="182"/>
    </row>
    <row r="1734" spans="1:15" x14ac:dyDescent="0.25">
      <c r="A1734" s="180">
        <f t="shared" ca="1" si="253"/>
        <v>47824</v>
      </c>
      <c r="B1734" s="181">
        <v>1720</v>
      </c>
      <c r="C1734" s="182">
        <f t="shared" ca="1" si="257"/>
        <v>86578.039299549593</v>
      </c>
      <c r="D1734" s="182">
        <f t="shared" ca="1" si="254"/>
        <v>57.718692866366396</v>
      </c>
      <c r="E1734" s="182">
        <v>0</v>
      </c>
      <c r="F1734" s="182">
        <f t="shared" ca="1" si="258"/>
        <v>0</v>
      </c>
      <c r="G1734" s="182">
        <f t="shared" ca="1" si="255"/>
        <v>0</v>
      </c>
      <c r="H1734" s="182">
        <f t="shared" ca="1" si="256"/>
        <v>86635.757992415965</v>
      </c>
      <c r="I1734" s="183">
        <v>0</v>
      </c>
      <c r="J1734" s="263">
        <f t="shared" ca="1" si="252"/>
        <v>86635.757992415965</v>
      </c>
      <c r="K1734" s="182"/>
      <c r="L1734" s="182"/>
      <c r="M1734" s="182"/>
      <c r="N1734" s="182"/>
      <c r="O1734" s="182"/>
    </row>
    <row r="1735" spans="1:15" x14ac:dyDescent="0.25">
      <c r="A1735" s="180">
        <f t="shared" ca="1" si="253"/>
        <v>47825</v>
      </c>
      <c r="B1735" s="181">
        <v>1721</v>
      </c>
      <c r="C1735" s="182">
        <f t="shared" ca="1" si="257"/>
        <v>86635.757992415965</v>
      </c>
      <c r="D1735" s="182">
        <f t="shared" ca="1" si="254"/>
        <v>57.757171994943974</v>
      </c>
      <c r="E1735" s="182">
        <v>0</v>
      </c>
      <c r="F1735" s="182">
        <f t="shared" ca="1" si="258"/>
        <v>0</v>
      </c>
      <c r="G1735" s="182">
        <f t="shared" ca="1" si="255"/>
        <v>0</v>
      </c>
      <c r="H1735" s="182">
        <f t="shared" ca="1" si="256"/>
        <v>86693.515164410914</v>
      </c>
      <c r="I1735" s="183">
        <v>0</v>
      </c>
      <c r="J1735" s="263">
        <f t="shared" ca="1" si="252"/>
        <v>86693.515164410914</v>
      </c>
      <c r="K1735" s="182"/>
      <c r="L1735" s="182"/>
      <c r="M1735" s="182"/>
      <c r="N1735" s="182"/>
      <c r="O1735" s="182"/>
    </row>
    <row r="1736" spans="1:15" x14ac:dyDescent="0.25">
      <c r="A1736" s="180">
        <f t="shared" ca="1" si="253"/>
        <v>47826</v>
      </c>
      <c r="B1736" s="181">
        <v>1722</v>
      </c>
      <c r="C1736" s="182">
        <f t="shared" ca="1" si="257"/>
        <v>86693.515164410914</v>
      </c>
      <c r="D1736" s="182">
        <f t="shared" ca="1" si="254"/>
        <v>57.795676776273943</v>
      </c>
      <c r="E1736" s="182">
        <v>0</v>
      </c>
      <c r="F1736" s="182">
        <f t="shared" ca="1" si="258"/>
        <v>0</v>
      </c>
      <c r="G1736" s="182">
        <f t="shared" ca="1" si="255"/>
        <v>0</v>
      </c>
      <c r="H1736" s="182">
        <f t="shared" ca="1" si="256"/>
        <v>86751.310841187194</v>
      </c>
      <c r="I1736" s="183">
        <v>0</v>
      </c>
      <c r="J1736" s="263">
        <f t="shared" ca="1" si="252"/>
        <v>86751.310841187194</v>
      </c>
      <c r="K1736" s="182"/>
      <c r="L1736" s="182"/>
      <c r="M1736" s="182"/>
      <c r="N1736" s="182"/>
      <c r="O1736" s="182"/>
    </row>
    <row r="1737" spans="1:15" x14ac:dyDescent="0.25">
      <c r="A1737" s="180">
        <f t="shared" ca="1" si="253"/>
        <v>47827</v>
      </c>
      <c r="B1737" s="181">
        <v>1723</v>
      </c>
      <c r="C1737" s="182">
        <f t="shared" ca="1" si="257"/>
        <v>86751.310841187194</v>
      </c>
      <c r="D1737" s="182">
        <f t="shared" ca="1" si="254"/>
        <v>57.83420722745813</v>
      </c>
      <c r="E1737" s="182">
        <v>0</v>
      </c>
      <c r="F1737" s="182">
        <f t="shared" ca="1" si="258"/>
        <v>0</v>
      </c>
      <c r="G1737" s="182">
        <f t="shared" ca="1" si="255"/>
        <v>0</v>
      </c>
      <c r="H1737" s="182">
        <f t="shared" ca="1" si="256"/>
        <v>86809.145048414648</v>
      </c>
      <c r="I1737" s="183">
        <v>0</v>
      </c>
      <c r="J1737" s="263">
        <f t="shared" ca="1" si="252"/>
        <v>86809.145048414648</v>
      </c>
      <c r="K1737" s="182"/>
      <c r="L1737" s="182"/>
      <c r="M1737" s="182"/>
      <c r="N1737" s="182"/>
      <c r="O1737" s="182"/>
    </row>
    <row r="1738" spans="1:15" x14ac:dyDescent="0.25">
      <c r="A1738" s="180">
        <f t="shared" ca="1" si="253"/>
        <v>47828</v>
      </c>
      <c r="B1738" s="181">
        <v>1724</v>
      </c>
      <c r="C1738" s="182">
        <f t="shared" ca="1" si="257"/>
        <v>86809.145048414648</v>
      </c>
      <c r="D1738" s="182">
        <f t="shared" ca="1" si="254"/>
        <v>57.872763365609764</v>
      </c>
      <c r="E1738" s="182">
        <v>0</v>
      </c>
      <c r="F1738" s="182">
        <f t="shared" ca="1" si="258"/>
        <v>0</v>
      </c>
      <c r="G1738" s="182">
        <f t="shared" ca="1" si="255"/>
        <v>0</v>
      </c>
      <c r="H1738" s="182">
        <f t="shared" ca="1" si="256"/>
        <v>86867.017811780257</v>
      </c>
      <c r="I1738" s="183">
        <v>0</v>
      </c>
      <c r="J1738" s="263">
        <f t="shared" ca="1" si="252"/>
        <v>86867.017811780257</v>
      </c>
      <c r="K1738" s="182"/>
      <c r="L1738" s="182"/>
      <c r="M1738" s="182"/>
      <c r="N1738" s="182"/>
      <c r="O1738" s="182"/>
    </row>
    <row r="1739" spans="1:15" x14ac:dyDescent="0.25">
      <c r="A1739" s="180">
        <f t="shared" ca="1" si="253"/>
        <v>47829</v>
      </c>
      <c r="B1739" s="181">
        <v>1725</v>
      </c>
      <c r="C1739" s="182">
        <f t="shared" ca="1" si="257"/>
        <v>86867.017811780257</v>
      </c>
      <c r="D1739" s="182">
        <f t="shared" ca="1" si="254"/>
        <v>57.9113452078535</v>
      </c>
      <c r="E1739" s="182">
        <v>0</v>
      </c>
      <c r="F1739" s="182">
        <f t="shared" ca="1" si="258"/>
        <v>0</v>
      </c>
      <c r="G1739" s="182">
        <f t="shared" ca="1" si="255"/>
        <v>0</v>
      </c>
      <c r="H1739" s="182">
        <f t="shared" ca="1" si="256"/>
        <v>86924.929156988117</v>
      </c>
      <c r="I1739" s="183">
        <v>0</v>
      </c>
      <c r="J1739" s="263">
        <f t="shared" ca="1" si="252"/>
        <v>86924.929156988117</v>
      </c>
      <c r="K1739" s="182"/>
      <c r="L1739" s="182"/>
      <c r="M1739" s="182"/>
      <c r="N1739" s="182"/>
      <c r="O1739" s="182"/>
    </row>
    <row r="1740" spans="1:15" x14ac:dyDescent="0.25">
      <c r="A1740" s="180">
        <f t="shared" ca="1" si="253"/>
        <v>47830</v>
      </c>
      <c r="B1740" s="181">
        <v>1726</v>
      </c>
      <c r="C1740" s="182">
        <f t="shared" ca="1" si="257"/>
        <v>86924.929156988117</v>
      </c>
      <c r="D1740" s="182">
        <f t="shared" ca="1" si="254"/>
        <v>57.949952771325407</v>
      </c>
      <c r="E1740" s="182">
        <v>0</v>
      </c>
      <c r="F1740" s="182">
        <f t="shared" ca="1" si="258"/>
        <v>0</v>
      </c>
      <c r="G1740" s="182">
        <f t="shared" ca="1" si="255"/>
        <v>0</v>
      </c>
      <c r="H1740" s="182">
        <f t="shared" ca="1" si="256"/>
        <v>86982.879109759437</v>
      </c>
      <c r="I1740" s="183">
        <v>0</v>
      </c>
      <c r="J1740" s="263">
        <f t="shared" ca="1" si="252"/>
        <v>86982.879109759437</v>
      </c>
      <c r="K1740" s="182"/>
      <c r="L1740" s="182"/>
      <c r="M1740" s="182"/>
      <c r="N1740" s="182"/>
      <c r="O1740" s="182"/>
    </row>
    <row r="1741" spans="1:15" x14ac:dyDescent="0.25">
      <c r="A1741" s="180">
        <f t="shared" ca="1" si="253"/>
        <v>47831</v>
      </c>
      <c r="B1741" s="181">
        <v>1727</v>
      </c>
      <c r="C1741" s="182">
        <f t="shared" ca="1" si="257"/>
        <v>86982.879109759437</v>
      </c>
      <c r="D1741" s="182">
        <f t="shared" ca="1" si="254"/>
        <v>57.988586073172954</v>
      </c>
      <c r="E1741" s="182">
        <v>0</v>
      </c>
      <c r="F1741" s="182">
        <f t="shared" ca="1" si="258"/>
        <v>0</v>
      </c>
      <c r="G1741" s="182">
        <f t="shared" ca="1" si="255"/>
        <v>0</v>
      </c>
      <c r="H1741" s="182">
        <f t="shared" ca="1" si="256"/>
        <v>87040.86769583261</v>
      </c>
      <c r="I1741" s="183">
        <v>0</v>
      </c>
      <c r="J1741" s="263">
        <f t="shared" ca="1" si="252"/>
        <v>87040.86769583261</v>
      </c>
      <c r="K1741" s="182"/>
      <c r="L1741" s="182"/>
      <c r="M1741" s="182"/>
      <c r="N1741" s="182"/>
      <c r="O1741" s="182"/>
    </row>
    <row r="1742" spans="1:15" x14ac:dyDescent="0.25">
      <c r="A1742" s="180">
        <f t="shared" ca="1" si="253"/>
        <v>47832</v>
      </c>
      <c r="B1742" s="181">
        <v>1728</v>
      </c>
      <c r="C1742" s="182">
        <f t="shared" ca="1" si="257"/>
        <v>87040.86769583261</v>
      </c>
      <c r="D1742" s="182">
        <f t="shared" ca="1" si="254"/>
        <v>58.027245130555073</v>
      </c>
      <c r="E1742" s="182">
        <v>0</v>
      </c>
      <c r="F1742" s="182">
        <f t="shared" ca="1" si="258"/>
        <v>0</v>
      </c>
      <c r="G1742" s="182">
        <f t="shared" ca="1" si="255"/>
        <v>0</v>
      </c>
      <c r="H1742" s="182">
        <f t="shared" ca="1" si="256"/>
        <v>87098.89494096316</v>
      </c>
      <c r="I1742" s="183">
        <v>0</v>
      </c>
      <c r="J1742" s="263">
        <f t="shared" ca="1" si="252"/>
        <v>87098.89494096316</v>
      </c>
      <c r="K1742" s="182"/>
      <c r="L1742" s="182"/>
      <c r="M1742" s="182"/>
      <c r="N1742" s="182"/>
      <c r="O1742" s="182"/>
    </row>
    <row r="1743" spans="1:15" x14ac:dyDescent="0.25">
      <c r="A1743" s="180">
        <f t="shared" ca="1" si="253"/>
        <v>47833</v>
      </c>
      <c r="B1743" s="181">
        <v>1729</v>
      </c>
      <c r="C1743" s="182">
        <f t="shared" ca="1" si="257"/>
        <v>87098.89494096316</v>
      </c>
      <c r="D1743" s="182">
        <f t="shared" ca="1" si="254"/>
        <v>58.065929960642102</v>
      </c>
      <c r="E1743" s="182">
        <v>0</v>
      </c>
      <c r="F1743" s="182">
        <f t="shared" ca="1" si="258"/>
        <v>0</v>
      </c>
      <c r="G1743" s="182">
        <f t="shared" ca="1" si="255"/>
        <v>0</v>
      </c>
      <c r="H1743" s="182">
        <f t="shared" ca="1" si="256"/>
        <v>87156.960870923809</v>
      </c>
      <c r="I1743" s="183">
        <v>0</v>
      </c>
      <c r="J1743" s="263">
        <f t="shared" ref="J1743:J1806" ca="1" si="259">H1743-IF(I$8-G1743&lt;Q$42,I$8-Q$42,G1743)</f>
        <v>87156.960870923809</v>
      </c>
      <c r="K1743" s="182"/>
      <c r="L1743" s="182"/>
      <c r="M1743" s="182"/>
      <c r="N1743" s="182"/>
      <c r="O1743" s="182"/>
    </row>
    <row r="1744" spans="1:15" x14ac:dyDescent="0.25">
      <c r="A1744" s="180">
        <f t="shared" ca="1" si="253"/>
        <v>47834</v>
      </c>
      <c r="B1744" s="181">
        <v>1730</v>
      </c>
      <c r="C1744" s="182">
        <f t="shared" ca="1" si="257"/>
        <v>87156.960870923809</v>
      </c>
      <c r="D1744" s="182">
        <f t="shared" ca="1" si="254"/>
        <v>58.104640580615872</v>
      </c>
      <c r="E1744" s="182">
        <v>0</v>
      </c>
      <c r="F1744" s="182">
        <f t="shared" ca="1" si="258"/>
        <v>0</v>
      </c>
      <c r="G1744" s="182">
        <f t="shared" ca="1" si="255"/>
        <v>0</v>
      </c>
      <c r="H1744" s="182">
        <f t="shared" ca="1" si="256"/>
        <v>87215.065511504421</v>
      </c>
      <c r="I1744" s="183">
        <v>0</v>
      </c>
      <c r="J1744" s="263">
        <f t="shared" ca="1" si="259"/>
        <v>87215.065511504421</v>
      </c>
      <c r="K1744" s="182"/>
      <c r="L1744" s="182"/>
      <c r="M1744" s="182"/>
      <c r="N1744" s="182"/>
      <c r="O1744" s="182"/>
    </row>
    <row r="1745" spans="1:15" x14ac:dyDescent="0.25">
      <c r="A1745" s="180">
        <f t="shared" ref="A1745:A1808" ca="1" si="260">A1744+1</f>
        <v>47835</v>
      </c>
      <c r="B1745" s="181">
        <v>1731</v>
      </c>
      <c r="C1745" s="182">
        <f t="shared" ca="1" si="257"/>
        <v>87215.065511504421</v>
      </c>
      <c r="D1745" s="182">
        <f t="shared" ref="D1745:D1785" ca="1" si="261">(($C$6/360))*C1745</f>
        <v>58.143377007669613</v>
      </c>
      <c r="E1745" s="182">
        <v>0</v>
      </c>
      <c r="F1745" s="182">
        <f t="shared" ca="1" si="258"/>
        <v>0</v>
      </c>
      <c r="G1745" s="182">
        <f t="shared" ref="G1745:G1785" ca="1" si="262">IF(G1744-D1745-E1745&gt;0,G1744-D1745-E1745,0)</f>
        <v>0</v>
      </c>
      <c r="H1745" s="182">
        <f t="shared" ca="1" si="256"/>
        <v>87273.20888851209</v>
      </c>
      <c r="I1745" s="183">
        <v>0</v>
      </c>
      <c r="J1745" s="263">
        <f t="shared" ca="1" si="259"/>
        <v>87273.20888851209</v>
      </c>
      <c r="K1745" s="182"/>
      <c r="L1745" s="182"/>
      <c r="M1745" s="182"/>
      <c r="N1745" s="182"/>
      <c r="O1745" s="182"/>
    </row>
    <row r="1746" spans="1:15" x14ac:dyDescent="0.25">
      <c r="A1746" s="180">
        <f t="shared" ca="1" si="260"/>
        <v>47836</v>
      </c>
      <c r="B1746" s="181">
        <v>1732</v>
      </c>
      <c r="C1746" s="182">
        <f t="shared" ca="1" si="257"/>
        <v>87273.20888851209</v>
      </c>
      <c r="D1746" s="182">
        <f t="shared" ca="1" si="261"/>
        <v>58.182139259008061</v>
      </c>
      <c r="E1746" s="182">
        <v>0</v>
      </c>
      <c r="F1746" s="182">
        <f t="shared" ca="1" si="258"/>
        <v>0</v>
      </c>
      <c r="G1746" s="182">
        <f t="shared" ca="1" si="262"/>
        <v>0</v>
      </c>
      <c r="H1746" s="182">
        <f t="shared" ca="1" si="256"/>
        <v>87331.391027771097</v>
      </c>
      <c r="I1746" s="183">
        <v>0</v>
      </c>
      <c r="J1746" s="263">
        <f t="shared" ca="1" si="259"/>
        <v>87331.391027771097</v>
      </c>
      <c r="K1746" s="182"/>
      <c r="L1746" s="182"/>
      <c r="M1746" s="182"/>
      <c r="N1746" s="182"/>
      <c r="O1746" s="182"/>
    </row>
    <row r="1747" spans="1:15" x14ac:dyDescent="0.25">
      <c r="A1747" s="180">
        <f t="shared" ca="1" si="260"/>
        <v>47837</v>
      </c>
      <c r="B1747" s="181">
        <v>1733</v>
      </c>
      <c r="C1747" s="182">
        <f t="shared" ca="1" si="257"/>
        <v>87331.391027771097</v>
      </c>
      <c r="D1747" s="182">
        <f t="shared" ca="1" si="261"/>
        <v>58.220927351847394</v>
      </c>
      <c r="E1747" s="182">
        <v>0</v>
      </c>
      <c r="F1747" s="182">
        <f t="shared" ca="1" si="258"/>
        <v>0</v>
      </c>
      <c r="G1747" s="182">
        <f t="shared" ca="1" si="262"/>
        <v>0</v>
      </c>
      <c r="H1747" s="182">
        <f t="shared" ca="1" si="256"/>
        <v>87389.611955122949</v>
      </c>
      <c r="I1747" s="183">
        <v>0</v>
      </c>
      <c r="J1747" s="263">
        <f t="shared" ca="1" si="259"/>
        <v>87389.611955122949</v>
      </c>
      <c r="K1747" s="182"/>
      <c r="L1747" s="182"/>
      <c r="M1747" s="182"/>
      <c r="N1747" s="182"/>
      <c r="O1747" s="182"/>
    </row>
    <row r="1748" spans="1:15" x14ac:dyDescent="0.25">
      <c r="A1748" s="180">
        <f t="shared" ca="1" si="260"/>
        <v>47838</v>
      </c>
      <c r="B1748" s="181">
        <v>1734</v>
      </c>
      <c r="C1748" s="182">
        <f t="shared" ca="1" si="257"/>
        <v>87389.611955122949</v>
      </c>
      <c r="D1748" s="182">
        <f t="shared" ca="1" si="261"/>
        <v>58.259741303415296</v>
      </c>
      <c r="E1748" s="182">
        <v>0</v>
      </c>
      <c r="F1748" s="182">
        <f t="shared" ca="1" si="258"/>
        <v>0</v>
      </c>
      <c r="G1748" s="182">
        <f t="shared" ca="1" si="262"/>
        <v>0</v>
      </c>
      <c r="H1748" s="182">
        <f t="shared" ca="1" si="256"/>
        <v>87447.871696426359</v>
      </c>
      <c r="I1748" s="183">
        <v>0</v>
      </c>
      <c r="J1748" s="263">
        <f t="shared" ca="1" si="259"/>
        <v>87447.871696426359</v>
      </c>
      <c r="K1748" s="182"/>
      <c r="L1748" s="182"/>
      <c r="M1748" s="182"/>
      <c r="N1748" s="182"/>
      <c r="O1748" s="182"/>
    </row>
    <row r="1749" spans="1:15" x14ac:dyDescent="0.25">
      <c r="A1749" s="180">
        <f t="shared" ca="1" si="260"/>
        <v>47839</v>
      </c>
      <c r="B1749" s="181">
        <v>1735</v>
      </c>
      <c r="C1749" s="182">
        <f t="shared" ca="1" si="257"/>
        <v>87447.871696426359</v>
      </c>
      <c r="D1749" s="182">
        <f t="shared" ca="1" si="261"/>
        <v>58.2985811309509</v>
      </c>
      <c r="E1749" s="182">
        <v>0</v>
      </c>
      <c r="F1749" s="182">
        <f t="shared" ca="1" si="258"/>
        <v>0</v>
      </c>
      <c r="G1749" s="182">
        <f t="shared" ca="1" si="262"/>
        <v>0</v>
      </c>
      <c r="H1749" s="182">
        <f t="shared" ca="1" si="256"/>
        <v>87506.170277557307</v>
      </c>
      <c r="I1749" s="183">
        <v>0</v>
      </c>
      <c r="J1749" s="263">
        <f t="shared" ca="1" si="259"/>
        <v>87506.170277557307</v>
      </c>
      <c r="K1749" s="182"/>
      <c r="L1749" s="182"/>
      <c r="M1749" s="182"/>
      <c r="N1749" s="182"/>
      <c r="O1749" s="182"/>
    </row>
    <row r="1750" spans="1:15" x14ac:dyDescent="0.25">
      <c r="A1750" s="180">
        <f t="shared" ca="1" si="260"/>
        <v>47840</v>
      </c>
      <c r="B1750" s="181">
        <v>1736</v>
      </c>
      <c r="C1750" s="182">
        <f t="shared" ca="1" si="257"/>
        <v>87506.170277557307</v>
      </c>
      <c r="D1750" s="182">
        <f t="shared" ca="1" si="261"/>
        <v>58.337446851704868</v>
      </c>
      <c r="E1750" s="182">
        <v>0</v>
      </c>
      <c r="F1750" s="182">
        <f t="shared" ca="1" si="258"/>
        <v>0</v>
      </c>
      <c r="G1750" s="182">
        <f t="shared" ca="1" si="262"/>
        <v>0</v>
      </c>
      <c r="H1750" s="182">
        <f t="shared" ca="1" si="256"/>
        <v>87564.507724409006</v>
      </c>
      <c r="I1750" s="183">
        <v>0</v>
      </c>
      <c r="J1750" s="263">
        <f t="shared" ca="1" si="259"/>
        <v>87564.507724409006</v>
      </c>
      <c r="K1750" s="182"/>
      <c r="L1750" s="182"/>
      <c r="M1750" s="182"/>
      <c r="N1750" s="182"/>
      <c r="O1750" s="182"/>
    </row>
    <row r="1751" spans="1:15" x14ac:dyDescent="0.25">
      <c r="A1751" s="180">
        <f t="shared" ca="1" si="260"/>
        <v>47841</v>
      </c>
      <c r="B1751" s="181">
        <v>1737</v>
      </c>
      <c r="C1751" s="182">
        <f t="shared" ca="1" si="257"/>
        <v>87564.507724409006</v>
      </c>
      <c r="D1751" s="182">
        <f t="shared" ca="1" si="261"/>
        <v>58.376338482939339</v>
      </c>
      <c r="E1751" s="182">
        <v>0</v>
      </c>
      <c r="F1751" s="182">
        <f t="shared" ca="1" si="258"/>
        <v>0</v>
      </c>
      <c r="G1751" s="182">
        <f t="shared" ca="1" si="262"/>
        <v>0</v>
      </c>
      <c r="H1751" s="182">
        <f t="shared" ca="1" si="256"/>
        <v>87622.884062891942</v>
      </c>
      <c r="I1751" s="183">
        <v>0</v>
      </c>
      <c r="J1751" s="263">
        <f t="shared" ca="1" si="259"/>
        <v>87622.884062891942</v>
      </c>
      <c r="K1751" s="182"/>
      <c r="L1751" s="182"/>
      <c r="M1751" s="182"/>
      <c r="N1751" s="182"/>
      <c r="O1751" s="182"/>
    </row>
    <row r="1752" spans="1:15" x14ac:dyDescent="0.25">
      <c r="A1752" s="180">
        <f t="shared" ca="1" si="260"/>
        <v>47842</v>
      </c>
      <c r="B1752" s="181">
        <v>1738</v>
      </c>
      <c r="C1752" s="182">
        <f t="shared" ca="1" si="257"/>
        <v>87622.884062891942</v>
      </c>
      <c r="D1752" s="182">
        <f t="shared" ca="1" si="261"/>
        <v>58.415256041927961</v>
      </c>
      <c r="E1752" s="182">
        <v>0</v>
      </c>
      <c r="F1752" s="182">
        <f t="shared" ca="1" si="258"/>
        <v>0</v>
      </c>
      <c r="G1752" s="182">
        <f t="shared" ca="1" si="262"/>
        <v>0</v>
      </c>
      <c r="H1752" s="182">
        <f t="shared" ca="1" si="256"/>
        <v>87681.299318933874</v>
      </c>
      <c r="I1752" s="183">
        <v>0</v>
      </c>
      <c r="J1752" s="263">
        <f t="shared" ca="1" si="259"/>
        <v>87681.299318933874</v>
      </c>
      <c r="K1752" s="182"/>
      <c r="L1752" s="182"/>
      <c r="M1752" s="182"/>
      <c r="N1752" s="182"/>
      <c r="O1752" s="182"/>
    </row>
    <row r="1753" spans="1:15" x14ac:dyDescent="0.25">
      <c r="A1753" s="180">
        <f t="shared" ca="1" si="260"/>
        <v>47843</v>
      </c>
      <c r="B1753" s="181">
        <v>1739</v>
      </c>
      <c r="C1753" s="182">
        <f t="shared" ca="1" si="257"/>
        <v>87681.299318933874</v>
      </c>
      <c r="D1753" s="182">
        <f t="shared" ca="1" si="261"/>
        <v>58.454199545955916</v>
      </c>
      <c r="E1753" s="182">
        <v>0</v>
      </c>
      <c r="F1753" s="182">
        <f t="shared" ca="1" si="258"/>
        <v>0</v>
      </c>
      <c r="G1753" s="182">
        <f t="shared" ca="1" si="262"/>
        <v>0</v>
      </c>
      <c r="H1753" s="182">
        <f t="shared" ca="1" si="256"/>
        <v>87739.753518479833</v>
      </c>
      <c r="I1753" s="183">
        <v>0</v>
      </c>
      <c r="J1753" s="263">
        <f t="shared" ca="1" si="259"/>
        <v>87739.753518479833</v>
      </c>
      <c r="K1753" s="182"/>
      <c r="L1753" s="182"/>
      <c r="M1753" s="182"/>
      <c r="N1753" s="182"/>
      <c r="O1753" s="182"/>
    </row>
    <row r="1754" spans="1:15" x14ac:dyDescent="0.25">
      <c r="A1754" s="180">
        <f t="shared" ca="1" si="260"/>
        <v>47844</v>
      </c>
      <c r="B1754" s="181">
        <v>1740</v>
      </c>
      <c r="C1754" s="182">
        <f t="shared" ca="1" si="257"/>
        <v>87739.753518479833</v>
      </c>
      <c r="D1754" s="182">
        <f t="shared" ca="1" si="261"/>
        <v>58.493169012319889</v>
      </c>
      <c r="E1754" s="182">
        <v>0</v>
      </c>
      <c r="F1754" s="182">
        <f t="shared" ca="1" si="258"/>
        <v>0</v>
      </c>
      <c r="G1754" s="182">
        <f t="shared" ca="1" si="262"/>
        <v>0</v>
      </c>
      <c r="H1754" s="182">
        <f t="shared" ca="1" si="256"/>
        <v>87798.246687492152</v>
      </c>
      <c r="I1754" s="183">
        <v>0</v>
      </c>
      <c r="J1754" s="263">
        <f t="shared" ca="1" si="259"/>
        <v>87798.246687492152</v>
      </c>
      <c r="K1754" s="182"/>
      <c r="L1754" s="182"/>
      <c r="M1754" s="182"/>
      <c r="N1754" s="182"/>
      <c r="O1754" s="182"/>
    </row>
    <row r="1755" spans="1:15" x14ac:dyDescent="0.25">
      <c r="A1755" s="180">
        <f t="shared" ca="1" si="260"/>
        <v>47845</v>
      </c>
      <c r="B1755" s="181">
        <v>1741</v>
      </c>
      <c r="C1755" s="182">
        <f t="shared" ca="1" si="257"/>
        <v>87798.246687492152</v>
      </c>
      <c r="D1755" s="182">
        <f t="shared" ca="1" si="261"/>
        <v>58.532164458328097</v>
      </c>
      <c r="E1755" s="182">
        <v>0</v>
      </c>
      <c r="F1755" s="182">
        <f t="shared" ca="1" si="258"/>
        <v>0</v>
      </c>
      <c r="G1755" s="182">
        <f t="shared" ca="1" si="262"/>
        <v>0</v>
      </c>
      <c r="H1755" s="182">
        <f t="shared" ca="1" si="256"/>
        <v>87856.778851950483</v>
      </c>
      <c r="I1755" s="183">
        <v>0</v>
      </c>
      <c r="J1755" s="263">
        <f t="shared" ca="1" si="259"/>
        <v>87856.778851950483</v>
      </c>
      <c r="K1755" s="182"/>
      <c r="L1755" s="182"/>
      <c r="M1755" s="182"/>
      <c r="N1755" s="182"/>
      <c r="O1755" s="182"/>
    </row>
    <row r="1756" spans="1:15" x14ac:dyDescent="0.25">
      <c r="A1756" s="180">
        <f t="shared" ca="1" si="260"/>
        <v>47846</v>
      </c>
      <c r="B1756" s="181">
        <v>1742</v>
      </c>
      <c r="C1756" s="182">
        <f t="shared" ca="1" si="257"/>
        <v>87856.778851950483</v>
      </c>
      <c r="D1756" s="182">
        <f t="shared" ca="1" si="261"/>
        <v>58.571185901300318</v>
      </c>
      <c r="E1756" s="182">
        <v>0</v>
      </c>
      <c r="F1756" s="182">
        <f t="shared" ca="1" si="258"/>
        <v>0</v>
      </c>
      <c r="G1756" s="182">
        <f t="shared" ca="1" si="262"/>
        <v>0</v>
      </c>
      <c r="H1756" s="182">
        <f t="shared" ca="1" si="256"/>
        <v>87915.350037851778</v>
      </c>
      <c r="I1756" s="183">
        <v>0</v>
      </c>
      <c r="J1756" s="263">
        <f t="shared" ca="1" si="259"/>
        <v>87915.350037851778</v>
      </c>
      <c r="K1756" s="182"/>
      <c r="L1756" s="182"/>
      <c r="M1756" s="182"/>
      <c r="N1756" s="182"/>
      <c r="O1756" s="182"/>
    </row>
    <row r="1757" spans="1:15" x14ac:dyDescent="0.25">
      <c r="A1757" s="180">
        <f t="shared" ca="1" si="260"/>
        <v>47847</v>
      </c>
      <c r="B1757" s="181">
        <v>1743</v>
      </c>
      <c r="C1757" s="182">
        <f t="shared" ca="1" si="257"/>
        <v>87915.350037851778</v>
      </c>
      <c r="D1757" s="182">
        <f t="shared" ca="1" si="261"/>
        <v>58.610233358567854</v>
      </c>
      <c r="E1757" s="182">
        <v>0</v>
      </c>
      <c r="F1757" s="182">
        <f t="shared" ca="1" si="258"/>
        <v>0</v>
      </c>
      <c r="G1757" s="182">
        <f t="shared" ca="1" si="262"/>
        <v>0</v>
      </c>
      <c r="H1757" s="182">
        <f t="shared" ca="1" si="256"/>
        <v>87973.960271210351</v>
      </c>
      <c r="I1757" s="183">
        <v>0</v>
      </c>
      <c r="J1757" s="263">
        <f t="shared" ca="1" si="259"/>
        <v>87973.960271210351</v>
      </c>
      <c r="K1757" s="182"/>
      <c r="L1757" s="182"/>
      <c r="M1757" s="182"/>
      <c r="N1757" s="182"/>
      <c r="O1757" s="182"/>
    </row>
    <row r="1758" spans="1:15" x14ac:dyDescent="0.25">
      <c r="A1758" s="180">
        <f t="shared" ca="1" si="260"/>
        <v>47848</v>
      </c>
      <c r="B1758" s="181">
        <v>1744</v>
      </c>
      <c r="C1758" s="182">
        <f t="shared" ca="1" si="257"/>
        <v>87973.960271210351</v>
      </c>
      <c r="D1758" s="182">
        <f t="shared" ca="1" si="261"/>
        <v>58.649306847473568</v>
      </c>
      <c r="E1758" s="182">
        <v>0</v>
      </c>
      <c r="F1758" s="182">
        <f t="shared" ca="1" si="258"/>
        <v>0</v>
      </c>
      <c r="G1758" s="182">
        <f t="shared" ca="1" si="262"/>
        <v>0</v>
      </c>
      <c r="H1758" s="182">
        <f t="shared" ca="1" si="256"/>
        <v>88032.609578057818</v>
      </c>
      <c r="I1758" s="183">
        <v>0</v>
      </c>
      <c r="J1758" s="263">
        <f t="shared" ca="1" si="259"/>
        <v>88032.609578057818</v>
      </c>
      <c r="K1758" s="182"/>
      <c r="L1758" s="182"/>
      <c r="M1758" s="182"/>
      <c r="N1758" s="182"/>
      <c r="O1758" s="182"/>
    </row>
    <row r="1759" spans="1:15" x14ac:dyDescent="0.25">
      <c r="A1759" s="180">
        <f t="shared" ca="1" si="260"/>
        <v>47849</v>
      </c>
      <c r="B1759" s="181">
        <v>1745</v>
      </c>
      <c r="C1759" s="182">
        <f t="shared" ca="1" si="257"/>
        <v>88032.609578057818</v>
      </c>
      <c r="D1759" s="182">
        <f t="shared" ca="1" si="261"/>
        <v>58.688406385371877</v>
      </c>
      <c r="E1759" s="182">
        <v>0</v>
      </c>
      <c r="F1759" s="182">
        <f t="shared" ca="1" si="258"/>
        <v>0</v>
      </c>
      <c r="G1759" s="182">
        <f t="shared" ca="1" si="262"/>
        <v>0</v>
      </c>
      <c r="H1759" s="182">
        <f t="shared" ca="1" si="256"/>
        <v>88091.297984443183</v>
      </c>
      <c r="I1759" s="183">
        <v>0</v>
      </c>
      <c r="J1759" s="263">
        <f t="shared" ca="1" si="259"/>
        <v>88091.297984443183</v>
      </c>
      <c r="K1759" s="182"/>
      <c r="L1759" s="182"/>
      <c r="M1759" s="182"/>
      <c r="N1759" s="182"/>
      <c r="O1759" s="182"/>
    </row>
    <row r="1760" spans="1:15" x14ac:dyDescent="0.25">
      <c r="A1760" s="180">
        <f t="shared" ca="1" si="260"/>
        <v>47850</v>
      </c>
      <c r="B1760" s="181">
        <v>1746</v>
      </c>
      <c r="C1760" s="182">
        <f t="shared" ca="1" si="257"/>
        <v>88091.297984443183</v>
      </c>
      <c r="D1760" s="182">
        <f t="shared" ca="1" si="261"/>
        <v>58.727531989628787</v>
      </c>
      <c r="E1760" s="182">
        <v>0</v>
      </c>
      <c r="F1760" s="182">
        <f t="shared" ca="1" si="258"/>
        <v>0</v>
      </c>
      <c r="G1760" s="182">
        <f t="shared" ca="1" si="262"/>
        <v>0</v>
      </c>
      <c r="H1760" s="182">
        <f t="shared" ca="1" si="256"/>
        <v>88150.025516432812</v>
      </c>
      <c r="I1760" s="183">
        <v>0</v>
      </c>
      <c r="J1760" s="263">
        <f t="shared" ca="1" si="259"/>
        <v>88150.025516432812</v>
      </c>
      <c r="K1760" s="182"/>
      <c r="L1760" s="182"/>
      <c r="M1760" s="182"/>
      <c r="N1760" s="182"/>
      <c r="O1760" s="182"/>
    </row>
    <row r="1761" spans="1:15" x14ac:dyDescent="0.25">
      <c r="A1761" s="180">
        <f t="shared" ca="1" si="260"/>
        <v>47851</v>
      </c>
      <c r="B1761" s="181">
        <v>1747</v>
      </c>
      <c r="C1761" s="182">
        <f t="shared" ca="1" si="257"/>
        <v>88150.025516432812</v>
      </c>
      <c r="D1761" s="182">
        <f t="shared" ca="1" si="261"/>
        <v>58.76668367762187</v>
      </c>
      <c r="E1761" s="182">
        <v>0</v>
      </c>
      <c r="F1761" s="182">
        <f t="shared" ca="1" si="258"/>
        <v>0</v>
      </c>
      <c r="G1761" s="182">
        <f t="shared" ca="1" si="262"/>
        <v>0</v>
      </c>
      <c r="H1761" s="182">
        <f t="shared" ca="1" si="256"/>
        <v>88208.792200110431</v>
      </c>
      <c r="I1761" s="183">
        <v>0</v>
      </c>
      <c r="J1761" s="263">
        <f t="shared" ca="1" si="259"/>
        <v>88208.792200110431</v>
      </c>
      <c r="K1761" s="182"/>
      <c r="L1761" s="182"/>
      <c r="M1761" s="182"/>
      <c r="N1761" s="182"/>
      <c r="O1761" s="182"/>
    </row>
    <row r="1762" spans="1:15" x14ac:dyDescent="0.25">
      <c r="A1762" s="180">
        <f t="shared" ca="1" si="260"/>
        <v>47852</v>
      </c>
      <c r="B1762" s="181">
        <v>1748</v>
      </c>
      <c r="C1762" s="182">
        <f t="shared" ca="1" si="257"/>
        <v>88208.792200110431</v>
      </c>
      <c r="D1762" s="182">
        <f t="shared" ca="1" si="261"/>
        <v>58.805861466740282</v>
      </c>
      <c r="E1762" s="182">
        <v>0</v>
      </c>
      <c r="F1762" s="182">
        <f t="shared" ca="1" si="258"/>
        <v>0</v>
      </c>
      <c r="G1762" s="182">
        <f t="shared" ca="1" si="262"/>
        <v>0</v>
      </c>
      <c r="H1762" s="182">
        <f t="shared" ca="1" si="256"/>
        <v>88267.59806157717</v>
      </c>
      <c r="I1762" s="183">
        <v>0</v>
      </c>
      <c r="J1762" s="263">
        <f t="shared" ca="1" si="259"/>
        <v>88267.59806157717</v>
      </c>
      <c r="K1762" s="182"/>
      <c r="L1762" s="182"/>
      <c r="M1762" s="182"/>
      <c r="N1762" s="182"/>
      <c r="O1762" s="182"/>
    </row>
    <row r="1763" spans="1:15" x14ac:dyDescent="0.25">
      <c r="A1763" s="180">
        <f t="shared" ca="1" si="260"/>
        <v>47853</v>
      </c>
      <c r="B1763" s="181">
        <v>1749</v>
      </c>
      <c r="C1763" s="182">
        <f t="shared" ca="1" si="257"/>
        <v>88267.59806157717</v>
      </c>
      <c r="D1763" s="182">
        <f t="shared" ca="1" si="261"/>
        <v>58.845065374384781</v>
      </c>
      <c r="E1763" s="182">
        <v>0</v>
      </c>
      <c r="F1763" s="182">
        <f t="shared" ca="1" si="258"/>
        <v>0</v>
      </c>
      <c r="G1763" s="182">
        <f t="shared" ca="1" si="262"/>
        <v>0</v>
      </c>
      <c r="H1763" s="182">
        <f t="shared" ref="H1763:H1785" ca="1" si="263">IF(G1763&gt;0,C1763+F1763+I1763,SUM(C1763:F1763)-G1762)</f>
        <v>88326.443126951548</v>
      </c>
      <c r="I1763" s="183">
        <v>0</v>
      </c>
      <c r="J1763" s="263">
        <f t="shared" ca="1" si="259"/>
        <v>88326.443126951548</v>
      </c>
      <c r="K1763" s="182"/>
      <c r="L1763" s="182"/>
      <c r="M1763" s="182"/>
      <c r="N1763" s="182"/>
      <c r="O1763" s="182"/>
    </row>
    <row r="1764" spans="1:15" x14ac:dyDescent="0.25">
      <c r="A1764" s="180">
        <f t="shared" ca="1" si="260"/>
        <v>47854</v>
      </c>
      <c r="B1764" s="181">
        <v>1750</v>
      </c>
      <c r="C1764" s="182">
        <f t="shared" ca="1" si="257"/>
        <v>88326.443126951548</v>
      </c>
      <c r="D1764" s="182">
        <f t="shared" ca="1" si="261"/>
        <v>58.884295417967699</v>
      </c>
      <c r="E1764" s="182">
        <v>0</v>
      </c>
      <c r="F1764" s="182">
        <f t="shared" ca="1" si="258"/>
        <v>0</v>
      </c>
      <c r="G1764" s="182">
        <f t="shared" ca="1" si="262"/>
        <v>0</v>
      </c>
      <c r="H1764" s="182">
        <f t="shared" ca="1" si="263"/>
        <v>88385.327422369519</v>
      </c>
      <c r="I1764" s="183">
        <v>0</v>
      </c>
      <c r="J1764" s="263">
        <f t="shared" ca="1" si="259"/>
        <v>88385.327422369519</v>
      </c>
      <c r="K1764" s="182"/>
      <c r="L1764" s="182"/>
      <c r="M1764" s="182"/>
      <c r="N1764" s="182"/>
      <c r="O1764" s="182"/>
    </row>
    <row r="1765" spans="1:15" x14ac:dyDescent="0.25">
      <c r="A1765" s="180">
        <f t="shared" ca="1" si="260"/>
        <v>47855</v>
      </c>
      <c r="B1765" s="181">
        <v>1751</v>
      </c>
      <c r="C1765" s="182">
        <f t="shared" ca="1" si="257"/>
        <v>88385.327422369519</v>
      </c>
      <c r="D1765" s="182">
        <f t="shared" ca="1" si="261"/>
        <v>58.923551614913009</v>
      </c>
      <c r="E1765" s="182">
        <v>0</v>
      </c>
      <c r="F1765" s="182">
        <f t="shared" ca="1" si="258"/>
        <v>0</v>
      </c>
      <c r="G1765" s="182">
        <f t="shared" ca="1" si="262"/>
        <v>0</v>
      </c>
      <c r="H1765" s="182">
        <f t="shared" ca="1" si="263"/>
        <v>88444.250973984439</v>
      </c>
      <c r="I1765" s="183">
        <v>0</v>
      </c>
      <c r="J1765" s="263">
        <f t="shared" ca="1" si="259"/>
        <v>88444.250973984439</v>
      </c>
      <c r="K1765" s="182"/>
      <c r="L1765" s="182"/>
      <c r="M1765" s="182"/>
      <c r="N1765" s="182"/>
      <c r="O1765" s="182"/>
    </row>
    <row r="1766" spans="1:15" x14ac:dyDescent="0.25">
      <c r="A1766" s="180">
        <f t="shared" ca="1" si="260"/>
        <v>47856</v>
      </c>
      <c r="B1766" s="181">
        <v>1752</v>
      </c>
      <c r="C1766" s="182">
        <f t="shared" ca="1" si="257"/>
        <v>88444.250973984439</v>
      </c>
      <c r="D1766" s="182">
        <f t="shared" ca="1" si="261"/>
        <v>58.962833982656292</v>
      </c>
      <c r="E1766" s="182">
        <v>0</v>
      </c>
      <c r="F1766" s="182">
        <f t="shared" ca="1" si="258"/>
        <v>0</v>
      </c>
      <c r="G1766" s="182">
        <f t="shared" ca="1" si="262"/>
        <v>0</v>
      </c>
      <c r="H1766" s="182">
        <f t="shared" ca="1" si="263"/>
        <v>88503.213807967099</v>
      </c>
      <c r="I1766" s="183">
        <v>0</v>
      </c>
      <c r="J1766" s="263">
        <f t="shared" ca="1" si="259"/>
        <v>88503.213807967099</v>
      </c>
      <c r="K1766" s="182"/>
      <c r="L1766" s="182"/>
      <c r="M1766" s="182"/>
      <c r="N1766" s="182"/>
      <c r="O1766" s="182"/>
    </row>
    <row r="1767" spans="1:15" x14ac:dyDescent="0.25">
      <c r="A1767" s="180">
        <f t="shared" ca="1" si="260"/>
        <v>47857</v>
      </c>
      <c r="B1767" s="181">
        <v>1753</v>
      </c>
      <c r="C1767" s="182">
        <f t="shared" ca="1" si="257"/>
        <v>88503.213807967099</v>
      </c>
      <c r="D1767" s="182">
        <f t="shared" ca="1" si="261"/>
        <v>59.002142538644733</v>
      </c>
      <c r="E1767" s="182">
        <v>0</v>
      </c>
      <c r="F1767" s="182">
        <f t="shared" ca="1" si="258"/>
        <v>0</v>
      </c>
      <c r="G1767" s="182">
        <f t="shared" ca="1" si="262"/>
        <v>0</v>
      </c>
      <c r="H1767" s="182">
        <f t="shared" ca="1" si="263"/>
        <v>88562.21595050575</v>
      </c>
      <c r="I1767" s="183">
        <v>0</v>
      </c>
      <c r="J1767" s="263">
        <f t="shared" ca="1" si="259"/>
        <v>88562.21595050575</v>
      </c>
      <c r="K1767" s="182"/>
      <c r="L1767" s="182"/>
      <c r="M1767" s="182"/>
      <c r="N1767" s="182"/>
      <c r="O1767" s="182"/>
    </row>
    <row r="1768" spans="1:15" x14ac:dyDescent="0.25">
      <c r="A1768" s="180">
        <f t="shared" ca="1" si="260"/>
        <v>47858</v>
      </c>
      <c r="B1768" s="181">
        <v>1754</v>
      </c>
      <c r="C1768" s="182">
        <f t="shared" ca="1" si="257"/>
        <v>88562.21595050575</v>
      </c>
      <c r="D1768" s="182">
        <f t="shared" ca="1" si="261"/>
        <v>59.041477300337164</v>
      </c>
      <c r="E1768" s="182">
        <v>0</v>
      </c>
      <c r="F1768" s="182">
        <f t="shared" ca="1" si="258"/>
        <v>0</v>
      </c>
      <c r="G1768" s="182">
        <f t="shared" ca="1" si="262"/>
        <v>0</v>
      </c>
      <c r="H1768" s="182">
        <f t="shared" ca="1" si="263"/>
        <v>88621.257427806093</v>
      </c>
      <c r="I1768" s="183">
        <v>0</v>
      </c>
      <c r="J1768" s="263">
        <f t="shared" ca="1" si="259"/>
        <v>88621.257427806093</v>
      </c>
      <c r="K1768" s="182"/>
      <c r="L1768" s="182"/>
      <c r="M1768" s="182"/>
      <c r="N1768" s="182"/>
      <c r="O1768" s="182"/>
    </row>
    <row r="1769" spans="1:15" x14ac:dyDescent="0.25">
      <c r="A1769" s="180">
        <f t="shared" ca="1" si="260"/>
        <v>47859</v>
      </c>
      <c r="B1769" s="181">
        <v>1755</v>
      </c>
      <c r="C1769" s="182">
        <f t="shared" ca="1" si="257"/>
        <v>88621.257427806093</v>
      </c>
      <c r="D1769" s="182">
        <f t="shared" ca="1" si="261"/>
        <v>59.080838285204059</v>
      </c>
      <c r="E1769" s="182">
        <v>0</v>
      </c>
      <c r="F1769" s="182">
        <f t="shared" ca="1" si="258"/>
        <v>0</v>
      </c>
      <c r="G1769" s="182">
        <f t="shared" ca="1" si="262"/>
        <v>0</v>
      </c>
      <c r="H1769" s="182">
        <f t="shared" ca="1" si="263"/>
        <v>88680.33826609129</v>
      </c>
      <c r="I1769" s="183">
        <v>0</v>
      </c>
      <c r="J1769" s="263">
        <f t="shared" ca="1" si="259"/>
        <v>88680.33826609129</v>
      </c>
      <c r="K1769" s="182"/>
      <c r="L1769" s="182"/>
      <c r="M1769" s="182"/>
      <c r="N1769" s="182"/>
      <c r="O1769" s="182"/>
    </row>
    <row r="1770" spans="1:15" x14ac:dyDescent="0.25">
      <c r="A1770" s="180">
        <f t="shared" ca="1" si="260"/>
        <v>47860</v>
      </c>
      <c r="B1770" s="181">
        <v>1756</v>
      </c>
      <c r="C1770" s="182">
        <f t="shared" ca="1" si="257"/>
        <v>88680.33826609129</v>
      </c>
      <c r="D1770" s="182">
        <f t="shared" ca="1" si="261"/>
        <v>59.120225510727522</v>
      </c>
      <c r="E1770" s="182">
        <v>0</v>
      </c>
      <c r="F1770" s="182">
        <f t="shared" ca="1" si="258"/>
        <v>0</v>
      </c>
      <c r="G1770" s="182">
        <f t="shared" ca="1" si="262"/>
        <v>0</v>
      </c>
      <c r="H1770" s="182">
        <f t="shared" ca="1" si="263"/>
        <v>88739.458491602025</v>
      </c>
      <c r="I1770" s="183">
        <v>0</v>
      </c>
      <c r="J1770" s="263">
        <f t="shared" ca="1" si="259"/>
        <v>88739.458491602025</v>
      </c>
      <c r="K1770" s="182"/>
      <c r="L1770" s="182"/>
      <c r="M1770" s="182"/>
      <c r="N1770" s="182"/>
      <c r="O1770" s="182"/>
    </row>
    <row r="1771" spans="1:15" x14ac:dyDescent="0.25">
      <c r="A1771" s="180">
        <f t="shared" ca="1" si="260"/>
        <v>47861</v>
      </c>
      <c r="B1771" s="181">
        <v>1757</v>
      </c>
      <c r="C1771" s="182">
        <f t="shared" ref="C1771:C1785" ca="1" si="264">H1770</f>
        <v>88739.458491602025</v>
      </c>
      <c r="D1771" s="182">
        <f t="shared" ca="1" si="261"/>
        <v>59.159638994401348</v>
      </c>
      <c r="E1771" s="182">
        <v>0</v>
      </c>
      <c r="F1771" s="182">
        <f t="shared" ca="1" si="258"/>
        <v>0</v>
      </c>
      <c r="G1771" s="182">
        <f t="shared" ca="1" si="262"/>
        <v>0</v>
      </c>
      <c r="H1771" s="182">
        <f t="shared" ca="1" si="263"/>
        <v>88798.618130596427</v>
      </c>
      <c r="I1771" s="183">
        <v>0</v>
      </c>
      <c r="J1771" s="263">
        <f t="shared" ca="1" si="259"/>
        <v>88798.618130596427</v>
      </c>
      <c r="K1771" s="182"/>
      <c r="L1771" s="182"/>
      <c r="M1771" s="182"/>
      <c r="N1771" s="182"/>
      <c r="O1771" s="182"/>
    </row>
    <row r="1772" spans="1:15" x14ac:dyDescent="0.25">
      <c r="A1772" s="180">
        <f t="shared" ca="1" si="260"/>
        <v>47862</v>
      </c>
      <c r="B1772" s="181">
        <v>1758</v>
      </c>
      <c r="C1772" s="182">
        <f t="shared" ca="1" si="264"/>
        <v>88798.618130596427</v>
      </c>
      <c r="D1772" s="182">
        <f t="shared" ca="1" si="261"/>
        <v>59.199078753730952</v>
      </c>
      <c r="E1772" s="182">
        <v>0</v>
      </c>
      <c r="F1772" s="182">
        <f t="shared" ref="F1772:F1835" ca="1" si="265">IFERROR(-VLOOKUP(A1772,$P$4:$R$31,2,FALSE),0)</f>
        <v>0</v>
      </c>
      <c r="G1772" s="182">
        <f t="shared" ca="1" si="262"/>
        <v>0</v>
      </c>
      <c r="H1772" s="182">
        <f t="shared" ca="1" si="263"/>
        <v>88857.817209350163</v>
      </c>
      <c r="I1772" s="183">
        <v>0</v>
      </c>
      <c r="J1772" s="263">
        <f t="shared" ca="1" si="259"/>
        <v>88857.817209350163</v>
      </c>
      <c r="K1772" s="182"/>
      <c r="L1772" s="182"/>
      <c r="M1772" s="182"/>
      <c r="N1772" s="182"/>
      <c r="O1772" s="182"/>
    </row>
    <row r="1773" spans="1:15" x14ac:dyDescent="0.25">
      <c r="A1773" s="180">
        <f t="shared" ca="1" si="260"/>
        <v>47863</v>
      </c>
      <c r="B1773" s="181">
        <v>1759</v>
      </c>
      <c r="C1773" s="182">
        <f t="shared" ca="1" si="264"/>
        <v>88857.817209350163</v>
      </c>
      <c r="D1773" s="182">
        <f t="shared" ca="1" si="261"/>
        <v>59.238544806233442</v>
      </c>
      <c r="E1773" s="182">
        <v>0</v>
      </c>
      <c r="F1773" s="182">
        <f t="shared" ca="1" si="265"/>
        <v>0</v>
      </c>
      <c r="G1773" s="182">
        <f t="shared" ca="1" si="262"/>
        <v>0</v>
      </c>
      <c r="H1773" s="182">
        <f t="shared" ca="1" si="263"/>
        <v>88917.05575415639</v>
      </c>
      <c r="I1773" s="183">
        <v>0</v>
      </c>
      <c r="J1773" s="263">
        <f t="shared" ca="1" si="259"/>
        <v>88917.05575415639</v>
      </c>
      <c r="K1773" s="182"/>
      <c r="L1773" s="182"/>
      <c r="M1773" s="182"/>
      <c r="N1773" s="182"/>
      <c r="O1773" s="182"/>
    </row>
    <row r="1774" spans="1:15" x14ac:dyDescent="0.25">
      <c r="A1774" s="180">
        <f t="shared" ca="1" si="260"/>
        <v>47864</v>
      </c>
      <c r="B1774" s="181">
        <v>1760</v>
      </c>
      <c r="C1774" s="182">
        <f t="shared" ca="1" si="264"/>
        <v>88917.05575415639</v>
      </c>
      <c r="D1774" s="182">
        <f t="shared" ca="1" si="261"/>
        <v>59.278037169437589</v>
      </c>
      <c r="E1774" s="182">
        <v>0</v>
      </c>
      <c r="F1774" s="182">
        <f t="shared" ca="1" si="265"/>
        <v>0</v>
      </c>
      <c r="G1774" s="182">
        <f t="shared" ca="1" si="262"/>
        <v>0</v>
      </c>
      <c r="H1774" s="182">
        <f t="shared" ca="1" si="263"/>
        <v>88976.333791325829</v>
      </c>
      <c r="I1774" s="183">
        <v>0</v>
      </c>
      <c r="J1774" s="263">
        <f t="shared" ca="1" si="259"/>
        <v>88976.333791325829</v>
      </c>
      <c r="K1774" s="182"/>
      <c r="L1774" s="182"/>
      <c r="M1774" s="182"/>
      <c r="N1774" s="182"/>
      <c r="O1774" s="182"/>
    </row>
    <row r="1775" spans="1:15" x14ac:dyDescent="0.25">
      <c r="A1775" s="180">
        <f t="shared" ca="1" si="260"/>
        <v>47865</v>
      </c>
      <c r="B1775" s="181">
        <v>1761</v>
      </c>
      <c r="C1775" s="182">
        <f t="shared" ca="1" si="264"/>
        <v>88976.333791325829</v>
      </c>
      <c r="D1775" s="182">
        <f t="shared" ca="1" si="261"/>
        <v>59.317555860883886</v>
      </c>
      <c r="E1775" s="182">
        <v>0</v>
      </c>
      <c r="F1775" s="182">
        <f t="shared" ca="1" si="265"/>
        <v>0</v>
      </c>
      <c r="G1775" s="182">
        <f t="shared" ca="1" si="262"/>
        <v>0</v>
      </c>
      <c r="H1775" s="182">
        <f t="shared" ca="1" si="263"/>
        <v>89035.651347186707</v>
      </c>
      <c r="I1775" s="183">
        <v>0</v>
      </c>
      <c r="J1775" s="263">
        <f t="shared" ca="1" si="259"/>
        <v>89035.651347186707</v>
      </c>
      <c r="K1775" s="182"/>
      <c r="L1775" s="182"/>
      <c r="M1775" s="182"/>
      <c r="N1775" s="182"/>
      <c r="O1775" s="182"/>
    </row>
    <row r="1776" spans="1:15" x14ac:dyDescent="0.25">
      <c r="A1776" s="180">
        <f t="shared" ca="1" si="260"/>
        <v>47866</v>
      </c>
      <c r="B1776" s="181">
        <v>1762</v>
      </c>
      <c r="C1776" s="182">
        <f t="shared" ca="1" si="264"/>
        <v>89035.651347186707</v>
      </c>
      <c r="D1776" s="182">
        <f t="shared" ca="1" si="261"/>
        <v>59.357100898124472</v>
      </c>
      <c r="E1776" s="182">
        <v>0</v>
      </c>
      <c r="F1776" s="182">
        <f t="shared" ca="1" si="265"/>
        <v>0</v>
      </c>
      <c r="G1776" s="182">
        <f t="shared" ca="1" si="262"/>
        <v>0</v>
      </c>
      <c r="H1776" s="182">
        <f t="shared" ca="1" si="263"/>
        <v>89095.008448084831</v>
      </c>
      <c r="I1776" s="183">
        <v>0</v>
      </c>
      <c r="J1776" s="263">
        <f t="shared" ca="1" si="259"/>
        <v>89095.008448084831</v>
      </c>
      <c r="K1776" s="182"/>
      <c r="L1776" s="182"/>
      <c r="M1776" s="182"/>
      <c r="N1776" s="182"/>
      <c r="O1776" s="182"/>
    </row>
    <row r="1777" spans="1:15" x14ac:dyDescent="0.25">
      <c r="A1777" s="180">
        <f t="shared" ca="1" si="260"/>
        <v>47867</v>
      </c>
      <c r="B1777" s="181">
        <v>1763</v>
      </c>
      <c r="C1777" s="182">
        <f t="shared" ca="1" si="264"/>
        <v>89095.008448084831</v>
      </c>
      <c r="D1777" s="182">
        <f t="shared" ca="1" si="261"/>
        <v>59.396672298723217</v>
      </c>
      <c r="E1777" s="182">
        <v>0</v>
      </c>
      <c r="F1777" s="182">
        <f t="shared" ca="1" si="265"/>
        <v>0</v>
      </c>
      <c r="G1777" s="182">
        <f t="shared" ca="1" si="262"/>
        <v>0</v>
      </c>
      <c r="H1777" s="182">
        <f t="shared" ca="1" si="263"/>
        <v>89154.405120383555</v>
      </c>
      <c r="I1777" s="183">
        <v>0</v>
      </c>
      <c r="J1777" s="263">
        <f t="shared" ca="1" si="259"/>
        <v>89154.405120383555</v>
      </c>
      <c r="K1777" s="182"/>
      <c r="L1777" s="182"/>
      <c r="M1777" s="182"/>
      <c r="N1777" s="182"/>
      <c r="O1777" s="182"/>
    </row>
    <row r="1778" spans="1:15" x14ac:dyDescent="0.25">
      <c r="A1778" s="180">
        <f t="shared" ca="1" si="260"/>
        <v>47868</v>
      </c>
      <c r="B1778" s="181">
        <v>1764</v>
      </c>
      <c r="C1778" s="182">
        <f t="shared" ca="1" si="264"/>
        <v>89154.405120383555</v>
      </c>
      <c r="D1778" s="182">
        <f t="shared" ca="1" si="261"/>
        <v>59.436270080255703</v>
      </c>
      <c r="E1778" s="182">
        <v>0</v>
      </c>
      <c r="F1778" s="182">
        <f t="shared" ca="1" si="265"/>
        <v>0</v>
      </c>
      <c r="G1778" s="182">
        <f t="shared" ca="1" si="262"/>
        <v>0</v>
      </c>
      <c r="H1778" s="182">
        <f t="shared" ca="1" si="263"/>
        <v>89213.841390463815</v>
      </c>
      <c r="I1778" s="183">
        <v>0</v>
      </c>
      <c r="J1778" s="263">
        <f t="shared" ca="1" si="259"/>
        <v>89213.841390463815</v>
      </c>
      <c r="K1778" s="182"/>
      <c r="L1778" s="182"/>
      <c r="M1778" s="182"/>
      <c r="N1778" s="182"/>
      <c r="O1778" s="182"/>
    </row>
    <row r="1779" spans="1:15" x14ac:dyDescent="0.25">
      <c r="A1779" s="180">
        <f t="shared" ca="1" si="260"/>
        <v>47869</v>
      </c>
      <c r="B1779" s="181">
        <v>1765</v>
      </c>
      <c r="C1779" s="182">
        <f t="shared" ca="1" si="264"/>
        <v>89213.841390463815</v>
      </c>
      <c r="D1779" s="182">
        <f t="shared" ca="1" si="261"/>
        <v>59.475894260309211</v>
      </c>
      <c r="E1779" s="182">
        <v>0</v>
      </c>
      <c r="F1779" s="182">
        <f t="shared" ca="1" si="265"/>
        <v>0</v>
      </c>
      <c r="G1779" s="182">
        <f t="shared" ca="1" si="262"/>
        <v>0</v>
      </c>
      <c r="H1779" s="182">
        <f t="shared" ca="1" si="263"/>
        <v>89273.317284724122</v>
      </c>
      <c r="I1779" s="183">
        <v>0</v>
      </c>
      <c r="J1779" s="263">
        <f t="shared" ca="1" si="259"/>
        <v>89273.317284724122</v>
      </c>
      <c r="K1779" s="182"/>
      <c r="L1779" s="182"/>
      <c r="M1779" s="182"/>
      <c r="N1779" s="182"/>
      <c r="O1779" s="182"/>
    </row>
    <row r="1780" spans="1:15" x14ac:dyDescent="0.25">
      <c r="A1780" s="180">
        <f t="shared" ca="1" si="260"/>
        <v>47870</v>
      </c>
      <c r="B1780" s="181">
        <v>1766</v>
      </c>
      <c r="C1780" s="182">
        <f t="shared" ca="1" si="264"/>
        <v>89273.317284724122</v>
      </c>
      <c r="D1780" s="182">
        <f t="shared" ca="1" si="261"/>
        <v>59.515544856482748</v>
      </c>
      <c r="E1780" s="182">
        <v>0</v>
      </c>
      <c r="F1780" s="182">
        <f t="shared" ca="1" si="265"/>
        <v>0</v>
      </c>
      <c r="G1780" s="182">
        <f t="shared" ca="1" si="262"/>
        <v>0</v>
      </c>
      <c r="H1780" s="182">
        <f t="shared" ca="1" si="263"/>
        <v>89332.832829580599</v>
      </c>
      <c r="I1780" s="183">
        <v>0</v>
      </c>
      <c r="J1780" s="263">
        <f t="shared" ca="1" si="259"/>
        <v>89332.832829580599</v>
      </c>
      <c r="K1780" s="182"/>
      <c r="L1780" s="182"/>
      <c r="M1780" s="182"/>
      <c r="N1780" s="182"/>
      <c r="O1780" s="182"/>
    </row>
    <row r="1781" spans="1:15" x14ac:dyDescent="0.25">
      <c r="A1781" s="180">
        <f t="shared" ca="1" si="260"/>
        <v>47871</v>
      </c>
      <c r="B1781" s="181">
        <v>1767</v>
      </c>
      <c r="C1781" s="182">
        <f t="shared" ca="1" si="264"/>
        <v>89332.832829580599</v>
      </c>
      <c r="D1781" s="182">
        <f t="shared" ca="1" si="261"/>
        <v>59.555221886387066</v>
      </c>
      <c r="E1781" s="182">
        <v>0</v>
      </c>
      <c r="F1781" s="182">
        <f t="shared" ca="1" si="265"/>
        <v>0</v>
      </c>
      <c r="G1781" s="182">
        <f t="shared" ca="1" si="262"/>
        <v>0</v>
      </c>
      <c r="H1781" s="182">
        <f t="shared" ca="1" si="263"/>
        <v>89392.388051466987</v>
      </c>
      <c r="I1781" s="183">
        <v>0</v>
      </c>
      <c r="J1781" s="263">
        <f t="shared" ca="1" si="259"/>
        <v>89392.388051466987</v>
      </c>
      <c r="K1781" s="182"/>
      <c r="L1781" s="182"/>
      <c r="M1781" s="182"/>
      <c r="N1781" s="182"/>
      <c r="O1781" s="182"/>
    </row>
    <row r="1782" spans="1:15" x14ac:dyDescent="0.25">
      <c r="A1782" s="180">
        <f t="shared" ca="1" si="260"/>
        <v>47872</v>
      </c>
      <c r="B1782" s="181">
        <v>1768</v>
      </c>
      <c r="C1782" s="182">
        <f t="shared" ca="1" si="264"/>
        <v>89392.388051466987</v>
      </c>
      <c r="D1782" s="182">
        <f t="shared" ca="1" si="261"/>
        <v>59.594925367644656</v>
      </c>
      <c r="E1782" s="182">
        <v>0</v>
      </c>
      <c r="F1782" s="182">
        <f t="shared" ca="1" si="265"/>
        <v>0</v>
      </c>
      <c r="G1782" s="182">
        <f t="shared" ca="1" si="262"/>
        <v>0</v>
      </c>
      <c r="H1782" s="182">
        <f t="shared" ca="1" si="263"/>
        <v>89451.982976834639</v>
      </c>
      <c r="I1782" s="183">
        <v>0</v>
      </c>
      <c r="J1782" s="263">
        <f t="shared" ca="1" si="259"/>
        <v>89451.982976834639</v>
      </c>
      <c r="K1782" s="182"/>
      <c r="L1782" s="182"/>
      <c r="M1782" s="182"/>
      <c r="N1782" s="182"/>
      <c r="O1782" s="182"/>
    </row>
    <row r="1783" spans="1:15" x14ac:dyDescent="0.25">
      <c r="A1783" s="180">
        <f t="shared" ca="1" si="260"/>
        <v>47873</v>
      </c>
      <c r="B1783" s="181">
        <v>1769</v>
      </c>
      <c r="C1783" s="182">
        <f t="shared" ca="1" si="264"/>
        <v>89451.982976834639</v>
      </c>
      <c r="D1783" s="182">
        <f t="shared" ca="1" si="261"/>
        <v>59.634655317889759</v>
      </c>
      <c r="E1783" s="182">
        <v>0</v>
      </c>
      <c r="F1783" s="182">
        <f t="shared" ca="1" si="265"/>
        <v>0</v>
      </c>
      <c r="G1783" s="182">
        <f t="shared" ca="1" si="262"/>
        <v>0</v>
      </c>
      <c r="H1783" s="182">
        <f t="shared" ca="1" si="263"/>
        <v>89511.617632152527</v>
      </c>
      <c r="I1783" s="183">
        <v>0</v>
      </c>
      <c r="J1783" s="263">
        <f t="shared" ca="1" si="259"/>
        <v>89511.617632152527</v>
      </c>
      <c r="K1783" s="182"/>
      <c r="L1783" s="182"/>
      <c r="M1783" s="182"/>
      <c r="N1783" s="182"/>
      <c r="O1783" s="182"/>
    </row>
    <row r="1784" spans="1:15" x14ac:dyDescent="0.25">
      <c r="A1784" s="180">
        <f t="shared" ca="1" si="260"/>
        <v>47874</v>
      </c>
      <c r="B1784" s="181">
        <v>1770</v>
      </c>
      <c r="C1784" s="182">
        <f t="shared" ca="1" si="264"/>
        <v>89511.617632152527</v>
      </c>
      <c r="D1784" s="182">
        <f t="shared" ca="1" si="261"/>
        <v>59.67441175476835</v>
      </c>
      <c r="E1784" s="182">
        <v>0</v>
      </c>
      <c r="F1784" s="182">
        <f t="shared" ca="1" si="265"/>
        <v>0</v>
      </c>
      <c r="G1784" s="182">
        <f t="shared" ca="1" si="262"/>
        <v>0</v>
      </c>
      <c r="H1784" s="182">
        <f t="shared" ca="1" si="263"/>
        <v>89571.292043907291</v>
      </c>
      <c r="I1784" s="183">
        <v>0</v>
      </c>
      <c r="J1784" s="263">
        <f t="shared" ca="1" si="259"/>
        <v>89571.292043907291</v>
      </c>
      <c r="K1784" s="182"/>
      <c r="L1784" s="182"/>
      <c r="M1784" s="182"/>
      <c r="N1784" s="182"/>
      <c r="O1784" s="182"/>
    </row>
    <row r="1785" spans="1:15" x14ac:dyDescent="0.25">
      <c r="A1785" s="180">
        <f t="shared" ca="1" si="260"/>
        <v>47875</v>
      </c>
      <c r="B1785" s="181">
        <v>1771</v>
      </c>
      <c r="C1785" s="182">
        <f t="shared" ca="1" si="264"/>
        <v>89571.292043907291</v>
      </c>
      <c r="D1785" s="182">
        <f t="shared" ca="1" si="261"/>
        <v>59.71419469593819</v>
      </c>
      <c r="E1785" s="182">
        <v>0</v>
      </c>
      <c r="F1785" s="182">
        <f t="shared" ca="1" si="265"/>
        <v>0</v>
      </c>
      <c r="G1785" s="182">
        <f t="shared" ca="1" si="262"/>
        <v>0</v>
      </c>
      <c r="H1785" s="182">
        <f t="shared" ca="1" si="263"/>
        <v>89631.006238603222</v>
      </c>
      <c r="I1785" s="183">
        <v>0</v>
      </c>
      <c r="J1785" s="263">
        <f t="shared" ca="1" si="259"/>
        <v>89631.006238603222</v>
      </c>
      <c r="K1785" s="182"/>
      <c r="L1785" s="182"/>
      <c r="M1785" s="182"/>
      <c r="N1785" s="182"/>
      <c r="O1785" s="182"/>
    </row>
    <row r="1786" spans="1:15" x14ac:dyDescent="0.25">
      <c r="A1786" s="180">
        <f t="shared" ca="1" si="260"/>
        <v>47876</v>
      </c>
      <c r="B1786" s="181">
        <v>1772</v>
      </c>
      <c r="C1786" s="182">
        <f t="shared" ref="C1786:C1849" ca="1" si="266">H1785</f>
        <v>89631.006238603222</v>
      </c>
      <c r="D1786" s="182">
        <f t="shared" ref="D1786:D1849" ca="1" si="267">(($C$6/360))*C1786</f>
        <v>59.754004159068813</v>
      </c>
      <c r="E1786" s="182">
        <v>1</v>
      </c>
      <c r="F1786" s="182">
        <f t="shared" ca="1" si="265"/>
        <v>0</v>
      </c>
      <c r="G1786" s="182">
        <f t="shared" ref="G1786:G1849" ca="1" si="268">IF(G1785-D1786-E1786&gt;0,G1785-D1786-E1786,0)</f>
        <v>0</v>
      </c>
      <c r="H1786" s="182">
        <f t="shared" ref="H1786:H1849" ca="1" si="269">IF(G1786&gt;0,C1786+F1786+I1786,SUM(C1786:F1786)-G1785)</f>
        <v>89691.760242762291</v>
      </c>
      <c r="I1786" s="183">
        <v>1</v>
      </c>
      <c r="J1786" s="263">
        <f t="shared" ca="1" si="259"/>
        <v>89691.760242762291</v>
      </c>
    </row>
    <row r="1787" spans="1:15" x14ac:dyDescent="0.25">
      <c r="A1787" s="180">
        <f t="shared" ca="1" si="260"/>
        <v>47877</v>
      </c>
      <c r="B1787" s="181">
        <v>1773</v>
      </c>
      <c r="C1787" s="182">
        <f t="shared" ca="1" si="266"/>
        <v>89691.760242762291</v>
      </c>
      <c r="D1787" s="182">
        <f t="shared" ca="1" si="267"/>
        <v>59.79450682850819</v>
      </c>
      <c r="E1787" s="182">
        <v>2</v>
      </c>
      <c r="F1787" s="182">
        <f t="shared" ca="1" si="265"/>
        <v>0</v>
      </c>
      <c r="G1787" s="182">
        <f t="shared" ca="1" si="268"/>
        <v>0</v>
      </c>
      <c r="H1787" s="182">
        <f t="shared" ca="1" si="269"/>
        <v>89753.554749590796</v>
      </c>
      <c r="I1787" s="183">
        <v>2</v>
      </c>
      <c r="J1787" s="263">
        <f t="shared" ca="1" si="259"/>
        <v>89753.554749590796</v>
      </c>
    </row>
    <row r="1788" spans="1:15" x14ac:dyDescent="0.25">
      <c r="A1788" s="180">
        <f t="shared" ca="1" si="260"/>
        <v>47878</v>
      </c>
      <c r="B1788" s="181">
        <v>1774</v>
      </c>
      <c r="C1788" s="182">
        <f t="shared" ca="1" si="266"/>
        <v>89753.554749590796</v>
      </c>
      <c r="D1788" s="182">
        <f t="shared" ca="1" si="267"/>
        <v>59.835703166393863</v>
      </c>
      <c r="E1788" s="182">
        <v>3</v>
      </c>
      <c r="F1788" s="182">
        <f t="shared" ca="1" si="265"/>
        <v>0</v>
      </c>
      <c r="G1788" s="182">
        <f t="shared" ca="1" si="268"/>
        <v>0</v>
      </c>
      <c r="H1788" s="182">
        <f t="shared" ca="1" si="269"/>
        <v>89816.390452757187</v>
      </c>
      <c r="I1788" s="183">
        <v>3</v>
      </c>
      <c r="J1788" s="263">
        <f t="shared" ca="1" si="259"/>
        <v>89816.390452757187</v>
      </c>
    </row>
    <row r="1789" spans="1:15" x14ac:dyDescent="0.25">
      <c r="A1789" s="180">
        <f t="shared" ca="1" si="260"/>
        <v>47879</v>
      </c>
      <c r="B1789" s="181">
        <v>1775</v>
      </c>
      <c r="C1789" s="182">
        <f t="shared" ca="1" si="266"/>
        <v>89816.390452757187</v>
      </c>
      <c r="D1789" s="182">
        <f t="shared" ca="1" si="267"/>
        <v>59.877593635171458</v>
      </c>
      <c r="E1789" s="182">
        <v>4</v>
      </c>
      <c r="F1789" s="182">
        <f t="shared" ca="1" si="265"/>
        <v>0</v>
      </c>
      <c r="G1789" s="182">
        <f t="shared" ca="1" si="268"/>
        <v>0</v>
      </c>
      <c r="H1789" s="182">
        <f t="shared" ca="1" si="269"/>
        <v>89880.268046392361</v>
      </c>
      <c r="I1789" s="183">
        <v>4</v>
      </c>
      <c r="J1789" s="263">
        <f t="shared" ca="1" si="259"/>
        <v>89880.268046392361</v>
      </c>
    </row>
    <row r="1790" spans="1:15" x14ac:dyDescent="0.25">
      <c r="A1790" s="180">
        <f t="shared" ca="1" si="260"/>
        <v>47880</v>
      </c>
      <c r="B1790" s="181">
        <v>1776</v>
      </c>
      <c r="C1790" s="182">
        <f t="shared" ca="1" si="266"/>
        <v>89880.268046392361</v>
      </c>
      <c r="D1790" s="182">
        <f t="shared" ca="1" si="267"/>
        <v>59.920178697594906</v>
      </c>
      <c r="E1790" s="182">
        <v>5</v>
      </c>
      <c r="F1790" s="182">
        <f t="shared" ca="1" si="265"/>
        <v>0</v>
      </c>
      <c r="G1790" s="182">
        <f t="shared" ca="1" si="268"/>
        <v>0</v>
      </c>
      <c r="H1790" s="182">
        <f t="shared" ca="1" si="269"/>
        <v>89945.188225089951</v>
      </c>
      <c r="I1790" s="183">
        <v>5</v>
      </c>
      <c r="J1790" s="263">
        <f t="shared" ca="1" si="259"/>
        <v>89945.188225089951</v>
      </c>
    </row>
    <row r="1791" spans="1:15" x14ac:dyDescent="0.25">
      <c r="A1791" s="180">
        <f t="shared" ca="1" si="260"/>
        <v>47881</v>
      </c>
      <c r="B1791" s="181">
        <v>1777</v>
      </c>
      <c r="C1791" s="182">
        <f t="shared" ca="1" si="266"/>
        <v>89945.188225089951</v>
      </c>
      <c r="D1791" s="182">
        <f t="shared" ca="1" si="267"/>
        <v>59.963458816726629</v>
      </c>
      <c r="E1791" s="182">
        <v>6</v>
      </c>
      <c r="F1791" s="182">
        <f t="shared" ca="1" si="265"/>
        <v>0</v>
      </c>
      <c r="G1791" s="182">
        <f t="shared" ca="1" si="268"/>
        <v>0</v>
      </c>
      <c r="H1791" s="182">
        <f t="shared" ca="1" si="269"/>
        <v>90011.151683906675</v>
      </c>
      <c r="I1791" s="183">
        <v>6</v>
      </c>
      <c r="J1791" s="263">
        <f t="shared" ca="1" si="259"/>
        <v>90011.151683906675</v>
      </c>
    </row>
    <row r="1792" spans="1:15" x14ac:dyDescent="0.25">
      <c r="A1792" s="180">
        <f t="shared" ca="1" si="260"/>
        <v>47882</v>
      </c>
      <c r="B1792" s="181">
        <v>1778</v>
      </c>
      <c r="C1792" s="182">
        <f t="shared" ca="1" si="266"/>
        <v>90011.151683906675</v>
      </c>
      <c r="D1792" s="182">
        <f t="shared" ca="1" si="267"/>
        <v>60.007434455937783</v>
      </c>
      <c r="E1792" s="182">
        <v>7</v>
      </c>
      <c r="F1792" s="182">
        <f t="shared" ca="1" si="265"/>
        <v>0</v>
      </c>
      <c r="G1792" s="182">
        <f t="shared" ca="1" si="268"/>
        <v>0</v>
      </c>
      <c r="H1792" s="182">
        <f t="shared" ca="1" si="269"/>
        <v>90078.159118362615</v>
      </c>
      <c r="I1792" s="183">
        <v>7</v>
      </c>
      <c r="J1792" s="263">
        <f t="shared" ca="1" si="259"/>
        <v>90078.159118362615</v>
      </c>
    </row>
    <row r="1793" spans="1:10" x14ac:dyDescent="0.25">
      <c r="A1793" s="180">
        <f t="shared" ca="1" si="260"/>
        <v>47883</v>
      </c>
      <c r="B1793" s="181">
        <v>1779</v>
      </c>
      <c r="C1793" s="182">
        <f t="shared" ca="1" si="266"/>
        <v>90078.159118362615</v>
      </c>
      <c r="D1793" s="182">
        <f t="shared" ca="1" si="267"/>
        <v>60.052106078908409</v>
      </c>
      <c r="E1793" s="182">
        <v>8</v>
      </c>
      <c r="F1793" s="182">
        <f t="shared" ca="1" si="265"/>
        <v>0</v>
      </c>
      <c r="G1793" s="182">
        <f t="shared" ca="1" si="268"/>
        <v>0</v>
      </c>
      <c r="H1793" s="182">
        <f t="shared" ca="1" si="269"/>
        <v>90146.211224441518</v>
      </c>
      <c r="I1793" s="183">
        <v>8</v>
      </c>
      <c r="J1793" s="263">
        <f t="shared" ca="1" si="259"/>
        <v>90146.211224441518</v>
      </c>
    </row>
    <row r="1794" spans="1:10" x14ac:dyDescent="0.25">
      <c r="A1794" s="180">
        <f t="shared" ca="1" si="260"/>
        <v>47884</v>
      </c>
      <c r="B1794" s="181">
        <v>1780</v>
      </c>
      <c r="C1794" s="182">
        <f t="shared" ca="1" si="266"/>
        <v>90146.211224441518</v>
      </c>
      <c r="D1794" s="182">
        <f t="shared" ca="1" si="267"/>
        <v>60.097474149627679</v>
      </c>
      <c r="E1794" s="182">
        <v>9</v>
      </c>
      <c r="F1794" s="182">
        <f t="shared" ca="1" si="265"/>
        <v>0</v>
      </c>
      <c r="G1794" s="182">
        <f t="shared" ca="1" si="268"/>
        <v>0</v>
      </c>
      <c r="H1794" s="182">
        <f t="shared" ca="1" si="269"/>
        <v>90215.30869859115</v>
      </c>
      <c r="I1794" s="183">
        <v>9</v>
      </c>
      <c r="J1794" s="263">
        <f t="shared" ca="1" si="259"/>
        <v>90215.30869859115</v>
      </c>
    </row>
    <row r="1795" spans="1:10" x14ac:dyDescent="0.25">
      <c r="A1795" s="180">
        <f t="shared" ca="1" si="260"/>
        <v>47885</v>
      </c>
      <c r="B1795" s="181">
        <v>1781</v>
      </c>
      <c r="C1795" s="182">
        <f t="shared" ca="1" si="266"/>
        <v>90215.30869859115</v>
      </c>
      <c r="D1795" s="182">
        <f t="shared" ca="1" si="267"/>
        <v>60.143539132394096</v>
      </c>
      <c r="E1795" s="182">
        <v>10</v>
      </c>
      <c r="F1795" s="182">
        <f t="shared" ca="1" si="265"/>
        <v>0</v>
      </c>
      <c r="G1795" s="182">
        <f t="shared" ca="1" si="268"/>
        <v>0</v>
      </c>
      <c r="H1795" s="182">
        <f t="shared" ca="1" si="269"/>
        <v>90285.452237723541</v>
      </c>
      <c r="I1795" s="183">
        <v>10</v>
      </c>
      <c r="J1795" s="263">
        <f t="shared" ca="1" si="259"/>
        <v>90285.452237723541</v>
      </c>
    </row>
    <row r="1796" spans="1:10" x14ac:dyDescent="0.25">
      <c r="A1796" s="180">
        <f t="shared" ca="1" si="260"/>
        <v>47886</v>
      </c>
      <c r="B1796" s="181">
        <v>1782</v>
      </c>
      <c r="C1796" s="182">
        <f t="shared" ca="1" si="266"/>
        <v>90285.452237723541</v>
      </c>
      <c r="D1796" s="182">
        <f t="shared" ca="1" si="267"/>
        <v>60.190301491815688</v>
      </c>
      <c r="E1796" s="182">
        <v>11</v>
      </c>
      <c r="F1796" s="182">
        <f t="shared" ca="1" si="265"/>
        <v>0</v>
      </c>
      <c r="G1796" s="182">
        <f t="shared" ca="1" si="268"/>
        <v>0</v>
      </c>
      <c r="H1796" s="182">
        <f t="shared" ca="1" si="269"/>
        <v>90356.642539215361</v>
      </c>
      <c r="I1796" s="183">
        <v>11</v>
      </c>
      <c r="J1796" s="263">
        <f t="shared" ca="1" si="259"/>
        <v>90356.642539215361</v>
      </c>
    </row>
    <row r="1797" spans="1:10" x14ac:dyDescent="0.25">
      <c r="A1797" s="180">
        <f t="shared" ca="1" si="260"/>
        <v>47887</v>
      </c>
      <c r="B1797" s="181">
        <v>1783</v>
      </c>
      <c r="C1797" s="182">
        <f t="shared" ca="1" si="266"/>
        <v>90356.642539215361</v>
      </c>
      <c r="D1797" s="182">
        <f t="shared" ca="1" si="267"/>
        <v>60.237761692810238</v>
      </c>
      <c r="E1797" s="182">
        <v>12</v>
      </c>
      <c r="F1797" s="182">
        <f t="shared" ca="1" si="265"/>
        <v>0</v>
      </c>
      <c r="G1797" s="182">
        <f t="shared" ca="1" si="268"/>
        <v>0</v>
      </c>
      <c r="H1797" s="182">
        <f t="shared" ca="1" si="269"/>
        <v>90428.880300908175</v>
      </c>
      <c r="I1797" s="183">
        <v>12</v>
      </c>
      <c r="J1797" s="263">
        <f t="shared" ca="1" si="259"/>
        <v>90428.880300908175</v>
      </c>
    </row>
    <row r="1798" spans="1:10" x14ac:dyDescent="0.25">
      <c r="A1798" s="180">
        <f t="shared" ca="1" si="260"/>
        <v>47888</v>
      </c>
      <c r="B1798" s="181">
        <v>1784</v>
      </c>
      <c r="C1798" s="182">
        <f t="shared" ca="1" si="266"/>
        <v>90428.880300908175</v>
      </c>
      <c r="D1798" s="182">
        <f t="shared" ca="1" si="267"/>
        <v>60.285920200605446</v>
      </c>
      <c r="E1798" s="182">
        <v>13</v>
      </c>
      <c r="F1798" s="182">
        <f t="shared" ca="1" si="265"/>
        <v>0</v>
      </c>
      <c r="G1798" s="182">
        <f t="shared" ca="1" si="268"/>
        <v>0</v>
      </c>
      <c r="H1798" s="182">
        <f t="shared" ca="1" si="269"/>
        <v>90502.166221108782</v>
      </c>
      <c r="I1798" s="183">
        <v>13</v>
      </c>
      <c r="J1798" s="263">
        <f t="shared" ca="1" si="259"/>
        <v>90502.166221108782</v>
      </c>
    </row>
    <row r="1799" spans="1:10" x14ac:dyDescent="0.25">
      <c r="A1799" s="180">
        <f t="shared" ca="1" si="260"/>
        <v>47889</v>
      </c>
      <c r="B1799" s="181">
        <v>1785</v>
      </c>
      <c r="C1799" s="182">
        <f t="shared" ca="1" si="266"/>
        <v>90502.166221108782</v>
      </c>
      <c r="D1799" s="182">
        <f t="shared" ca="1" si="267"/>
        <v>60.334777480739184</v>
      </c>
      <c r="E1799" s="182">
        <v>14</v>
      </c>
      <c r="F1799" s="182">
        <f t="shared" ca="1" si="265"/>
        <v>0</v>
      </c>
      <c r="G1799" s="182">
        <f t="shared" ca="1" si="268"/>
        <v>0</v>
      </c>
      <c r="H1799" s="182">
        <f t="shared" ca="1" si="269"/>
        <v>90576.500998589516</v>
      </c>
      <c r="I1799" s="183">
        <v>14</v>
      </c>
      <c r="J1799" s="263">
        <f t="shared" ca="1" si="259"/>
        <v>90576.500998589516</v>
      </c>
    </row>
    <row r="1800" spans="1:10" x14ac:dyDescent="0.25">
      <c r="A1800" s="180">
        <f t="shared" ca="1" si="260"/>
        <v>47890</v>
      </c>
      <c r="B1800" s="181">
        <v>1786</v>
      </c>
      <c r="C1800" s="182">
        <f t="shared" ca="1" si="266"/>
        <v>90576.500998589516</v>
      </c>
      <c r="D1800" s="182">
        <f t="shared" ca="1" si="267"/>
        <v>60.384333999059677</v>
      </c>
      <c r="E1800" s="182">
        <v>15</v>
      </c>
      <c r="F1800" s="182">
        <f t="shared" ca="1" si="265"/>
        <v>0</v>
      </c>
      <c r="G1800" s="182">
        <f t="shared" ca="1" si="268"/>
        <v>0</v>
      </c>
      <c r="H1800" s="182">
        <f t="shared" ca="1" si="269"/>
        <v>90651.885332588572</v>
      </c>
      <c r="I1800" s="183">
        <v>15</v>
      </c>
      <c r="J1800" s="263">
        <f t="shared" ca="1" si="259"/>
        <v>90651.885332588572</v>
      </c>
    </row>
    <row r="1801" spans="1:10" x14ac:dyDescent="0.25">
      <c r="A1801" s="180">
        <f t="shared" ca="1" si="260"/>
        <v>47891</v>
      </c>
      <c r="B1801" s="181">
        <v>1787</v>
      </c>
      <c r="C1801" s="182">
        <f t="shared" ca="1" si="266"/>
        <v>90651.885332588572</v>
      </c>
      <c r="D1801" s="182">
        <f t="shared" ca="1" si="267"/>
        <v>60.434590221725713</v>
      </c>
      <c r="E1801" s="182">
        <v>16</v>
      </c>
      <c r="F1801" s="182">
        <f t="shared" ca="1" si="265"/>
        <v>0</v>
      </c>
      <c r="G1801" s="182">
        <f t="shared" ca="1" si="268"/>
        <v>0</v>
      </c>
      <c r="H1801" s="182">
        <f t="shared" ca="1" si="269"/>
        <v>90728.319922810304</v>
      </c>
      <c r="I1801" s="183">
        <v>16</v>
      </c>
      <c r="J1801" s="263">
        <f t="shared" ca="1" si="259"/>
        <v>90728.319922810304</v>
      </c>
    </row>
    <row r="1802" spans="1:10" x14ac:dyDescent="0.25">
      <c r="A1802" s="180">
        <f t="shared" ca="1" si="260"/>
        <v>47892</v>
      </c>
      <c r="B1802" s="181">
        <v>1788</v>
      </c>
      <c r="C1802" s="182">
        <f t="shared" ca="1" si="266"/>
        <v>90728.319922810304</v>
      </c>
      <c r="D1802" s="182">
        <f t="shared" ca="1" si="267"/>
        <v>60.485546615206864</v>
      </c>
      <c r="E1802" s="182">
        <v>17</v>
      </c>
      <c r="F1802" s="182">
        <f t="shared" ca="1" si="265"/>
        <v>0</v>
      </c>
      <c r="G1802" s="182">
        <f t="shared" ca="1" si="268"/>
        <v>0</v>
      </c>
      <c r="H1802" s="182">
        <f t="shared" ca="1" si="269"/>
        <v>90805.805469425512</v>
      </c>
      <c r="I1802" s="183">
        <v>17</v>
      </c>
      <c r="J1802" s="263">
        <f t="shared" ca="1" si="259"/>
        <v>90805.805469425512</v>
      </c>
    </row>
    <row r="1803" spans="1:10" x14ac:dyDescent="0.25">
      <c r="A1803" s="180">
        <f t="shared" ca="1" si="260"/>
        <v>47893</v>
      </c>
      <c r="B1803" s="181">
        <v>1789</v>
      </c>
      <c r="C1803" s="182">
        <f t="shared" ca="1" si="266"/>
        <v>90805.805469425512</v>
      </c>
      <c r="D1803" s="182">
        <f t="shared" ca="1" si="267"/>
        <v>60.537203646283672</v>
      </c>
      <c r="E1803" s="182">
        <v>18</v>
      </c>
      <c r="F1803" s="182">
        <f t="shared" ca="1" si="265"/>
        <v>0</v>
      </c>
      <c r="G1803" s="182">
        <f t="shared" ca="1" si="268"/>
        <v>0</v>
      </c>
      <c r="H1803" s="182">
        <f t="shared" ca="1" si="269"/>
        <v>90884.342673071791</v>
      </c>
      <c r="I1803" s="183">
        <v>18</v>
      </c>
      <c r="J1803" s="263">
        <f t="shared" ca="1" si="259"/>
        <v>90884.342673071791</v>
      </c>
    </row>
    <row r="1804" spans="1:10" x14ac:dyDescent="0.25">
      <c r="A1804" s="180">
        <f t="shared" ca="1" si="260"/>
        <v>47894</v>
      </c>
      <c r="B1804" s="181">
        <v>1790</v>
      </c>
      <c r="C1804" s="182">
        <f t="shared" ca="1" si="266"/>
        <v>90884.342673071791</v>
      </c>
      <c r="D1804" s="182">
        <f t="shared" ca="1" si="267"/>
        <v>60.589561782047859</v>
      </c>
      <c r="E1804" s="182">
        <v>19</v>
      </c>
      <c r="F1804" s="182">
        <f t="shared" ca="1" si="265"/>
        <v>0</v>
      </c>
      <c r="G1804" s="182">
        <f t="shared" ca="1" si="268"/>
        <v>0</v>
      </c>
      <c r="H1804" s="182">
        <f t="shared" ca="1" si="269"/>
        <v>90963.932234853841</v>
      </c>
      <c r="I1804" s="183">
        <v>19</v>
      </c>
      <c r="J1804" s="263">
        <f t="shared" ca="1" si="259"/>
        <v>90963.932234853841</v>
      </c>
    </row>
    <row r="1805" spans="1:10" x14ac:dyDescent="0.25">
      <c r="A1805" s="180">
        <f t="shared" ca="1" si="260"/>
        <v>47895</v>
      </c>
      <c r="B1805" s="181">
        <v>1791</v>
      </c>
      <c r="C1805" s="182">
        <f t="shared" ca="1" si="266"/>
        <v>90963.932234853841</v>
      </c>
      <c r="D1805" s="182">
        <f t="shared" ca="1" si="267"/>
        <v>60.64262148990256</v>
      </c>
      <c r="E1805" s="182">
        <v>20</v>
      </c>
      <c r="F1805" s="182">
        <f t="shared" ca="1" si="265"/>
        <v>0</v>
      </c>
      <c r="G1805" s="182">
        <f t="shared" ca="1" si="268"/>
        <v>0</v>
      </c>
      <c r="H1805" s="182">
        <f t="shared" ca="1" si="269"/>
        <v>91044.574856343737</v>
      </c>
      <c r="I1805" s="183">
        <v>20</v>
      </c>
      <c r="J1805" s="263">
        <f t="shared" ca="1" si="259"/>
        <v>91044.574856343737</v>
      </c>
    </row>
    <row r="1806" spans="1:10" x14ac:dyDescent="0.25">
      <c r="A1806" s="180">
        <f t="shared" ca="1" si="260"/>
        <v>47896</v>
      </c>
      <c r="B1806" s="181">
        <v>1792</v>
      </c>
      <c r="C1806" s="182">
        <f t="shared" ca="1" si="266"/>
        <v>91044.574856343737</v>
      </c>
      <c r="D1806" s="182">
        <f t="shared" ca="1" si="267"/>
        <v>60.696383237562486</v>
      </c>
      <c r="E1806" s="182">
        <v>21</v>
      </c>
      <c r="F1806" s="182">
        <f t="shared" ca="1" si="265"/>
        <v>0</v>
      </c>
      <c r="G1806" s="182">
        <f t="shared" ca="1" si="268"/>
        <v>0</v>
      </c>
      <c r="H1806" s="182">
        <f t="shared" ca="1" si="269"/>
        <v>91126.2712395813</v>
      </c>
      <c r="I1806" s="183">
        <v>21</v>
      </c>
      <c r="J1806" s="263">
        <f t="shared" ca="1" si="259"/>
        <v>91126.2712395813</v>
      </c>
    </row>
    <row r="1807" spans="1:10" x14ac:dyDescent="0.25">
      <c r="A1807" s="180">
        <f t="shared" ca="1" si="260"/>
        <v>47897</v>
      </c>
      <c r="B1807" s="181">
        <v>1793</v>
      </c>
      <c r="C1807" s="182">
        <f t="shared" ca="1" si="266"/>
        <v>91126.2712395813</v>
      </c>
      <c r="D1807" s="182">
        <f t="shared" ca="1" si="267"/>
        <v>60.750847493054195</v>
      </c>
      <c r="E1807" s="182">
        <v>22</v>
      </c>
      <c r="F1807" s="182">
        <f t="shared" ca="1" si="265"/>
        <v>0</v>
      </c>
      <c r="G1807" s="182">
        <f t="shared" ca="1" si="268"/>
        <v>0</v>
      </c>
      <c r="H1807" s="182">
        <f t="shared" ca="1" si="269"/>
        <v>91209.022087074351</v>
      </c>
      <c r="I1807" s="183">
        <v>22</v>
      </c>
      <c r="J1807" s="263">
        <f t="shared" ref="J1807:J1870" ca="1" si="270">H1807-IF(I$8-G1807&lt;Q$42,I$8-Q$42,G1807)</f>
        <v>91209.022087074351</v>
      </c>
    </row>
    <row r="1808" spans="1:10" x14ac:dyDescent="0.25">
      <c r="A1808" s="180">
        <f t="shared" ca="1" si="260"/>
        <v>47898</v>
      </c>
      <c r="B1808" s="181">
        <v>1794</v>
      </c>
      <c r="C1808" s="182">
        <f t="shared" ca="1" si="266"/>
        <v>91209.022087074351</v>
      </c>
      <c r="D1808" s="182">
        <f t="shared" ca="1" si="267"/>
        <v>60.806014724716235</v>
      </c>
      <c r="E1808" s="182">
        <v>23</v>
      </c>
      <c r="F1808" s="182">
        <f t="shared" ca="1" si="265"/>
        <v>0</v>
      </c>
      <c r="G1808" s="182">
        <f t="shared" ca="1" si="268"/>
        <v>0</v>
      </c>
      <c r="H1808" s="182">
        <f t="shared" ca="1" si="269"/>
        <v>91292.828101799067</v>
      </c>
      <c r="I1808" s="183">
        <v>23</v>
      </c>
      <c r="J1808" s="263">
        <f t="shared" ca="1" si="270"/>
        <v>91292.828101799067</v>
      </c>
    </row>
    <row r="1809" spans="1:10" x14ac:dyDescent="0.25">
      <c r="A1809" s="180">
        <f t="shared" ref="A1809:A1872" ca="1" si="271">A1808+1</f>
        <v>47899</v>
      </c>
      <c r="B1809" s="181">
        <v>1795</v>
      </c>
      <c r="C1809" s="182">
        <f t="shared" ca="1" si="266"/>
        <v>91292.828101799067</v>
      </c>
      <c r="D1809" s="182">
        <f t="shared" ca="1" si="267"/>
        <v>60.861885401199373</v>
      </c>
      <c r="E1809" s="182">
        <v>24</v>
      </c>
      <c r="F1809" s="182">
        <f t="shared" ca="1" si="265"/>
        <v>0</v>
      </c>
      <c r="G1809" s="182">
        <f t="shared" ca="1" si="268"/>
        <v>0</v>
      </c>
      <c r="H1809" s="182">
        <f t="shared" ca="1" si="269"/>
        <v>91377.689987200269</v>
      </c>
      <c r="I1809" s="183">
        <v>24</v>
      </c>
      <c r="J1809" s="263">
        <f t="shared" ca="1" si="270"/>
        <v>91377.689987200269</v>
      </c>
    </row>
    <row r="1810" spans="1:10" x14ac:dyDescent="0.25">
      <c r="A1810" s="180">
        <f t="shared" ca="1" si="271"/>
        <v>47900</v>
      </c>
      <c r="B1810" s="181">
        <v>1796</v>
      </c>
      <c r="C1810" s="182">
        <f t="shared" ca="1" si="266"/>
        <v>91377.689987200269</v>
      </c>
      <c r="D1810" s="182">
        <f t="shared" ca="1" si="267"/>
        <v>60.918459991466847</v>
      </c>
      <c r="E1810" s="182">
        <v>25</v>
      </c>
      <c r="F1810" s="182">
        <f t="shared" ca="1" si="265"/>
        <v>0</v>
      </c>
      <c r="G1810" s="182">
        <f t="shared" ca="1" si="268"/>
        <v>0</v>
      </c>
      <c r="H1810" s="182">
        <f t="shared" ca="1" si="269"/>
        <v>91463.608447191742</v>
      </c>
      <c r="I1810" s="183">
        <v>25</v>
      </c>
      <c r="J1810" s="263">
        <f t="shared" ca="1" si="270"/>
        <v>91463.608447191742</v>
      </c>
    </row>
    <row r="1811" spans="1:10" x14ac:dyDescent="0.25">
      <c r="A1811" s="180">
        <f t="shared" ca="1" si="271"/>
        <v>47901</v>
      </c>
      <c r="B1811" s="181">
        <v>1797</v>
      </c>
      <c r="C1811" s="182">
        <f t="shared" ca="1" si="266"/>
        <v>91463.608447191742</v>
      </c>
      <c r="D1811" s="182">
        <f t="shared" ca="1" si="267"/>
        <v>60.975738964794495</v>
      </c>
      <c r="E1811" s="182">
        <v>26</v>
      </c>
      <c r="F1811" s="182">
        <f t="shared" ca="1" si="265"/>
        <v>0</v>
      </c>
      <c r="G1811" s="182">
        <f t="shared" ca="1" si="268"/>
        <v>0</v>
      </c>
      <c r="H1811" s="182">
        <f t="shared" ca="1" si="269"/>
        <v>91550.584186156542</v>
      </c>
      <c r="I1811" s="183">
        <v>26</v>
      </c>
      <c r="J1811" s="263">
        <f t="shared" ca="1" si="270"/>
        <v>91550.584186156542</v>
      </c>
    </row>
    <row r="1812" spans="1:10" x14ac:dyDescent="0.25">
      <c r="A1812" s="180">
        <f t="shared" ca="1" si="271"/>
        <v>47902</v>
      </c>
      <c r="B1812" s="181">
        <v>1798</v>
      </c>
      <c r="C1812" s="182">
        <f t="shared" ca="1" si="266"/>
        <v>91550.584186156542</v>
      </c>
      <c r="D1812" s="182">
        <f t="shared" ca="1" si="267"/>
        <v>61.033722790771023</v>
      </c>
      <c r="E1812" s="182">
        <v>27</v>
      </c>
      <c r="F1812" s="182">
        <f t="shared" ca="1" si="265"/>
        <v>0</v>
      </c>
      <c r="G1812" s="182">
        <f t="shared" ca="1" si="268"/>
        <v>0</v>
      </c>
      <c r="H1812" s="182">
        <f t="shared" ca="1" si="269"/>
        <v>91638.617908947315</v>
      </c>
      <c r="I1812" s="183">
        <v>27</v>
      </c>
      <c r="J1812" s="263">
        <f t="shared" ca="1" si="270"/>
        <v>91638.617908947315</v>
      </c>
    </row>
    <row r="1813" spans="1:10" x14ac:dyDescent="0.25">
      <c r="A1813" s="180">
        <f t="shared" ca="1" si="271"/>
        <v>47903</v>
      </c>
      <c r="B1813" s="181">
        <v>1799</v>
      </c>
      <c r="C1813" s="182">
        <f t="shared" ca="1" si="266"/>
        <v>91638.617908947315</v>
      </c>
      <c r="D1813" s="182">
        <f t="shared" ca="1" si="267"/>
        <v>61.092411939298209</v>
      </c>
      <c r="E1813" s="182">
        <v>28</v>
      </c>
      <c r="F1813" s="182">
        <f t="shared" ca="1" si="265"/>
        <v>0</v>
      </c>
      <c r="G1813" s="182">
        <f t="shared" ca="1" si="268"/>
        <v>0</v>
      </c>
      <c r="H1813" s="182">
        <f t="shared" ca="1" si="269"/>
        <v>91727.710320886617</v>
      </c>
      <c r="I1813" s="183">
        <v>28</v>
      </c>
      <c r="J1813" s="263">
        <f t="shared" ca="1" si="270"/>
        <v>91727.710320886617</v>
      </c>
    </row>
    <row r="1814" spans="1:10" x14ac:dyDescent="0.25">
      <c r="A1814" s="180">
        <f t="shared" ca="1" si="271"/>
        <v>47904</v>
      </c>
      <c r="B1814" s="181">
        <v>1800</v>
      </c>
      <c r="C1814" s="182">
        <f t="shared" ca="1" si="266"/>
        <v>91727.710320886617</v>
      </c>
      <c r="D1814" s="182">
        <f t="shared" ca="1" si="267"/>
        <v>61.151806880591074</v>
      </c>
      <c r="E1814" s="182">
        <v>29</v>
      </c>
      <c r="F1814" s="182">
        <f t="shared" ca="1" si="265"/>
        <v>0</v>
      </c>
      <c r="G1814" s="182">
        <f t="shared" ca="1" si="268"/>
        <v>0</v>
      </c>
      <c r="H1814" s="182">
        <f t="shared" ca="1" si="269"/>
        <v>91817.862127767206</v>
      </c>
      <c r="I1814" s="183">
        <v>29</v>
      </c>
      <c r="J1814" s="263">
        <f t="shared" ca="1" si="270"/>
        <v>91817.862127767206</v>
      </c>
    </row>
    <row r="1815" spans="1:10" x14ac:dyDescent="0.25">
      <c r="A1815" s="180">
        <f t="shared" ca="1" si="271"/>
        <v>47905</v>
      </c>
      <c r="B1815" s="181">
        <v>1801</v>
      </c>
      <c r="C1815" s="182">
        <f t="shared" ca="1" si="266"/>
        <v>91817.862127767206</v>
      </c>
      <c r="D1815" s="182">
        <f t="shared" ca="1" si="267"/>
        <v>61.211908085178138</v>
      </c>
      <c r="E1815" s="182">
        <v>30</v>
      </c>
      <c r="F1815" s="182">
        <f t="shared" ca="1" si="265"/>
        <v>0</v>
      </c>
      <c r="G1815" s="182">
        <f t="shared" ca="1" si="268"/>
        <v>0</v>
      </c>
      <c r="H1815" s="182">
        <f t="shared" ca="1" si="269"/>
        <v>91909.074035852391</v>
      </c>
      <c r="I1815" s="183">
        <v>30</v>
      </c>
      <c r="J1815" s="263">
        <f t="shared" ca="1" si="270"/>
        <v>91909.074035852391</v>
      </c>
    </row>
    <row r="1816" spans="1:10" x14ac:dyDescent="0.25">
      <c r="A1816" s="180">
        <f t="shared" ca="1" si="271"/>
        <v>47906</v>
      </c>
      <c r="B1816" s="181">
        <v>1802</v>
      </c>
      <c r="C1816" s="182">
        <f t="shared" ca="1" si="266"/>
        <v>91909.074035852391</v>
      </c>
      <c r="D1816" s="182">
        <f t="shared" ca="1" si="267"/>
        <v>61.272716023901594</v>
      </c>
      <c r="E1816" s="182">
        <v>31</v>
      </c>
      <c r="F1816" s="182">
        <f t="shared" ca="1" si="265"/>
        <v>0</v>
      </c>
      <c r="G1816" s="182">
        <f t="shared" ca="1" si="268"/>
        <v>0</v>
      </c>
      <c r="H1816" s="182">
        <f t="shared" ca="1" si="269"/>
        <v>92001.346751876292</v>
      </c>
      <c r="I1816" s="183">
        <v>31</v>
      </c>
      <c r="J1816" s="263">
        <f t="shared" ca="1" si="270"/>
        <v>92001.346751876292</v>
      </c>
    </row>
    <row r="1817" spans="1:10" x14ac:dyDescent="0.25">
      <c r="A1817" s="180">
        <f t="shared" ca="1" si="271"/>
        <v>47907</v>
      </c>
      <c r="B1817" s="181">
        <v>1803</v>
      </c>
      <c r="C1817" s="182">
        <f t="shared" ca="1" si="266"/>
        <v>92001.346751876292</v>
      </c>
      <c r="D1817" s="182">
        <f t="shared" ca="1" si="267"/>
        <v>61.334231167917522</v>
      </c>
      <c r="E1817" s="182">
        <v>32</v>
      </c>
      <c r="F1817" s="182">
        <f t="shared" ca="1" si="265"/>
        <v>0</v>
      </c>
      <c r="G1817" s="182">
        <f t="shared" ca="1" si="268"/>
        <v>0</v>
      </c>
      <c r="H1817" s="182">
        <f t="shared" ca="1" si="269"/>
        <v>92094.680983044207</v>
      </c>
      <c r="I1817" s="183">
        <v>32</v>
      </c>
      <c r="J1817" s="263">
        <f t="shared" ca="1" si="270"/>
        <v>92094.680983044207</v>
      </c>
    </row>
    <row r="1818" spans="1:10" x14ac:dyDescent="0.25">
      <c r="A1818" s="180">
        <f t="shared" ca="1" si="271"/>
        <v>47908</v>
      </c>
      <c r="B1818" s="181">
        <v>1804</v>
      </c>
      <c r="C1818" s="182">
        <f t="shared" ca="1" si="266"/>
        <v>92094.680983044207</v>
      </c>
      <c r="D1818" s="182">
        <f t="shared" ca="1" si="267"/>
        <v>61.396453988696138</v>
      </c>
      <c r="E1818" s="182">
        <v>33</v>
      </c>
      <c r="F1818" s="182">
        <f t="shared" ca="1" si="265"/>
        <v>0</v>
      </c>
      <c r="G1818" s="182">
        <f t="shared" ca="1" si="268"/>
        <v>0</v>
      </c>
      <c r="H1818" s="182">
        <f t="shared" ca="1" si="269"/>
        <v>92189.077437032902</v>
      </c>
      <c r="I1818" s="183">
        <v>33</v>
      </c>
      <c r="J1818" s="263">
        <f t="shared" ca="1" si="270"/>
        <v>92189.077437032902</v>
      </c>
    </row>
    <row r="1819" spans="1:10" x14ac:dyDescent="0.25">
      <c r="A1819" s="180">
        <f t="shared" ca="1" si="271"/>
        <v>47909</v>
      </c>
      <c r="B1819" s="181">
        <v>1805</v>
      </c>
      <c r="C1819" s="182">
        <f t="shared" ca="1" si="266"/>
        <v>92189.077437032902</v>
      </c>
      <c r="D1819" s="182">
        <f t="shared" ca="1" si="267"/>
        <v>61.459384958021936</v>
      </c>
      <c r="E1819" s="182">
        <v>34</v>
      </c>
      <c r="F1819" s="182">
        <f t="shared" ca="1" si="265"/>
        <v>0</v>
      </c>
      <c r="G1819" s="182">
        <f t="shared" ca="1" si="268"/>
        <v>0</v>
      </c>
      <c r="H1819" s="182">
        <f t="shared" ca="1" si="269"/>
        <v>92284.536821990929</v>
      </c>
      <c r="I1819" s="183">
        <v>34</v>
      </c>
      <c r="J1819" s="263">
        <f t="shared" ca="1" si="270"/>
        <v>92284.536821990929</v>
      </c>
    </row>
    <row r="1820" spans="1:10" x14ac:dyDescent="0.25">
      <c r="A1820" s="180">
        <f t="shared" ca="1" si="271"/>
        <v>47910</v>
      </c>
      <c r="B1820" s="181">
        <v>1806</v>
      </c>
      <c r="C1820" s="182">
        <f t="shared" ca="1" si="266"/>
        <v>92284.536821990929</v>
      </c>
      <c r="D1820" s="182">
        <f t="shared" ca="1" si="267"/>
        <v>61.523024547993948</v>
      </c>
      <c r="E1820" s="182">
        <v>35</v>
      </c>
      <c r="F1820" s="182">
        <f t="shared" ca="1" si="265"/>
        <v>0</v>
      </c>
      <c r="G1820" s="182">
        <f t="shared" ca="1" si="268"/>
        <v>0</v>
      </c>
      <c r="H1820" s="182">
        <f t="shared" ca="1" si="269"/>
        <v>92381.059846538919</v>
      </c>
      <c r="I1820" s="183">
        <v>35</v>
      </c>
      <c r="J1820" s="263">
        <f t="shared" ca="1" si="270"/>
        <v>92381.059846538919</v>
      </c>
    </row>
    <row r="1821" spans="1:10" x14ac:dyDescent="0.25">
      <c r="A1821" s="180">
        <f t="shared" ca="1" si="271"/>
        <v>47911</v>
      </c>
      <c r="B1821" s="181">
        <v>1807</v>
      </c>
      <c r="C1821" s="182">
        <f t="shared" ca="1" si="266"/>
        <v>92381.059846538919</v>
      </c>
      <c r="D1821" s="182">
        <f t="shared" ca="1" si="267"/>
        <v>61.587373231025943</v>
      </c>
      <c r="E1821" s="182">
        <v>36</v>
      </c>
      <c r="F1821" s="182">
        <f t="shared" ca="1" si="265"/>
        <v>0</v>
      </c>
      <c r="G1821" s="182">
        <f t="shared" ca="1" si="268"/>
        <v>0</v>
      </c>
      <c r="H1821" s="182">
        <f t="shared" ca="1" si="269"/>
        <v>92478.647219769948</v>
      </c>
      <c r="I1821" s="183">
        <v>36</v>
      </c>
      <c r="J1821" s="263">
        <f t="shared" ca="1" si="270"/>
        <v>92478.647219769948</v>
      </c>
    </row>
    <row r="1822" spans="1:10" x14ac:dyDescent="0.25">
      <c r="A1822" s="180">
        <f t="shared" ca="1" si="271"/>
        <v>47912</v>
      </c>
      <c r="B1822" s="181">
        <v>1808</v>
      </c>
      <c r="C1822" s="182">
        <f t="shared" ca="1" si="266"/>
        <v>92478.647219769948</v>
      </c>
      <c r="D1822" s="182">
        <f t="shared" ca="1" si="267"/>
        <v>61.652431479846626</v>
      </c>
      <c r="E1822" s="182">
        <v>37</v>
      </c>
      <c r="F1822" s="182">
        <f t="shared" ca="1" si="265"/>
        <v>0</v>
      </c>
      <c r="G1822" s="182">
        <f t="shared" ca="1" si="268"/>
        <v>0</v>
      </c>
      <c r="H1822" s="182">
        <f t="shared" ca="1" si="269"/>
        <v>92577.299651249792</v>
      </c>
      <c r="I1822" s="183">
        <v>37</v>
      </c>
      <c r="J1822" s="263">
        <f t="shared" ca="1" si="270"/>
        <v>92577.299651249792</v>
      </c>
    </row>
    <row r="1823" spans="1:10" x14ac:dyDescent="0.25">
      <c r="A1823" s="180">
        <f t="shared" ca="1" si="271"/>
        <v>47913</v>
      </c>
      <c r="B1823" s="181">
        <v>1809</v>
      </c>
      <c r="C1823" s="182">
        <f t="shared" ca="1" si="266"/>
        <v>92577.299651249792</v>
      </c>
      <c r="D1823" s="182">
        <f t="shared" ca="1" si="267"/>
        <v>61.718199767499861</v>
      </c>
      <c r="E1823" s="182">
        <v>38</v>
      </c>
      <c r="F1823" s="182">
        <f t="shared" ca="1" si="265"/>
        <v>0</v>
      </c>
      <c r="G1823" s="182">
        <f t="shared" ca="1" si="268"/>
        <v>0</v>
      </c>
      <c r="H1823" s="182">
        <f t="shared" ca="1" si="269"/>
        <v>92677.017851017299</v>
      </c>
      <c r="I1823" s="183">
        <v>38</v>
      </c>
      <c r="J1823" s="263">
        <f t="shared" ca="1" si="270"/>
        <v>92677.017851017299</v>
      </c>
    </row>
    <row r="1824" spans="1:10" x14ac:dyDescent="0.25">
      <c r="A1824" s="180">
        <f t="shared" ca="1" si="271"/>
        <v>47914</v>
      </c>
      <c r="B1824" s="181">
        <v>1810</v>
      </c>
      <c r="C1824" s="182">
        <f t="shared" ca="1" si="266"/>
        <v>92677.017851017299</v>
      </c>
      <c r="D1824" s="182">
        <f t="shared" ca="1" si="267"/>
        <v>61.784678567344862</v>
      </c>
      <c r="E1824" s="182">
        <v>39</v>
      </c>
      <c r="F1824" s="182">
        <f t="shared" ca="1" si="265"/>
        <v>0</v>
      </c>
      <c r="G1824" s="182">
        <f t="shared" ca="1" si="268"/>
        <v>0</v>
      </c>
      <c r="H1824" s="182">
        <f t="shared" ca="1" si="269"/>
        <v>92777.802529584646</v>
      </c>
      <c r="I1824" s="183">
        <v>39</v>
      </c>
      <c r="J1824" s="263">
        <f t="shared" ca="1" si="270"/>
        <v>92777.802529584646</v>
      </c>
    </row>
    <row r="1825" spans="1:10" x14ac:dyDescent="0.25">
      <c r="A1825" s="180">
        <f t="shared" ca="1" si="271"/>
        <v>47915</v>
      </c>
      <c r="B1825" s="181">
        <v>1811</v>
      </c>
      <c r="C1825" s="182">
        <f t="shared" ca="1" si="266"/>
        <v>92777.802529584646</v>
      </c>
      <c r="D1825" s="182">
        <f t="shared" ca="1" si="267"/>
        <v>61.851868353056432</v>
      </c>
      <c r="E1825" s="182">
        <v>40</v>
      </c>
      <c r="F1825" s="182">
        <f t="shared" ca="1" si="265"/>
        <v>0</v>
      </c>
      <c r="G1825" s="182">
        <f t="shared" ca="1" si="268"/>
        <v>0</v>
      </c>
      <c r="H1825" s="182">
        <f t="shared" ca="1" si="269"/>
        <v>92879.654397937702</v>
      </c>
      <c r="I1825" s="183">
        <v>40</v>
      </c>
      <c r="J1825" s="263">
        <f t="shared" ca="1" si="270"/>
        <v>92879.654397937702</v>
      </c>
    </row>
    <row r="1826" spans="1:10" x14ac:dyDescent="0.25">
      <c r="A1826" s="180">
        <f t="shared" ca="1" si="271"/>
        <v>47916</v>
      </c>
      <c r="B1826" s="181">
        <v>1812</v>
      </c>
      <c r="C1826" s="182">
        <f t="shared" ca="1" si="266"/>
        <v>92879.654397937702</v>
      </c>
      <c r="D1826" s="182">
        <f t="shared" ca="1" si="267"/>
        <v>61.91976959862513</v>
      </c>
      <c r="E1826" s="182">
        <v>41</v>
      </c>
      <c r="F1826" s="182">
        <f t="shared" ca="1" si="265"/>
        <v>0</v>
      </c>
      <c r="G1826" s="182">
        <f t="shared" ca="1" si="268"/>
        <v>0</v>
      </c>
      <c r="H1826" s="182">
        <f t="shared" ca="1" si="269"/>
        <v>92982.574167536324</v>
      </c>
      <c r="I1826" s="183">
        <v>41</v>
      </c>
      <c r="J1826" s="263">
        <f t="shared" ca="1" si="270"/>
        <v>92982.574167536324</v>
      </c>
    </row>
    <row r="1827" spans="1:10" x14ac:dyDescent="0.25">
      <c r="A1827" s="180">
        <f t="shared" ca="1" si="271"/>
        <v>47917</v>
      </c>
      <c r="B1827" s="181">
        <v>1813</v>
      </c>
      <c r="C1827" s="182">
        <f t="shared" ca="1" si="266"/>
        <v>92982.574167536324</v>
      </c>
      <c r="D1827" s="182">
        <f t="shared" ca="1" si="267"/>
        <v>61.988382778357547</v>
      </c>
      <c r="E1827" s="182">
        <v>42</v>
      </c>
      <c r="F1827" s="182">
        <f t="shared" ca="1" si="265"/>
        <v>0</v>
      </c>
      <c r="G1827" s="182">
        <f t="shared" ca="1" si="268"/>
        <v>0</v>
      </c>
      <c r="H1827" s="182">
        <f t="shared" ca="1" si="269"/>
        <v>93086.562550314688</v>
      </c>
      <c r="I1827" s="183">
        <v>42</v>
      </c>
      <c r="J1827" s="263">
        <f t="shared" ca="1" si="270"/>
        <v>93086.562550314688</v>
      </c>
    </row>
    <row r="1828" spans="1:10" x14ac:dyDescent="0.25">
      <c r="A1828" s="180">
        <f t="shared" ca="1" si="271"/>
        <v>47918</v>
      </c>
      <c r="B1828" s="181">
        <v>1814</v>
      </c>
      <c r="C1828" s="182">
        <f t="shared" ca="1" si="266"/>
        <v>93086.562550314688</v>
      </c>
      <c r="D1828" s="182">
        <f t="shared" ca="1" si="267"/>
        <v>62.057708366876454</v>
      </c>
      <c r="E1828" s="182">
        <v>43</v>
      </c>
      <c r="F1828" s="182">
        <f t="shared" ca="1" si="265"/>
        <v>0</v>
      </c>
      <c r="G1828" s="182">
        <f t="shared" ca="1" si="268"/>
        <v>0</v>
      </c>
      <c r="H1828" s="182">
        <f t="shared" ca="1" si="269"/>
        <v>93191.620258681563</v>
      </c>
      <c r="I1828" s="183">
        <v>43</v>
      </c>
      <c r="J1828" s="263">
        <f t="shared" ca="1" si="270"/>
        <v>93191.620258681563</v>
      </c>
    </row>
    <row r="1829" spans="1:10" x14ac:dyDescent="0.25">
      <c r="A1829" s="180">
        <f t="shared" ca="1" si="271"/>
        <v>47919</v>
      </c>
      <c r="B1829" s="181">
        <v>1815</v>
      </c>
      <c r="C1829" s="182">
        <f t="shared" ca="1" si="266"/>
        <v>93191.620258681563</v>
      </c>
      <c r="D1829" s="182">
        <f t="shared" ca="1" si="267"/>
        <v>62.127746839121038</v>
      </c>
      <c r="E1829" s="182">
        <v>44</v>
      </c>
      <c r="F1829" s="182">
        <f t="shared" ca="1" si="265"/>
        <v>0</v>
      </c>
      <c r="G1829" s="182">
        <f t="shared" ca="1" si="268"/>
        <v>0</v>
      </c>
      <c r="H1829" s="182">
        <f t="shared" ca="1" si="269"/>
        <v>93297.748005520683</v>
      </c>
      <c r="I1829" s="183">
        <v>44</v>
      </c>
      <c r="J1829" s="263">
        <f t="shared" ca="1" si="270"/>
        <v>93297.748005520683</v>
      </c>
    </row>
    <row r="1830" spans="1:10" x14ac:dyDescent="0.25">
      <c r="A1830" s="180">
        <f t="shared" ca="1" si="271"/>
        <v>47920</v>
      </c>
      <c r="B1830" s="181">
        <v>1816</v>
      </c>
      <c r="C1830" s="182">
        <f t="shared" ca="1" si="266"/>
        <v>93297.748005520683</v>
      </c>
      <c r="D1830" s="182">
        <f t="shared" ca="1" si="267"/>
        <v>62.198498670347121</v>
      </c>
      <c r="E1830" s="182">
        <v>45</v>
      </c>
      <c r="F1830" s="182">
        <f t="shared" ca="1" si="265"/>
        <v>0</v>
      </c>
      <c r="G1830" s="182">
        <f t="shared" ca="1" si="268"/>
        <v>0</v>
      </c>
      <c r="H1830" s="182">
        <f t="shared" ca="1" si="269"/>
        <v>93404.94650419103</v>
      </c>
      <c r="I1830" s="183">
        <v>45</v>
      </c>
      <c r="J1830" s="263">
        <f t="shared" ca="1" si="270"/>
        <v>93404.94650419103</v>
      </c>
    </row>
    <row r="1831" spans="1:10" x14ac:dyDescent="0.25">
      <c r="A1831" s="180">
        <f t="shared" ca="1" si="271"/>
        <v>47921</v>
      </c>
      <c r="B1831" s="181">
        <v>1817</v>
      </c>
      <c r="C1831" s="182">
        <f t="shared" ca="1" si="266"/>
        <v>93404.94650419103</v>
      </c>
      <c r="D1831" s="182">
        <f t="shared" ca="1" si="267"/>
        <v>62.269964336127352</v>
      </c>
      <c r="E1831" s="182">
        <v>46</v>
      </c>
      <c r="F1831" s="182">
        <f t="shared" ca="1" si="265"/>
        <v>0</v>
      </c>
      <c r="G1831" s="182">
        <f t="shared" ca="1" si="268"/>
        <v>0</v>
      </c>
      <c r="H1831" s="182">
        <f t="shared" ca="1" si="269"/>
        <v>93513.216468527156</v>
      </c>
      <c r="I1831" s="183">
        <v>46</v>
      </c>
      <c r="J1831" s="263">
        <f t="shared" ca="1" si="270"/>
        <v>93513.216468527156</v>
      </c>
    </row>
    <row r="1832" spans="1:10" x14ac:dyDescent="0.25">
      <c r="A1832" s="180">
        <f t="shared" ca="1" si="271"/>
        <v>47922</v>
      </c>
      <c r="B1832" s="181">
        <v>1818</v>
      </c>
      <c r="C1832" s="182">
        <f t="shared" ca="1" si="266"/>
        <v>93513.216468527156</v>
      </c>
      <c r="D1832" s="182">
        <f t="shared" ca="1" si="267"/>
        <v>62.342144312351436</v>
      </c>
      <c r="E1832" s="182">
        <v>47</v>
      </c>
      <c r="F1832" s="182">
        <f t="shared" ca="1" si="265"/>
        <v>0</v>
      </c>
      <c r="G1832" s="182">
        <f t="shared" ca="1" si="268"/>
        <v>0</v>
      </c>
      <c r="H1832" s="182">
        <f t="shared" ca="1" si="269"/>
        <v>93622.558612839508</v>
      </c>
      <c r="I1832" s="183">
        <v>47</v>
      </c>
      <c r="J1832" s="263">
        <f t="shared" ca="1" si="270"/>
        <v>93622.558612839508</v>
      </c>
    </row>
    <row r="1833" spans="1:10" x14ac:dyDescent="0.25">
      <c r="A1833" s="180">
        <f t="shared" ca="1" si="271"/>
        <v>47923</v>
      </c>
      <c r="B1833" s="181">
        <v>1819</v>
      </c>
      <c r="C1833" s="182">
        <f t="shared" ca="1" si="266"/>
        <v>93622.558612839508</v>
      </c>
      <c r="D1833" s="182">
        <f t="shared" ca="1" si="267"/>
        <v>62.415039075226339</v>
      </c>
      <c r="E1833" s="182">
        <v>48</v>
      </c>
      <c r="F1833" s="182">
        <f t="shared" ca="1" si="265"/>
        <v>0</v>
      </c>
      <c r="G1833" s="182">
        <f t="shared" ca="1" si="268"/>
        <v>0</v>
      </c>
      <c r="H1833" s="182">
        <f t="shared" ca="1" si="269"/>
        <v>93732.973651914741</v>
      </c>
      <c r="I1833" s="183">
        <v>48</v>
      </c>
      <c r="J1833" s="263">
        <f t="shared" ca="1" si="270"/>
        <v>93732.973651914741</v>
      </c>
    </row>
    <row r="1834" spans="1:10" x14ac:dyDescent="0.25">
      <c r="A1834" s="180">
        <f t="shared" ca="1" si="271"/>
        <v>47924</v>
      </c>
      <c r="B1834" s="181">
        <v>1820</v>
      </c>
      <c r="C1834" s="182">
        <f t="shared" ca="1" si="266"/>
        <v>93732.973651914741</v>
      </c>
      <c r="D1834" s="182">
        <f t="shared" ca="1" si="267"/>
        <v>62.488649101276494</v>
      </c>
      <c r="E1834" s="182">
        <v>49</v>
      </c>
      <c r="F1834" s="182">
        <f t="shared" ca="1" si="265"/>
        <v>0</v>
      </c>
      <c r="G1834" s="182">
        <f t="shared" ca="1" si="268"/>
        <v>0</v>
      </c>
      <c r="H1834" s="182">
        <f t="shared" ca="1" si="269"/>
        <v>93844.462301016014</v>
      </c>
      <c r="I1834" s="183">
        <v>49</v>
      </c>
      <c r="J1834" s="263">
        <f t="shared" ca="1" si="270"/>
        <v>93844.462301016014</v>
      </c>
    </row>
    <row r="1835" spans="1:10" x14ac:dyDescent="0.25">
      <c r="A1835" s="180">
        <f t="shared" ca="1" si="271"/>
        <v>47925</v>
      </c>
      <c r="B1835" s="181">
        <v>1821</v>
      </c>
      <c r="C1835" s="182">
        <f t="shared" ca="1" si="266"/>
        <v>93844.462301016014</v>
      </c>
      <c r="D1835" s="182">
        <f t="shared" ca="1" si="267"/>
        <v>62.56297486734401</v>
      </c>
      <c r="E1835" s="182">
        <v>50</v>
      </c>
      <c r="F1835" s="182">
        <f t="shared" ca="1" si="265"/>
        <v>0</v>
      </c>
      <c r="G1835" s="182">
        <f t="shared" ca="1" si="268"/>
        <v>0</v>
      </c>
      <c r="H1835" s="182">
        <f t="shared" ca="1" si="269"/>
        <v>93957.025275883352</v>
      </c>
      <c r="I1835" s="183">
        <v>50</v>
      </c>
      <c r="J1835" s="263">
        <f t="shared" ca="1" si="270"/>
        <v>93957.025275883352</v>
      </c>
    </row>
    <row r="1836" spans="1:10" x14ac:dyDescent="0.25">
      <c r="A1836" s="180">
        <f t="shared" ca="1" si="271"/>
        <v>47926</v>
      </c>
      <c r="B1836" s="181">
        <v>1822</v>
      </c>
      <c r="C1836" s="182">
        <f t="shared" ca="1" si="266"/>
        <v>93957.025275883352</v>
      </c>
      <c r="D1836" s="182">
        <f t="shared" ca="1" si="267"/>
        <v>62.638016850588897</v>
      </c>
      <c r="E1836" s="182">
        <v>51</v>
      </c>
      <c r="F1836" s="182">
        <f t="shared" ref="F1836:F1899" ca="1" si="272">IFERROR(-VLOOKUP(A1836,$P$4:$R$31,2,FALSE),0)</f>
        <v>0</v>
      </c>
      <c r="G1836" s="182">
        <f t="shared" ca="1" si="268"/>
        <v>0</v>
      </c>
      <c r="H1836" s="182">
        <f t="shared" ca="1" si="269"/>
        <v>94070.663292733938</v>
      </c>
      <c r="I1836" s="183">
        <v>51</v>
      </c>
      <c r="J1836" s="263">
        <f t="shared" ca="1" si="270"/>
        <v>94070.663292733938</v>
      </c>
    </row>
    <row r="1837" spans="1:10" x14ac:dyDescent="0.25">
      <c r="A1837" s="180">
        <f t="shared" ca="1" si="271"/>
        <v>47927</v>
      </c>
      <c r="B1837" s="181">
        <v>1823</v>
      </c>
      <c r="C1837" s="182">
        <f t="shared" ca="1" si="266"/>
        <v>94070.663292733938</v>
      </c>
      <c r="D1837" s="182">
        <f t="shared" ca="1" si="267"/>
        <v>62.713775528489293</v>
      </c>
      <c r="E1837" s="182">
        <v>52</v>
      </c>
      <c r="F1837" s="182">
        <f t="shared" ca="1" si="272"/>
        <v>0</v>
      </c>
      <c r="G1837" s="182">
        <f t="shared" ca="1" si="268"/>
        <v>0</v>
      </c>
      <c r="H1837" s="182">
        <f t="shared" ca="1" si="269"/>
        <v>94185.377068262431</v>
      </c>
      <c r="I1837" s="183">
        <v>52</v>
      </c>
      <c r="J1837" s="263">
        <f t="shared" ca="1" si="270"/>
        <v>94185.377068262431</v>
      </c>
    </row>
    <row r="1838" spans="1:10" x14ac:dyDescent="0.25">
      <c r="A1838" s="180">
        <f t="shared" ca="1" si="271"/>
        <v>47928</v>
      </c>
      <c r="B1838" s="181">
        <v>1824</v>
      </c>
      <c r="C1838" s="182">
        <f t="shared" ca="1" si="266"/>
        <v>94185.377068262431</v>
      </c>
      <c r="D1838" s="182">
        <f t="shared" ca="1" si="267"/>
        <v>62.790251378841617</v>
      </c>
      <c r="E1838" s="182">
        <v>53</v>
      </c>
      <c r="F1838" s="182">
        <f t="shared" ca="1" si="272"/>
        <v>0</v>
      </c>
      <c r="G1838" s="182">
        <f t="shared" ca="1" si="268"/>
        <v>0</v>
      </c>
      <c r="H1838" s="182">
        <f t="shared" ca="1" si="269"/>
        <v>94301.167319641274</v>
      </c>
      <c r="I1838" s="183">
        <v>53</v>
      </c>
      <c r="J1838" s="263">
        <f t="shared" ca="1" si="270"/>
        <v>94301.167319641274</v>
      </c>
    </row>
    <row r="1839" spans="1:10" x14ac:dyDescent="0.25">
      <c r="A1839" s="180">
        <f t="shared" ca="1" si="271"/>
        <v>47929</v>
      </c>
      <c r="B1839" s="181">
        <v>1825</v>
      </c>
      <c r="C1839" s="182">
        <f t="shared" ca="1" si="266"/>
        <v>94301.167319641274</v>
      </c>
      <c r="D1839" s="182">
        <f t="shared" ca="1" si="267"/>
        <v>62.867444879760846</v>
      </c>
      <c r="E1839" s="182">
        <v>54</v>
      </c>
      <c r="F1839" s="182">
        <f t="shared" ca="1" si="272"/>
        <v>0</v>
      </c>
      <c r="G1839" s="182">
        <f t="shared" ca="1" si="268"/>
        <v>0</v>
      </c>
      <c r="H1839" s="182">
        <f t="shared" ca="1" si="269"/>
        <v>94418.034764521028</v>
      </c>
      <c r="I1839" s="183">
        <v>54</v>
      </c>
      <c r="J1839" s="263">
        <f t="shared" ca="1" si="270"/>
        <v>94418.034764521028</v>
      </c>
    </row>
    <row r="1840" spans="1:10" x14ac:dyDescent="0.25">
      <c r="A1840" s="180">
        <f t="shared" ca="1" si="271"/>
        <v>47930</v>
      </c>
      <c r="B1840" s="181">
        <v>1826</v>
      </c>
      <c r="C1840" s="182">
        <f t="shared" ca="1" si="266"/>
        <v>94418.034764521028</v>
      </c>
      <c r="D1840" s="182">
        <f t="shared" ca="1" si="267"/>
        <v>62.945356509680686</v>
      </c>
      <c r="E1840" s="182">
        <v>55</v>
      </c>
      <c r="F1840" s="182">
        <f t="shared" ca="1" si="272"/>
        <v>0</v>
      </c>
      <c r="G1840" s="182">
        <f t="shared" ca="1" si="268"/>
        <v>0</v>
      </c>
      <c r="H1840" s="182">
        <f t="shared" ca="1" si="269"/>
        <v>94535.980121030705</v>
      </c>
      <c r="I1840" s="183">
        <v>55</v>
      </c>
      <c r="J1840" s="263">
        <f t="shared" ca="1" si="270"/>
        <v>94535.980121030705</v>
      </c>
    </row>
    <row r="1841" spans="1:10" x14ac:dyDescent="0.25">
      <c r="A1841" s="180">
        <f t="shared" ca="1" si="271"/>
        <v>47931</v>
      </c>
      <c r="B1841" s="181">
        <v>1827</v>
      </c>
      <c r="C1841" s="182">
        <f t="shared" ca="1" si="266"/>
        <v>94535.980121030705</v>
      </c>
      <c r="D1841" s="182">
        <f t="shared" ca="1" si="267"/>
        <v>63.023986747353803</v>
      </c>
      <c r="E1841" s="182">
        <v>56</v>
      </c>
      <c r="F1841" s="182">
        <f t="shared" ca="1" si="272"/>
        <v>0</v>
      </c>
      <c r="G1841" s="182">
        <f t="shared" ca="1" si="268"/>
        <v>0</v>
      </c>
      <c r="H1841" s="182">
        <f t="shared" ca="1" si="269"/>
        <v>94655.004107778062</v>
      </c>
      <c r="I1841" s="183">
        <v>56</v>
      </c>
      <c r="J1841" s="263">
        <f t="shared" ca="1" si="270"/>
        <v>94655.004107778062</v>
      </c>
    </row>
    <row r="1842" spans="1:10" x14ac:dyDescent="0.25">
      <c r="A1842" s="180">
        <f t="shared" ca="1" si="271"/>
        <v>47932</v>
      </c>
      <c r="B1842" s="181">
        <v>1828</v>
      </c>
      <c r="C1842" s="182">
        <f t="shared" ca="1" si="266"/>
        <v>94655.004107778062</v>
      </c>
      <c r="D1842" s="182">
        <f t="shared" ca="1" si="267"/>
        <v>63.103336071852041</v>
      </c>
      <c r="E1842" s="182">
        <v>57</v>
      </c>
      <c r="F1842" s="182">
        <f t="shared" ca="1" si="272"/>
        <v>0</v>
      </c>
      <c r="G1842" s="182">
        <f t="shared" ca="1" si="268"/>
        <v>0</v>
      </c>
      <c r="H1842" s="182">
        <f t="shared" ca="1" si="269"/>
        <v>94775.10744384992</v>
      </c>
      <c r="I1842" s="183">
        <v>57</v>
      </c>
      <c r="J1842" s="263">
        <f t="shared" ca="1" si="270"/>
        <v>94775.10744384992</v>
      </c>
    </row>
    <row r="1843" spans="1:10" x14ac:dyDescent="0.25">
      <c r="A1843" s="180">
        <f t="shared" ca="1" si="271"/>
        <v>47933</v>
      </c>
      <c r="B1843" s="181">
        <v>1829</v>
      </c>
      <c r="C1843" s="182">
        <f t="shared" ca="1" si="266"/>
        <v>94775.10744384992</v>
      </c>
      <c r="D1843" s="182">
        <f t="shared" ca="1" si="267"/>
        <v>63.183404962566613</v>
      </c>
      <c r="E1843" s="182">
        <v>58</v>
      </c>
      <c r="F1843" s="182">
        <f t="shared" ca="1" si="272"/>
        <v>0</v>
      </c>
      <c r="G1843" s="182">
        <f t="shared" ca="1" si="268"/>
        <v>0</v>
      </c>
      <c r="H1843" s="182">
        <f t="shared" ca="1" si="269"/>
        <v>94896.290848812481</v>
      </c>
      <c r="I1843" s="183">
        <v>58</v>
      </c>
      <c r="J1843" s="263">
        <f t="shared" ca="1" si="270"/>
        <v>94896.290848812481</v>
      </c>
    </row>
    <row r="1844" spans="1:10" x14ac:dyDescent="0.25">
      <c r="A1844" s="180">
        <f t="shared" ca="1" si="271"/>
        <v>47934</v>
      </c>
      <c r="B1844" s="181">
        <v>1830</v>
      </c>
      <c r="C1844" s="182">
        <f t="shared" ca="1" si="266"/>
        <v>94896.290848812481</v>
      </c>
      <c r="D1844" s="182">
        <f t="shared" ca="1" si="267"/>
        <v>63.264193899208315</v>
      </c>
      <c r="E1844" s="182">
        <v>59</v>
      </c>
      <c r="F1844" s="182">
        <f t="shared" ca="1" si="272"/>
        <v>0</v>
      </c>
      <c r="G1844" s="182">
        <f t="shared" ca="1" si="268"/>
        <v>0</v>
      </c>
      <c r="H1844" s="182">
        <f t="shared" ca="1" si="269"/>
        <v>95018.555042711683</v>
      </c>
      <c r="I1844" s="183">
        <v>59</v>
      </c>
      <c r="J1844" s="263">
        <f t="shared" ca="1" si="270"/>
        <v>95018.555042711683</v>
      </c>
    </row>
    <row r="1845" spans="1:10" x14ac:dyDescent="0.25">
      <c r="A1845" s="180">
        <f t="shared" ca="1" si="271"/>
        <v>47935</v>
      </c>
      <c r="B1845" s="181">
        <v>1831</v>
      </c>
      <c r="C1845" s="182">
        <f t="shared" ca="1" si="266"/>
        <v>95018.555042711683</v>
      </c>
      <c r="D1845" s="182">
        <f t="shared" ca="1" si="267"/>
        <v>63.345703361807786</v>
      </c>
      <c r="E1845" s="182">
        <v>60</v>
      </c>
      <c r="F1845" s="182">
        <f t="shared" ca="1" si="272"/>
        <v>0</v>
      </c>
      <c r="G1845" s="182">
        <f t="shared" ca="1" si="268"/>
        <v>0</v>
      </c>
      <c r="H1845" s="182">
        <f t="shared" ca="1" si="269"/>
        <v>95141.900746073487</v>
      </c>
      <c r="I1845" s="183">
        <v>60</v>
      </c>
      <c r="J1845" s="263">
        <f t="shared" ca="1" si="270"/>
        <v>95141.900746073487</v>
      </c>
    </row>
    <row r="1846" spans="1:10" x14ac:dyDescent="0.25">
      <c r="A1846" s="180">
        <f t="shared" ca="1" si="271"/>
        <v>47936</v>
      </c>
      <c r="B1846" s="181">
        <v>1832</v>
      </c>
      <c r="C1846" s="182">
        <f t="shared" ca="1" si="266"/>
        <v>95141.900746073487</v>
      </c>
      <c r="D1846" s="182">
        <f t="shared" ca="1" si="267"/>
        <v>63.427933830715652</v>
      </c>
      <c r="E1846" s="182">
        <v>61</v>
      </c>
      <c r="F1846" s="182">
        <f t="shared" ca="1" si="272"/>
        <v>0</v>
      </c>
      <c r="G1846" s="182">
        <f t="shared" ca="1" si="268"/>
        <v>0</v>
      </c>
      <c r="H1846" s="182">
        <f t="shared" ca="1" si="269"/>
        <v>95266.328679904196</v>
      </c>
      <c r="I1846" s="183">
        <v>61</v>
      </c>
      <c r="J1846" s="263">
        <f t="shared" ca="1" si="270"/>
        <v>95266.328679904196</v>
      </c>
    </row>
    <row r="1847" spans="1:10" x14ac:dyDescent="0.25">
      <c r="A1847" s="180">
        <f t="shared" ca="1" si="271"/>
        <v>47937</v>
      </c>
      <c r="B1847" s="181">
        <v>1833</v>
      </c>
      <c r="C1847" s="182">
        <f t="shared" ca="1" si="266"/>
        <v>95266.328679904196</v>
      </c>
      <c r="D1847" s="182">
        <f t="shared" ca="1" si="267"/>
        <v>63.510885786602792</v>
      </c>
      <c r="E1847" s="182">
        <v>62</v>
      </c>
      <c r="F1847" s="182">
        <f t="shared" ca="1" si="272"/>
        <v>0</v>
      </c>
      <c r="G1847" s="182">
        <f t="shared" ca="1" si="268"/>
        <v>0</v>
      </c>
      <c r="H1847" s="182">
        <f t="shared" ca="1" si="269"/>
        <v>95391.839565690796</v>
      </c>
      <c r="I1847" s="183">
        <v>62</v>
      </c>
      <c r="J1847" s="263">
        <f t="shared" ca="1" si="270"/>
        <v>95391.839565690796</v>
      </c>
    </row>
    <row r="1848" spans="1:10" x14ac:dyDescent="0.25">
      <c r="A1848" s="180">
        <f t="shared" ca="1" si="271"/>
        <v>47938</v>
      </c>
      <c r="B1848" s="181">
        <v>1834</v>
      </c>
      <c r="C1848" s="182">
        <f t="shared" ca="1" si="266"/>
        <v>95391.839565690796</v>
      </c>
      <c r="D1848" s="182">
        <f t="shared" ca="1" si="267"/>
        <v>63.59455971046053</v>
      </c>
      <c r="E1848" s="182">
        <v>63</v>
      </c>
      <c r="F1848" s="182">
        <f t="shared" ca="1" si="272"/>
        <v>0</v>
      </c>
      <c r="G1848" s="182">
        <f t="shared" ca="1" si="268"/>
        <v>0</v>
      </c>
      <c r="H1848" s="182">
        <f t="shared" ca="1" si="269"/>
        <v>95518.434125401254</v>
      </c>
      <c r="I1848" s="183">
        <v>63</v>
      </c>
      <c r="J1848" s="263">
        <f t="shared" ca="1" si="270"/>
        <v>95518.434125401254</v>
      </c>
    </row>
    <row r="1849" spans="1:10" x14ac:dyDescent="0.25">
      <c r="A1849" s="180">
        <f t="shared" ca="1" si="271"/>
        <v>47939</v>
      </c>
      <c r="B1849" s="181">
        <v>1835</v>
      </c>
      <c r="C1849" s="182">
        <f t="shared" ca="1" si="266"/>
        <v>95518.434125401254</v>
      </c>
      <c r="D1849" s="182">
        <f t="shared" ca="1" si="267"/>
        <v>63.678956083600831</v>
      </c>
      <c r="E1849" s="182">
        <v>64</v>
      </c>
      <c r="F1849" s="182">
        <f t="shared" ca="1" si="272"/>
        <v>0</v>
      </c>
      <c r="G1849" s="182">
        <f t="shared" ca="1" si="268"/>
        <v>0</v>
      </c>
      <c r="H1849" s="182">
        <f t="shared" ca="1" si="269"/>
        <v>95646.113081484858</v>
      </c>
      <c r="I1849" s="183">
        <v>64</v>
      </c>
      <c r="J1849" s="263">
        <f t="shared" ca="1" si="270"/>
        <v>95646.113081484858</v>
      </c>
    </row>
    <row r="1850" spans="1:10" x14ac:dyDescent="0.25">
      <c r="A1850" s="180">
        <f t="shared" ca="1" si="271"/>
        <v>47940</v>
      </c>
      <c r="B1850" s="181">
        <v>1836</v>
      </c>
      <c r="C1850" s="182">
        <f t="shared" ref="C1850:C1913" ca="1" si="273">H1849</f>
        <v>95646.113081484858</v>
      </c>
      <c r="D1850" s="182">
        <f t="shared" ref="D1850:D1913" ca="1" si="274">(($C$6/360))*C1850</f>
        <v>63.764075387656568</v>
      </c>
      <c r="E1850" s="182">
        <v>65</v>
      </c>
      <c r="F1850" s="182">
        <f t="shared" ca="1" si="272"/>
        <v>0</v>
      </c>
      <c r="G1850" s="182">
        <f t="shared" ref="G1850:G1913" ca="1" si="275">IF(G1849-D1850-E1850&gt;0,G1849-D1850-E1850,0)</f>
        <v>0</v>
      </c>
      <c r="H1850" s="182">
        <f t="shared" ref="H1850:H1913" ca="1" si="276">IF(G1850&gt;0,C1850+F1850+I1850,SUM(C1850:F1850)-G1849)</f>
        <v>95774.877156872521</v>
      </c>
      <c r="I1850" s="183">
        <v>65</v>
      </c>
      <c r="J1850" s="263">
        <f t="shared" ca="1" si="270"/>
        <v>95774.877156872521</v>
      </c>
    </row>
    <row r="1851" spans="1:10" x14ac:dyDescent="0.25">
      <c r="A1851" s="180">
        <f t="shared" ca="1" si="271"/>
        <v>47941</v>
      </c>
      <c r="B1851" s="181">
        <v>1837</v>
      </c>
      <c r="C1851" s="182">
        <f t="shared" ca="1" si="273"/>
        <v>95774.877156872521</v>
      </c>
      <c r="D1851" s="182">
        <f t="shared" ca="1" si="274"/>
        <v>63.849918104581675</v>
      </c>
      <c r="E1851" s="182">
        <v>66</v>
      </c>
      <c r="F1851" s="182">
        <f t="shared" ca="1" si="272"/>
        <v>0</v>
      </c>
      <c r="G1851" s="182">
        <f t="shared" ca="1" si="275"/>
        <v>0</v>
      </c>
      <c r="H1851" s="182">
        <f t="shared" ca="1" si="276"/>
        <v>95904.727074977098</v>
      </c>
      <c r="I1851" s="183">
        <v>66</v>
      </c>
      <c r="J1851" s="263">
        <f t="shared" ca="1" si="270"/>
        <v>95904.727074977098</v>
      </c>
    </row>
    <row r="1852" spans="1:10" x14ac:dyDescent="0.25">
      <c r="A1852" s="180">
        <f t="shared" ca="1" si="271"/>
        <v>47942</v>
      </c>
      <c r="B1852" s="181">
        <v>1838</v>
      </c>
      <c r="C1852" s="182">
        <f t="shared" ca="1" si="273"/>
        <v>95904.727074977098</v>
      </c>
      <c r="D1852" s="182">
        <f t="shared" ca="1" si="274"/>
        <v>63.9364847166514</v>
      </c>
      <c r="E1852" s="182">
        <v>67</v>
      </c>
      <c r="F1852" s="182">
        <f t="shared" ca="1" si="272"/>
        <v>0</v>
      </c>
      <c r="G1852" s="182">
        <f t="shared" ca="1" si="275"/>
        <v>0</v>
      </c>
      <c r="H1852" s="182">
        <f t="shared" ca="1" si="276"/>
        <v>96035.663559693756</v>
      </c>
      <c r="I1852" s="183">
        <v>67</v>
      </c>
      <c r="J1852" s="263">
        <f t="shared" ca="1" si="270"/>
        <v>96035.663559693756</v>
      </c>
    </row>
    <row r="1853" spans="1:10" x14ac:dyDescent="0.25">
      <c r="A1853" s="180">
        <f t="shared" ca="1" si="271"/>
        <v>47943</v>
      </c>
      <c r="B1853" s="181">
        <v>1839</v>
      </c>
      <c r="C1853" s="182">
        <f t="shared" ca="1" si="273"/>
        <v>96035.663559693756</v>
      </c>
      <c r="D1853" s="182">
        <f t="shared" ca="1" si="274"/>
        <v>64.023775706462501</v>
      </c>
      <c r="E1853" s="182">
        <v>68</v>
      </c>
      <c r="F1853" s="182">
        <f t="shared" ca="1" si="272"/>
        <v>0</v>
      </c>
      <c r="G1853" s="182">
        <f t="shared" ca="1" si="275"/>
        <v>0</v>
      </c>
      <c r="H1853" s="182">
        <f t="shared" ca="1" si="276"/>
        <v>96167.687335400216</v>
      </c>
      <c r="I1853" s="183">
        <v>68</v>
      </c>
      <c r="J1853" s="263">
        <f t="shared" ca="1" si="270"/>
        <v>96167.687335400216</v>
      </c>
    </row>
    <row r="1854" spans="1:10" x14ac:dyDescent="0.25">
      <c r="A1854" s="180">
        <f t="shared" ca="1" si="271"/>
        <v>47944</v>
      </c>
      <c r="B1854" s="181">
        <v>1840</v>
      </c>
      <c r="C1854" s="182">
        <f t="shared" ca="1" si="273"/>
        <v>96167.687335400216</v>
      </c>
      <c r="D1854" s="182">
        <f t="shared" ca="1" si="274"/>
        <v>64.111791556933468</v>
      </c>
      <c r="E1854" s="182">
        <v>69</v>
      </c>
      <c r="F1854" s="182">
        <f t="shared" ca="1" si="272"/>
        <v>0</v>
      </c>
      <c r="G1854" s="182">
        <f t="shared" ca="1" si="275"/>
        <v>0</v>
      </c>
      <c r="H1854" s="182">
        <f t="shared" ca="1" si="276"/>
        <v>96300.79912695715</v>
      </c>
      <c r="I1854" s="183">
        <v>69</v>
      </c>
      <c r="J1854" s="263">
        <f t="shared" ca="1" si="270"/>
        <v>96300.79912695715</v>
      </c>
    </row>
    <row r="1855" spans="1:10" x14ac:dyDescent="0.25">
      <c r="A1855" s="180">
        <f t="shared" ca="1" si="271"/>
        <v>47945</v>
      </c>
      <c r="B1855" s="181">
        <v>1841</v>
      </c>
      <c r="C1855" s="182">
        <f t="shared" ca="1" si="273"/>
        <v>96300.79912695715</v>
      </c>
      <c r="D1855" s="182">
        <f t="shared" ca="1" si="274"/>
        <v>64.200532751304763</v>
      </c>
      <c r="E1855" s="182">
        <v>70</v>
      </c>
      <c r="F1855" s="182">
        <f t="shared" ca="1" si="272"/>
        <v>0</v>
      </c>
      <c r="G1855" s="182">
        <f t="shared" ca="1" si="275"/>
        <v>0</v>
      </c>
      <c r="H1855" s="182">
        <f t="shared" ca="1" si="276"/>
        <v>96434.999659708454</v>
      </c>
      <c r="I1855" s="183">
        <v>70</v>
      </c>
      <c r="J1855" s="263">
        <f t="shared" ca="1" si="270"/>
        <v>96434.999659708454</v>
      </c>
    </row>
    <row r="1856" spans="1:10" x14ac:dyDescent="0.25">
      <c r="A1856" s="180">
        <f t="shared" ca="1" si="271"/>
        <v>47946</v>
      </c>
      <c r="B1856" s="181">
        <v>1842</v>
      </c>
      <c r="C1856" s="182">
        <f t="shared" ca="1" si="273"/>
        <v>96434.999659708454</v>
      </c>
      <c r="D1856" s="182">
        <f t="shared" ca="1" si="274"/>
        <v>64.289999773138973</v>
      </c>
      <c r="E1856" s="182">
        <v>71</v>
      </c>
      <c r="F1856" s="182">
        <f t="shared" ca="1" si="272"/>
        <v>0</v>
      </c>
      <c r="G1856" s="182">
        <f t="shared" ca="1" si="275"/>
        <v>0</v>
      </c>
      <c r="H1856" s="182">
        <f t="shared" ca="1" si="276"/>
        <v>96570.289659481597</v>
      </c>
      <c r="I1856" s="183">
        <v>71</v>
      </c>
      <c r="J1856" s="263">
        <f t="shared" ca="1" si="270"/>
        <v>96570.289659481597</v>
      </c>
    </row>
    <row r="1857" spans="1:10" x14ac:dyDescent="0.25">
      <c r="A1857" s="180">
        <f t="shared" ca="1" si="271"/>
        <v>47947</v>
      </c>
      <c r="B1857" s="181">
        <v>1843</v>
      </c>
      <c r="C1857" s="182">
        <f t="shared" ca="1" si="273"/>
        <v>96570.289659481597</v>
      </c>
      <c r="D1857" s="182">
        <f t="shared" ca="1" si="274"/>
        <v>64.380193106321059</v>
      </c>
      <c r="E1857" s="182">
        <v>72</v>
      </c>
      <c r="F1857" s="182">
        <f t="shared" ca="1" si="272"/>
        <v>0</v>
      </c>
      <c r="G1857" s="182">
        <f t="shared" ca="1" si="275"/>
        <v>0</v>
      </c>
      <c r="H1857" s="182">
        <f t="shared" ca="1" si="276"/>
        <v>96706.669852587918</v>
      </c>
      <c r="I1857" s="183">
        <v>72</v>
      </c>
      <c r="J1857" s="263">
        <f t="shared" ca="1" si="270"/>
        <v>96706.669852587918</v>
      </c>
    </row>
    <row r="1858" spans="1:10" x14ac:dyDescent="0.25">
      <c r="A1858" s="180">
        <f t="shared" ca="1" si="271"/>
        <v>47948</v>
      </c>
      <c r="B1858" s="181">
        <v>1844</v>
      </c>
      <c r="C1858" s="182">
        <f t="shared" ca="1" si="273"/>
        <v>96706.669852587918</v>
      </c>
      <c r="D1858" s="182">
        <f t="shared" ca="1" si="274"/>
        <v>64.47111323505861</v>
      </c>
      <c r="E1858" s="182">
        <v>73</v>
      </c>
      <c r="F1858" s="182">
        <f t="shared" ca="1" si="272"/>
        <v>0</v>
      </c>
      <c r="G1858" s="182">
        <f t="shared" ca="1" si="275"/>
        <v>0</v>
      </c>
      <c r="H1858" s="182">
        <f t="shared" ca="1" si="276"/>
        <v>96844.140965822982</v>
      </c>
      <c r="I1858" s="183">
        <v>73</v>
      </c>
      <c r="J1858" s="263">
        <f t="shared" ca="1" si="270"/>
        <v>96844.140965822982</v>
      </c>
    </row>
    <row r="1859" spans="1:10" x14ac:dyDescent="0.25">
      <c r="A1859" s="180">
        <f t="shared" ca="1" si="271"/>
        <v>47949</v>
      </c>
      <c r="B1859" s="181">
        <v>1845</v>
      </c>
      <c r="C1859" s="182">
        <f t="shared" ca="1" si="273"/>
        <v>96844.140965822982</v>
      </c>
      <c r="D1859" s="182">
        <f t="shared" ca="1" si="274"/>
        <v>64.562760643881987</v>
      </c>
      <c r="E1859" s="182">
        <v>74</v>
      </c>
      <c r="F1859" s="182">
        <f t="shared" ca="1" si="272"/>
        <v>0</v>
      </c>
      <c r="G1859" s="182">
        <f t="shared" ca="1" si="275"/>
        <v>0</v>
      </c>
      <c r="H1859" s="182">
        <f t="shared" ca="1" si="276"/>
        <v>96982.703726466862</v>
      </c>
      <c r="I1859" s="183">
        <v>74</v>
      </c>
      <c r="J1859" s="263">
        <f t="shared" ca="1" si="270"/>
        <v>96982.703726466862</v>
      </c>
    </row>
    <row r="1860" spans="1:10" x14ac:dyDescent="0.25">
      <c r="A1860" s="180">
        <f t="shared" ca="1" si="271"/>
        <v>47950</v>
      </c>
      <c r="B1860" s="181">
        <v>1846</v>
      </c>
      <c r="C1860" s="182">
        <f t="shared" ca="1" si="273"/>
        <v>96982.703726466862</v>
      </c>
      <c r="D1860" s="182">
        <f t="shared" ca="1" si="274"/>
        <v>64.655135817644577</v>
      </c>
      <c r="E1860" s="182">
        <v>75</v>
      </c>
      <c r="F1860" s="182">
        <f t="shared" ca="1" si="272"/>
        <v>0</v>
      </c>
      <c r="G1860" s="182">
        <f t="shared" ca="1" si="275"/>
        <v>0</v>
      </c>
      <c r="H1860" s="182">
        <f t="shared" ca="1" si="276"/>
        <v>97122.358862284513</v>
      </c>
      <c r="I1860" s="183">
        <v>75</v>
      </c>
      <c r="J1860" s="263">
        <f t="shared" ca="1" si="270"/>
        <v>97122.358862284513</v>
      </c>
    </row>
    <row r="1861" spans="1:10" x14ac:dyDescent="0.25">
      <c r="A1861" s="180">
        <f t="shared" ca="1" si="271"/>
        <v>47951</v>
      </c>
      <c r="B1861" s="181">
        <v>1847</v>
      </c>
      <c r="C1861" s="182">
        <f t="shared" ca="1" si="273"/>
        <v>97122.358862284513</v>
      </c>
      <c r="D1861" s="182">
        <f t="shared" ca="1" si="274"/>
        <v>64.748239241523009</v>
      </c>
      <c r="E1861" s="182">
        <v>76</v>
      </c>
      <c r="F1861" s="182">
        <f t="shared" ca="1" si="272"/>
        <v>0</v>
      </c>
      <c r="G1861" s="182">
        <f t="shared" ca="1" si="275"/>
        <v>0</v>
      </c>
      <c r="H1861" s="182">
        <f t="shared" ca="1" si="276"/>
        <v>97263.107101526039</v>
      </c>
      <c r="I1861" s="183">
        <v>76</v>
      </c>
      <c r="J1861" s="263">
        <f t="shared" ca="1" si="270"/>
        <v>97263.107101526039</v>
      </c>
    </row>
    <row r="1862" spans="1:10" x14ac:dyDescent="0.25">
      <c r="A1862" s="180">
        <f t="shared" ca="1" si="271"/>
        <v>47952</v>
      </c>
      <c r="B1862" s="181">
        <v>1848</v>
      </c>
      <c r="C1862" s="182">
        <f t="shared" ca="1" si="273"/>
        <v>97263.107101526039</v>
      </c>
      <c r="D1862" s="182">
        <f t="shared" ca="1" si="274"/>
        <v>64.842071401017364</v>
      </c>
      <c r="E1862" s="182">
        <v>77</v>
      </c>
      <c r="F1862" s="182">
        <f t="shared" ca="1" si="272"/>
        <v>0</v>
      </c>
      <c r="G1862" s="182">
        <f t="shared" ca="1" si="275"/>
        <v>0</v>
      </c>
      <c r="H1862" s="182">
        <f t="shared" ca="1" si="276"/>
        <v>97404.949172927052</v>
      </c>
      <c r="I1862" s="183">
        <v>77</v>
      </c>
      <c r="J1862" s="263">
        <f t="shared" ca="1" si="270"/>
        <v>97404.949172927052</v>
      </c>
    </row>
    <row r="1863" spans="1:10" x14ac:dyDescent="0.25">
      <c r="A1863" s="180">
        <f t="shared" ca="1" si="271"/>
        <v>47953</v>
      </c>
      <c r="B1863" s="181">
        <v>1849</v>
      </c>
      <c r="C1863" s="182">
        <f t="shared" ca="1" si="273"/>
        <v>97404.949172927052</v>
      </c>
      <c r="D1863" s="182">
        <f t="shared" ca="1" si="274"/>
        <v>64.93663278195136</v>
      </c>
      <c r="E1863" s="182">
        <v>78</v>
      </c>
      <c r="F1863" s="182">
        <f t="shared" ca="1" si="272"/>
        <v>0</v>
      </c>
      <c r="G1863" s="182">
        <f t="shared" ca="1" si="275"/>
        <v>0</v>
      </c>
      <c r="H1863" s="182">
        <f t="shared" ca="1" si="276"/>
        <v>97547.885805708996</v>
      </c>
      <c r="I1863" s="183">
        <v>78</v>
      </c>
      <c r="J1863" s="263">
        <f t="shared" ca="1" si="270"/>
        <v>97547.885805708996</v>
      </c>
    </row>
    <row r="1864" spans="1:10" x14ac:dyDescent="0.25">
      <c r="A1864" s="180">
        <f t="shared" ca="1" si="271"/>
        <v>47954</v>
      </c>
      <c r="B1864" s="181">
        <v>1850</v>
      </c>
      <c r="C1864" s="182">
        <f t="shared" ca="1" si="273"/>
        <v>97547.885805708996</v>
      </c>
      <c r="D1864" s="182">
        <f t="shared" ca="1" si="274"/>
        <v>65.031923870472667</v>
      </c>
      <c r="E1864" s="182">
        <v>79</v>
      </c>
      <c r="F1864" s="182">
        <f t="shared" ca="1" si="272"/>
        <v>0</v>
      </c>
      <c r="G1864" s="182">
        <f t="shared" ca="1" si="275"/>
        <v>0</v>
      </c>
      <c r="H1864" s="182">
        <f t="shared" ca="1" si="276"/>
        <v>97691.917729579465</v>
      </c>
      <c r="I1864" s="183">
        <v>79</v>
      </c>
      <c r="J1864" s="263">
        <f t="shared" ca="1" si="270"/>
        <v>97691.917729579465</v>
      </c>
    </row>
    <row r="1865" spans="1:10" x14ac:dyDescent="0.25">
      <c r="A1865" s="180">
        <f t="shared" ca="1" si="271"/>
        <v>47955</v>
      </c>
      <c r="B1865" s="181">
        <v>1851</v>
      </c>
      <c r="C1865" s="182">
        <f t="shared" ca="1" si="273"/>
        <v>97691.917729579465</v>
      </c>
      <c r="D1865" s="182">
        <f t="shared" ca="1" si="274"/>
        <v>65.127945153052977</v>
      </c>
      <c r="E1865" s="182">
        <v>80</v>
      </c>
      <c r="F1865" s="182">
        <f t="shared" ca="1" si="272"/>
        <v>0</v>
      </c>
      <c r="G1865" s="182">
        <f t="shared" ca="1" si="275"/>
        <v>0</v>
      </c>
      <c r="H1865" s="182">
        <f t="shared" ca="1" si="276"/>
        <v>97837.045674732522</v>
      </c>
      <c r="I1865" s="183">
        <v>80</v>
      </c>
      <c r="J1865" s="263">
        <f t="shared" ca="1" si="270"/>
        <v>97837.045674732522</v>
      </c>
    </row>
    <row r="1866" spans="1:10" x14ac:dyDescent="0.25">
      <c r="A1866" s="180">
        <f t="shared" ca="1" si="271"/>
        <v>47956</v>
      </c>
      <c r="B1866" s="181">
        <v>1852</v>
      </c>
      <c r="C1866" s="182">
        <f t="shared" ca="1" si="273"/>
        <v>97837.045674732522</v>
      </c>
      <c r="D1866" s="182">
        <f t="shared" ca="1" si="274"/>
        <v>65.224697116488343</v>
      </c>
      <c r="E1866" s="182">
        <v>81</v>
      </c>
      <c r="F1866" s="182">
        <f t="shared" ca="1" si="272"/>
        <v>0</v>
      </c>
      <c r="G1866" s="182">
        <f t="shared" ca="1" si="275"/>
        <v>0</v>
      </c>
      <c r="H1866" s="182">
        <f t="shared" ca="1" si="276"/>
        <v>97983.270371849008</v>
      </c>
      <c r="I1866" s="183">
        <v>81</v>
      </c>
      <c r="J1866" s="263">
        <f t="shared" ca="1" si="270"/>
        <v>97983.270371849008</v>
      </c>
    </row>
    <row r="1867" spans="1:10" x14ac:dyDescent="0.25">
      <c r="A1867" s="180">
        <f t="shared" ca="1" si="271"/>
        <v>47957</v>
      </c>
      <c r="B1867" s="181">
        <v>1853</v>
      </c>
      <c r="C1867" s="182">
        <f t="shared" ca="1" si="273"/>
        <v>97983.270371849008</v>
      </c>
      <c r="D1867" s="182">
        <f t="shared" ca="1" si="274"/>
        <v>65.32218024789934</v>
      </c>
      <c r="E1867" s="182">
        <v>82</v>
      </c>
      <c r="F1867" s="182">
        <f t="shared" ca="1" si="272"/>
        <v>0</v>
      </c>
      <c r="G1867" s="182">
        <f t="shared" ca="1" si="275"/>
        <v>0</v>
      </c>
      <c r="H1867" s="182">
        <f t="shared" ca="1" si="276"/>
        <v>98130.592552096903</v>
      </c>
      <c r="I1867" s="183">
        <v>82</v>
      </c>
      <c r="J1867" s="263">
        <f t="shared" ca="1" si="270"/>
        <v>98130.592552096903</v>
      </c>
    </row>
    <row r="1868" spans="1:10" x14ac:dyDescent="0.25">
      <c r="A1868" s="180">
        <f t="shared" ca="1" si="271"/>
        <v>47958</v>
      </c>
      <c r="B1868" s="181">
        <v>1854</v>
      </c>
      <c r="C1868" s="182">
        <f t="shared" ca="1" si="273"/>
        <v>98130.592552096903</v>
      </c>
      <c r="D1868" s="182">
        <f t="shared" ca="1" si="274"/>
        <v>65.420395034731271</v>
      </c>
      <c r="E1868" s="182">
        <v>83</v>
      </c>
      <c r="F1868" s="182">
        <f t="shared" ca="1" si="272"/>
        <v>0</v>
      </c>
      <c r="G1868" s="182">
        <f t="shared" ca="1" si="275"/>
        <v>0</v>
      </c>
      <c r="H1868" s="182">
        <f t="shared" ca="1" si="276"/>
        <v>98279.012947131632</v>
      </c>
      <c r="I1868" s="183">
        <v>83</v>
      </c>
      <c r="J1868" s="263">
        <f t="shared" ca="1" si="270"/>
        <v>98279.012947131632</v>
      </c>
    </row>
    <row r="1869" spans="1:10" x14ac:dyDescent="0.25">
      <c r="A1869" s="180">
        <f t="shared" ca="1" si="271"/>
        <v>47959</v>
      </c>
      <c r="B1869" s="181">
        <v>1855</v>
      </c>
      <c r="C1869" s="182">
        <f t="shared" ca="1" si="273"/>
        <v>98279.012947131632</v>
      </c>
      <c r="D1869" s="182">
        <f t="shared" ca="1" si="274"/>
        <v>65.519341964754418</v>
      </c>
      <c r="E1869" s="182">
        <v>84</v>
      </c>
      <c r="F1869" s="182">
        <f t="shared" ca="1" si="272"/>
        <v>0</v>
      </c>
      <c r="G1869" s="182">
        <f t="shared" ca="1" si="275"/>
        <v>0</v>
      </c>
      <c r="H1869" s="182">
        <f t="shared" ca="1" si="276"/>
        <v>98428.532289096387</v>
      </c>
      <c r="I1869" s="183">
        <v>84</v>
      </c>
      <c r="J1869" s="263">
        <f t="shared" ca="1" si="270"/>
        <v>98428.532289096387</v>
      </c>
    </row>
    <row r="1870" spans="1:10" x14ac:dyDescent="0.25">
      <c r="A1870" s="180">
        <f t="shared" ca="1" si="271"/>
        <v>47960</v>
      </c>
      <c r="B1870" s="181">
        <v>1856</v>
      </c>
      <c r="C1870" s="182">
        <f t="shared" ca="1" si="273"/>
        <v>98428.532289096387</v>
      </c>
      <c r="D1870" s="182">
        <f t="shared" ca="1" si="274"/>
        <v>65.619021526064259</v>
      </c>
      <c r="E1870" s="182">
        <v>85</v>
      </c>
      <c r="F1870" s="182">
        <f t="shared" ca="1" si="272"/>
        <v>0</v>
      </c>
      <c r="G1870" s="182">
        <f t="shared" ca="1" si="275"/>
        <v>0</v>
      </c>
      <c r="H1870" s="182">
        <f t="shared" ca="1" si="276"/>
        <v>98579.151310622445</v>
      </c>
      <c r="I1870" s="183">
        <v>85</v>
      </c>
      <c r="J1870" s="263">
        <f t="shared" ca="1" si="270"/>
        <v>98579.151310622445</v>
      </c>
    </row>
    <row r="1871" spans="1:10" x14ac:dyDescent="0.25">
      <c r="A1871" s="180">
        <f t="shared" ca="1" si="271"/>
        <v>47961</v>
      </c>
      <c r="B1871" s="181">
        <v>1857</v>
      </c>
      <c r="C1871" s="182">
        <f t="shared" ca="1" si="273"/>
        <v>98579.151310622445</v>
      </c>
      <c r="D1871" s="182">
        <f t="shared" ca="1" si="274"/>
        <v>65.719434207081633</v>
      </c>
      <c r="E1871" s="182">
        <v>86</v>
      </c>
      <c r="F1871" s="182">
        <f t="shared" ca="1" si="272"/>
        <v>0</v>
      </c>
      <c r="G1871" s="182">
        <f t="shared" ca="1" si="275"/>
        <v>0</v>
      </c>
      <c r="H1871" s="182">
        <f t="shared" ca="1" si="276"/>
        <v>98730.870744829532</v>
      </c>
      <c r="I1871" s="183">
        <v>86</v>
      </c>
      <c r="J1871" s="263">
        <f t="shared" ref="J1871:J1934" ca="1" si="277">H1871-IF(I$8-G1871&lt;Q$42,I$8-Q$42,G1871)</f>
        <v>98730.870744829532</v>
      </c>
    </row>
    <row r="1872" spans="1:10" x14ac:dyDescent="0.25">
      <c r="A1872" s="180">
        <f t="shared" ca="1" si="271"/>
        <v>47962</v>
      </c>
      <c r="B1872" s="181">
        <v>1858</v>
      </c>
      <c r="C1872" s="182">
        <f t="shared" ca="1" si="273"/>
        <v>98730.870744829532</v>
      </c>
      <c r="D1872" s="182">
        <f t="shared" ca="1" si="274"/>
        <v>65.820580496553021</v>
      </c>
      <c r="E1872" s="182">
        <v>87</v>
      </c>
      <c r="F1872" s="182">
        <f t="shared" ca="1" si="272"/>
        <v>0</v>
      </c>
      <c r="G1872" s="182">
        <f t="shared" ca="1" si="275"/>
        <v>0</v>
      </c>
      <c r="H1872" s="182">
        <f t="shared" ca="1" si="276"/>
        <v>98883.691325326086</v>
      </c>
      <c r="I1872" s="183">
        <v>87</v>
      </c>
      <c r="J1872" s="263">
        <f t="shared" ca="1" si="277"/>
        <v>98883.691325326086</v>
      </c>
    </row>
    <row r="1873" spans="1:10" x14ac:dyDescent="0.25">
      <c r="A1873" s="180">
        <f t="shared" ref="A1873:A1936" ca="1" si="278">A1872+1</f>
        <v>47963</v>
      </c>
      <c r="B1873" s="181">
        <v>1859</v>
      </c>
      <c r="C1873" s="182">
        <f t="shared" ca="1" si="273"/>
        <v>98883.691325326086</v>
      </c>
      <c r="D1873" s="182">
        <f t="shared" ca="1" si="274"/>
        <v>65.922460883550727</v>
      </c>
      <c r="E1873" s="182">
        <v>88</v>
      </c>
      <c r="F1873" s="182">
        <f t="shared" ca="1" si="272"/>
        <v>0</v>
      </c>
      <c r="G1873" s="182">
        <f t="shared" ca="1" si="275"/>
        <v>0</v>
      </c>
      <c r="H1873" s="182">
        <f t="shared" ca="1" si="276"/>
        <v>99037.613786209637</v>
      </c>
      <c r="I1873" s="183">
        <v>88</v>
      </c>
      <c r="J1873" s="263">
        <f t="shared" ca="1" si="277"/>
        <v>99037.613786209637</v>
      </c>
    </row>
    <row r="1874" spans="1:10" x14ac:dyDescent="0.25">
      <c r="A1874" s="180">
        <f t="shared" ca="1" si="278"/>
        <v>47964</v>
      </c>
      <c r="B1874" s="181">
        <v>1860</v>
      </c>
      <c r="C1874" s="182">
        <f t="shared" ca="1" si="273"/>
        <v>99037.613786209637</v>
      </c>
      <c r="D1874" s="182">
        <f t="shared" ca="1" si="274"/>
        <v>66.025075857473084</v>
      </c>
      <c r="E1874" s="182">
        <v>89</v>
      </c>
      <c r="F1874" s="182">
        <f t="shared" ca="1" si="272"/>
        <v>0</v>
      </c>
      <c r="G1874" s="182">
        <f t="shared" ca="1" si="275"/>
        <v>0</v>
      </c>
      <c r="H1874" s="182">
        <f t="shared" ca="1" si="276"/>
        <v>99192.638862067106</v>
      </c>
      <c r="I1874" s="183">
        <v>89</v>
      </c>
      <c r="J1874" s="263">
        <f t="shared" ca="1" si="277"/>
        <v>99192.638862067106</v>
      </c>
    </row>
    <row r="1875" spans="1:10" x14ac:dyDescent="0.25">
      <c r="A1875" s="180">
        <f t="shared" ca="1" si="278"/>
        <v>47965</v>
      </c>
      <c r="B1875" s="181">
        <v>1861</v>
      </c>
      <c r="C1875" s="182">
        <f t="shared" ca="1" si="273"/>
        <v>99192.638862067106</v>
      </c>
      <c r="D1875" s="182">
        <f t="shared" ca="1" si="274"/>
        <v>66.128425908044733</v>
      </c>
      <c r="E1875" s="182">
        <v>90</v>
      </c>
      <c r="F1875" s="182">
        <f t="shared" ca="1" si="272"/>
        <v>0</v>
      </c>
      <c r="G1875" s="182">
        <f t="shared" ca="1" si="275"/>
        <v>0</v>
      </c>
      <c r="H1875" s="182">
        <f t="shared" ca="1" si="276"/>
        <v>99348.767287975148</v>
      </c>
      <c r="I1875" s="183">
        <v>90</v>
      </c>
      <c r="J1875" s="263">
        <f t="shared" ca="1" si="277"/>
        <v>99348.767287975148</v>
      </c>
    </row>
    <row r="1876" spans="1:10" x14ac:dyDescent="0.25">
      <c r="A1876" s="180">
        <f t="shared" ca="1" si="278"/>
        <v>47966</v>
      </c>
      <c r="B1876" s="181">
        <v>1862</v>
      </c>
      <c r="C1876" s="182">
        <f t="shared" ca="1" si="273"/>
        <v>99348.767287975148</v>
      </c>
      <c r="D1876" s="182">
        <f t="shared" ca="1" si="274"/>
        <v>66.232511525316767</v>
      </c>
      <c r="E1876" s="182">
        <v>91</v>
      </c>
      <c r="F1876" s="182">
        <f t="shared" ca="1" si="272"/>
        <v>0</v>
      </c>
      <c r="G1876" s="182">
        <f t="shared" ca="1" si="275"/>
        <v>0</v>
      </c>
      <c r="H1876" s="182">
        <f t="shared" ca="1" si="276"/>
        <v>99505.999799500467</v>
      </c>
      <c r="I1876" s="183">
        <v>91</v>
      </c>
      <c r="J1876" s="263">
        <f t="shared" ca="1" si="277"/>
        <v>99505.999799500467</v>
      </c>
    </row>
    <row r="1877" spans="1:10" x14ac:dyDescent="0.25">
      <c r="A1877" s="180">
        <f t="shared" ca="1" si="278"/>
        <v>47967</v>
      </c>
      <c r="B1877" s="181">
        <v>1863</v>
      </c>
      <c r="C1877" s="182">
        <f t="shared" ca="1" si="273"/>
        <v>99505.999799500467</v>
      </c>
      <c r="D1877" s="182">
        <f t="shared" ca="1" si="274"/>
        <v>66.337333199666972</v>
      </c>
      <c r="E1877" s="182">
        <v>92</v>
      </c>
      <c r="F1877" s="182">
        <f t="shared" ca="1" si="272"/>
        <v>0</v>
      </c>
      <c r="G1877" s="182">
        <f t="shared" ca="1" si="275"/>
        <v>0</v>
      </c>
      <c r="H1877" s="182">
        <f t="shared" ca="1" si="276"/>
        <v>99664.337132700137</v>
      </c>
      <c r="I1877" s="183">
        <v>92</v>
      </c>
      <c r="J1877" s="263">
        <f t="shared" ca="1" si="277"/>
        <v>99664.337132700137</v>
      </c>
    </row>
    <row r="1878" spans="1:10" x14ac:dyDescent="0.25">
      <c r="A1878" s="180">
        <f t="shared" ca="1" si="278"/>
        <v>47968</v>
      </c>
      <c r="B1878" s="181">
        <v>1864</v>
      </c>
      <c r="C1878" s="182">
        <f t="shared" ca="1" si="273"/>
        <v>99664.337132700137</v>
      </c>
      <c r="D1878" s="182">
        <f t="shared" ca="1" si="274"/>
        <v>66.442891421800084</v>
      </c>
      <c r="E1878" s="182">
        <v>93</v>
      </c>
      <c r="F1878" s="182">
        <f t="shared" ca="1" si="272"/>
        <v>0</v>
      </c>
      <c r="G1878" s="182">
        <f t="shared" ca="1" si="275"/>
        <v>0</v>
      </c>
      <c r="H1878" s="182">
        <f t="shared" ca="1" si="276"/>
        <v>99823.780024121937</v>
      </c>
      <c r="I1878" s="183">
        <v>93</v>
      </c>
      <c r="J1878" s="263">
        <f t="shared" ca="1" si="277"/>
        <v>99823.780024121937</v>
      </c>
    </row>
    <row r="1879" spans="1:10" x14ac:dyDescent="0.25">
      <c r="A1879" s="180">
        <f t="shared" ca="1" si="278"/>
        <v>47969</v>
      </c>
      <c r="B1879" s="181">
        <v>1865</v>
      </c>
      <c r="C1879" s="182">
        <f t="shared" ca="1" si="273"/>
        <v>99823.780024121937</v>
      </c>
      <c r="D1879" s="182">
        <f t="shared" ca="1" si="274"/>
        <v>66.549186682747958</v>
      </c>
      <c r="E1879" s="182">
        <v>94</v>
      </c>
      <c r="F1879" s="182">
        <f t="shared" ca="1" si="272"/>
        <v>0</v>
      </c>
      <c r="G1879" s="182">
        <f t="shared" ca="1" si="275"/>
        <v>0</v>
      </c>
      <c r="H1879" s="182">
        <f t="shared" ca="1" si="276"/>
        <v>99984.329210804688</v>
      </c>
      <c r="I1879" s="183">
        <v>94</v>
      </c>
      <c r="J1879" s="263">
        <f t="shared" ca="1" si="277"/>
        <v>99984.329210804688</v>
      </c>
    </row>
    <row r="1880" spans="1:10" x14ac:dyDescent="0.25">
      <c r="A1880" s="180">
        <f t="shared" ca="1" si="278"/>
        <v>47970</v>
      </c>
      <c r="B1880" s="181">
        <v>1866</v>
      </c>
      <c r="C1880" s="182">
        <f t="shared" ca="1" si="273"/>
        <v>99984.329210804688</v>
      </c>
      <c r="D1880" s="182">
        <f t="shared" ca="1" si="274"/>
        <v>66.656219473869797</v>
      </c>
      <c r="E1880" s="182">
        <v>95</v>
      </c>
      <c r="F1880" s="182">
        <f t="shared" ca="1" si="272"/>
        <v>0</v>
      </c>
      <c r="G1880" s="182">
        <f t="shared" ca="1" si="275"/>
        <v>0</v>
      </c>
      <c r="H1880" s="182">
        <f t="shared" ca="1" si="276"/>
        <v>100145.98543027855</v>
      </c>
      <c r="I1880" s="183">
        <v>95</v>
      </c>
      <c r="J1880" s="263">
        <f t="shared" ca="1" si="277"/>
        <v>100145.98543027855</v>
      </c>
    </row>
    <row r="1881" spans="1:10" x14ac:dyDescent="0.25">
      <c r="A1881" s="180">
        <f t="shared" ca="1" si="278"/>
        <v>47971</v>
      </c>
      <c r="B1881" s="181">
        <v>1867</v>
      </c>
      <c r="C1881" s="182">
        <f t="shared" ca="1" si="273"/>
        <v>100145.98543027855</v>
      </c>
      <c r="D1881" s="182">
        <f t="shared" ca="1" si="274"/>
        <v>66.763990286852362</v>
      </c>
      <c r="E1881" s="182">
        <v>96</v>
      </c>
      <c r="F1881" s="182">
        <f t="shared" ca="1" si="272"/>
        <v>0</v>
      </c>
      <c r="G1881" s="182">
        <f t="shared" ca="1" si="275"/>
        <v>0</v>
      </c>
      <c r="H1881" s="182">
        <f t="shared" ca="1" si="276"/>
        <v>100308.74942056541</v>
      </c>
      <c r="I1881" s="183">
        <v>96</v>
      </c>
      <c r="J1881" s="263">
        <f t="shared" ca="1" si="277"/>
        <v>100308.74942056541</v>
      </c>
    </row>
    <row r="1882" spans="1:10" x14ac:dyDescent="0.25">
      <c r="A1882" s="180">
        <f t="shared" ca="1" si="278"/>
        <v>47972</v>
      </c>
      <c r="B1882" s="181">
        <v>1868</v>
      </c>
      <c r="C1882" s="182">
        <f t="shared" ca="1" si="273"/>
        <v>100308.74942056541</v>
      </c>
      <c r="D1882" s="182">
        <f t="shared" ca="1" si="274"/>
        <v>66.872499613710275</v>
      </c>
      <c r="E1882" s="182">
        <v>97</v>
      </c>
      <c r="F1882" s="182">
        <f t="shared" ca="1" si="272"/>
        <v>0</v>
      </c>
      <c r="G1882" s="182">
        <f t="shared" ca="1" si="275"/>
        <v>0</v>
      </c>
      <c r="H1882" s="182">
        <f t="shared" ca="1" si="276"/>
        <v>100472.62192017912</v>
      </c>
      <c r="I1882" s="183">
        <v>97</v>
      </c>
      <c r="J1882" s="263">
        <f t="shared" ca="1" si="277"/>
        <v>100472.62192017912</v>
      </c>
    </row>
    <row r="1883" spans="1:10" x14ac:dyDescent="0.25">
      <c r="A1883" s="180">
        <f t="shared" ca="1" si="278"/>
        <v>47973</v>
      </c>
      <c r="B1883" s="181">
        <v>1869</v>
      </c>
      <c r="C1883" s="182">
        <f t="shared" ca="1" si="273"/>
        <v>100472.62192017912</v>
      </c>
      <c r="D1883" s="182">
        <f t="shared" ca="1" si="274"/>
        <v>66.981747946786086</v>
      </c>
      <c r="E1883" s="182">
        <v>98</v>
      </c>
      <c r="F1883" s="182">
        <f t="shared" ca="1" si="272"/>
        <v>0</v>
      </c>
      <c r="G1883" s="182">
        <f t="shared" ca="1" si="275"/>
        <v>0</v>
      </c>
      <c r="H1883" s="182">
        <f t="shared" ca="1" si="276"/>
        <v>100637.60366812591</v>
      </c>
      <c r="I1883" s="183">
        <v>98</v>
      </c>
      <c r="J1883" s="263">
        <f t="shared" ca="1" si="277"/>
        <v>100637.60366812591</v>
      </c>
    </row>
    <row r="1884" spans="1:10" x14ac:dyDescent="0.25">
      <c r="A1884" s="180">
        <f t="shared" ca="1" si="278"/>
        <v>47974</v>
      </c>
      <c r="B1884" s="181">
        <v>1870</v>
      </c>
      <c r="C1884" s="182">
        <f t="shared" ca="1" si="273"/>
        <v>100637.60366812591</v>
      </c>
      <c r="D1884" s="182">
        <f t="shared" ca="1" si="274"/>
        <v>67.091735778750603</v>
      </c>
      <c r="E1884" s="182">
        <v>99</v>
      </c>
      <c r="F1884" s="182">
        <f t="shared" ca="1" si="272"/>
        <v>0</v>
      </c>
      <c r="G1884" s="182">
        <f t="shared" ca="1" si="275"/>
        <v>0</v>
      </c>
      <c r="H1884" s="182">
        <f t="shared" ca="1" si="276"/>
        <v>100803.69540390467</v>
      </c>
      <c r="I1884" s="183">
        <v>99</v>
      </c>
      <c r="J1884" s="263">
        <f t="shared" ca="1" si="277"/>
        <v>100803.69540390467</v>
      </c>
    </row>
    <row r="1885" spans="1:10" x14ac:dyDescent="0.25">
      <c r="A1885" s="180">
        <f t="shared" ca="1" si="278"/>
        <v>47975</v>
      </c>
      <c r="B1885" s="181">
        <v>1871</v>
      </c>
      <c r="C1885" s="182">
        <f t="shared" ca="1" si="273"/>
        <v>100803.69540390467</v>
      </c>
      <c r="D1885" s="182">
        <f t="shared" ca="1" si="274"/>
        <v>67.202463602603103</v>
      </c>
      <c r="E1885" s="182">
        <v>100</v>
      </c>
      <c r="F1885" s="182">
        <f t="shared" ca="1" si="272"/>
        <v>0</v>
      </c>
      <c r="G1885" s="182">
        <f t="shared" ca="1" si="275"/>
        <v>0</v>
      </c>
      <c r="H1885" s="182">
        <f t="shared" ca="1" si="276"/>
        <v>100970.89786750727</v>
      </c>
      <c r="I1885" s="183">
        <v>100</v>
      </c>
      <c r="J1885" s="263">
        <f t="shared" ca="1" si="277"/>
        <v>100970.89786750727</v>
      </c>
    </row>
    <row r="1886" spans="1:10" x14ac:dyDescent="0.25">
      <c r="A1886" s="180">
        <f t="shared" ca="1" si="278"/>
        <v>47976</v>
      </c>
      <c r="B1886" s="181">
        <v>1872</v>
      </c>
      <c r="C1886" s="182">
        <f t="shared" ca="1" si="273"/>
        <v>100970.89786750727</v>
      </c>
      <c r="D1886" s="182">
        <f t="shared" ca="1" si="274"/>
        <v>67.313931911671517</v>
      </c>
      <c r="E1886" s="182">
        <v>101</v>
      </c>
      <c r="F1886" s="182">
        <f t="shared" ca="1" si="272"/>
        <v>0</v>
      </c>
      <c r="G1886" s="182">
        <f t="shared" ca="1" si="275"/>
        <v>0</v>
      </c>
      <c r="H1886" s="182">
        <f t="shared" ca="1" si="276"/>
        <v>101139.21179941895</v>
      </c>
      <c r="I1886" s="183">
        <v>101</v>
      </c>
      <c r="J1886" s="263">
        <f t="shared" ca="1" si="277"/>
        <v>101139.21179941895</v>
      </c>
    </row>
    <row r="1887" spans="1:10" x14ac:dyDescent="0.25">
      <c r="A1887" s="180">
        <f t="shared" ca="1" si="278"/>
        <v>47977</v>
      </c>
      <c r="B1887" s="181">
        <v>1873</v>
      </c>
      <c r="C1887" s="182">
        <f t="shared" ca="1" si="273"/>
        <v>101139.21179941895</v>
      </c>
      <c r="D1887" s="182">
        <f t="shared" ca="1" si="274"/>
        <v>67.42614119961263</v>
      </c>
      <c r="E1887" s="182">
        <v>102</v>
      </c>
      <c r="F1887" s="182">
        <f t="shared" ca="1" si="272"/>
        <v>0</v>
      </c>
      <c r="G1887" s="182">
        <f t="shared" ca="1" si="275"/>
        <v>0</v>
      </c>
      <c r="H1887" s="182">
        <f t="shared" ca="1" si="276"/>
        <v>101308.63794061856</v>
      </c>
      <c r="I1887" s="183">
        <v>102</v>
      </c>
      <c r="J1887" s="263">
        <f t="shared" ca="1" si="277"/>
        <v>101308.63794061856</v>
      </c>
    </row>
    <row r="1888" spans="1:10" x14ac:dyDescent="0.25">
      <c r="A1888" s="180">
        <f t="shared" ca="1" si="278"/>
        <v>47978</v>
      </c>
      <c r="B1888" s="181">
        <v>1874</v>
      </c>
      <c r="C1888" s="182">
        <f t="shared" ca="1" si="273"/>
        <v>101308.63794061856</v>
      </c>
      <c r="D1888" s="182">
        <f t="shared" ca="1" si="274"/>
        <v>67.539091960412364</v>
      </c>
      <c r="E1888" s="182">
        <v>103</v>
      </c>
      <c r="F1888" s="182">
        <f t="shared" ca="1" si="272"/>
        <v>0</v>
      </c>
      <c r="G1888" s="182">
        <f t="shared" ca="1" si="275"/>
        <v>0</v>
      </c>
      <c r="H1888" s="182">
        <f t="shared" ca="1" si="276"/>
        <v>101479.17703257897</v>
      </c>
      <c r="I1888" s="183">
        <v>103</v>
      </c>
      <c r="J1888" s="263">
        <f t="shared" ca="1" si="277"/>
        <v>101479.17703257897</v>
      </c>
    </row>
    <row r="1889" spans="1:10" x14ac:dyDescent="0.25">
      <c r="A1889" s="180">
        <f t="shared" ca="1" si="278"/>
        <v>47979</v>
      </c>
      <c r="B1889" s="181">
        <v>1875</v>
      </c>
      <c r="C1889" s="182">
        <f t="shared" ca="1" si="273"/>
        <v>101479.17703257897</v>
      </c>
      <c r="D1889" s="182">
        <f t="shared" ca="1" si="274"/>
        <v>67.652784688385978</v>
      </c>
      <c r="E1889" s="182">
        <v>104</v>
      </c>
      <c r="F1889" s="182">
        <f t="shared" ca="1" si="272"/>
        <v>0</v>
      </c>
      <c r="G1889" s="182">
        <f t="shared" ca="1" si="275"/>
        <v>0</v>
      </c>
      <c r="H1889" s="182">
        <f t="shared" ca="1" si="276"/>
        <v>101650.82981726735</v>
      </c>
      <c r="I1889" s="183">
        <v>104</v>
      </c>
      <c r="J1889" s="263">
        <f t="shared" ca="1" si="277"/>
        <v>101650.82981726735</v>
      </c>
    </row>
    <row r="1890" spans="1:10" x14ac:dyDescent="0.25">
      <c r="A1890" s="180">
        <f t="shared" ca="1" si="278"/>
        <v>47980</v>
      </c>
      <c r="B1890" s="181">
        <v>1876</v>
      </c>
      <c r="C1890" s="182">
        <f t="shared" ca="1" si="273"/>
        <v>101650.82981726735</v>
      </c>
      <c r="D1890" s="182">
        <f t="shared" ca="1" si="274"/>
        <v>67.767219878178238</v>
      </c>
      <c r="E1890" s="182">
        <v>105</v>
      </c>
      <c r="F1890" s="182">
        <f t="shared" ca="1" si="272"/>
        <v>0</v>
      </c>
      <c r="G1890" s="182">
        <f t="shared" ca="1" si="275"/>
        <v>0</v>
      </c>
      <c r="H1890" s="182">
        <f t="shared" ca="1" si="276"/>
        <v>101823.59703714553</v>
      </c>
      <c r="I1890" s="183">
        <v>105</v>
      </c>
      <c r="J1890" s="263">
        <f t="shared" ca="1" si="277"/>
        <v>101823.59703714553</v>
      </c>
    </row>
    <row r="1891" spans="1:10" x14ac:dyDescent="0.25">
      <c r="A1891" s="180">
        <f t="shared" ca="1" si="278"/>
        <v>47981</v>
      </c>
      <c r="B1891" s="181">
        <v>1877</v>
      </c>
      <c r="C1891" s="182">
        <f t="shared" ca="1" si="273"/>
        <v>101823.59703714553</v>
      </c>
      <c r="D1891" s="182">
        <f t="shared" ca="1" si="274"/>
        <v>67.882398024763688</v>
      </c>
      <c r="E1891" s="182">
        <v>106</v>
      </c>
      <c r="F1891" s="182">
        <f t="shared" ca="1" si="272"/>
        <v>0</v>
      </c>
      <c r="G1891" s="182">
        <f t="shared" ca="1" si="275"/>
        <v>0</v>
      </c>
      <c r="H1891" s="182">
        <f t="shared" ca="1" si="276"/>
        <v>101997.4794351703</v>
      </c>
      <c r="I1891" s="183">
        <v>106</v>
      </c>
      <c r="J1891" s="263">
        <f t="shared" ca="1" si="277"/>
        <v>101997.4794351703</v>
      </c>
    </row>
    <row r="1892" spans="1:10" x14ac:dyDescent="0.25">
      <c r="A1892" s="180">
        <f t="shared" ca="1" si="278"/>
        <v>47982</v>
      </c>
      <c r="B1892" s="181">
        <v>1878</v>
      </c>
      <c r="C1892" s="182">
        <f t="shared" ca="1" si="273"/>
        <v>101997.4794351703</v>
      </c>
      <c r="D1892" s="182">
        <f t="shared" ca="1" si="274"/>
        <v>67.998319623446861</v>
      </c>
      <c r="E1892" s="182">
        <v>107</v>
      </c>
      <c r="F1892" s="182">
        <f t="shared" ca="1" si="272"/>
        <v>0</v>
      </c>
      <c r="G1892" s="182">
        <f t="shared" ca="1" si="275"/>
        <v>0</v>
      </c>
      <c r="H1892" s="182">
        <f t="shared" ca="1" si="276"/>
        <v>102172.47775479376</v>
      </c>
      <c r="I1892" s="183">
        <v>107</v>
      </c>
      <c r="J1892" s="263">
        <f t="shared" ca="1" si="277"/>
        <v>102172.47775479376</v>
      </c>
    </row>
    <row r="1893" spans="1:10" x14ac:dyDescent="0.25">
      <c r="A1893" s="180">
        <f t="shared" ca="1" si="278"/>
        <v>47983</v>
      </c>
      <c r="B1893" s="181">
        <v>1879</v>
      </c>
      <c r="C1893" s="182">
        <f t="shared" ca="1" si="273"/>
        <v>102172.47775479376</v>
      </c>
      <c r="D1893" s="182">
        <f t="shared" ca="1" si="274"/>
        <v>68.114985169862507</v>
      </c>
      <c r="E1893" s="182">
        <v>108</v>
      </c>
      <c r="F1893" s="182">
        <f t="shared" ca="1" si="272"/>
        <v>0</v>
      </c>
      <c r="G1893" s="182">
        <f t="shared" ca="1" si="275"/>
        <v>0</v>
      </c>
      <c r="H1893" s="182">
        <f t="shared" ca="1" si="276"/>
        <v>102348.59273996361</v>
      </c>
      <c r="I1893" s="183">
        <v>108</v>
      </c>
      <c r="J1893" s="263">
        <f t="shared" ca="1" si="277"/>
        <v>102348.59273996361</v>
      </c>
    </row>
    <row r="1894" spans="1:10" x14ac:dyDescent="0.25">
      <c r="A1894" s="180">
        <f t="shared" ca="1" si="278"/>
        <v>47984</v>
      </c>
      <c r="B1894" s="181">
        <v>1880</v>
      </c>
      <c r="C1894" s="182">
        <f t="shared" ca="1" si="273"/>
        <v>102348.59273996361</v>
      </c>
      <c r="D1894" s="182">
        <f t="shared" ca="1" si="274"/>
        <v>68.232395159975738</v>
      </c>
      <c r="E1894" s="182">
        <v>109</v>
      </c>
      <c r="F1894" s="182">
        <f t="shared" ca="1" si="272"/>
        <v>0</v>
      </c>
      <c r="G1894" s="182">
        <f t="shared" ca="1" si="275"/>
        <v>0</v>
      </c>
      <c r="H1894" s="182">
        <f t="shared" ca="1" si="276"/>
        <v>102525.8251351236</v>
      </c>
      <c r="I1894" s="183">
        <v>109</v>
      </c>
      <c r="J1894" s="263">
        <f t="shared" ca="1" si="277"/>
        <v>102525.8251351236</v>
      </c>
    </row>
    <row r="1895" spans="1:10" x14ac:dyDescent="0.25">
      <c r="A1895" s="180">
        <f t="shared" ca="1" si="278"/>
        <v>47985</v>
      </c>
      <c r="B1895" s="181">
        <v>1881</v>
      </c>
      <c r="C1895" s="182">
        <f t="shared" ca="1" si="273"/>
        <v>102525.8251351236</v>
      </c>
      <c r="D1895" s="182">
        <f t="shared" ca="1" si="274"/>
        <v>68.350550090082393</v>
      </c>
      <c r="E1895" s="182">
        <v>110</v>
      </c>
      <c r="F1895" s="182">
        <f t="shared" ca="1" si="272"/>
        <v>0</v>
      </c>
      <c r="G1895" s="182">
        <f t="shared" ca="1" si="275"/>
        <v>0</v>
      </c>
      <c r="H1895" s="182">
        <f t="shared" ca="1" si="276"/>
        <v>102704.17568521368</v>
      </c>
      <c r="I1895" s="183">
        <v>110</v>
      </c>
      <c r="J1895" s="263">
        <f t="shared" ca="1" si="277"/>
        <v>102704.17568521368</v>
      </c>
    </row>
    <row r="1896" spans="1:10" x14ac:dyDescent="0.25">
      <c r="A1896" s="180">
        <f t="shared" ca="1" si="278"/>
        <v>47986</v>
      </c>
      <c r="B1896" s="181">
        <v>1882</v>
      </c>
      <c r="C1896" s="182">
        <f t="shared" ca="1" si="273"/>
        <v>102704.17568521368</v>
      </c>
      <c r="D1896" s="182">
        <f t="shared" ca="1" si="274"/>
        <v>68.469450456809113</v>
      </c>
      <c r="E1896" s="182">
        <v>111</v>
      </c>
      <c r="F1896" s="182">
        <f t="shared" ca="1" si="272"/>
        <v>0</v>
      </c>
      <c r="G1896" s="182">
        <f t="shared" ca="1" si="275"/>
        <v>0</v>
      </c>
      <c r="H1896" s="182">
        <f t="shared" ca="1" si="276"/>
        <v>102883.64513567048</v>
      </c>
      <c r="I1896" s="183">
        <v>111</v>
      </c>
      <c r="J1896" s="263">
        <f t="shared" ca="1" si="277"/>
        <v>102883.64513567048</v>
      </c>
    </row>
    <row r="1897" spans="1:10" x14ac:dyDescent="0.25">
      <c r="A1897" s="180">
        <f t="shared" ca="1" si="278"/>
        <v>47987</v>
      </c>
      <c r="B1897" s="181">
        <v>1883</v>
      </c>
      <c r="C1897" s="182">
        <f t="shared" ca="1" si="273"/>
        <v>102883.64513567048</v>
      </c>
      <c r="D1897" s="182">
        <f t="shared" ca="1" si="274"/>
        <v>68.589096757113651</v>
      </c>
      <c r="E1897" s="182">
        <v>112</v>
      </c>
      <c r="F1897" s="182">
        <f t="shared" ca="1" si="272"/>
        <v>0</v>
      </c>
      <c r="G1897" s="182">
        <f t="shared" ca="1" si="275"/>
        <v>0</v>
      </c>
      <c r="H1897" s="182">
        <f t="shared" ca="1" si="276"/>
        <v>103064.2342324276</v>
      </c>
      <c r="I1897" s="183">
        <v>112</v>
      </c>
      <c r="J1897" s="263">
        <f t="shared" ca="1" si="277"/>
        <v>103064.2342324276</v>
      </c>
    </row>
    <row r="1898" spans="1:10" x14ac:dyDescent="0.25">
      <c r="A1898" s="180">
        <f t="shared" ca="1" si="278"/>
        <v>47988</v>
      </c>
      <c r="B1898" s="181">
        <v>1884</v>
      </c>
      <c r="C1898" s="182">
        <f t="shared" ca="1" si="273"/>
        <v>103064.2342324276</v>
      </c>
      <c r="D1898" s="182">
        <f t="shared" ca="1" si="274"/>
        <v>68.709489488285058</v>
      </c>
      <c r="E1898" s="182">
        <v>113</v>
      </c>
      <c r="F1898" s="182">
        <f t="shared" ca="1" si="272"/>
        <v>0</v>
      </c>
      <c r="G1898" s="182">
        <f t="shared" ca="1" si="275"/>
        <v>0</v>
      </c>
      <c r="H1898" s="182">
        <f t="shared" ca="1" si="276"/>
        <v>103245.94372191589</v>
      </c>
      <c r="I1898" s="183">
        <v>113</v>
      </c>
      <c r="J1898" s="263">
        <f t="shared" ca="1" si="277"/>
        <v>103245.94372191589</v>
      </c>
    </row>
    <row r="1899" spans="1:10" x14ac:dyDescent="0.25">
      <c r="A1899" s="180">
        <f t="shared" ca="1" si="278"/>
        <v>47989</v>
      </c>
      <c r="B1899" s="181">
        <v>1885</v>
      </c>
      <c r="C1899" s="182">
        <f t="shared" ca="1" si="273"/>
        <v>103245.94372191589</v>
      </c>
      <c r="D1899" s="182">
        <f t="shared" ca="1" si="274"/>
        <v>68.830629147943924</v>
      </c>
      <c r="E1899" s="182">
        <v>114</v>
      </c>
      <c r="F1899" s="182">
        <f t="shared" ca="1" si="272"/>
        <v>0</v>
      </c>
      <c r="G1899" s="182">
        <f t="shared" ca="1" si="275"/>
        <v>0</v>
      </c>
      <c r="H1899" s="182">
        <f t="shared" ca="1" si="276"/>
        <v>103428.77435106382</v>
      </c>
      <c r="I1899" s="183">
        <v>114</v>
      </c>
      <c r="J1899" s="263">
        <f t="shared" ca="1" si="277"/>
        <v>103428.77435106382</v>
      </c>
    </row>
    <row r="1900" spans="1:10" x14ac:dyDescent="0.25">
      <c r="A1900" s="180">
        <f t="shared" ca="1" si="278"/>
        <v>47990</v>
      </c>
      <c r="B1900" s="181">
        <v>1886</v>
      </c>
      <c r="C1900" s="182">
        <f t="shared" ca="1" si="273"/>
        <v>103428.77435106382</v>
      </c>
      <c r="D1900" s="182">
        <f t="shared" ca="1" si="274"/>
        <v>68.952516234042548</v>
      </c>
      <c r="E1900" s="182">
        <v>115</v>
      </c>
      <c r="F1900" s="182">
        <f t="shared" ref="F1900:F1963" ca="1" si="279">IFERROR(-VLOOKUP(A1900,$P$4:$R$31,2,FALSE),0)</f>
        <v>0</v>
      </c>
      <c r="G1900" s="182">
        <f t="shared" ca="1" si="275"/>
        <v>0</v>
      </c>
      <c r="H1900" s="182">
        <f t="shared" ca="1" si="276"/>
        <v>103612.72686729787</v>
      </c>
      <c r="I1900" s="183">
        <v>115</v>
      </c>
      <c r="J1900" s="263">
        <f t="shared" ca="1" si="277"/>
        <v>103612.72686729787</v>
      </c>
    </row>
    <row r="1901" spans="1:10" x14ac:dyDescent="0.25">
      <c r="A1901" s="180">
        <f t="shared" ca="1" si="278"/>
        <v>47991</v>
      </c>
      <c r="B1901" s="181">
        <v>1887</v>
      </c>
      <c r="C1901" s="182">
        <f t="shared" ca="1" si="273"/>
        <v>103612.72686729787</v>
      </c>
      <c r="D1901" s="182">
        <f t="shared" ca="1" si="274"/>
        <v>69.075151244865239</v>
      </c>
      <c r="E1901" s="182">
        <v>116</v>
      </c>
      <c r="F1901" s="182">
        <f t="shared" ca="1" si="279"/>
        <v>0</v>
      </c>
      <c r="G1901" s="182">
        <f t="shared" ca="1" si="275"/>
        <v>0</v>
      </c>
      <c r="H1901" s="182">
        <f t="shared" ca="1" si="276"/>
        <v>103797.80201854273</v>
      </c>
      <c r="I1901" s="183">
        <v>116</v>
      </c>
      <c r="J1901" s="263">
        <f t="shared" ca="1" si="277"/>
        <v>103797.80201854273</v>
      </c>
    </row>
    <row r="1902" spans="1:10" x14ac:dyDescent="0.25">
      <c r="A1902" s="180">
        <f t="shared" ca="1" si="278"/>
        <v>47992</v>
      </c>
      <c r="B1902" s="181">
        <v>1888</v>
      </c>
      <c r="C1902" s="182">
        <f t="shared" ca="1" si="273"/>
        <v>103797.80201854273</v>
      </c>
      <c r="D1902" s="182">
        <f t="shared" ca="1" si="274"/>
        <v>69.198534679028484</v>
      </c>
      <c r="E1902" s="182">
        <v>117</v>
      </c>
      <c r="F1902" s="182">
        <f t="shared" ca="1" si="279"/>
        <v>0</v>
      </c>
      <c r="G1902" s="182">
        <f t="shared" ca="1" si="275"/>
        <v>0</v>
      </c>
      <c r="H1902" s="182">
        <f t="shared" ca="1" si="276"/>
        <v>103984.00055322176</v>
      </c>
      <c r="I1902" s="183">
        <v>117</v>
      </c>
      <c r="J1902" s="263">
        <f t="shared" ca="1" si="277"/>
        <v>103984.00055322176</v>
      </c>
    </row>
    <row r="1903" spans="1:10" x14ac:dyDescent="0.25">
      <c r="A1903" s="180">
        <f t="shared" ca="1" si="278"/>
        <v>47993</v>
      </c>
      <c r="B1903" s="181">
        <v>1889</v>
      </c>
      <c r="C1903" s="182">
        <f t="shared" ca="1" si="273"/>
        <v>103984.00055322176</v>
      </c>
      <c r="D1903" s="182">
        <f t="shared" ca="1" si="274"/>
        <v>69.322667035481174</v>
      </c>
      <c r="E1903" s="182">
        <v>118</v>
      </c>
      <c r="F1903" s="182">
        <f t="shared" ca="1" si="279"/>
        <v>0</v>
      </c>
      <c r="G1903" s="182">
        <f t="shared" ca="1" si="275"/>
        <v>0</v>
      </c>
      <c r="H1903" s="182">
        <f t="shared" ca="1" si="276"/>
        <v>104171.32322025724</v>
      </c>
      <c r="I1903" s="183">
        <v>118</v>
      </c>
      <c r="J1903" s="263">
        <f t="shared" ca="1" si="277"/>
        <v>104171.32322025724</v>
      </c>
    </row>
    <row r="1904" spans="1:10" x14ac:dyDescent="0.25">
      <c r="A1904" s="180">
        <f t="shared" ca="1" si="278"/>
        <v>47994</v>
      </c>
      <c r="B1904" s="181">
        <v>1890</v>
      </c>
      <c r="C1904" s="182">
        <f t="shared" ca="1" si="273"/>
        <v>104171.32322025724</v>
      </c>
      <c r="D1904" s="182">
        <f t="shared" ca="1" si="274"/>
        <v>69.447548813504824</v>
      </c>
      <c r="E1904" s="182">
        <v>119</v>
      </c>
      <c r="F1904" s="182">
        <f t="shared" ca="1" si="279"/>
        <v>0</v>
      </c>
      <c r="G1904" s="182">
        <f t="shared" ca="1" si="275"/>
        <v>0</v>
      </c>
      <c r="H1904" s="182">
        <f t="shared" ca="1" si="276"/>
        <v>104359.77076907075</v>
      </c>
      <c r="I1904" s="183">
        <v>119</v>
      </c>
      <c r="J1904" s="263">
        <f t="shared" ca="1" si="277"/>
        <v>104359.77076907075</v>
      </c>
    </row>
    <row r="1905" spans="1:10" x14ac:dyDescent="0.25">
      <c r="A1905" s="180">
        <f t="shared" ca="1" si="278"/>
        <v>47995</v>
      </c>
      <c r="B1905" s="181">
        <v>1891</v>
      </c>
      <c r="C1905" s="182">
        <f t="shared" ca="1" si="273"/>
        <v>104359.77076907075</v>
      </c>
      <c r="D1905" s="182">
        <f t="shared" ca="1" si="274"/>
        <v>69.573180512713833</v>
      </c>
      <c r="E1905" s="182">
        <v>120</v>
      </c>
      <c r="F1905" s="182">
        <f t="shared" ca="1" si="279"/>
        <v>0</v>
      </c>
      <c r="G1905" s="182">
        <f t="shared" ca="1" si="275"/>
        <v>0</v>
      </c>
      <c r="H1905" s="182">
        <f t="shared" ca="1" si="276"/>
        <v>104549.34394958346</v>
      </c>
      <c r="I1905" s="183">
        <v>120</v>
      </c>
      <c r="J1905" s="263">
        <f t="shared" ca="1" si="277"/>
        <v>104549.34394958346</v>
      </c>
    </row>
    <row r="1906" spans="1:10" x14ac:dyDescent="0.25">
      <c r="A1906" s="180">
        <f t="shared" ca="1" si="278"/>
        <v>47996</v>
      </c>
      <c r="B1906" s="181">
        <v>1892</v>
      </c>
      <c r="C1906" s="182">
        <f t="shared" ca="1" si="273"/>
        <v>104549.34394958346</v>
      </c>
      <c r="D1906" s="182">
        <f t="shared" ca="1" si="274"/>
        <v>69.699562633055635</v>
      </c>
      <c r="E1906" s="182">
        <v>121</v>
      </c>
      <c r="F1906" s="182">
        <f t="shared" ca="1" si="279"/>
        <v>0</v>
      </c>
      <c r="G1906" s="182">
        <f t="shared" ca="1" si="275"/>
        <v>0</v>
      </c>
      <c r="H1906" s="182">
        <f t="shared" ca="1" si="276"/>
        <v>104740.04351221652</v>
      </c>
      <c r="I1906" s="183">
        <v>121</v>
      </c>
      <c r="J1906" s="263">
        <f t="shared" ca="1" si="277"/>
        <v>104740.04351221652</v>
      </c>
    </row>
    <row r="1907" spans="1:10" x14ac:dyDescent="0.25">
      <c r="A1907" s="180">
        <f t="shared" ca="1" si="278"/>
        <v>47997</v>
      </c>
      <c r="B1907" s="181">
        <v>1893</v>
      </c>
      <c r="C1907" s="182">
        <f t="shared" ca="1" si="273"/>
        <v>104740.04351221652</v>
      </c>
      <c r="D1907" s="182">
        <f t="shared" ca="1" si="274"/>
        <v>69.826695674811006</v>
      </c>
      <c r="E1907" s="182">
        <v>122</v>
      </c>
      <c r="F1907" s="182">
        <f t="shared" ca="1" si="279"/>
        <v>0</v>
      </c>
      <c r="G1907" s="182">
        <f t="shared" ca="1" si="275"/>
        <v>0</v>
      </c>
      <c r="H1907" s="182">
        <f t="shared" ca="1" si="276"/>
        <v>104931.87020789133</v>
      </c>
      <c r="I1907" s="183">
        <v>122</v>
      </c>
      <c r="J1907" s="263">
        <f t="shared" ca="1" si="277"/>
        <v>104931.87020789133</v>
      </c>
    </row>
    <row r="1908" spans="1:10" x14ac:dyDescent="0.25">
      <c r="A1908" s="180">
        <f t="shared" ca="1" si="278"/>
        <v>47998</v>
      </c>
      <c r="B1908" s="181">
        <v>1894</v>
      </c>
      <c r="C1908" s="182">
        <f t="shared" ca="1" si="273"/>
        <v>104931.87020789133</v>
      </c>
      <c r="D1908" s="182">
        <f t="shared" ca="1" si="274"/>
        <v>69.954580138594224</v>
      </c>
      <c r="E1908" s="182">
        <v>123</v>
      </c>
      <c r="F1908" s="182">
        <f t="shared" ca="1" si="279"/>
        <v>0</v>
      </c>
      <c r="G1908" s="182">
        <f t="shared" ca="1" si="275"/>
        <v>0</v>
      </c>
      <c r="H1908" s="182">
        <f t="shared" ca="1" si="276"/>
        <v>105124.82478802993</v>
      </c>
      <c r="I1908" s="183">
        <v>123</v>
      </c>
      <c r="J1908" s="263">
        <f t="shared" ca="1" si="277"/>
        <v>105124.82478802993</v>
      </c>
    </row>
    <row r="1909" spans="1:10" x14ac:dyDescent="0.25">
      <c r="A1909" s="180">
        <f t="shared" ca="1" si="278"/>
        <v>47999</v>
      </c>
      <c r="B1909" s="181">
        <v>1895</v>
      </c>
      <c r="C1909" s="182">
        <f t="shared" ca="1" si="273"/>
        <v>105124.82478802993</v>
      </c>
      <c r="D1909" s="182">
        <f t="shared" ca="1" si="274"/>
        <v>70.083216525353279</v>
      </c>
      <c r="E1909" s="182">
        <v>124</v>
      </c>
      <c r="F1909" s="182">
        <f t="shared" ca="1" si="279"/>
        <v>0</v>
      </c>
      <c r="G1909" s="182">
        <f t="shared" ca="1" si="275"/>
        <v>0</v>
      </c>
      <c r="H1909" s="182">
        <f t="shared" ca="1" si="276"/>
        <v>105318.90800455528</v>
      </c>
      <c r="I1909" s="183">
        <v>124</v>
      </c>
      <c r="J1909" s="263">
        <f t="shared" ca="1" si="277"/>
        <v>105318.90800455528</v>
      </c>
    </row>
    <row r="1910" spans="1:10" x14ac:dyDescent="0.25">
      <c r="A1910" s="180">
        <f t="shared" ca="1" si="278"/>
        <v>48000</v>
      </c>
      <c r="B1910" s="181">
        <v>1896</v>
      </c>
      <c r="C1910" s="182">
        <f t="shared" ca="1" si="273"/>
        <v>105318.90800455528</v>
      </c>
      <c r="D1910" s="182">
        <f t="shared" ca="1" si="274"/>
        <v>70.212605336370189</v>
      </c>
      <c r="E1910" s="182">
        <v>125</v>
      </c>
      <c r="F1910" s="182">
        <f t="shared" ca="1" si="279"/>
        <v>0</v>
      </c>
      <c r="G1910" s="182">
        <f t="shared" ca="1" si="275"/>
        <v>0</v>
      </c>
      <c r="H1910" s="182">
        <f t="shared" ca="1" si="276"/>
        <v>105514.12060989166</v>
      </c>
      <c r="I1910" s="183">
        <v>125</v>
      </c>
      <c r="J1910" s="263">
        <f t="shared" ca="1" si="277"/>
        <v>105514.12060989166</v>
      </c>
    </row>
    <row r="1911" spans="1:10" x14ac:dyDescent="0.25">
      <c r="A1911" s="180">
        <f t="shared" ca="1" si="278"/>
        <v>48001</v>
      </c>
      <c r="B1911" s="181">
        <v>1897</v>
      </c>
      <c r="C1911" s="182">
        <f t="shared" ca="1" si="273"/>
        <v>105514.12060989166</v>
      </c>
      <c r="D1911" s="182">
        <f t="shared" ca="1" si="274"/>
        <v>70.342747073261108</v>
      </c>
      <c r="E1911" s="182">
        <v>126</v>
      </c>
      <c r="F1911" s="182">
        <f t="shared" ca="1" si="279"/>
        <v>0</v>
      </c>
      <c r="G1911" s="182">
        <f t="shared" ca="1" si="275"/>
        <v>0</v>
      </c>
      <c r="H1911" s="182">
        <f t="shared" ca="1" si="276"/>
        <v>105710.46335696492</v>
      </c>
      <c r="I1911" s="183">
        <v>126</v>
      </c>
      <c r="J1911" s="263">
        <f t="shared" ca="1" si="277"/>
        <v>105710.46335696492</v>
      </c>
    </row>
    <row r="1912" spans="1:10" x14ac:dyDescent="0.25">
      <c r="A1912" s="180">
        <f t="shared" ca="1" si="278"/>
        <v>48002</v>
      </c>
      <c r="B1912" s="181">
        <v>1898</v>
      </c>
      <c r="C1912" s="182">
        <f t="shared" ca="1" si="273"/>
        <v>105710.46335696492</v>
      </c>
      <c r="D1912" s="182">
        <f t="shared" ca="1" si="274"/>
        <v>70.473642237976605</v>
      </c>
      <c r="E1912" s="182">
        <v>127</v>
      </c>
      <c r="F1912" s="182">
        <f t="shared" ca="1" si="279"/>
        <v>0</v>
      </c>
      <c r="G1912" s="182">
        <f t="shared" ca="1" si="275"/>
        <v>0</v>
      </c>
      <c r="H1912" s="182">
        <f t="shared" ca="1" si="276"/>
        <v>105907.9369992029</v>
      </c>
      <c r="I1912" s="183">
        <v>127</v>
      </c>
      <c r="J1912" s="263">
        <f t="shared" ca="1" si="277"/>
        <v>105907.9369992029</v>
      </c>
    </row>
    <row r="1913" spans="1:10" x14ac:dyDescent="0.25">
      <c r="A1913" s="180">
        <f t="shared" ca="1" si="278"/>
        <v>48003</v>
      </c>
      <c r="B1913" s="181">
        <v>1899</v>
      </c>
      <c r="C1913" s="182">
        <f t="shared" ca="1" si="273"/>
        <v>105907.9369992029</v>
      </c>
      <c r="D1913" s="182">
        <f t="shared" ca="1" si="274"/>
        <v>70.605291332801926</v>
      </c>
      <c r="E1913" s="182">
        <v>128</v>
      </c>
      <c r="F1913" s="182">
        <f t="shared" ca="1" si="279"/>
        <v>0</v>
      </c>
      <c r="G1913" s="182">
        <f t="shared" ca="1" si="275"/>
        <v>0</v>
      </c>
      <c r="H1913" s="182">
        <f t="shared" ca="1" si="276"/>
        <v>106106.5422905357</v>
      </c>
      <c r="I1913" s="183">
        <v>128</v>
      </c>
      <c r="J1913" s="263">
        <f t="shared" ca="1" si="277"/>
        <v>106106.5422905357</v>
      </c>
    </row>
    <row r="1914" spans="1:10" x14ac:dyDescent="0.25">
      <c r="A1914" s="180">
        <f t="shared" ca="1" si="278"/>
        <v>48004</v>
      </c>
      <c r="B1914" s="181">
        <v>1900</v>
      </c>
      <c r="C1914" s="182">
        <f t="shared" ref="C1914:C1977" ca="1" si="280">H1913</f>
        <v>106106.5422905357</v>
      </c>
      <c r="D1914" s="182">
        <f t="shared" ref="D1914:D1977" ca="1" si="281">(($C$6/360))*C1914</f>
        <v>70.737694860357124</v>
      </c>
      <c r="E1914" s="182">
        <v>129</v>
      </c>
      <c r="F1914" s="182">
        <f t="shared" ca="1" si="279"/>
        <v>0</v>
      </c>
      <c r="G1914" s="182">
        <f t="shared" ref="G1914:G1977" ca="1" si="282">IF(G1913-D1914-E1914&gt;0,G1913-D1914-E1914,0)</f>
        <v>0</v>
      </c>
      <c r="H1914" s="182">
        <f t="shared" ref="H1914:H1977" ca="1" si="283">IF(G1914&gt;0,C1914+F1914+I1914,SUM(C1914:F1914)-G1913)</f>
        <v>106306.27998539606</v>
      </c>
      <c r="I1914" s="183">
        <v>129</v>
      </c>
      <c r="J1914" s="263">
        <f t="shared" ca="1" si="277"/>
        <v>106306.27998539606</v>
      </c>
    </row>
    <row r="1915" spans="1:10" x14ac:dyDescent="0.25">
      <c r="A1915" s="180">
        <f t="shared" ca="1" si="278"/>
        <v>48005</v>
      </c>
      <c r="B1915" s="181">
        <v>1901</v>
      </c>
      <c r="C1915" s="182">
        <f t="shared" ca="1" si="280"/>
        <v>106306.27998539606</v>
      </c>
      <c r="D1915" s="182">
        <f t="shared" ca="1" si="281"/>
        <v>70.870853323597373</v>
      </c>
      <c r="E1915" s="182">
        <v>130</v>
      </c>
      <c r="F1915" s="182">
        <f t="shared" ca="1" si="279"/>
        <v>0</v>
      </c>
      <c r="G1915" s="182">
        <f t="shared" ca="1" si="282"/>
        <v>0</v>
      </c>
      <c r="H1915" s="182">
        <f t="shared" ca="1" si="283"/>
        <v>106507.15083871965</v>
      </c>
      <c r="I1915" s="183">
        <v>130</v>
      </c>
      <c r="J1915" s="263">
        <f t="shared" ca="1" si="277"/>
        <v>106507.15083871965</v>
      </c>
    </row>
    <row r="1916" spans="1:10" x14ac:dyDescent="0.25">
      <c r="A1916" s="180">
        <f t="shared" ca="1" si="278"/>
        <v>48006</v>
      </c>
      <c r="B1916" s="181">
        <v>1902</v>
      </c>
      <c r="C1916" s="182">
        <f t="shared" ca="1" si="280"/>
        <v>106507.15083871965</v>
      </c>
      <c r="D1916" s="182">
        <f t="shared" ca="1" si="281"/>
        <v>71.004767225813097</v>
      </c>
      <c r="E1916" s="182">
        <v>131</v>
      </c>
      <c r="F1916" s="182">
        <f t="shared" ca="1" si="279"/>
        <v>0</v>
      </c>
      <c r="G1916" s="182">
        <f t="shared" ca="1" si="282"/>
        <v>0</v>
      </c>
      <c r="H1916" s="182">
        <f t="shared" ca="1" si="283"/>
        <v>106709.15560594546</v>
      </c>
      <c r="I1916" s="183">
        <v>131</v>
      </c>
      <c r="J1916" s="263">
        <f t="shared" ca="1" si="277"/>
        <v>106709.15560594546</v>
      </c>
    </row>
    <row r="1917" spans="1:10" x14ac:dyDescent="0.25">
      <c r="A1917" s="180">
        <f t="shared" ca="1" si="278"/>
        <v>48007</v>
      </c>
      <c r="B1917" s="181">
        <v>1903</v>
      </c>
      <c r="C1917" s="182">
        <f t="shared" ca="1" si="280"/>
        <v>106709.15560594546</v>
      </c>
      <c r="D1917" s="182">
        <f t="shared" ca="1" si="281"/>
        <v>71.139437070630308</v>
      </c>
      <c r="E1917" s="182">
        <v>132</v>
      </c>
      <c r="F1917" s="182">
        <f t="shared" ca="1" si="279"/>
        <v>0</v>
      </c>
      <c r="G1917" s="182">
        <f t="shared" ca="1" si="282"/>
        <v>0</v>
      </c>
      <c r="H1917" s="182">
        <f t="shared" ca="1" si="283"/>
        <v>106912.29504301609</v>
      </c>
      <c r="I1917" s="183">
        <v>132</v>
      </c>
      <c r="J1917" s="263">
        <f t="shared" ca="1" si="277"/>
        <v>106912.29504301609</v>
      </c>
    </row>
    <row r="1918" spans="1:10" x14ac:dyDescent="0.25">
      <c r="A1918" s="180">
        <f t="shared" ca="1" si="278"/>
        <v>48008</v>
      </c>
      <c r="B1918" s="181">
        <v>1904</v>
      </c>
      <c r="C1918" s="182">
        <f t="shared" ca="1" si="280"/>
        <v>106912.29504301609</v>
      </c>
      <c r="D1918" s="182">
        <f t="shared" ca="1" si="281"/>
        <v>71.27486336201072</v>
      </c>
      <c r="E1918" s="182">
        <v>133</v>
      </c>
      <c r="F1918" s="182">
        <f t="shared" ca="1" si="279"/>
        <v>0</v>
      </c>
      <c r="G1918" s="182">
        <f t="shared" ca="1" si="282"/>
        <v>0</v>
      </c>
      <c r="H1918" s="182">
        <f t="shared" ca="1" si="283"/>
        <v>107116.56990637809</v>
      </c>
      <c r="I1918" s="183">
        <v>133</v>
      </c>
      <c r="J1918" s="263">
        <f t="shared" ca="1" si="277"/>
        <v>107116.56990637809</v>
      </c>
    </row>
    <row r="1919" spans="1:10" x14ac:dyDescent="0.25">
      <c r="A1919" s="180">
        <f t="shared" ca="1" si="278"/>
        <v>48009</v>
      </c>
      <c r="B1919" s="181">
        <v>1905</v>
      </c>
      <c r="C1919" s="182">
        <f t="shared" ca="1" si="280"/>
        <v>107116.56990637809</v>
      </c>
      <c r="D1919" s="182">
        <f t="shared" ca="1" si="281"/>
        <v>71.411046604252064</v>
      </c>
      <c r="E1919" s="182">
        <v>134</v>
      </c>
      <c r="F1919" s="182">
        <f t="shared" ca="1" si="279"/>
        <v>0</v>
      </c>
      <c r="G1919" s="182">
        <f t="shared" ca="1" si="282"/>
        <v>0</v>
      </c>
      <c r="H1919" s="182">
        <f t="shared" ca="1" si="283"/>
        <v>107321.98095298234</v>
      </c>
      <c r="I1919" s="183">
        <v>134</v>
      </c>
      <c r="J1919" s="263">
        <f t="shared" ca="1" si="277"/>
        <v>107321.98095298234</v>
      </c>
    </row>
    <row r="1920" spans="1:10" x14ac:dyDescent="0.25">
      <c r="A1920" s="180">
        <f t="shared" ca="1" si="278"/>
        <v>48010</v>
      </c>
      <c r="B1920" s="181">
        <v>1906</v>
      </c>
      <c r="C1920" s="182">
        <f t="shared" ca="1" si="280"/>
        <v>107321.98095298234</v>
      </c>
      <c r="D1920" s="182">
        <f t="shared" ca="1" si="281"/>
        <v>71.547987301988229</v>
      </c>
      <c r="E1920" s="182">
        <v>135</v>
      </c>
      <c r="F1920" s="182">
        <f t="shared" ca="1" si="279"/>
        <v>0</v>
      </c>
      <c r="G1920" s="182">
        <f t="shared" ca="1" si="282"/>
        <v>0</v>
      </c>
      <c r="H1920" s="182">
        <f t="shared" ca="1" si="283"/>
        <v>107528.52894028433</v>
      </c>
      <c r="I1920" s="183">
        <v>135</v>
      </c>
      <c r="J1920" s="263">
        <f t="shared" ca="1" si="277"/>
        <v>107528.52894028433</v>
      </c>
    </row>
    <row r="1921" spans="1:10" x14ac:dyDescent="0.25">
      <c r="A1921" s="180">
        <f t="shared" ca="1" si="278"/>
        <v>48011</v>
      </c>
      <c r="B1921" s="181">
        <v>1907</v>
      </c>
      <c r="C1921" s="182">
        <f t="shared" ca="1" si="280"/>
        <v>107528.52894028433</v>
      </c>
      <c r="D1921" s="182">
        <f t="shared" ca="1" si="281"/>
        <v>71.685685960189559</v>
      </c>
      <c r="E1921" s="182">
        <v>136</v>
      </c>
      <c r="F1921" s="182">
        <f t="shared" ca="1" si="279"/>
        <v>0</v>
      </c>
      <c r="G1921" s="182">
        <f t="shared" ca="1" si="282"/>
        <v>0</v>
      </c>
      <c r="H1921" s="182">
        <f t="shared" ca="1" si="283"/>
        <v>107736.21462624452</v>
      </c>
      <c r="I1921" s="183">
        <v>136</v>
      </c>
      <c r="J1921" s="263">
        <f t="shared" ca="1" si="277"/>
        <v>107736.21462624452</v>
      </c>
    </row>
    <row r="1922" spans="1:10" x14ac:dyDescent="0.25">
      <c r="A1922" s="180">
        <f t="shared" ca="1" si="278"/>
        <v>48012</v>
      </c>
      <c r="B1922" s="181">
        <v>1908</v>
      </c>
      <c r="C1922" s="182">
        <f t="shared" ca="1" si="280"/>
        <v>107736.21462624452</v>
      </c>
      <c r="D1922" s="182">
        <f t="shared" ca="1" si="281"/>
        <v>71.824143084163012</v>
      </c>
      <c r="E1922" s="182">
        <v>137</v>
      </c>
      <c r="F1922" s="182">
        <f t="shared" ca="1" si="279"/>
        <v>0</v>
      </c>
      <c r="G1922" s="182">
        <f t="shared" ca="1" si="282"/>
        <v>0</v>
      </c>
      <c r="H1922" s="182">
        <f t="shared" ca="1" si="283"/>
        <v>107945.03876932868</v>
      </c>
      <c r="I1922" s="183">
        <v>137</v>
      </c>
      <c r="J1922" s="263">
        <f t="shared" ca="1" si="277"/>
        <v>107945.03876932868</v>
      </c>
    </row>
    <row r="1923" spans="1:10" x14ac:dyDescent="0.25">
      <c r="A1923" s="180">
        <f t="shared" ca="1" si="278"/>
        <v>48013</v>
      </c>
      <c r="B1923" s="181">
        <v>1909</v>
      </c>
      <c r="C1923" s="182">
        <f t="shared" ca="1" si="280"/>
        <v>107945.03876932868</v>
      </c>
      <c r="D1923" s="182">
        <f t="shared" ca="1" si="281"/>
        <v>71.963359179552441</v>
      </c>
      <c r="E1923" s="182">
        <v>138</v>
      </c>
      <c r="F1923" s="182">
        <f t="shared" ca="1" si="279"/>
        <v>0</v>
      </c>
      <c r="G1923" s="182">
        <f t="shared" ca="1" si="282"/>
        <v>0</v>
      </c>
      <c r="H1923" s="182">
        <f t="shared" ca="1" si="283"/>
        <v>108155.00212850823</v>
      </c>
      <c r="I1923" s="183">
        <v>138</v>
      </c>
      <c r="J1923" s="263">
        <f t="shared" ca="1" si="277"/>
        <v>108155.00212850823</v>
      </c>
    </row>
    <row r="1924" spans="1:10" x14ac:dyDescent="0.25">
      <c r="A1924" s="180">
        <f t="shared" ca="1" si="278"/>
        <v>48014</v>
      </c>
      <c r="B1924" s="181">
        <v>1910</v>
      </c>
      <c r="C1924" s="182">
        <f t="shared" ca="1" si="280"/>
        <v>108155.00212850823</v>
      </c>
      <c r="D1924" s="182">
        <f t="shared" ca="1" si="281"/>
        <v>72.103334752338824</v>
      </c>
      <c r="E1924" s="182">
        <v>139</v>
      </c>
      <c r="F1924" s="182">
        <f t="shared" ca="1" si="279"/>
        <v>0</v>
      </c>
      <c r="G1924" s="182">
        <f t="shared" ca="1" si="282"/>
        <v>0</v>
      </c>
      <c r="H1924" s="182">
        <f t="shared" ca="1" si="283"/>
        <v>108366.10546326057</v>
      </c>
      <c r="I1924" s="183">
        <v>139</v>
      </c>
      <c r="J1924" s="263">
        <f t="shared" ca="1" si="277"/>
        <v>108366.10546326057</v>
      </c>
    </row>
    <row r="1925" spans="1:10" x14ac:dyDescent="0.25">
      <c r="A1925" s="180">
        <f t="shared" ca="1" si="278"/>
        <v>48015</v>
      </c>
      <c r="B1925" s="181">
        <v>1911</v>
      </c>
      <c r="C1925" s="182">
        <f t="shared" ca="1" si="280"/>
        <v>108366.10546326057</v>
      </c>
      <c r="D1925" s="182">
        <f t="shared" ca="1" si="281"/>
        <v>72.244070308840378</v>
      </c>
      <c r="E1925" s="182">
        <v>140</v>
      </c>
      <c r="F1925" s="182">
        <f t="shared" ca="1" si="279"/>
        <v>0</v>
      </c>
      <c r="G1925" s="182">
        <f t="shared" ca="1" si="282"/>
        <v>0</v>
      </c>
      <c r="H1925" s="182">
        <f t="shared" ca="1" si="283"/>
        <v>108578.3495335694</v>
      </c>
      <c r="I1925" s="183">
        <v>140</v>
      </c>
      <c r="J1925" s="263">
        <f t="shared" ca="1" si="277"/>
        <v>108578.3495335694</v>
      </c>
    </row>
    <row r="1926" spans="1:10" x14ac:dyDescent="0.25">
      <c r="A1926" s="180">
        <f t="shared" ca="1" si="278"/>
        <v>48016</v>
      </c>
      <c r="B1926" s="181">
        <v>1912</v>
      </c>
      <c r="C1926" s="182">
        <f t="shared" ca="1" si="280"/>
        <v>108578.3495335694</v>
      </c>
      <c r="D1926" s="182">
        <f t="shared" ca="1" si="281"/>
        <v>72.385566355712939</v>
      </c>
      <c r="E1926" s="182">
        <v>141</v>
      </c>
      <c r="F1926" s="182">
        <f t="shared" ca="1" si="279"/>
        <v>0</v>
      </c>
      <c r="G1926" s="182">
        <f t="shared" ca="1" si="282"/>
        <v>0</v>
      </c>
      <c r="H1926" s="182">
        <f t="shared" ca="1" si="283"/>
        <v>108791.73509992512</v>
      </c>
      <c r="I1926" s="183">
        <v>141</v>
      </c>
      <c r="J1926" s="263">
        <f t="shared" ca="1" si="277"/>
        <v>108791.73509992512</v>
      </c>
    </row>
    <row r="1927" spans="1:10" x14ac:dyDescent="0.25">
      <c r="A1927" s="180">
        <f t="shared" ca="1" si="278"/>
        <v>48017</v>
      </c>
      <c r="B1927" s="181">
        <v>1913</v>
      </c>
      <c r="C1927" s="182">
        <f t="shared" ca="1" si="280"/>
        <v>108791.73509992512</v>
      </c>
      <c r="D1927" s="182">
        <f t="shared" ca="1" si="281"/>
        <v>72.52782339995008</v>
      </c>
      <c r="E1927" s="182">
        <v>142</v>
      </c>
      <c r="F1927" s="182">
        <f t="shared" ca="1" si="279"/>
        <v>0</v>
      </c>
      <c r="G1927" s="182">
        <f t="shared" ca="1" si="282"/>
        <v>0</v>
      </c>
      <c r="H1927" s="182">
        <f t="shared" ca="1" si="283"/>
        <v>109006.26292332508</v>
      </c>
      <c r="I1927" s="183">
        <v>142</v>
      </c>
      <c r="J1927" s="263">
        <f t="shared" ca="1" si="277"/>
        <v>109006.26292332508</v>
      </c>
    </row>
    <row r="1928" spans="1:10" x14ac:dyDescent="0.25">
      <c r="A1928" s="180">
        <f t="shared" ca="1" si="278"/>
        <v>48018</v>
      </c>
      <c r="B1928" s="181">
        <v>1914</v>
      </c>
      <c r="C1928" s="182">
        <f t="shared" ca="1" si="280"/>
        <v>109006.26292332508</v>
      </c>
      <c r="D1928" s="182">
        <f t="shared" ca="1" si="281"/>
        <v>72.670841948883378</v>
      </c>
      <c r="E1928" s="182">
        <v>143</v>
      </c>
      <c r="F1928" s="182">
        <f t="shared" ca="1" si="279"/>
        <v>0</v>
      </c>
      <c r="G1928" s="182">
        <f t="shared" ca="1" si="282"/>
        <v>0</v>
      </c>
      <c r="H1928" s="182">
        <f t="shared" ca="1" si="283"/>
        <v>109221.93376527396</v>
      </c>
      <c r="I1928" s="183">
        <v>143</v>
      </c>
      <c r="J1928" s="263">
        <f t="shared" ca="1" si="277"/>
        <v>109221.93376527396</v>
      </c>
    </row>
    <row r="1929" spans="1:10" x14ac:dyDescent="0.25">
      <c r="A1929" s="180">
        <f t="shared" ca="1" si="278"/>
        <v>48019</v>
      </c>
      <c r="B1929" s="181">
        <v>1915</v>
      </c>
      <c r="C1929" s="182">
        <f t="shared" ca="1" si="280"/>
        <v>109221.93376527396</v>
      </c>
      <c r="D1929" s="182">
        <f t="shared" ca="1" si="281"/>
        <v>72.814622510182645</v>
      </c>
      <c r="E1929" s="182">
        <v>144</v>
      </c>
      <c r="F1929" s="182">
        <f t="shared" ca="1" si="279"/>
        <v>0</v>
      </c>
      <c r="G1929" s="182">
        <f t="shared" ca="1" si="282"/>
        <v>0</v>
      </c>
      <c r="H1929" s="182">
        <f t="shared" ca="1" si="283"/>
        <v>109438.74838778414</v>
      </c>
      <c r="I1929" s="183">
        <v>144</v>
      </c>
      <c r="J1929" s="263">
        <f t="shared" ca="1" si="277"/>
        <v>109438.74838778414</v>
      </c>
    </row>
    <row r="1930" spans="1:10" x14ac:dyDescent="0.25">
      <c r="A1930" s="180">
        <f t="shared" ca="1" si="278"/>
        <v>48020</v>
      </c>
      <c r="B1930" s="181">
        <v>1916</v>
      </c>
      <c r="C1930" s="182">
        <f t="shared" ca="1" si="280"/>
        <v>109438.74838778414</v>
      </c>
      <c r="D1930" s="182">
        <f t="shared" ca="1" si="281"/>
        <v>72.959165591856092</v>
      </c>
      <c r="E1930" s="182">
        <v>145</v>
      </c>
      <c r="F1930" s="182">
        <f t="shared" ca="1" si="279"/>
        <v>0</v>
      </c>
      <c r="G1930" s="182">
        <f t="shared" ca="1" si="282"/>
        <v>0</v>
      </c>
      <c r="H1930" s="182">
        <f t="shared" ca="1" si="283"/>
        <v>109656.70755337601</v>
      </c>
      <c r="I1930" s="183">
        <v>145</v>
      </c>
      <c r="J1930" s="263">
        <f t="shared" ca="1" si="277"/>
        <v>109656.70755337601</v>
      </c>
    </row>
    <row r="1931" spans="1:10" x14ac:dyDescent="0.25">
      <c r="A1931" s="180">
        <f t="shared" ca="1" si="278"/>
        <v>48021</v>
      </c>
      <c r="B1931" s="181">
        <v>1917</v>
      </c>
      <c r="C1931" s="182">
        <f t="shared" ca="1" si="280"/>
        <v>109656.70755337601</v>
      </c>
      <c r="D1931" s="182">
        <f t="shared" ca="1" si="281"/>
        <v>73.104471702250663</v>
      </c>
      <c r="E1931" s="182">
        <v>146</v>
      </c>
      <c r="F1931" s="182">
        <f t="shared" ca="1" si="279"/>
        <v>0</v>
      </c>
      <c r="G1931" s="182">
        <f t="shared" ca="1" si="282"/>
        <v>0</v>
      </c>
      <c r="H1931" s="182">
        <f t="shared" ca="1" si="283"/>
        <v>109875.81202507825</v>
      </c>
      <c r="I1931" s="183">
        <v>146</v>
      </c>
      <c r="J1931" s="263">
        <f t="shared" ca="1" si="277"/>
        <v>109875.81202507825</v>
      </c>
    </row>
    <row r="1932" spans="1:10" x14ac:dyDescent="0.25">
      <c r="A1932" s="180">
        <f t="shared" ca="1" si="278"/>
        <v>48022</v>
      </c>
      <c r="B1932" s="181">
        <v>1918</v>
      </c>
      <c r="C1932" s="182">
        <f t="shared" ca="1" si="280"/>
        <v>109875.81202507825</v>
      </c>
      <c r="D1932" s="182">
        <f t="shared" ca="1" si="281"/>
        <v>73.25054135005216</v>
      </c>
      <c r="E1932" s="182">
        <v>147</v>
      </c>
      <c r="F1932" s="182">
        <f t="shared" ca="1" si="279"/>
        <v>0</v>
      </c>
      <c r="G1932" s="182">
        <f t="shared" ca="1" si="282"/>
        <v>0</v>
      </c>
      <c r="H1932" s="182">
        <f t="shared" ca="1" si="283"/>
        <v>110096.0625664283</v>
      </c>
      <c r="I1932" s="183">
        <v>147</v>
      </c>
      <c r="J1932" s="263">
        <f t="shared" ca="1" si="277"/>
        <v>110096.0625664283</v>
      </c>
    </row>
    <row r="1933" spans="1:10" x14ac:dyDescent="0.25">
      <c r="A1933" s="180">
        <f t="shared" ca="1" si="278"/>
        <v>48023</v>
      </c>
      <c r="B1933" s="181">
        <v>1919</v>
      </c>
      <c r="C1933" s="182">
        <f t="shared" ca="1" si="280"/>
        <v>110096.0625664283</v>
      </c>
      <c r="D1933" s="182">
        <f t="shared" ca="1" si="281"/>
        <v>73.397375044285525</v>
      </c>
      <c r="E1933" s="182">
        <v>148</v>
      </c>
      <c r="F1933" s="182">
        <f t="shared" ca="1" si="279"/>
        <v>0</v>
      </c>
      <c r="G1933" s="182">
        <f t="shared" ca="1" si="282"/>
        <v>0</v>
      </c>
      <c r="H1933" s="182">
        <f t="shared" ca="1" si="283"/>
        <v>110317.45994147258</v>
      </c>
      <c r="I1933" s="183">
        <v>148</v>
      </c>
      <c r="J1933" s="263">
        <f t="shared" ca="1" si="277"/>
        <v>110317.45994147258</v>
      </c>
    </row>
    <row r="1934" spans="1:10" x14ac:dyDescent="0.25">
      <c r="A1934" s="180">
        <f t="shared" ca="1" si="278"/>
        <v>48024</v>
      </c>
      <c r="B1934" s="181">
        <v>1920</v>
      </c>
      <c r="C1934" s="182">
        <f t="shared" ca="1" si="280"/>
        <v>110317.45994147258</v>
      </c>
      <c r="D1934" s="182">
        <f t="shared" ca="1" si="281"/>
        <v>73.544973294315056</v>
      </c>
      <c r="E1934" s="182">
        <v>149</v>
      </c>
      <c r="F1934" s="182">
        <f t="shared" ca="1" si="279"/>
        <v>0</v>
      </c>
      <c r="G1934" s="182">
        <f t="shared" ca="1" si="282"/>
        <v>0</v>
      </c>
      <c r="H1934" s="182">
        <f t="shared" ca="1" si="283"/>
        <v>110540.00491476689</v>
      </c>
      <c r="I1934" s="183">
        <v>149</v>
      </c>
      <c r="J1934" s="263">
        <f t="shared" ca="1" si="277"/>
        <v>110540.00491476689</v>
      </c>
    </row>
    <row r="1935" spans="1:10" x14ac:dyDescent="0.25">
      <c r="A1935" s="180">
        <f t="shared" ca="1" si="278"/>
        <v>48025</v>
      </c>
      <c r="B1935" s="181">
        <v>1921</v>
      </c>
      <c r="C1935" s="182">
        <f t="shared" ca="1" si="280"/>
        <v>110540.00491476689</v>
      </c>
      <c r="D1935" s="182">
        <f t="shared" ca="1" si="281"/>
        <v>73.693336609844593</v>
      </c>
      <c r="E1935" s="182">
        <v>150</v>
      </c>
      <c r="F1935" s="182">
        <f t="shared" ca="1" si="279"/>
        <v>0</v>
      </c>
      <c r="G1935" s="182">
        <f t="shared" ca="1" si="282"/>
        <v>0</v>
      </c>
      <c r="H1935" s="182">
        <f t="shared" ca="1" si="283"/>
        <v>110763.69825137673</v>
      </c>
      <c r="I1935" s="183">
        <v>150</v>
      </c>
      <c r="J1935" s="263">
        <f t="shared" ref="J1935:J1998" ca="1" si="284">H1935-IF(I$8-G1935&lt;Q$42,I$8-Q$42,G1935)</f>
        <v>110763.69825137673</v>
      </c>
    </row>
    <row r="1936" spans="1:10" x14ac:dyDescent="0.25">
      <c r="A1936" s="180">
        <f t="shared" ca="1" si="278"/>
        <v>48026</v>
      </c>
      <c r="B1936" s="181">
        <v>1922</v>
      </c>
      <c r="C1936" s="182">
        <f t="shared" ca="1" si="280"/>
        <v>110763.69825137673</v>
      </c>
      <c r="D1936" s="182">
        <f t="shared" ca="1" si="281"/>
        <v>73.842465500917811</v>
      </c>
      <c r="E1936" s="182">
        <v>151</v>
      </c>
      <c r="F1936" s="182">
        <f t="shared" ca="1" si="279"/>
        <v>0</v>
      </c>
      <c r="G1936" s="182">
        <f t="shared" ca="1" si="282"/>
        <v>0</v>
      </c>
      <c r="H1936" s="182">
        <f t="shared" ca="1" si="283"/>
        <v>110988.54071687764</v>
      </c>
      <c r="I1936" s="183">
        <v>151</v>
      </c>
      <c r="J1936" s="263">
        <f t="shared" ca="1" si="284"/>
        <v>110988.54071687764</v>
      </c>
    </row>
    <row r="1937" spans="1:10" x14ac:dyDescent="0.25">
      <c r="A1937" s="180">
        <f t="shared" ref="A1937:A2000" ca="1" si="285">A1936+1</f>
        <v>48027</v>
      </c>
      <c r="B1937" s="181">
        <v>1923</v>
      </c>
      <c r="C1937" s="182">
        <f t="shared" ca="1" si="280"/>
        <v>110988.54071687764</v>
      </c>
      <c r="D1937" s="182">
        <f t="shared" ca="1" si="281"/>
        <v>73.992360477918425</v>
      </c>
      <c r="E1937" s="182">
        <v>152</v>
      </c>
      <c r="F1937" s="182">
        <f t="shared" ca="1" si="279"/>
        <v>0</v>
      </c>
      <c r="G1937" s="182">
        <f t="shared" ca="1" si="282"/>
        <v>0</v>
      </c>
      <c r="H1937" s="182">
        <f t="shared" ca="1" si="283"/>
        <v>111214.53307735556</v>
      </c>
      <c r="I1937" s="183">
        <v>152</v>
      </c>
      <c r="J1937" s="263">
        <f t="shared" ca="1" si="284"/>
        <v>111214.53307735556</v>
      </c>
    </row>
    <row r="1938" spans="1:10" x14ac:dyDescent="0.25">
      <c r="A1938" s="180">
        <f t="shared" ca="1" si="285"/>
        <v>48028</v>
      </c>
      <c r="B1938" s="181">
        <v>1924</v>
      </c>
      <c r="C1938" s="182">
        <f t="shared" ca="1" si="280"/>
        <v>111214.53307735556</v>
      </c>
      <c r="D1938" s="182">
        <f t="shared" ca="1" si="281"/>
        <v>74.14302205157037</v>
      </c>
      <c r="E1938" s="182">
        <v>153</v>
      </c>
      <c r="F1938" s="182">
        <f t="shared" ca="1" si="279"/>
        <v>0</v>
      </c>
      <c r="G1938" s="182">
        <f t="shared" ca="1" si="282"/>
        <v>0</v>
      </c>
      <c r="H1938" s="182">
        <f t="shared" ca="1" si="283"/>
        <v>111441.67609940714</v>
      </c>
      <c r="I1938" s="183">
        <v>153</v>
      </c>
      <c r="J1938" s="263">
        <f t="shared" ca="1" si="284"/>
        <v>111441.67609940714</v>
      </c>
    </row>
    <row r="1939" spans="1:10" x14ac:dyDescent="0.25">
      <c r="A1939" s="180">
        <f t="shared" ca="1" si="285"/>
        <v>48029</v>
      </c>
      <c r="B1939" s="181">
        <v>1925</v>
      </c>
      <c r="C1939" s="182">
        <f t="shared" ca="1" si="280"/>
        <v>111441.67609940714</v>
      </c>
      <c r="D1939" s="182">
        <f t="shared" ca="1" si="281"/>
        <v>74.294450732938088</v>
      </c>
      <c r="E1939" s="182">
        <v>154</v>
      </c>
      <c r="F1939" s="182">
        <f t="shared" ca="1" si="279"/>
        <v>0</v>
      </c>
      <c r="G1939" s="182">
        <f t="shared" ca="1" si="282"/>
        <v>0</v>
      </c>
      <c r="H1939" s="182">
        <f t="shared" ca="1" si="283"/>
        <v>111669.97055014007</v>
      </c>
      <c r="I1939" s="183">
        <v>154</v>
      </c>
      <c r="J1939" s="263">
        <f t="shared" ca="1" si="284"/>
        <v>111669.97055014007</v>
      </c>
    </row>
    <row r="1940" spans="1:10" x14ac:dyDescent="0.25">
      <c r="A1940" s="180">
        <f t="shared" ca="1" si="285"/>
        <v>48030</v>
      </c>
      <c r="B1940" s="181">
        <v>1926</v>
      </c>
      <c r="C1940" s="182">
        <f t="shared" ca="1" si="280"/>
        <v>111669.97055014007</v>
      </c>
      <c r="D1940" s="182">
        <f t="shared" ca="1" si="281"/>
        <v>74.446647033426714</v>
      </c>
      <c r="E1940" s="182">
        <v>155</v>
      </c>
      <c r="F1940" s="182">
        <f t="shared" ca="1" si="279"/>
        <v>0</v>
      </c>
      <c r="G1940" s="182">
        <f t="shared" ca="1" si="282"/>
        <v>0</v>
      </c>
      <c r="H1940" s="182">
        <f t="shared" ca="1" si="283"/>
        <v>111899.4171971735</v>
      </c>
      <c r="I1940" s="183">
        <v>155</v>
      </c>
      <c r="J1940" s="263">
        <f t="shared" ca="1" si="284"/>
        <v>111899.4171971735</v>
      </c>
    </row>
    <row r="1941" spans="1:10" x14ac:dyDescent="0.25">
      <c r="A1941" s="180">
        <f t="shared" ca="1" si="285"/>
        <v>48031</v>
      </c>
      <c r="B1941" s="181">
        <v>1927</v>
      </c>
      <c r="C1941" s="182">
        <f t="shared" ca="1" si="280"/>
        <v>111899.4171971735</v>
      </c>
      <c r="D1941" s="182">
        <f t="shared" ca="1" si="281"/>
        <v>74.599611464782328</v>
      </c>
      <c r="E1941" s="182">
        <v>156</v>
      </c>
      <c r="F1941" s="182">
        <f t="shared" ca="1" si="279"/>
        <v>0</v>
      </c>
      <c r="G1941" s="182">
        <f t="shared" ca="1" si="282"/>
        <v>0</v>
      </c>
      <c r="H1941" s="182">
        <f t="shared" ca="1" si="283"/>
        <v>112130.01680863829</v>
      </c>
      <c r="I1941" s="183">
        <v>156</v>
      </c>
      <c r="J1941" s="263">
        <f t="shared" ca="1" si="284"/>
        <v>112130.01680863829</v>
      </c>
    </row>
    <row r="1942" spans="1:10" x14ac:dyDescent="0.25">
      <c r="A1942" s="180">
        <f t="shared" ca="1" si="285"/>
        <v>48032</v>
      </c>
      <c r="B1942" s="181">
        <v>1928</v>
      </c>
      <c r="C1942" s="182">
        <f t="shared" ca="1" si="280"/>
        <v>112130.01680863829</v>
      </c>
      <c r="D1942" s="182">
        <f t="shared" ca="1" si="281"/>
        <v>74.753344539092197</v>
      </c>
      <c r="E1942" s="182">
        <v>157</v>
      </c>
      <c r="F1942" s="182">
        <f t="shared" ca="1" si="279"/>
        <v>0</v>
      </c>
      <c r="G1942" s="182">
        <f t="shared" ca="1" si="282"/>
        <v>0</v>
      </c>
      <c r="H1942" s="182">
        <f t="shared" ca="1" si="283"/>
        <v>112361.77015317738</v>
      </c>
      <c r="I1942" s="183">
        <v>157</v>
      </c>
      <c r="J1942" s="263">
        <f t="shared" ca="1" si="284"/>
        <v>112361.77015317738</v>
      </c>
    </row>
    <row r="1943" spans="1:10" x14ac:dyDescent="0.25">
      <c r="A1943" s="180">
        <f t="shared" ca="1" si="285"/>
        <v>48033</v>
      </c>
      <c r="B1943" s="181">
        <v>1929</v>
      </c>
      <c r="C1943" s="182">
        <f t="shared" ca="1" si="280"/>
        <v>112361.77015317738</v>
      </c>
      <c r="D1943" s="182">
        <f t="shared" ca="1" si="281"/>
        <v>74.907846768784921</v>
      </c>
      <c r="E1943" s="182">
        <v>158</v>
      </c>
      <c r="F1943" s="182">
        <f t="shared" ca="1" si="279"/>
        <v>0</v>
      </c>
      <c r="G1943" s="182">
        <f t="shared" ca="1" si="282"/>
        <v>0</v>
      </c>
      <c r="H1943" s="182">
        <f t="shared" ca="1" si="283"/>
        <v>112594.67799994616</v>
      </c>
      <c r="I1943" s="183">
        <v>158</v>
      </c>
      <c r="J1943" s="263">
        <f t="shared" ca="1" si="284"/>
        <v>112594.67799994616</v>
      </c>
    </row>
    <row r="1944" spans="1:10" x14ac:dyDescent="0.25">
      <c r="A1944" s="180">
        <f t="shared" ca="1" si="285"/>
        <v>48034</v>
      </c>
      <c r="B1944" s="181">
        <v>1930</v>
      </c>
      <c r="C1944" s="182">
        <f t="shared" ca="1" si="280"/>
        <v>112594.67799994616</v>
      </c>
      <c r="D1944" s="182">
        <f t="shared" ca="1" si="281"/>
        <v>75.063118666630771</v>
      </c>
      <c r="E1944" s="182">
        <v>159</v>
      </c>
      <c r="F1944" s="182">
        <f t="shared" ca="1" si="279"/>
        <v>0</v>
      </c>
      <c r="G1944" s="182">
        <f t="shared" ca="1" si="282"/>
        <v>0</v>
      </c>
      <c r="H1944" s="182">
        <f t="shared" ca="1" si="283"/>
        <v>112828.74111861279</v>
      </c>
      <c r="I1944" s="183">
        <v>159</v>
      </c>
      <c r="J1944" s="263">
        <f t="shared" ca="1" si="284"/>
        <v>112828.74111861279</v>
      </c>
    </row>
    <row r="1945" spans="1:10" x14ac:dyDescent="0.25">
      <c r="A1945" s="180">
        <f t="shared" ca="1" si="285"/>
        <v>48035</v>
      </c>
      <c r="B1945" s="181">
        <v>1931</v>
      </c>
      <c r="C1945" s="182">
        <f t="shared" ca="1" si="280"/>
        <v>112828.74111861279</v>
      </c>
      <c r="D1945" s="182">
        <f t="shared" ca="1" si="281"/>
        <v>75.21916074574186</v>
      </c>
      <c r="E1945" s="182">
        <v>160</v>
      </c>
      <c r="F1945" s="182">
        <f t="shared" ca="1" si="279"/>
        <v>0</v>
      </c>
      <c r="G1945" s="182">
        <f t="shared" ca="1" si="282"/>
        <v>0</v>
      </c>
      <c r="H1945" s="182">
        <f t="shared" ca="1" si="283"/>
        <v>113063.96027935852</v>
      </c>
      <c r="I1945" s="183">
        <v>160</v>
      </c>
      <c r="J1945" s="263">
        <f t="shared" ca="1" si="284"/>
        <v>113063.96027935852</v>
      </c>
    </row>
    <row r="1946" spans="1:10" x14ac:dyDescent="0.25">
      <c r="A1946" s="180">
        <f t="shared" ca="1" si="285"/>
        <v>48036</v>
      </c>
      <c r="B1946" s="181">
        <v>1932</v>
      </c>
      <c r="C1946" s="182">
        <f t="shared" ca="1" si="280"/>
        <v>113063.96027935852</v>
      </c>
      <c r="D1946" s="182">
        <f t="shared" ca="1" si="281"/>
        <v>75.375973519572341</v>
      </c>
      <c r="E1946" s="182">
        <v>161</v>
      </c>
      <c r="F1946" s="182">
        <f t="shared" ca="1" si="279"/>
        <v>0</v>
      </c>
      <c r="G1946" s="182">
        <f t="shared" ca="1" si="282"/>
        <v>0</v>
      </c>
      <c r="H1946" s="182">
        <f t="shared" ca="1" si="283"/>
        <v>113300.3362528781</v>
      </c>
      <c r="I1946" s="183">
        <v>161</v>
      </c>
      <c r="J1946" s="263">
        <f t="shared" ca="1" si="284"/>
        <v>113300.3362528781</v>
      </c>
    </row>
    <row r="1947" spans="1:10" x14ac:dyDescent="0.25">
      <c r="A1947" s="180">
        <f t="shared" ca="1" si="285"/>
        <v>48037</v>
      </c>
      <c r="B1947" s="181">
        <v>1933</v>
      </c>
      <c r="C1947" s="182">
        <f t="shared" ca="1" si="280"/>
        <v>113300.3362528781</v>
      </c>
      <c r="D1947" s="182">
        <f t="shared" ca="1" si="281"/>
        <v>75.533557501918736</v>
      </c>
      <c r="E1947" s="182">
        <v>162</v>
      </c>
      <c r="F1947" s="182">
        <f t="shared" ca="1" si="279"/>
        <v>0</v>
      </c>
      <c r="G1947" s="182">
        <f t="shared" ca="1" si="282"/>
        <v>0</v>
      </c>
      <c r="H1947" s="182">
        <f t="shared" ca="1" si="283"/>
        <v>113537.86981038001</v>
      </c>
      <c r="I1947" s="183">
        <v>162</v>
      </c>
      <c r="J1947" s="263">
        <f t="shared" ca="1" si="284"/>
        <v>113537.86981038001</v>
      </c>
    </row>
    <row r="1948" spans="1:10" x14ac:dyDescent="0.25">
      <c r="A1948" s="180">
        <f t="shared" ca="1" si="285"/>
        <v>48038</v>
      </c>
      <c r="B1948" s="181">
        <v>1934</v>
      </c>
      <c r="C1948" s="182">
        <f t="shared" ca="1" si="280"/>
        <v>113537.86981038001</v>
      </c>
      <c r="D1948" s="182">
        <f t="shared" ca="1" si="281"/>
        <v>75.691913206920006</v>
      </c>
      <c r="E1948" s="182">
        <v>163</v>
      </c>
      <c r="F1948" s="182">
        <f t="shared" ca="1" si="279"/>
        <v>0</v>
      </c>
      <c r="G1948" s="182">
        <f t="shared" ca="1" si="282"/>
        <v>0</v>
      </c>
      <c r="H1948" s="182">
        <f t="shared" ca="1" si="283"/>
        <v>113776.56172358693</v>
      </c>
      <c r="I1948" s="183">
        <v>163</v>
      </c>
      <c r="J1948" s="263">
        <f t="shared" ca="1" si="284"/>
        <v>113776.56172358693</v>
      </c>
    </row>
    <row r="1949" spans="1:10" x14ac:dyDescent="0.25">
      <c r="A1949" s="180">
        <f t="shared" ca="1" si="285"/>
        <v>48039</v>
      </c>
      <c r="B1949" s="181">
        <v>1935</v>
      </c>
      <c r="C1949" s="182">
        <f t="shared" ca="1" si="280"/>
        <v>113776.56172358693</v>
      </c>
      <c r="D1949" s="182">
        <f t="shared" ca="1" si="281"/>
        <v>75.851041149057949</v>
      </c>
      <c r="E1949" s="182">
        <v>164</v>
      </c>
      <c r="F1949" s="182">
        <f t="shared" ca="1" si="279"/>
        <v>0</v>
      </c>
      <c r="G1949" s="182">
        <f t="shared" ca="1" si="282"/>
        <v>0</v>
      </c>
      <c r="H1949" s="182">
        <f t="shared" ca="1" si="283"/>
        <v>114016.41276473599</v>
      </c>
      <c r="I1949" s="183">
        <v>164</v>
      </c>
      <c r="J1949" s="263">
        <f t="shared" ca="1" si="284"/>
        <v>114016.41276473599</v>
      </c>
    </row>
    <row r="1950" spans="1:10" x14ac:dyDescent="0.25">
      <c r="A1950" s="180">
        <f t="shared" ca="1" si="285"/>
        <v>48040</v>
      </c>
      <c r="B1950" s="181">
        <v>1936</v>
      </c>
      <c r="C1950" s="182">
        <f t="shared" ca="1" si="280"/>
        <v>114016.41276473599</v>
      </c>
      <c r="D1950" s="182">
        <f t="shared" ca="1" si="281"/>
        <v>76.010941843157326</v>
      </c>
      <c r="E1950" s="182">
        <v>165</v>
      </c>
      <c r="F1950" s="182">
        <f t="shared" ca="1" si="279"/>
        <v>0</v>
      </c>
      <c r="G1950" s="182">
        <f t="shared" ca="1" si="282"/>
        <v>0</v>
      </c>
      <c r="H1950" s="182">
        <f t="shared" ca="1" si="283"/>
        <v>114257.42370657914</v>
      </c>
      <c r="I1950" s="183">
        <v>165</v>
      </c>
      <c r="J1950" s="263">
        <f t="shared" ca="1" si="284"/>
        <v>114257.42370657914</v>
      </c>
    </row>
    <row r="1951" spans="1:10" x14ac:dyDescent="0.25">
      <c r="A1951" s="180">
        <f t="shared" ca="1" si="285"/>
        <v>48041</v>
      </c>
      <c r="B1951" s="181">
        <v>1937</v>
      </c>
      <c r="C1951" s="182">
        <f t="shared" ca="1" si="280"/>
        <v>114257.42370657914</v>
      </c>
      <c r="D1951" s="182">
        <f t="shared" ca="1" si="281"/>
        <v>76.171615804386093</v>
      </c>
      <c r="E1951" s="182">
        <v>166</v>
      </c>
      <c r="F1951" s="182">
        <f t="shared" ca="1" si="279"/>
        <v>0</v>
      </c>
      <c r="G1951" s="182">
        <f t="shared" ca="1" si="282"/>
        <v>0</v>
      </c>
      <c r="H1951" s="182">
        <f t="shared" ca="1" si="283"/>
        <v>114499.59532238352</v>
      </c>
      <c r="I1951" s="183">
        <v>166</v>
      </c>
      <c r="J1951" s="263">
        <f t="shared" ca="1" si="284"/>
        <v>114499.59532238352</v>
      </c>
    </row>
    <row r="1952" spans="1:10" x14ac:dyDescent="0.25">
      <c r="A1952" s="180">
        <f t="shared" ca="1" si="285"/>
        <v>48042</v>
      </c>
      <c r="B1952" s="181">
        <v>1938</v>
      </c>
      <c r="C1952" s="182">
        <f t="shared" ca="1" si="280"/>
        <v>114499.59532238352</v>
      </c>
      <c r="D1952" s="182">
        <f t="shared" ca="1" si="281"/>
        <v>76.33306354825568</v>
      </c>
      <c r="E1952" s="182">
        <v>167</v>
      </c>
      <c r="F1952" s="182">
        <f t="shared" ca="1" si="279"/>
        <v>0</v>
      </c>
      <c r="G1952" s="182">
        <f t="shared" ca="1" si="282"/>
        <v>0</v>
      </c>
      <c r="H1952" s="182">
        <f t="shared" ca="1" si="283"/>
        <v>114742.92838593178</v>
      </c>
      <c r="I1952" s="183">
        <v>167</v>
      </c>
      <c r="J1952" s="263">
        <f t="shared" ca="1" si="284"/>
        <v>114742.92838593178</v>
      </c>
    </row>
    <row r="1953" spans="1:10" x14ac:dyDescent="0.25">
      <c r="A1953" s="180">
        <f t="shared" ca="1" si="285"/>
        <v>48043</v>
      </c>
      <c r="B1953" s="181">
        <v>1939</v>
      </c>
      <c r="C1953" s="182">
        <f t="shared" ca="1" si="280"/>
        <v>114742.92838593178</v>
      </c>
      <c r="D1953" s="182">
        <f t="shared" ca="1" si="281"/>
        <v>76.495285590621179</v>
      </c>
      <c r="E1953" s="182">
        <v>168</v>
      </c>
      <c r="F1953" s="182">
        <f t="shared" ca="1" si="279"/>
        <v>0</v>
      </c>
      <c r="G1953" s="182">
        <f t="shared" ca="1" si="282"/>
        <v>0</v>
      </c>
      <c r="H1953" s="182">
        <f t="shared" ca="1" si="283"/>
        <v>114987.4236715224</v>
      </c>
      <c r="I1953" s="183">
        <v>168</v>
      </c>
      <c r="J1953" s="263">
        <f t="shared" ca="1" si="284"/>
        <v>114987.4236715224</v>
      </c>
    </row>
    <row r="1954" spans="1:10" x14ac:dyDescent="0.25">
      <c r="A1954" s="180">
        <f t="shared" ca="1" si="285"/>
        <v>48044</v>
      </c>
      <c r="B1954" s="181">
        <v>1940</v>
      </c>
      <c r="C1954" s="182">
        <f t="shared" ca="1" si="280"/>
        <v>114987.4236715224</v>
      </c>
      <c r="D1954" s="182">
        <f t="shared" ca="1" si="281"/>
        <v>76.6582824476816</v>
      </c>
      <c r="E1954" s="182">
        <v>169</v>
      </c>
      <c r="F1954" s="182">
        <f t="shared" ca="1" si="279"/>
        <v>0</v>
      </c>
      <c r="G1954" s="182">
        <f t="shared" ca="1" si="282"/>
        <v>0</v>
      </c>
      <c r="H1954" s="182">
        <f t="shared" ca="1" si="283"/>
        <v>115233.08195397008</v>
      </c>
      <c r="I1954" s="183">
        <v>169</v>
      </c>
      <c r="J1954" s="263">
        <f t="shared" ca="1" si="284"/>
        <v>115233.08195397008</v>
      </c>
    </row>
    <row r="1955" spans="1:10" x14ac:dyDescent="0.25">
      <c r="A1955" s="180">
        <f t="shared" ca="1" si="285"/>
        <v>48045</v>
      </c>
      <c r="B1955" s="181">
        <v>1941</v>
      </c>
      <c r="C1955" s="182">
        <f t="shared" ca="1" si="280"/>
        <v>115233.08195397008</v>
      </c>
      <c r="D1955" s="182">
        <f t="shared" ca="1" si="281"/>
        <v>76.822054635980052</v>
      </c>
      <c r="E1955" s="182">
        <v>170</v>
      </c>
      <c r="F1955" s="182">
        <f t="shared" ca="1" si="279"/>
        <v>0</v>
      </c>
      <c r="G1955" s="182">
        <f t="shared" ca="1" si="282"/>
        <v>0</v>
      </c>
      <c r="H1955" s="182">
        <f t="shared" ca="1" si="283"/>
        <v>115479.90400860606</v>
      </c>
      <c r="I1955" s="183">
        <v>170</v>
      </c>
      <c r="J1955" s="263">
        <f t="shared" ca="1" si="284"/>
        <v>115479.90400860606</v>
      </c>
    </row>
    <row r="1956" spans="1:10" x14ac:dyDescent="0.25">
      <c r="A1956" s="180">
        <f t="shared" ca="1" si="285"/>
        <v>48046</v>
      </c>
      <c r="B1956" s="181">
        <v>1942</v>
      </c>
      <c r="C1956" s="182">
        <f t="shared" ca="1" si="280"/>
        <v>115479.90400860606</v>
      </c>
      <c r="D1956" s="182">
        <f t="shared" ca="1" si="281"/>
        <v>76.986602672404032</v>
      </c>
      <c r="E1956" s="182">
        <v>171</v>
      </c>
      <c r="F1956" s="182">
        <f t="shared" ca="1" si="279"/>
        <v>0</v>
      </c>
      <c r="G1956" s="182">
        <f t="shared" ca="1" si="282"/>
        <v>0</v>
      </c>
      <c r="H1956" s="182">
        <f t="shared" ca="1" si="283"/>
        <v>115727.89061127846</v>
      </c>
      <c r="I1956" s="183">
        <v>171</v>
      </c>
      <c r="J1956" s="263">
        <f t="shared" ca="1" si="284"/>
        <v>115727.89061127846</v>
      </c>
    </row>
    <row r="1957" spans="1:10" x14ac:dyDescent="0.25">
      <c r="A1957" s="180">
        <f t="shared" ca="1" si="285"/>
        <v>48047</v>
      </c>
      <c r="B1957" s="181">
        <v>1943</v>
      </c>
      <c r="C1957" s="182">
        <f t="shared" ca="1" si="280"/>
        <v>115727.89061127846</v>
      </c>
      <c r="D1957" s="182">
        <f t="shared" ca="1" si="281"/>
        <v>77.151927074185636</v>
      </c>
      <c r="E1957" s="182">
        <v>172</v>
      </c>
      <c r="F1957" s="182">
        <f t="shared" ca="1" si="279"/>
        <v>0</v>
      </c>
      <c r="G1957" s="182">
        <f t="shared" ca="1" si="282"/>
        <v>0</v>
      </c>
      <c r="H1957" s="182">
        <f t="shared" ca="1" si="283"/>
        <v>115977.04253835265</v>
      </c>
      <c r="I1957" s="183">
        <v>172</v>
      </c>
      <c r="J1957" s="263">
        <f t="shared" ca="1" si="284"/>
        <v>115977.04253835265</v>
      </c>
    </row>
    <row r="1958" spans="1:10" x14ac:dyDescent="0.25">
      <c r="A1958" s="180">
        <f t="shared" ca="1" si="285"/>
        <v>48048</v>
      </c>
      <c r="B1958" s="181">
        <v>1944</v>
      </c>
      <c r="C1958" s="182">
        <f t="shared" ca="1" si="280"/>
        <v>115977.04253835265</v>
      </c>
      <c r="D1958" s="182">
        <f t="shared" ca="1" si="281"/>
        <v>77.318028358901756</v>
      </c>
      <c r="E1958" s="182">
        <v>173</v>
      </c>
      <c r="F1958" s="182">
        <f t="shared" ca="1" si="279"/>
        <v>0</v>
      </c>
      <c r="G1958" s="182">
        <f t="shared" ca="1" si="282"/>
        <v>0</v>
      </c>
      <c r="H1958" s="182">
        <f t="shared" ca="1" si="283"/>
        <v>116227.36056671155</v>
      </c>
      <c r="I1958" s="183">
        <v>173</v>
      </c>
      <c r="J1958" s="263">
        <f t="shared" ca="1" si="284"/>
        <v>116227.36056671155</v>
      </c>
    </row>
    <row r="1959" spans="1:10" x14ac:dyDescent="0.25">
      <c r="A1959" s="180">
        <f t="shared" ca="1" si="285"/>
        <v>48049</v>
      </c>
      <c r="B1959" s="181">
        <v>1945</v>
      </c>
      <c r="C1959" s="182">
        <f t="shared" ca="1" si="280"/>
        <v>116227.36056671155</v>
      </c>
      <c r="D1959" s="182">
        <f t="shared" ca="1" si="281"/>
        <v>77.484907044474369</v>
      </c>
      <c r="E1959" s="182">
        <v>174</v>
      </c>
      <c r="F1959" s="182">
        <f t="shared" ca="1" si="279"/>
        <v>0</v>
      </c>
      <c r="G1959" s="182">
        <f t="shared" ca="1" si="282"/>
        <v>0</v>
      </c>
      <c r="H1959" s="182">
        <f t="shared" ca="1" si="283"/>
        <v>116478.84547375602</v>
      </c>
      <c r="I1959" s="183">
        <v>174</v>
      </c>
      <c r="J1959" s="263">
        <f t="shared" ca="1" si="284"/>
        <v>116478.84547375602</v>
      </c>
    </row>
    <row r="1960" spans="1:10" x14ac:dyDescent="0.25">
      <c r="A1960" s="180">
        <f t="shared" ca="1" si="285"/>
        <v>48050</v>
      </c>
      <c r="B1960" s="181">
        <v>1946</v>
      </c>
      <c r="C1960" s="182">
        <f t="shared" ca="1" si="280"/>
        <v>116478.84547375602</v>
      </c>
      <c r="D1960" s="182">
        <f t="shared" ca="1" si="281"/>
        <v>77.652563649170673</v>
      </c>
      <c r="E1960" s="182">
        <v>175</v>
      </c>
      <c r="F1960" s="182">
        <f t="shared" ca="1" si="279"/>
        <v>0</v>
      </c>
      <c r="G1960" s="182">
        <f t="shared" ca="1" si="282"/>
        <v>0</v>
      </c>
      <c r="H1960" s="182">
        <f t="shared" ca="1" si="283"/>
        <v>116731.4980374052</v>
      </c>
      <c r="I1960" s="183">
        <v>175</v>
      </c>
      <c r="J1960" s="263">
        <f t="shared" ca="1" si="284"/>
        <v>116731.4980374052</v>
      </c>
    </row>
    <row r="1961" spans="1:10" x14ac:dyDescent="0.25">
      <c r="A1961" s="180">
        <f t="shared" ca="1" si="285"/>
        <v>48051</v>
      </c>
      <c r="B1961" s="181">
        <v>1947</v>
      </c>
      <c r="C1961" s="182">
        <f t="shared" ca="1" si="280"/>
        <v>116731.4980374052</v>
      </c>
      <c r="D1961" s="182">
        <f t="shared" ca="1" si="281"/>
        <v>77.820998691603464</v>
      </c>
      <c r="E1961" s="182">
        <v>176</v>
      </c>
      <c r="F1961" s="182">
        <f t="shared" ca="1" si="279"/>
        <v>0</v>
      </c>
      <c r="G1961" s="182">
        <f t="shared" ca="1" si="282"/>
        <v>0</v>
      </c>
      <c r="H1961" s="182">
        <f t="shared" ca="1" si="283"/>
        <v>116985.3190360968</v>
      </c>
      <c r="I1961" s="183">
        <v>176</v>
      </c>
      <c r="J1961" s="263">
        <f t="shared" ca="1" si="284"/>
        <v>116985.3190360968</v>
      </c>
    </row>
    <row r="1962" spans="1:10" x14ac:dyDescent="0.25">
      <c r="A1962" s="180">
        <f t="shared" ca="1" si="285"/>
        <v>48052</v>
      </c>
      <c r="B1962" s="181">
        <v>1948</v>
      </c>
      <c r="C1962" s="182">
        <f t="shared" ca="1" si="280"/>
        <v>116985.3190360968</v>
      </c>
      <c r="D1962" s="182">
        <f t="shared" ca="1" si="281"/>
        <v>77.990212690731198</v>
      </c>
      <c r="E1962" s="182">
        <v>177</v>
      </c>
      <c r="F1962" s="182">
        <f t="shared" ca="1" si="279"/>
        <v>0</v>
      </c>
      <c r="G1962" s="182">
        <f t="shared" ca="1" si="282"/>
        <v>0</v>
      </c>
      <c r="H1962" s="182">
        <f t="shared" ca="1" si="283"/>
        <v>117240.30924878753</v>
      </c>
      <c r="I1962" s="183">
        <v>177</v>
      </c>
      <c r="J1962" s="263">
        <f t="shared" ca="1" si="284"/>
        <v>117240.30924878753</v>
      </c>
    </row>
    <row r="1963" spans="1:10" x14ac:dyDescent="0.25">
      <c r="A1963" s="180">
        <f t="shared" ca="1" si="285"/>
        <v>48053</v>
      </c>
      <c r="B1963" s="181">
        <v>1949</v>
      </c>
      <c r="C1963" s="182">
        <f t="shared" ca="1" si="280"/>
        <v>117240.30924878753</v>
      </c>
      <c r="D1963" s="182">
        <f t="shared" ca="1" si="281"/>
        <v>78.160206165858341</v>
      </c>
      <c r="E1963" s="182">
        <v>178</v>
      </c>
      <c r="F1963" s="182">
        <f t="shared" ca="1" si="279"/>
        <v>0</v>
      </c>
      <c r="G1963" s="182">
        <f t="shared" ca="1" si="282"/>
        <v>0</v>
      </c>
      <c r="H1963" s="182">
        <f t="shared" ca="1" si="283"/>
        <v>117496.46945495339</v>
      </c>
      <c r="I1963" s="183">
        <v>178</v>
      </c>
      <c r="J1963" s="263">
        <f t="shared" ca="1" si="284"/>
        <v>117496.46945495339</v>
      </c>
    </row>
    <row r="1964" spans="1:10" x14ac:dyDescent="0.25">
      <c r="A1964" s="180">
        <f t="shared" ca="1" si="285"/>
        <v>48054</v>
      </c>
      <c r="B1964" s="181">
        <v>1950</v>
      </c>
      <c r="C1964" s="182">
        <f t="shared" ca="1" si="280"/>
        <v>117496.46945495339</v>
      </c>
      <c r="D1964" s="182">
        <f t="shared" ca="1" si="281"/>
        <v>78.33097963663559</v>
      </c>
      <c r="E1964" s="182">
        <v>179</v>
      </c>
      <c r="F1964" s="182">
        <f t="shared" ref="F1964:F2027" ca="1" si="286">IFERROR(-VLOOKUP(A1964,$P$4:$R$31,2,FALSE),0)</f>
        <v>0</v>
      </c>
      <c r="G1964" s="182">
        <f t="shared" ca="1" si="282"/>
        <v>0</v>
      </c>
      <c r="H1964" s="182">
        <f t="shared" ca="1" si="283"/>
        <v>117753.80043459003</v>
      </c>
      <c r="I1964" s="183">
        <v>179</v>
      </c>
      <c r="J1964" s="263">
        <f t="shared" ca="1" si="284"/>
        <v>117753.80043459003</v>
      </c>
    </row>
    <row r="1965" spans="1:10" x14ac:dyDescent="0.25">
      <c r="A1965" s="180">
        <f t="shared" ca="1" si="285"/>
        <v>48055</v>
      </c>
      <c r="B1965" s="181">
        <v>1951</v>
      </c>
      <c r="C1965" s="182">
        <f t="shared" ca="1" si="280"/>
        <v>117753.80043459003</v>
      </c>
      <c r="D1965" s="182">
        <f t="shared" ca="1" si="281"/>
        <v>78.502533623060017</v>
      </c>
      <c r="E1965" s="182">
        <v>180</v>
      </c>
      <c r="F1965" s="182">
        <f t="shared" ca="1" si="286"/>
        <v>0</v>
      </c>
      <c r="G1965" s="182">
        <f t="shared" ca="1" si="282"/>
        <v>0</v>
      </c>
      <c r="H1965" s="182">
        <f t="shared" ca="1" si="283"/>
        <v>118012.30296821309</v>
      </c>
      <c r="I1965" s="183">
        <v>180</v>
      </c>
      <c r="J1965" s="263">
        <f t="shared" ca="1" si="284"/>
        <v>118012.30296821309</v>
      </c>
    </row>
    <row r="1966" spans="1:10" x14ac:dyDescent="0.25">
      <c r="A1966" s="180">
        <f t="shared" ca="1" si="285"/>
        <v>48056</v>
      </c>
      <c r="B1966" s="181">
        <v>1952</v>
      </c>
      <c r="C1966" s="182">
        <f t="shared" ca="1" si="280"/>
        <v>118012.30296821309</v>
      </c>
      <c r="D1966" s="182">
        <f t="shared" ca="1" si="281"/>
        <v>78.674868645475385</v>
      </c>
      <c r="E1966" s="182">
        <v>181</v>
      </c>
      <c r="F1966" s="182">
        <f t="shared" ca="1" si="286"/>
        <v>0</v>
      </c>
      <c r="G1966" s="182">
        <f t="shared" ca="1" si="282"/>
        <v>0</v>
      </c>
      <c r="H1966" s="182">
        <f t="shared" ca="1" si="283"/>
        <v>118271.97783685857</v>
      </c>
      <c r="I1966" s="183">
        <v>181</v>
      </c>
      <c r="J1966" s="263">
        <f t="shared" ca="1" si="284"/>
        <v>118271.97783685857</v>
      </c>
    </row>
    <row r="1967" spans="1:10" x14ac:dyDescent="0.25">
      <c r="A1967" s="180">
        <f t="shared" ca="1" si="285"/>
        <v>48057</v>
      </c>
      <c r="B1967" s="181">
        <v>1953</v>
      </c>
      <c r="C1967" s="182">
        <f t="shared" ca="1" si="280"/>
        <v>118271.97783685857</v>
      </c>
      <c r="D1967" s="182">
        <f t="shared" ca="1" si="281"/>
        <v>78.847985224572383</v>
      </c>
      <c r="E1967" s="182">
        <v>182</v>
      </c>
      <c r="F1967" s="182">
        <f t="shared" ca="1" si="286"/>
        <v>0</v>
      </c>
      <c r="G1967" s="182">
        <f t="shared" ca="1" si="282"/>
        <v>0</v>
      </c>
      <c r="H1967" s="182">
        <f t="shared" ca="1" si="283"/>
        <v>118532.82582208313</v>
      </c>
      <c r="I1967" s="183">
        <v>182</v>
      </c>
      <c r="J1967" s="263">
        <f t="shared" ca="1" si="284"/>
        <v>118532.82582208313</v>
      </c>
    </row>
    <row r="1968" spans="1:10" x14ac:dyDescent="0.25">
      <c r="A1968" s="180">
        <f t="shared" ca="1" si="285"/>
        <v>48058</v>
      </c>
      <c r="B1968" s="181">
        <v>1954</v>
      </c>
      <c r="C1968" s="182">
        <f t="shared" ca="1" si="280"/>
        <v>118532.82582208313</v>
      </c>
      <c r="D1968" s="182">
        <f t="shared" ca="1" si="281"/>
        <v>79.02188388138876</v>
      </c>
      <c r="E1968" s="182">
        <v>183</v>
      </c>
      <c r="F1968" s="182">
        <f t="shared" ca="1" si="286"/>
        <v>0</v>
      </c>
      <c r="G1968" s="182">
        <f t="shared" ca="1" si="282"/>
        <v>0</v>
      </c>
      <c r="H1968" s="182">
        <f t="shared" ca="1" si="283"/>
        <v>118794.84770596452</v>
      </c>
      <c r="I1968" s="183">
        <v>183</v>
      </c>
      <c r="J1968" s="263">
        <f t="shared" ca="1" si="284"/>
        <v>118794.84770596452</v>
      </c>
    </row>
    <row r="1969" spans="1:10" x14ac:dyDescent="0.25">
      <c r="A1969" s="180">
        <f t="shared" ca="1" si="285"/>
        <v>48059</v>
      </c>
      <c r="B1969" s="181">
        <v>1955</v>
      </c>
      <c r="C1969" s="182">
        <f t="shared" ca="1" si="280"/>
        <v>118794.84770596452</v>
      </c>
      <c r="D1969" s="182">
        <f t="shared" ca="1" si="281"/>
        <v>79.196565137309676</v>
      </c>
      <c r="E1969" s="182">
        <v>184</v>
      </c>
      <c r="F1969" s="182">
        <f t="shared" ca="1" si="286"/>
        <v>0</v>
      </c>
      <c r="G1969" s="182">
        <f t="shared" ca="1" si="282"/>
        <v>0</v>
      </c>
      <c r="H1969" s="182">
        <f t="shared" ca="1" si="283"/>
        <v>119058.04427110183</v>
      </c>
      <c r="I1969" s="183">
        <v>184</v>
      </c>
      <c r="J1969" s="263">
        <f t="shared" ca="1" si="284"/>
        <v>119058.04427110183</v>
      </c>
    </row>
    <row r="1970" spans="1:10" x14ac:dyDescent="0.25">
      <c r="A1970" s="180">
        <f t="shared" ca="1" si="285"/>
        <v>48060</v>
      </c>
      <c r="B1970" s="181">
        <v>1956</v>
      </c>
      <c r="C1970" s="182">
        <f t="shared" ca="1" si="280"/>
        <v>119058.04427110183</v>
      </c>
      <c r="D1970" s="182">
        <f t="shared" ca="1" si="281"/>
        <v>79.372029514067876</v>
      </c>
      <c r="E1970" s="182">
        <v>185</v>
      </c>
      <c r="F1970" s="182">
        <f t="shared" ca="1" si="286"/>
        <v>0</v>
      </c>
      <c r="G1970" s="182">
        <f t="shared" ca="1" si="282"/>
        <v>0</v>
      </c>
      <c r="H1970" s="182">
        <f t="shared" ca="1" si="283"/>
        <v>119322.41630061589</v>
      </c>
      <c r="I1970" s="183">
        <v>185</v>
      </c>
      <c r="J1970" s="263">
        <f t="shared" ca="1" si="284"/>
        <v>119322.41630061589</v>
      </c>
    </row>
    <row r="1971" spans="1:10" x14ac:dyDescent="0.25">
      <c r="A1971" s="180">
        <f t="shared" ca="1" si="285"/>
        <v>48061</v>
      </c>
      <c r="B1971" s="181">
        <v>1957</v>
      </c>
      <c r="C1971" s="182">
        <f t="shared" ca="1" si="280"/>
        <v>119322.41630061589</v>
      </c>
      <c r="D1971" s="182">
        <f t="shared" ca="1" si="281"/>
        <v>79.548277533743928</v>
      </c>
      <c r="E1971" s="182">
        <v>186</v>
      </c>
      <c r="F1971" s="182">
        <f t="shared" ca="1" si="286"/>
        <v>0</v>
      </c>
      <c r="G1971" s="182">
        <f t="shared" ca="1" si="282"/>
        <v>0</v>
      </c>
      <c r="H1971" s="182">
        <f t="shared" ca="1" si="283"/>
        <v>119587.96457814964</v>
      </c>
      <c r="I1971" s="183">
        <v>186</v>
      </c>
      <c r="J1971" s="263">
        <f t="shared" ca="1" si="284"/>
        <v>119587.96457814964</v>
      </c>
    </row>
    <row r="1972" spans="1:10" x14ac:dyDescent="0.25">
      <c r="A1972" s="180">
        <f t="shared" ca="1" si="285"/>
        <v>48062</v>
      </c>
      <c r="B1972" s="181">
        <v>1958</v>
      </c>
      <c r="C1972" s="182">
        <f t="shared" ca="1" si="280"/>
        <v>119587.96457814964</v>
      </c>
      <c r="D1972" s="182">
        <f t="shared" ca="1" si="281"/>
        <v>79.725309718766425</v>
      </c>
      <c r="E1972" s="182">
        <v>187</v>
      </c>
      <c r="F1972" s="182">
        <f t="shared" ca="1" si="286"/>
        <v>0</v>
      </c>
      <c r="G1972" s="182">
        <f t="shared" ca="1" si="282"/>
        <v>0</v>
      </c>
      <c r="H1972" s="182">
        <f t="shared" ca="1" si="283"/>
        <v>119854.6898878684</v>
      </c>
      <c r="I1972" s="183">
        <v>187</v>
      </c>
      <c r="J1972" s="263">
        <f t="shared" ca="1" si="284"/>
        <v>119854.6898878684</v>
      </c>
    </row>
    <row r="1973" spans="1:10" x14ac:dyDescent="0.25">
      <c r="A1973" s="180">
        <f t="shared" ca="1" si="285"/>
        <v>48063</v>
      </c>
      <c r="B1973" s="181">
        <v>1959</v>
      </c>
      <c r="C1973" s="182">
        <f t="shared" ca="1" si="280"/>
        <v>119854.6898878684</v>
      </c>
      <c r="D1973" s="182">
        <f t="shared" ca="1" si="281"/>
        <v>79.903126591912269</v>
      </c>
      <c r="E1973" s="182">
        <v>188</v>
      </c>
      <c r="F1973" s="182">
        <f t="shared" ca="1" si="286"/>
        <v>0</v>
      </c>
      <c r="G1973" s="182">
        <f t="shared" ca="1" si="282"/>
        <v>0</v>
      </c>
      <c r="H1973" s="182">
        <f t="shared" ca="1" si="283"/>
        <v>120122.59301446032</v>
      </c>
      <c r="I1973" s="183">
        <v>188</v>
      </c>
      <c r="J1973" s="263">
        <f t="shared" ca="1" si="284"/>
        <v>120122.59301446032</v>
      </c>
    </row>
    <row r="1974" spans="1:10" x14ac:dyDescent="0.25">
      <c r="A1974" s="180">
        <f t="shared" ca="1" si="285"/>
        <v>48064</v>
      </c>
      <c r="B1974" s="181">
        <v>1960</v>
      </c>
      <c r="C1974" s="182">
        <f t="shared" ca="1" si="280"/>
        <v>120122.59301446032</v>
      </c>
      <c r="D1974" s="182">
        <f t="shared" ca="1" si="281"/>
        <v>80.081728676306881</v>
      </c>
      <c r="E1974" s="182">
        <v>189</v>
      </c>
      <c r="F1974" s="182">
        <f t="shared" ca="1" si="286"/>
        <v>0</v>
      </c>
      <c r="G1974" s="182">
        <f t="shared" ca="1" si="282"/>
        <v>0</v>
      </c>
      <c r="H1974" s="182">
        <f t="shared" ca="1" si="283"/>
        <v>120391.67474313662</v>
      </c>
      <c r="I1974" s="183">
        <v>189</v>
      </c>
      <c r="J1974" s="263">
        <f t="shared" ca="1" si="284"/>
        <v>120391.67474313662</v>
      </c>
    </row>
    <row r="1975" spans="1:10" x14ac:dyDescent="0.25">
      <c r="A1975" s="180">
        <f t="shared" ca="1" si="285"/>
        <v>48065</v>
      </c>
      <c r="B1975" s="181">
        <v>1961</v>
      </c>
      <c r="C1975" s="182">
        <f t="shared" ca="1" si="280"/>
        <v>120391.67474313662</v>
      </c>
      <c r="D1975" s="182">
        <f t="shared" ca="1" si="281"/>
        <v>80.261116495424417</v>
      </c>
      <c r="E1975" s="182">
        <v>190</v>
      </c>
      <c r="F1975" s="182">
        <f t="shared" ca="1" si="286"/>
        <v>0</v>
      </c>
      <c r="G1975" s="182">
        <f t="shared" ca="1" si="282"/>
        <v>0</v>
      </c>
      <c r="H1975" s="182">
        <f t="shared" ca="1" si="283"/>
        <v>120661.93585963205</v>
      </c>
      <c r="I1975" s="183">
        <v>190</v>
      </c>
      <c r="J1975" s="263">
        <f t="shared" ca="1" si="284"/>
        <v>120661.93585963205</v>
      </c>
    </row>
    <row r="1976" spans="1:10" x14ac:dyDescent="0.25">
      <c r="A1976" s="180">
        <f t="shared" ca="1" si="285"/>
        <v>48066</v>
      </c>
      <c r="B1976" s="181">
        <v>1962</v>
      </c>
      <c r="C1976" s="182">
        <f t="shared" ca="1" si="280"/>
        <v>120661.93585963205</v>
      </c>
      <c r="D1976" s="182">
        <f t="shared" ca="1" si="281"/>
        <v>80.441290573088025</v>
      </c>
      <c r="E1976" s="182">
        <v>191</v>
      </c>
      <c r="F1976" s="182">
        <f t="shared" ca="1" si="286"/>
        <v>0</v>
      </c>
      <c r="G1976" s="182">
        <f t="shared" ca="1" si="282"/>
        <v>0</v>
      </c>
      <c r="H1976" s="182">
        <f t="shared" ca="1" si="283"/>
        <v>120933.37715020514</v>
      </c>
      <c r="I1976" s="183">
        <v>191</v>
      </c>
      <c r="J1976" s="263">
        <f t="shared" ca="1" si="284"/>
        <v>120933.37715020514</v>
      </c>
    </row>
    <row r="1977" spans="1:10" x14ac:dyDescent="0.25">
      <c r="A1977" s="180">
        <f t="shared" ca="1" si="285"/>
        <v>48067</v>
      </c>
      <c r="B1977" s="181">
        <v>1963</v>
      </c>
      <c r="C1977" s="182">
        <f t="shared" ca="1" si="280"/>
        <v>120933.37715020514</v>
      </c>
      <c r="D1977" s="182">
        <f t="shared" ca="1" si="281"/>
        <v>80.622251433470083</v>
      </c>
      <c r="E1977" s="182">
        <v>192</v>
      </c>
      <c r="F1977" s="182">
        <f t="shared" ca="1" si="286"/>
        <v>0</v>
      </c>
      <c r="G1977" s="182">
        <f t="shared" ca="1" si="282"/>
        <v>0</v>
      </c>
      <c r="H1977" s="182">
        <f t="shared" ca="1" si="283"/>
        <v>121205.9994016386</v>
      </c>
      <c r="I1977" s="183">
        <v>192</v>
      </c>
      <c r="J1977" s="263">
        <f t="shared" ca="1" si="284"/>
        <v>121205.9994016386</v>
      </c>
    </row>
    <row r="1978" spans="1:10" x14ac:dyDescent="0.25">
      <c r="A1978" s="180">
        <f t="shared" ca="1" si="285"/>
        <v>48068</v>
      </c>
      <c r="B1978" s="181">
        <v>1964</v>
      </c>
      <c r="C1978" s="182">
        <f t="shared" ref="C1978:C2041" ca="1" si="287">H1977</f>
        <v>121205.9994016386</v>
      </c>
      <c r="D1978" s="182">
        <f t="shared" ref="D1978:D2041" ca="1" si="288">(($C$6/360))*C1978</f>
        <v>80.8039996010924</v>
      </c>
      <c r="E1978" s="182">
        <v>193</v>
      </c>
      <c r="F1978" s="182">
        <f t="shared" ca="1" si="286"/>
        <v>0</v>
      </c>
      <c r="G1978" s="182">
        <f t="shared" ref="G1978:G2041" ca="1" si="289">IF(G1977-D1978-E1978&gt;0,G1977-D1978-E1978,0)</f>
        <v>0</v>
      </c>
      <c r="H1978" s="182">
        <f t="shared" ref="H1978:H2041" ca="1" si="290">IF(G1978&gt;0,C1978+F1978+I1978,SUM(C1978:F1978)-G1977)</f>
        <v>121479.8034012397</v>
      </c>
      <c r="I1978" s="183">
        <v>193</v>
      </c>
      <c r="J1978" s="263">
        <f t="shared" ca="1" si="284"/>
        <v>121479.8034012397</v>
      </c>
    </row>
    <row r="1979" spans="1:10" x14ac:dyDescent="0.25">
      <c r="A1979" s="180">
        <f t="shared" ca="1" si="285"/>
        <v>48069</v>
      </c>
      <c r="B1979" s="181">
        <v>1965</v>
      </c>
      <c r="C1979" s="182">
        <f t="shared" ca="1" si="287"/>
        <v>121479.8034012397</v>
      </c>
      <c r="D1979" s="182">
        <f t="shared" ca="1" si="288"/>
        <v>80.986535600826457</v>
      </c>
      <c r="E1979" s="182">
        <v>194</v>
      </c>
      <c r="F1979" s="182">
        <f t="shared" ca="1" si="286"/>
        <v>0</v>
      </c>
      <c r="G1979" s="182">
        <f t="shared" ca="1" si="289"/>
        <v>0</v>
      </c>
      <c r="H1979" s="182">
        <f t="shared" ca="1" si="290"/>
        <v>121754.78993684052</v>
      </c>
      <c r="I1979" s="183">
        <v>194</v>
      </c>
      <c r="J1979" s="263">
        <f t="shared" ca="1" si="284"/>
        <v>121754.78993684052</v>
      </c>
    </row>
    <row r="1980" spans="1:10" x14ac:dyDescent="0.25">
      <c r="A1980" s="180">
        <f t="shared" ca="1" si="285"/>
        <v>48070</v>
      </c>
      <c r="B1980" s="181">
        <v>1966</v>
      </c>
      <c r="C1980" s="182">
        <f t="shared" ca="1" si="287"/>
        <v>121754.78993684052</v>
      </c>
      <c r="D1980" s="182">
        <f t="shared" ca="1" si="288"/>
        <v>81.169859957893678</v>
      </c>
      <c r="E1980" s="182">
        <v>195</v>
      </c>
      <c r="F1980" s="182">
        <f t="shared" ca="1" si="286"/>
        <v>0</v>
      </c>
      <c r="G1980" s="182">
        <f t="shared" ca="1" si="289"/>
        <v>0</v>
      </c>
      <c r="H1980" s="182">
        <f t="shared" ca="1" si="290"/>
        <v>122030.95979679842</v>
      </c>
      <c r="I1980" s="183">
        <v>195</v>
      </c>
      <c r="J1980" s="263">
        <f t="shared" ca="1" si="284"/>
        <v>122030.95979679842</v>
      </c>
    </row>
    <row r="1981" spans="1:10" x14ac:dyDescent="0.25">
      <c r="A1981" s="180">
        <f t="shared" ca="1" si="285"/>
        <v>48071</v>
      </c>
      <c r="B1981" s="181">
        <v>1967</v>
      </c>
      <c r="C1981" s="182">
        <f t="shared" ca="1" si="287"/>
        <v>122030.95979679842</v>
      </c>
      <c r="D1981" s="182">
        <f t="shared" ca="1" si="288"/>
        <v>81.353973197865614</v>
      </c>
      <c r="E1981" s="182">
        <v>196</v>
      </c>
      <c r="F1981" s="182">
        <f t="shared" ca="1" si="286"/>
        <v>0</v>
      </c>
      <c r="G1981" s="182">
        <f t="shared" ca="1" si="289"/>
        <v>0</v>
      </c>
      <c r="H1981" s="182">
        <f t="shared" ca="1" si="290"/>
        <v>122308.31376999628</v>
      </c>
      <c r="I1981" s="183">
        <v>196</v>
      </c>
      <c r="J1981" s="263">
        <f t="shared" ca="1" si="284"/>
        <v>122308.31376999628</v>
      </c>
    </row>
    <row r="1982" spans="1:10" x14ac:dyDescent="0.25">
      <c r="A1982" s="180">
        <f t="shared" ca="1" si="285"/>
        <v>48072</v>
      </c>
      <c r="B1982" s="181">
        <v>1968</v>
      </c>
      <c r="C1982" s="182">
        <f t="shared" ca="1" si="287"/>
        <v>122308.31376999628</v>
      </c>
      <c r="D1982" s="182">
        <f t="shared" ca="1" si="288"/>
        <v>81.538875846664183</v>
      </c>
      <c r="E1982" s="182">
        <v>197</v>
      </c>
      <c r="F1982" s="182">
        <f t="shared" ca="1" si="286"/>
        <v>0</v>
      </c>
      <c r="G1982" s="182">
        <f t="shared" ca="1" si="289"/>
        <v>0</v>
      </c>
      <c r="H1982" s="182">
        <f t="shared" ca="1" si="290"/>
        <v>122586.85264584294</v>
      </c>
      <c r="I1982" s="183">
        <v>197</v>
      </c>
      <c r="J1982" s="263">
        <f t="shared" ca="1" si="284"/>
        <v>122586.85264584294</v>
      </c>
    </row>
    <row r="1983" spans="1:10" x14ac:dyDescent="0.25">
      <c r="A1983" s="180">
        <f t="shared" ca="1" si="285"/>
        <v>48073</v>
      </c>
      <c r="B1983" s="181">
        <v>1969</v>
      </c>
      <c r="C1983" s="182">
        <f t="shared" ca="1" si="287"/>
        <v>122586.85264584294</v>
      </c>
      <c r="D1983" s="182">
        <f t="shared" ca="1" si="288"/>
        <v>81.724568430561959</v>
      </c>
      <c r="E1983" s="182">
        <v>198</v>
      </c>
      <c r="F1983" s="182">
        <f t="shared" ca="1" si="286"/>
        <v>0</v>
      </c>
      <c r="G1983" s="182">
        <f t="shared" ca="1" si="289"/>
        <v>0</v>
      </c>
      <c r="H1983" s="182">
        <f t="shared" ca="1" si="290"/>
        <v>122866.57721427351</v>
      </c>
      <c r="I1983" s="183">
        <v>198</v>
      </c>
      <c r="J1983" s="263">
        <f t="shared" ca="1" si="284"/>
        <v>122866.57721427351</v>
      </c>
    </row>
    <row r="1984" spans="1:10" x14ac:dyDescent="0.25">
      <c r="A1984" s="180">
        <f t="shared" ca="1" si="285"/>
        <v>48074</v>
      </c>
      <c r="B1984" s="181">
        <v>1970</v>
      </c>
      <c r="C1984" s="182">
        <f t="shared" ca="1" si="287"/>
        <v>122866.57721427351</v>
      </c>
      <c r="D1984" s="182">
        <f t="shared" ca="1" si="288"/>
        <v>81.911051476182337</v>
      </c>
      <c r="E1984" s="182">
        <v>199</v>
      </c>
      <c r="F1984" s="182">
        <f t="shared" ca="1" si="286"/>
        <v>0</v>
      </c>
      <c r="G1984" s="182">
        <f t="shared" ca="1" si="289"/>
        <v>0</v>
      </c>
      <c r="H1984" s="182">
        <f t="shared" ca="1" si="290"/>
        <v>123147.48826574969</v>
      </c>
      <c r="I1984" s="183">
        <v>199</v>
      </c>
      <c r="J1984" s="263">
        <f t="shared" ca="1" si="284"/>
        <v>123147.48826574969</v>
      </c>
    </row>
    <row r="1985" spans="1:10" x14ac:dyDescent="0.25">
      <c r="A1985" s="180">
        <f t="shared" ca="1" si="285"/>
        <v>48075</v>
      </c>
      <c r="B1985" s="181">
        <v>1971</v>
      </c>
      <c r="C1985" s="182">
        <f t="shared" ca="1" si="287"/>
        <v>123147.48826574969</v>
      </c>
      <c r="D1985" s="182">
        <f t="shared" ca="1" si="288"/>
        <v>82.098325510499791</v>
      </c>
      <c r="E1985" s="182">
        <v>200</v>
      </c>
      <c r="F1985" s="182">
        <f t="shared" ca="1" si="286"/>
        <v>0</v>
      </c>
      <c r="G1985" s="182">
        <f t="shared" ca="1" si="289"/>
        <v>0</v>
      </c>
      <c r="H1985" s="182">
        <f t="shared" ca="1" si="290"/>
        <v>123429.58659126019</v>
      </c>
      <c r="I1985" s="183">
        <v>200</v>
      </c>
      <c r="J1985" s="263">
        <f t="shared" ca="1" si="284"/>
        <v>123429.58659126019</v>
      </c>
    </row>
    <row r="1986" spans="1:10" x14ac:dyDescent="0.25">
      <c r="A1986" s="180">
        <f t="shared" ca="1" si="285"/>
        <v>48076</v>
      </c>
      <c r="B1986" s="181">
        <v>1972</v>
      </c>
      <c r="C1986" s="182">
        <f t="shared" ca="1" si="287"/>
        <v>123429.58659126019</v>
      </c>
      <c r="D1986" s="182">
        <f t="shared" ca="1" si="288"/>
        <v>82.286391060840117</v>
      </c>
      <c r="E1986" s="182">
        <v>201</v>
      </c>
      <c r="F1986" s="182">
        <f t="shared" ca="1" si="286"/>
        <v>0</v>
      </c>
      <c r="G1986" s="182">
        <f t="shared" ca="1" si="289"/>
        <v>0</v>
      </c>
      <c r="H1986" s="182">
        <f t="shared" ca="1" si="290"/>
        <v>123712.87298232103</v>
      </c>
      <c r="I1986" s="183">
        <v>201</v>
      </c>
      <c r="J1986" s="263">
        <f t="shared" ca="1" si="284"/>
        <v>123712.87298232103</v>
      </c>
    </row>
    <row r="1987" spans="1:10" x14ac:dyDescent="0.25">
      <c r="A1987" s="180">
        <f t="shared" ca="1" si="285"/>
        <v>48077</v>
      </c>
      <c r="B1987" s="181">
        <v>1973</v>
      </c>
      <c r="C1987" s="182">
        <f t="shared" ca="1" si="287"/>
        <v>123712.87298232103</v>
      </c>
      <c r="D1987" s="182">
        <f t="shared" ca="1" si="288"/>
        <v>82.475248654880687</v>
      </c>
      <c r="E1987" s="182">
        <v>202</v>
      </c>
      <c r="F1987" s="182">
        <f t="shared" ca="1" si="286"/>
        <v>0</v>
      </c>
      <c r="G1987" s="182">
        <f t="shared" ca="1" si="289"/>
        <v>0</v>
      </c>
      <c r="H1987" s="182">
        <f t="shared" ca="1" si="290"/>
        <v>123997.34823097591</v>
      </c>
      <c r="I1987" s="183">
        <v>202</v>
      </c>
      <c r="J1987" s="263">
        <f t="shared" ca="1" si="284"/>
        <v>123997.34823097591</v>
      </c>
    </row>
    <row r="1988" spans="1:10" x14ac:dyDescent="0.25">
      <c r="A1988" s="180">
        <f t="shared" ca="1" si="285"/>
        <v>48078</v>
      </c>
      <c r="B1988" s="181">
        <v>1974</v>
      </c>
      <c r="C1988" s="182">
        <f t="shared" ca="1" si="287"/>
        <v>123997.34823097591</v>
      </c>
      <c r="D1988" s="182">
        <f t="shared" ca="1" si="288"/>
        <v>82.664898820650606</v>
      </c>
      <c r="E1988" s="182">
        <v>203</v>
      </c>
      <c r="F1988" s="182">
        <f t="shared" ca="1" si="286"/>
        <v>0</v>
      </c>
      <c r="G1988" s="182">
        <f t="shared" ca="1" si="289"/>
        <v>0</v>
      </c>
      <c r="H1988" s="182">
        <f t="shared" ca="1" si="290"/>
        <v>124283.01312979656</v>
      </c>
      <c r="I1988" s="183">
        <v>203</v>
      </c>
      <c r="J1988" s="263">
        <f t="shared" ca="1" si="284"/>
        <v>124283.01312979656</v>
      </c>
    </row>
    <row r="1989" spans="1:10" x14ac:dyDescent="0.25">
      <c r="A1989" s="180">
        <f t="shared" ca="1" si="285"/>
        <v>48079</v>
      </c>
      <c r="B1989" s="181">
        <v>1975</v>
      </c>
      <c r="C1989" s="182">
        <f t="shared" ca="1" si="287"/>
        <v>124283.01312979656</v>
      </c>
      <c r="D1989" s="182">
        <f t="shared" ca="1" si="288"/>
        <v>82.855342086531039</v>
      </c>
      <c r="E1989" s="182">
        <v>204</v>
      </c>
      <c r="F1989" s="182">
        <f t="shared" ca="1" si="286"/>
        <v>0</v>
      </c>
      <c r="G1989" s="182">
        <f t="shared" ca="1" si="289"/>
        <v>0</v>
      </c>
      <c r="H1989" s="182">
        <f t="shared" ca="1" si="290"/>
        <v>124569.86847188309</v>
      </c>
      <c r="I1989" s="183">
        <v>204</v>
      </c>
      <c r="J1989" s="263">
        <f t="shared" ca="1" si="284"/>
        <v>124569.86847188309</v>
      </c>
    </row>
    <row r="1990" spans="1:10" x14ac:dyDescent="0.25">
      <c r="A1990" s="180">
        <f t="shared" ca="1" si="285"/>
        <v>48080</v>
      </c>
      <c r="B1990" s="181">
        <v>1976</v>
      </c>
      <c r="C1990" s="182">
        <f t="shared" ca="1" si="287"/>
        <v>124569.86847188309</v>
      </c>
      <c r="D1990" s="182">
        <f t="shared" ca="1" si="288"/>
        <v>83.046578981255394</v>
      </c>
      <c r="E1990" s="182">
        <v>205</v>
      </c>
      <c r="F1990" s="182">
        <f t="shared" ca="1" si="286"/>
        <v>0</v>
      </c>
      <c r="G1990" s="182">
        <f t="shared" ca="1" si="289"/>
        <v>0</v>
      </c>
      <c r="H1990" s="182">
        <f t="shared" ca="1" si="290"/>
        <v>124857.91505086435</v>
      </c>
      <c r="I1990" s="183">
        <v>205</v>
      </c>
      <c r="J1990" s="263">
        <f t="shared" ca="1" si="284"/>
        <v>124857.91505086435</v>
      </c>
    </row>
    <row r="1991" spans="1:10" x14ac:dyDescent="0.25">
      <c r="A1991" s="180">
        <f t="shared" ca="1" si="285"/>
        <v>48081</v>
      </c>
      <c r="B1991" s="181">
        <v>1977</v>
      </c>
      <c r="C1991" s="182">
        <f t="shared" ca="1" si="287"/>
        <v>124857.91505086435</v>
      </c>
      <c r="D1991" s="182">
        <f t="shared" ca="1" si="288"/>
        <v>83.238610033909566</v>
      </c>
      <c r="E1991" s="182">
        <v>206</v>
      </c>
      <c r="F1991" s="182">
        <f t="shared" ca="1" si="286"/>
        <v>0</v>
      </c>
      <c r="G1991" s="182">
        <f t="shared" ca="1" si="289"/>
        <v>0</v>
      </c>
      <c r="H1991" s="182">
        <f t="shared" ca="1" si="290"/>
        <v>125147.15366089826</v>
      </c>
      <c r="I1991" s="183">
        <v>206</v>
      </c>
      <c r="J1991" s="263">
        <f t="shared" ca="1" si="284"/>
        <v>125147.15366089826</v>
      </c>
    </row>
    <row r="1992" spans="1:10" x14ac:dyDescent="0.25">
      <c r="A1992" s="180">
        <f t="shared" ca="1" si="285"/>
        <v>48082</v>
      </c>
      <c r="B1992" s="181">
        <v>1978</v>
      </c>
      <c r="C1992" s="182">
        <f t="shared" ca="1" si="287"/>
        <v>125147.15366089826</v>
      </c>
      <c r="D1992" s="182">
        <f t="shared" ca="1" si="288"/>
        <v>83.431435773932165</v>
      </c>
      <c r="E1992" s="182">
        <v>207</v>
      </c>
      <c r="F1992" s="182">
        <f t="shared" ca="1" si="286"/>
        <v>0</v>
      </c>
      <c r="G1992" s="182">
        <f t="shared" ca="1" si="289"/>
        <v>0</v>
      </c>
      <c r="H1992" s="182">
        <f t="shared" ca="1" si="290"/>
        <v>125437.58509667219</v>
      </c>
      <c r="I1992" s="183">
        <v>207</v>
      </c>
      <c r="J1992" s="263">
        <f t="shared" ca="1" si="284"/>
        <v>125437.58509667219</v>
      </c>
    </row>
    <row r="1993" spans="1:10" x14ac:dyDescent="0.25">
      <c r="A1993" s="180">
        <f t="shared" ca="1" si="285"/>
        <v>48083</v>
      </c>
      <c r="B1993" s="181">
        <v>1979</v>
      </c>
      <c r="C1993" s="182">
        <f t="shared" ca="1" si="287"/>
        <v>125437.58509667219</v>
      </c>
      <c r="D1993" s="182">
        <f t="shared" ca="1" si="288"/>
        <v>83.625056731114796</v>
      </c>
      <c r="E1993" s="182">
        <v>208</v>
      </c>
      <c r="F1993" s="182">
        <f t="shared" ca="1" si="286"/>
        <v>0</v>
      </c>
      <c r="G1993" s="182">
        <f t="shared" ca="1" si="289"/>
        <v>0</v>
      </c>
      <c r="H1993" s="182">
        <f t="shared" ca="1" si="290"/>
        <v>125729.21015340331</v>
      </c>
      <c r="I1993" s="183">
        <v>208</v>
      </c>
      <c r="J1993" s="263">
        <f t="shared" ca="1" si="284"/>
        <v>125729.21015340331</v>
      </c>
    </row>
    <row r="1994" spans="1:10" x14ac:dyDescent="0.25">
      <c r="A1994" s="180">
        <f t="shared" ca="1" si="285"/>
        <v>48084</v>
      </c>
      <c r="B1994" s="181">
        <v>1980</v>
      </c>
      <c r="C1994" s="182">
        <f t="shared" ca="1" si="287"/>
        <v>125729.21015340331</v>
      </c>
      <c r="D1994" s="182">
        <f t="shared" ca="1" si="288"/>
        <v>83.819473435602205</v>
      </c>
      <c r="E1994" s="182">
        <v>209</v>
      </c>
      <c r="F1994" s="182">
        <f t="shared" ca="1" si="286"/>
        <v>0</v>
      </c>
      <c r="G1994" s="182">
        <f t="shared" ca="1" si="289"/>
        <v>0</v>
      </c>
      <c r="H1994" s="182">
        <f t="shared" ca="1" si="290"/>
        <v>126022.02962683892</v>
      </c>
      <c r="I1994" s="183">
        <v>209</v>
      </c>
      <c r="J1994" s="263">
        <f t="shared" ca="1" si="284"/>
        <v>126022.02962683892</v>
      </c>
    </row>
    <row r="1995" spans="1:10" x14ac:dyDescent="0.25">
      <c r="A1995" s="180">
        <f t="shared" ca="1" si="285"/>
        <v>48085</v>
      </c>
      <c r="B1995" s="181">
        <v>1981</v>
      </c>
      <c r="C1995" s="182">
        <f t="shared" ca="1" si="287"/>
        <v>126022.02962683892</v>
      </c>
      <c r="D1995" s="182">
        <f t="shared" ca="1" si="288"/>
        <v>84.014686417892605</v>
      </c>
      <c r="E1995" s="182">
        <v>210</v>
      </c>
      <c r="F1995" s="182">
        <f t="shared" ca="1" si="286"/>
        <v>0</v>
      </c>
      <c r="G1995" s="182">
        <f t="shared" ca="1" si="289"/>
        <v>0</v>
      </c>
      <c r="H1995" s="182">
        <f t="shared" ca="1" si="290"/>
        <v>126316.04431325682</v>
      </c>
      <c r="I1995" s="183">
        <v>210</v>
      </c>
      <c r="J1995" s="263">
        <f t="shared" ca="1" si="284"/>
        <v>126316.04431325682</v>
      </c>
    </row>
    <row r="1996" spans="1:10" x14ac:dyDescent="0.25">
      <c r="A1996" s="180">
        <f t="shared" ca="1" si="285"/>
        <v>48086</v>
      </c>
      <c r="B1996" s="181">
        <v>1982</v>
      </c>
      <c r="C1996" s="182">
        <f t="shared" ca="1" si="287"/>
        <v>126316.04431325682</v>
      </c>
      <c r="D1996" s="182">
        <f t="shared" ca="1" si="288"/>
        <v>84.210696208837874</v>
      </c>
      <c r="E1996" s="182">
        <v>211</v>
      </c>
      <c r="F1996" s="182">
        <f t="shared" ca="1" si="286"/>
        <v>0</v>
      </c>
      <c r="G1996" s="182">
        <f t="shared" ca="1" si="289"/>
        <v>0</v>
      </c>
      <c r="H1996" s="182">
        <f t="shared" ca="1" si="290"/>
        <v>126611.25500946566</v>
      </c>
      <c r="I1996" s="183">
        <v>211</v>
      </c>
      <c r="J1996" s="263">
        <f t="shared" ca="1" si="284"/>
        <v>126611.25500946566</v>
      </c>
    </row>
    <row r="1997" spans="1:10" x14ac:dyDescent="0.25">
      <c r="A1997" s="180">
        <f t="shared" ca="1" si="285"/>
        <v>48087</v>
      </c>
      <c r="B1997" s="181">
        <v>1983</v>
      </c>
      <c r="C1997" s="182">
        <f t="shared" ca="1" si="287"/>
        <v>126611.25500946566</v>
      </c>
      <c r="D1997" s="182">
        <f t="shared" ca="1" si="288"/>
        <v>84.407503339643768</v>
      </c>
      <c r="E1997" s="182">
        <v>212</v>
      </c>
      <c r="F1997" s="182">
        <f t="shared" ca="1" si="286"/>
        <v>0</v>
      </c>
      <c r="G1997" s="182">
        <f t="shared" ca="1" si="289"/>
        <v>0</v>
      </c>
      <c r="H1997" s="182">
        <f t="shared" ca="1" si="290"/>
        <v>126907.6625128053</v>
      </c>
      <c r="I1997" s="183">
        <v>212</v>
      </c>
      <c r="J1997" s="263">
        <f t="shared" ca="1" si="284"/>
        <v>126907.6625128053</v>
      </c>
    </row>
    <row r="1998" spans="1:10" x14ac:dyDescent="0.25">
      <c r="A1998" s="180">
        <f t="shared" ca="1" si="285"/>
        <v>48088</v>
      </c>
      <c r="B1998" s="181">
        <v>1984</v>
      </c>
      <c r="C1998" s="182">
        <f t="shared" ca="1" si="287"/>
        <v>126907.6625128053</v>
      </c>
      <c r="D1998" s="182">
        <f t="shared" ca="1" si="288"/>
        <v>84.605108341870192</v>
      </c>
      <c r="E1998" s="182">
        <v>213</v>
      </c>
      <c r="F1998" s="182">
        <f t="shared" ca="1" si="286"/>
        <v>0</v>
      </c>
      <c r="G1998" s="182">
        <f t="shared" ca="1" si="289"/>
        <v>0</v>
      </c>
      <c r="H1998" s="182">
        <f t="shared" ca="1" si="290"/>
        <v>127205.26762114717</v>
      </c>
      <c r="I1998" s="183">
        <v>213</v>
      </c>
      <c r="J1998" s="263">
        <f t="shared" ca="1" si="284"/>
        <v>127205.26762114717</v>
      </c>
    </row>
    <row r="1999" spans="1:10" x14ac:dyDescent="0.25">
      <c r="A1999" s="180">
        <f t="shared" ca="1" si="285"/>
        <v>48089</v>
      </c>
      <c r="B1999" s="181">
        <v>1985</v>
      </c>
      <c r="C1999" s="182">
        <f t="shared" ca="1" si="287"/>
        <v>127205.26762114717</v>
      </c>
      <c r="D1999" s="182">
        <f t="shared" ca="1" si="288"/>
        <v>84.803511747431443</v>
      </c>
      <c r="E1999" s="182">
        <v>214</v>
      </c>
      <c r="F1999" s="182">
        <f t="shared" ca="1" si="286"/>
        <v>0</v>
      </c>
      <c r="G1999" s="182">
        <f t="shared" ca="1" si="289"/>
        <v>0</v>
      </c>
      <c r="H1999" s="182">
        <f t="shared" ca="1" si="290"/>
        <v>127504.07113289461</v>
      </c>
      <c r="I1999" s="183">
        <v>214</v>
      </c>
      <c r="J1999" s="263">
        <f t="shared" ref="J1999:J2062" ca="1" si="291">H1999-IF(I$8-G1999&lt;Q$42,I$8-Q$42,G1999)</f>
        <v>127504.07113289461</v>
      </c>
    </row>
    <row r="2000" spans="1:10" x14ac:dyDescent="0.25">
      <c r="A2000" s="180">
        <f t="shared" ca="1" si="285"/>
        <v>48090</v>
      </c>
      <c r="B2000" s="181">
        <v>1986</v>
      </c>
      <c r="C2000" s="182">
        <f t="shared" ca="1" si="287"/>
        <v>127504.07113289461</v>
      </c>
      <c r="D2000" s="182">
        <f t="shared" ca="1" si="288"/>
        <v>85.002714088596406</v>
      </c>
      <c r="E2000" s="182">
        <v>215</v>
      </c>
      <c r="F2000" s="182">
        <f t="shared" ca="1" si="286"/>
        <v>0</v>
      </c>
      <c r="G2000" s="182">
        <f t="shared" ca="1" si="289"/>
        <v>0</v>
      </c>
      <c r="H2000" s="182">
        <f t="shared" ca="1" si="290"/>
        <v>127804.0738469832</v>
      </c>
      <c r="I2000" s="183">
        <v>215</v>
      </c>
      <c r="J2000" s="263">
        <f t="shared" ca="1" si="291"/>
        <v>127804.0738469832</v>
      </c>
    </row>
    <row r="2001" spans="1:10" x14ac:dyDescent="0.25">
      <c r="A2001" s="180">
        <f t="shared" ref="A2001:A2064" ca="1" si="292">A2000+1</f>
        <v>48091</v>
      </c>
      <c r="B2001" s="181">
        <v>1987</v>
      </c>
      <c r="C2001" s="182">
        <f t="shared" ca="1" si="287"/>
        <v>127804.0738469832</v>
      </c>
      <c r="D2001" s="182">
        <f t="shared" ca="1" si="288"/>
        <v>85.202715897988796</v>
      </c>
      <c r="E2001" s="182">
        <v>216</v>
      </c>
      <c r="F2001" s="182">
        <f t="shared" ca="1" si="286"/>
        <v>0</v>
      </c>
      <c r="G2001" s="182">
        <f t="shared" ca="1" si="289"/>
        <v>0</v>
      </c>
      <c r="H2001" s="182">
        <f t="shared" ca="1" si="290"/>
        <v>128105.27656288119</v>
      </c>
      <c r="I2001" s="183">
        <v>216</v>
      </c>
      <c r="J2001" s="263">
        <f t="shared" ca="1" si="291"/>
        <v>128105.27656288119</v>
      </c>
    </row>
    <row r="2002" spans="1:10" x14ac:dyDescent="0.25">
      <c r="A2002" s="180">
        <f t="shared" ca="1" si="292"/>
        <v>48092</v>
      </c>
      <c r="B2002" s="181">
        <v>1988</v>
      </c>
      <c r="C2002" s="182">
        <f t="shared" ca="1" si="287"/>
        <v>128105.27656288119</v>
      </c>
      <c r="D2002" s="182">
        <f t="shared" ca="1" si="288"/>
        <v>85.403517708587458</v>
      </c>
      <c r="E2002" s="182">
        <v>217</v>
      </c>
      <c r="F2002" s="182">
        <f t="shared" ca="1" si="286"/>
        <v>0</v>
      </c>
      <c r="G2002" s="182">
        <f t="shared" ca="1" si="289"/>
        <v>0</v>
      </c>
      <c r="H2002" s="182">
        <f t="shared" ca="1" si="290"/>
        <v>128407.68008058978</v>
      </c>
      <c r="I2002" s="183">
        <v>217</v>
      </c>
      <c r="J2002" s="263">
        <f t="shared" ca="1" si="291"/>
        <v>128407.68008058978</v>
      </c>
    </row>
    <row r="2003" spans="1:10" x14ac:dyDescent="0.25">
      <c r="A2003" s="180">
        <f t="shared" ca="1" si="292"/>
        <v>48093</v>
      </c>
      <c r="B2003" s="181">
        <v>1989</v>
      </c>
      <c r="C2003" s="182">
        <f t="shared" ca="1" si="287"/>
        <v>128407.68008058978</v>
      </c>
      <c r="D2003" s="182">
        <f t="shared" ca="1" si="288"/>
        <v>85.605120053726523</v>
      </c>
      <c r="E2003" s="182">
        <v>218</v>
      </c>
      <c r="F2003" s="182">
        <f t="shared" ca="1" si="286"/>
        <v>0</v>
      </c>
      <c r="G2003" s="182">
        <f t="shared" ca="1" si="289"/>
        <v>0</v>
      </c>
      <c r="H2003" s="182">
        <f t="shared" ca="1" si="290"/>
        <v>128711.28520064351</v>
      </c>
      <c r="I2003" s="183">
        <v>218</v>
      </c>
      <c r="J2003" s="263">
        <f t="shared" ca="1" si="291"/>
        <v>128711.28520064351</v>
      </c>
    </row>
    <row r="2004" spans="1:10" x14ac:dyDescent="0.25">
      <c r="A2004" s="180">
        <f t="shared" ca="1" si="292"/>
        <v>48094</v>
      </c>
      <c r="B2004" s="181">
        <v>1990</v>
      </c>
      <c r="C2004" s="182">
        <f t="shared" ca="1" si="287"/>
        <v>128711.28520064351</v>
      </c>
      <c r="D2004" s="182">
        <f t="shared" ca="1" si="288"/>
        <v>85.807523467095677</v>
      </c>
      <c r="E2004" s="182">
        <v>219</v>
      </c>
      <c r="F2004" s="182">
        <f t="shared" ca="1" si="286"/>
        <v>0</v>
      </c>
      <c r="G2004" s="182">
        <f t="shared" ca="1" si="289"/>
        <v>0</v>
      </c>
      <c r="H2004" s="182">
        <f t="shared" ca="1" si="290"/>
        <v>129016.09272411061</v>
      </c>
      <c r="I2004" s="183">
        <v>219</v>
      </c>
      <c r="J2004" s="263">
        <f t="shared" ca="1" si="291"/>
        <v>129016.09272411061</v>
      </c>
    </row>
    <row r="2005" spans="1:10" x14ac:dyDescent="0.25">
      <c r="A2005" s="180">
        <f t="shared" ca="1" si="292"/>
        <v>48095</v>
      </c>
      <c r="B2005" s="181">
        <v>1991</v>
      </c>
      <c r="C2005" s="182">
        <f t="shared" ca="1" si="287"/>
        <v>129016.09272411061</v>
      </c>
      <c r="D2005" s="182">
        <f t="shared" ca="1" si="288"/>
        <v>86.010728482740404</v>
      </c>
      <c r="E2005" s="182">
        <v>220</v>
      </c>
      <c r="F2005" s="182">
        <f t="shared" ca="1" si="286"/>
        <v>0</v>
      </c>
      <c r="G2005" s="182">
        <f t="shared" ca="1" si="289"/>
        <v>0</v>
      </c>
      <c r="H2005" s="182">
        <f t="shared" ca="1" si="290"/>
        <v>129322.10345259335</v>
      </c>
      <c r="I2005" s="183">
        <v>220</v>
      </c>
      <c r="J2005" s="263">
        <f t="shared" ca="1" si="291"/>
        <v>129322.10345259335</v>
      </c>
    </row>
    <row r="2006" spans="1:10" x14ac:dyDescent="0.25">
      <c r="A2006" s="180">
        <f t="shared" ca="1" si="292"/>
        <v>48096</v>
      </c>
      <c r="B2006" s="181">
        <v>1992</v>
      </c>
      <c r="C2006" s="182">
        <f t="shared" ca="1" si="287"/>
        <v>129322.10345259335</v>
      </c>
      <c r="D2006" s="182">
        <f t="shared" ca="1" si="288"/>
        <v>86.214735635062226</v>
      </c>
      <c r="E2006" s="182">
        <v>221</v>
      </c>
      <c r="F2006" s="182">
        <f t="shared" ca="1" si="286"/>
        <v>0</v>
      </c>
      <c r="G2006" s="182">
        <f t="shared" ca="1" si="289"/>
        <v>0</v>
      </c>
      <c r="H2006" s="182">
        <f t="shared" ca="1" si="290"/>
        <v>129629.31818822841</v>
      </c>
      <c r="I2006" s="183">
        <v>221</v>
      </c>
      <c r="J2006" s="263">
        <f t="shared" ca="1" si="291"/>
        <v>129629.31818822841</v>
      </c>
    </row>
    <row r="2007" spans="1:10" x14ac:dyDescent="0.25">
      <c r="A2007" s="180">
        <f t="shared" ca="1" si="292"/>
        <v>48097</v>
      </c>
      <c r="B2007" s="181">
        <v>1993</v>
      </c>
      <c r="C2007" s="182">
        <f t="shared" ca="1" si="287"/>
        <v>129629.31818822841</v>
      </c>
      <c r="D2007" s="182">
        <f t="shared" ca="1" si="288"/>
        <v>86.419545458818945</v>
      </c>
      <c r="E2007" s="182">
        <v>222</v>
      </c>
      <c r="F2007" s="182">
        <f t="shared" ca="1" si="286"/>
        <v>0</v>
      </c>
      <c r="G2007" s="182">
        <f t="shared" ca="1" si="289"/>
        <v>0</v>
      </c>
      <c r="H2007" s="182">
        <f t="shared" ca="1" si="290"/>
        <v>129937.73773368723</v>
      </c>
      <c r="I2007" s="183">
        <v>222</v>
      </c>
      <c r="J2007" s="263">
        <f t="shared" ca="1" si="291"/>
        <v>129937.73773368723</v>
      </c>
    </row>
    <row r="2008" spans="1:10" x14ac:dyDescent="0.25">
      <c r="A2008" s="180">
        <f t="shared" ca="1" si="292"/>
        <v>48098</v>
      </c>
      <c r="B2008" s="181">
        <v>1994</v>
      </c>
      <c r="C2008" s="182">
        <f t="shared" ca="1" si="287"/>
        <v>129937.73773368723</v>
      </c>
      <c r="D2008" s="182">
        <f t="shared" ca="1" si="288"/>
        <v>86.625158489124814</v>
      </c>
      <c r="E2008" s="182">
        <v>223</v>
      </c>
      <c r="F2008" s="182">
        <f t="shared" ca="1" si="286"/>
        <v>0</v>
      </c>
      <c r="G2008" s="182">
        <f t="shared" ca="1" si="289"/>
        <v>0</v>
      </c>
      <c r="H2008" s="182">
        <f t="shared" ca="1" si="290"/>
        <v>130247.36289217636</v>
      </c>
      <c r="I2008" s="183">
        <v>223</v>
      </c>
      <c r="J2008" s="263">
        <f t="shared" ca="1" si="291"/>
        <v>130247.36289217636</v>
      </c>
    </row>
    <row r="2009" spans="1:10" x14ac:dyDescent="0.25">
      <c r="A2009" s="180">
        <f t="shared" ca="1" si="292"/>
        <v>48099</v>
      </c>
      <c r="B2009" s="181">
        <v>1995</v>
      </c>
      <c r="C2009" s="182">
        <f t="shared" ca="1" si="287"/>
        <v>130247.36289217636</v>
      </c>
      <c r="D2009" s="182">
        <f t="shared" ca="1" si="288"/>
        <v>86.831575261450908</v>
      </c>
      <c r="E2009" s="182">
        <v>224</v>
      </c>
      <c r="F2009" s="182">
        <f t="shared" ca="1" si="286"/>
        <v>0</v>
      </c>
      <c r="G2009" s="182">
        <f t="shared" ca="1" si="289"/>
        <v>0</v>
      </c>
      <c r="H2009" s="182">
        <f t="shared" ca="1" si="290"/>
        <v>130558.19446743782</v>
      </c>
      <c r="I2009" s="183">
        <v>224</v>
      </c>
      <c r="J2009" s="263">
        <f t="shared" ca="1" si="291"/>
        <v>130558.19446743782</v>
      </c>
    </row>
    <row r="2010" spans="1:10" x14ac:dyDescent="0.25">
      <c r="A2010" s="180">
        <f t="shared" ca="1" si="292"/>
        <v>48100</v>
      </c>
      <c r="B2010" s="181">
        <v>1996</v>
      </c>
      <c r="C2010" s="182">
        <f t="shared" ca="1" si="287"/>
        <v>130558.19446743782</v>
      </c>
      <c r="D2010" s="182">
        <f t="shared" ca="1" si="288"/>
        <v>87.038796311625205</v>
      </c>
      <c r="E2010" s="182">
        <v>225</v>
      </c>
      <c r="F2010" s="182">
        <f t="shared" ca="1" si="286"/>
        <v>0</v>
      </c>
      <c r="G2010" s="182">
        <f t="shared" ca="1" si="289"/>
        <v>0</v>
      </c>
      <c r="H2010" s="182">
        <f t="shared" ca="1" si="290"/>
        <v>130870.23326374944</v>
      </c>
      <c r="I2010" s="183">
        <v>225</v>
      </c>
      <c r="J2010" s="263">
        <f t="shared" ca="1" si="291"/>
        <v>130870.23326374944</v>
      </c>
    </row>
    <row r="2011" spans="1:10" x14ac:dyDescent="0.25">
      <c r="A2011" s="180">
        <f t="shared" ca="1" si="292"/>
        <v>48101</v>
      </c>
      <c r="B2011" s="181">
        <v>1997</v>
      </c>
      <c r="C2011" s="182">
        <f t="shared" ca="1" si="287"/>
        <v>130870.23326374944</v>
      </c>
      <c r="D2011" s="182">
        <f t="shared" ca="1" si="288"/>
        <v>87.246822175832961</v>
      </c>
      <c r="E2011" s="182">
        <v>226</v>
      </c>
      <c r="F2011" s="182">
        <f t="shared" ca="1" si="286"/>
        <v>0</v>
      </c>
      <c r="G2011" s="182">
        <f t="shared" ca="1" si="289"/>
        <v>0</v>
      </c>
      <c r="H2011" s="182">
        <f t="shared" ca="1" si="290"/>
        <v>131183.48008592526</v>
      </c>
      <c r="I2011" s="183">
        <v>226</v>
      </c>
      <c r="J2011" s="263">
        <f t="shared" ca="1" si="291"/>
        <v>131183.48008592526</v>
      </c>
    </row>
    <row r="2012" spans="1:10" x14ac:dyDescent="0.25">
      <c r="A2012" s="180">
        <f t="shared" ca="1" si="292"/>
        <v>48102</v>
      </c>
      <c r="B2012" s="181">
        <v>1998</v>
      </c>
      <c r="C2012" s="182">
        <f t="shared" ca="1" si="287"/>
        <v>131183.48008592526</v>
      </c>
      <c r="D2012" s="182">
        <f t="shared" ca="1" si="288"/>
        <v>87.455653390616831</v>
      </c>
      <c r="E2012" s="182">
        <v>227</v>
      </c>
      <c r="F2012" s="182">
        <f t="shared" ca="1" si="286"/>
        <v>0</v>
      </c>
      <c r="G2012" s="182">
        <f t="shared" ca="1" si="289"/>
        <v>0</v>
      </c>
      <c r="H2012" s="182">
        <f t="shared" ca="1" si="290"/>
        <v>131497.93573931587</v>
      </c>
      <c r="I2012" s="183">
        <v>227</v>
      </c>
      <c r="J2012" s="263">
        <f t="shared" ca="1" si="291"/>
        <v>131497.93573931587</v>
      </c>
    </row>
    <row r="2013" spans="1:10" x14ac:dyDescent="0.25">
      <c r="A2013" s="180">
        <f t="shared" ca="1" si="292"/>
        <v>48103</v>
      </c>
      <c r="B2013" s="181">
        <v>1999</v>
      </c>
      <c r="C2013" s="182">
        <f t="shared" ca="1" si="287"/>
        <v>131497.93573931587</v>
      </c>
      <c r="D2013" s="182">
        <f t="shared" ca="1" si="288"/>
        <v>87.665290492877247</v>
      </c>
      <c r="E2013" s="182">
        <v>228</v>
      </c>
      <c r="F2013" s="182">
        <f t="shared" ca="1" si="286"/>
        <v>0</v>
      </c>
      <c r="G2013" s="182">
        <f t="shared" ca="1" si="289"/>
        <v>0</v>
      </c>
      <c r="H2013" s="182">
        <f t="shared" ca="1" si="290"/>
        <v>131813.60102980875</v>
      </c>
      <c r="I2013" s="183">
        <v>228</v>
      </c>
      <c r="J2013" s="263">
        <f t="shared" ca="1" si="291"/>
        <v>131813.60102980875</v>
      </c>
    </row>
    <row r="2014" spans="1:10" x14ac:dyDescent="0.25">
      <c r="A2014" s="180">
        <f t="shared" ca="1" si="292"/>
        <v>48104</v>
      </c>
      <c r="B2014" s="181">
        <v>2000</v>
      </c>
      <c r="C2014" s="182">
        <f t="shared" ca="1" si="287"/>
        <v>131813.60102980875</v>
      </c>
      <c r="D2014" s="182">
        <f t="shared" ca="1" si="288"/>
        <v>87.875734019872496</v>
      </c>
      <c r="E2014" s="182">
        <v>229</v>
      </c>
      <c r="F2014" s="182">
        <f t="shared" ca="1" si="286"/>
        <v>0</v>
      </c>
      <c r="G2014" s="182">
        <f t="shared" ca="1" si="289"/>
        <v>0</v>
      </c>
      <c r="H2014" s="182">
        <f t="shared" ca="1" si="290"/>
        <v>132130.47676382863</v>
      </c>
      <c r="I2014" s="183">
        <v>229</v>
      </c>
      <c r="J2014" s="263">
        <f t="shared" ca="1" si="291"/>
        <v>132130.47676382863</v>
      </c>
    </row>
    <row r="2015" spans="1:10" x14ac:dyDescent="0.25">
      <c r="A2015" s="180">
        <f t="shared" ca="1" si="292"/>
        <v>48105</v>
      </c>
      <c r="B2015" s="181">
        <v>2001</v>
      </c>
      <c r="C2015" s="182">
        <f t="shared" ca="1" si="287"/>
        <v>132130.47676382863</v>
      </c>
      <c r="D2015" s="182">
        <f t="shared" ca="1" si="288"/>
        <v>88.086984509219079</v>
      </c>
      <c r="E2015" s="182">
        <v>230</v>
      </c>
      <c r="F2015" s="182">
        <f t="shared" ca="1" si="286"/>
        <v>0</v>
      </c>
      <c r="G2015" s="182">
        <f t="shared" ca="1" si="289"/>
        <v>0</v>
      </c>
      <c r="H2015" s="182">
        <f t="shared" ca="1" si="290"/>
        <v>132448.56374833785</v>
      </c>
      <c r="I2015" s="183">
        <v>230</v>
      </c>
      <c r="J2015" s="263">
        <f t="shared" ca="1" si="291"/>
        <v>132448.56374833785</v>
      </c>
    </row>
    <row r="2016" spans="1:10" x14ac:dyDescent="0.25">
      <c r="A2016" s="180">
        <f t="shared" ca="1" si="292"/>
        <v>48106</v>
      </c>
      <c r="B2016" s="181">
        <v>2002</v>
      </c>
      <c r="C2016" s="182">
        <f t="shared" ca="1" si="287"/>
        <v>132448.56374833785</v>
      </c>
      <c r="D2016" s="182">
        <f t="shared" ca="1" si="288"/>
        <v>88.299042498891893</v>
      </c>
      <c r="E2016" s="182">
        <v>231</v>
      </c>
      <c r="F2016" s="182">
        <f t="shared" ca="1" si="286"/>
        <v>0</v>
      </c>
      <c r="G2016" s="182">
        <f t="shared" ca="1" si="289"/>
        <v>0</v>
      </c>
      <c r="H2016" s="182">
        <f t="shared" ca="1" si="290"/>
        <v>132767.86279083675</v>
      </c>
      <c r="I2016" s="183">
        <v>231</v>
      </c>
      <c r="J2016" s="263">
        <f t="shared" ca="1" si="291"/>
        <v>132767.86279083675</v>
      </c>
    </row>
    <row r="2017" spans="1:10" x14ac:dyDescent="0.25">
      <c r="A2017" s="180">
        <f t="shared" ca="1" si="292"/>
        <v>48107</v>
      </c>
      <c r="B2017" s="181">
        <v>2003</v>
      </c>
      <c r="C2017" s="182">
        <f t="shared" ca="1" si="287"/>
        <v>132767.86279083675</v>
      </c>
      <c r="D2017" s="182">
        <f t="shared" ca="1" si="288"/>
        <v>88.511908527224492</v>
      </c>
      <c r="E2017" s="182">
        <v>232</v>
      </c>
      <c r="F2017" s="182">
        <f t="shared" ca="1" si="286"/>
        <v>0</v>
      </c>
      <c r="G2017" s="182">
        <f t="shared" ca="1" si="289"/>
        <v>0</v>
      </c>
      <c r="H2017" s="182">
        <f t="shared" ca="1" si="290"/>
        <v>133088.37469936398</v>
      </c>
      <c r="I2017" s="183">
        <v>232</v>
      </c>
      <c r="J2017" s="263">
        <f t="shared" ca="1" si="291"/>
        <v>133088.37469936398</v>
      </c>
    </row>
    <row r="2018" spans="1:10" x14ac:dyDescent="0.25">
      <c r="A2018" s="180">
        <f t="shared" ca="1" si="292"/>
        <v>48108</v>
      </c>
      <c r="B2018" s="181">
        <v>2004</v>
      </c>
      <c r="C2018" s="182">
        <f t="shared" ca="1" si="287"/>
        <v>133088.37469936398</v>
      </c>
      <c r="D2018" s="182">
        <f t="shared" ca="1" si="288"/>
        <v>88.725583132909321</v>
      </c>
      <c r="E2018" s="182">
        <v>233</v>
      </c>
      <c r="F2018" s="182">
        <f t="shared" ca="1" si="286"/>
        <v>0</v>
      </c>
      <c r="G2018" s="182">
        <f t="shared" ca="1" si="289"/>
        <v>0</v>
      </c>
      <c r="H2018" s="182">
        <f t="shared" ca="1" si="290"/>
        <v>133410.10028249689</v>
      </c>
      <c r="I2018" s="183">
        <v>233</v>
      </c>
      <c r="J2018" s="263">
        <f t="shared" ca="1" si="291"/>
        <v>133410.10028249689</v>
      </c>
    </row>
    <row r="2019" spans="1:10" x14ac:dyDescent="0.25">
      <c r="A2019" s="180">
        <f t="shared" ca="1" si="292"/>
        <v>48109</v>
      </c>
      <c r="B2019" s="181">
        <v>2005</v>
      </c>
      <c r="C2019" s="182">
        <f t="shared" ca="1" si="287"/>
        <v>133410.10028249689</v>
      </c>
      <c r="D2019" s="182">
        <f t="shared" ca="1" si="288"/>
        <v>88.940066854997923</v>
      </c>
      <c r="E2019" s="182">
        <v>234</v>
      </c>
      <c r="F2019" s="182">
        <f t="shared" ca="1" si="286"/>
        <v>0</v>
      </c>
      <c r="G2019" s="182">
        <f t="shared" ca="1" si="289"/>
        <v>0</v>
      </c>
      <c r="H2019" s="182">
        <f t="shared" ca="1" si="290"/>
        <v>133733.04034935188</v>
      </c>
      <c r="I2019" s="183">
        <v>234</v>
      </c>
      <c r="J2019" s="263">
        <f t="shared" ca="1" si="291"/>
        <v>133733.04034935188</v>
      </c>
    </row>
    <row r="2020" spans="1:10" x14ac:dyDescent="0.25">
      <c r="A2020" s="180">
        <f t="shared" ca="1" si="292"/>
        <v>48110</v>
      </c>
      <c r="B2020" s="181">
        <v>2006</v>
      </c>
      <c r="C2020" s="182">
        <f t="shared" ca="1" si="287"/>
        <v>133733.04034935188</v>
      </c>
      <c r="D2020" s="182">
        <f t="shared" ca="1" si="288"/>
        <v>89.155360232901245</v>
      </c>
      <c r="E2020" s="182">
        <v>235</v>
      </c>
      <c r="F2020" s="182">
        <f t="shared" ca="1" si="286"/>
        <v>0</v>
      </c>
      <c r="G2020" s="182">
        <f t="shared" ca="1" si="289"/>
        <v>0</v>
      </c>
      <c r="H2020" s="182">
        <f t="shared" ca="1" si="290"/>
        <v>134057.19570958478</v>
      </c>
      <c r="I2020" s="183">
        <v>235</v>
      </c>
      <c r="J2020" s="263">
        <f t="shared" ca="1" si="291"/>
        <v>134057.19570958478</v>
      </c>
    </row>
    <row r="2021" spans="1:10" x14ac:dyDescent="0.25">
      <c r="A2021" s="180">
        <f t="shared" ca="1" si="292"/>
        <v>48111</v>
      </c>
      <c r="B2021" s="181">
        <v>2007</v>
      </c>
      <c r="C2021" s="182">
        <f t="shared" ca="1" si="287"/>
        <v>134057.19570958478</v>
      </c>
      <c r="D2021" s="182">
        <f t="shared" ca="1" si="288"/>
        <v>89.371463806389841</v>
      </c>
      <c r="E2021" s="182">
        <v>236</v>
      </c>
      <c r="F2021" s="182">
        <f t="shared" ca="1" si="286"/>
        <v>0</v>
      </c>
      <c r="G2021" s="182">
        <f t="shared" ca="1" si="289"/>
        <v>0</v>
      </c>
      <c r="H2021" s="182">
        <f t="shared" ca="1" si="290"/>
        <v>134382.56717339117</v>
      </c>
      <c r="I2021" s="183">
        <v>236</v>
      </c>
      <c r="J2021" s="263">
        <f t="shared" ca="1" si="291"/>
        <v>134382.56717339117</v>
      </c>
    </row>
    <row r="2022" spans="1:10" x14ac:dyDescent="0.25">
      <c r="A2022" s="180">
        <f t="shared" ca="1" si="292"/>
        <v>48112</v>
      </c>
      <c r="B2022" s="181">
        <v>2008</v>
      </c>
      <c r="C2022" s="182">
        <f t="shared" ca="1" si="287"/>
        <v>134382.56717339117</v>
      </c>
      <c r="D2022" s="182">
        <f t="shared" ca="1" si="288"/>
        <v>89.588378115594111</v>
      </c>
      <c r="E2022" s="182">
        <v>237</v>
      </c>
      <c r="F2022" s="182">
        <f t="shared" ca="1" si="286"/>
        <v>0</v>
      </c>
      <c r="G2022" s="182">
        <f t="shared" ca="1" si="289"/>
        <v>0</v>
      </c>
      <c r="H2022" s="182">
        <f t="shared" ca="1" si="290"/>
        <v>134709.15555150676</v>
      </c>
      <c r="I2022" s="183">
        <v>237</v>
      </c>
      <c r="J2022" s="263">
        <f t="shared" ca="1" si="291"/>
        <v>134709.15555150676</v>
      </c>
    </row>
    <row r="2023" spans="1:10" x14ac:dyDescent="0.25">
      <c r="A2023" s="180">
        <f t="shared" ca="1" si="292"/>
        <v>48113</v>
      </c>
      <c r="B2023" s="181">
        <v>2009</v>
      </c>
      <c r="C2023" s="182">
        <f t="shared" ca="1" si="287"/>
        <v>134709.15555150676</v>
      </c>
      <c r="D2023" s="182">
        <f t="shared" ca="1" si="288"/>
        <v>89.806103701004503</v>
      </c>
      <c r="E2023" s="182">
        <v>238</v>
      </c>
      <c r="F2023" s="182">
        <f t="shared" ca="1" si="286"/>
        <v>0</v>
      </c>
      <c r="G2023" s="182">
        <f t="shared" ca="1" si="289"/>
        <v>0</v>
      </c>
      <c r="H2023" s="182">
        <f t="shared" ca="1" si="290"/>
        <v>135036.96165520776</v>
      </c>
      <c r="I2023" s="183">
        <v>238</v>
      </c>
      <c r="J2023" s="263">
        <f t="shared" ca="1" si="291"/>
        <v>135036.96165520776</v>
      </c>
    </row>
    <row r="2024" spans="1:10" x14ac:dyDescent="0.25">
      <c r="A2024" s="180">
        <f t="shared" ca="1" si="292"/>
        <v>48114</v>
      </c>
      <c r="B2024" s="181">
        <v>2010</v>
      </c>
      <c r="C2024" s="182">
        <f t="shared" ca="1" si="287"/>
        <v>135036.96165520776</v>
      </c>
      <c r="D2024" s="182">
        <f t="shared" ca="1" si="288"/>
        <v>90.024641103471836</v>
      </c>
      <c r="E2024" s="182">
        <v>239</v>
      </c>
      <c r="F2024" s="182">
        <f t="shared" ca="1" si="286"/>
        <v>0</v>
      </c>
      <c r="G2024" s="182">
        <f t="shared" ca="1" si="289"/>
        <v>0</v>
      </c>
      <c r="H2024" s="182">
        <f t="shared" ca="1" si="290"/>
        <v>135365.98629631122</v>
      </c>
      <c r="I2024" s="183">
        <v>239</v>
      </c>
      <c r="J2024" s="263">
        <f t="shared" ca="1" si="291"/>
        <v>135365.98629631122</v>
      </c>
    </row>
    <row r="2025" spans="1:10" x14ac:dyDescent="0.25">
      <c r="A2025" s="180">
        <f t="shared" ca="1" si="292"/>
        <v>48115</v>
      </c>
      <c r="B2025" s="181">
        <v>2011</v>
      </c>
      <c r="C2025" s="182">
        <f t="shared" ca="1" si="287"/>
        <v>135365.98629631122</v>
      </c>
      <c r="D2025" s="182">
        <f t="shared" ca="1" si="288"/>
        <v>90.243990864207476</v>
      </c>
      <c r="E2025" s="182">
        <v>240</v>
      </c>
      <c r="F2025" s="182">
        <f t="shared" ca="1" si="286"/>
        <v>0</v>
      </c>
      <c r="G2025" s="182">
        <f t="shared" ca="1" si="289"/>
        <v>0</v>
      </c>
      <c r="H2025" s="182">
        <f t="shared" ca="1" si="290"/>
        <v>135696.23028717542</v>
      </c>
      <c r="I2025" s="183">
        <v>240</v>
      </c>
      <c r="J2025" s="263">
        <f t="shared" ca="1" si="291"/>
        <v>135696.23028717542</v>
      </c>
    </row>
    <row r="2026" spans="1:10" x14ac:dyDescent="0.25">
      <c r="A2026" s="180">
        <f t="shared" ca="1" si="292"/>
        <v>48116</v>
      </c>
      <c r="B2026" s="181">
        <v>2012</v>
      </c>
      <c r="C2026" s="182">
        <f t="shared" ca="1" si="287"/>
        <v>135696.23028717542</v>
      </c>
      <c r="D2026" s="182">
        <f t="shared" ca="1" si="288"/>
        <v>90.464153524783612</v>
      </c>
      <c r="E2026" s="182">
        <v>241</v>
      </c>
      <c r="F2026" s="182">
        <f t="shared" ca="1" si="286"/>
        <v>0</v>
      </c>
      <c r="G2026" s="182">
        <f t="shared" ca="1" si="289"/>
        <v>0</v>
      </c>
      <c r="H2026" s="182">
        <f t="shared" ca="1" si="290"/>
        <v>136027.6944407002</v>
      </c>
      <c r="I2026" s="183">
        <v>241</v>
      </c>
      <c r="J2026" s="263">
        <f t="shared" ca="1" si="291"/>
        <v>136027.6944407002</v>
      </c>
    </row>
    <row r="2027" spans="1:10" x14ac:dyDescent="0.25">
      <c r="A2027" s="180">
        <f t="shared" ca="1" si="292"/>
        <v>48117</v>
      </c>
      <c r="B2027" s="181">
        <v>2013</v>
      </c>
      <c r="C2027" s="182">
        <f t="shared" ca="1" si="287"/>
        <v>136027.6944407002</v>
      </c>
      <c r="D2027" s="182">
        <f t="shared" ca="1" si="288"/>
        <v>90.685129627133463</v>
      </c>
      <c r="E2027" s="182">
        <v>242</v>
      </c>
      <c r="F2027" s="182">
        <f t="shared" ca="1" si="286"/>
        <v>0</v>
      </c>
      <c r="G2027" s="182">
        <f t="shared" ca="1" si="289"/>
        <v>0</v>
      </c>
      <c r="H2027" s="182">
        <f t="shared" ca="1" si="290"/>
        <v>136360.37957032732</v>
      </c>
      <c r="I2027" s="183">
        <v>242</v>
      </c>
      <c r="J2027" s="263">
        <f t="shared" ca="1" si="291"/>
        <v>136360.37957032732</v>
      </c>
    </row>
    <row r="2028" spans="1:10" x14ac:dyDescent="0.25">
      <c r="A2028" s="180">
        <f t="shared" ca="1" si="292"/>
        <v>48118</v>
      </c>
      <c r="B2028" s="181">
        <v>2014</v>
      </c>
      <c r="C2028" s="182">
        <f t="shared" ca="1" si="287"/>
        <v>136360.37957032732</v>
      </c>
      <c r="D2028" s="182">
        <f t="shared" ca="1" si="288"/>
        <v>90.906919713551545</v>
      </c>
      <c r="E2028" s="182">
        <v>243</v>
      </c>
      <c r="F2028" s="182">
        <f t="shared" ref="F2028:F2091" ca="1" si="293">IFERROR(-VLOOKUP(A2028,$P$4:$R$31,2,FALSE),0)</f>
        <v>0</v>
      </c>
      <c r="G2028" s="182">
        <f t="shared" ca="1" si="289"/>
        <v>0</v>
      </c>
      <c r="H2028" s="182">
        <f t="shared" ca="1" si="290"/>
        <v>136694.28649004086</v>
      </c>
      <c r="I2028" s="183">
        <v>243</v>
      </c>
      <c r="J2028" s="263">
        <f t="shared" ca="1" si="291"/>
        <v>136694.28649004086</v>
      </c>
    </row>
    <row r="2029" spans="1:10" x14ac:dyDescent="0.25">
      <c r="A2029" s="180">
        <f t="shared" ca="1" si="292"/>
        <v>48119</v>
      </c>
      <c r="B2029" s="181">
        <v>2015</v>
      </c>
      <c r="C2029" s="182">
        <f t="shared" ca="1" si="287"/>
        <v>136694.28649004086</v>
      </c>
      <c r="D2029" s="182">
        <f t="shared" ca="1" si="288"/>
        <v>91.129524326693897</v>
      </c>
      <c r="E2029" s="182">
        <v>244</v>
      </c>
      <c r="F2029" s="182">
        <f t="shared" ca="1" si="293"/>
        <v>0</v>
      </c>
      <c r="G2029" s="182">
        <f t="shared" ca="1" si="289"/>
        <v>0</v>
      </c>
      <c r="H2029" s="182">
        <f t="shared" ca="1" si="290"/>
        <v>137029.41601436754</v>
      </c>
      <c r="I2029" s="183">
        <v>244</v>
      </c>
      <c r="J2029" s="263">
        <f t="shared" ca="1" si="291"/>
        <v>137029.41601436754</v>
      </c>
    </row>
    <row r="2030" spans="1:10" x14ac:dyDescent="0.25">
      <c r="A2030" s="180">
        <f t="shared" ca="1" si="292"/>
        <v>48120</v>
      </c>
      <c r="B2030" s="181">
        <v>2016</v>
      </c>
      <c r="C2030" s="182">
        <f t="shared" ca="1" si="287"/>
        <v>137029.41601436754</v>
      </c>
      <c r="D2030" s="182">
        <f t="shared" ca="1" si="288"/>
        <v>91.352944009578351</v>
      </c>
      <c r="E2030" s="182">
        <v>245</v>
      </c>
      <c r="F2030" s="182">
        <f t="shared" ca="1" si="293"/>
        <v>0</v>
      </c>
      <c r="G2030" s="182">
        <f t="shared" ca="1" si="289"/>
        <v>0</v>
      </c>
      <c r="H2030" s="182">
        <f t="shared" ca="1" si="290"/>
        <v>137365.76895837713</v>
      </c>
      <c r="I2030" s="183">
        <v>245</v>
      </c>
      <c r="J2030" s="263">
        <f t="shared" ca="1" si="291"/>
        <v>137365.76895837713</v>
      </c>
    </row>
    <row r="2031" spans="1:10" x14ac:dyDescent="0.25">
      <c r="A2031" s="180">
        <f t="shared" ca="1" si="292"/>
        <v>48121</v>
      </c>
      <c r="B2031" s="181">
        <v>2017</v>
      </c>
      <c r="C2031" s="182">
        <f t="shared" ca="1" si="287"/>
        <v>137365.76895837713</v>
      </c>
      <c r="D2031" s="182">
        <f t="shared" ca="1" si="288"/>
        <v>91.57717930558475</v>
      </c>
      <c r="E2031" s="182">
        <v>246</v>
      </c>
      <c r="F2031" s="182">
        <f t="shared" ca="1" si="293"/>
        <v>0</v>
      </c>
      <c r="G2031" s="182">
        <f t="shared" ca="1" si="289"/>
        <v>0</v>
      </c>
      <c r="H2031" s="182">
        <f t="shared" ca="1" si="290"/>
        <v>137703.3461376827</v>
      </c>
      <c r="I2031" s="183">
        <v>246</v>
      </c>
      <c r="J2031" s="263">
        <f t="shared" ca="1" si="291"/>
        <v>137703.3461376827</v>
      </c>
    </row>
    <row r="2032" spans="1:10" x14ac:dyDescent="0.25">
      <c r="A2032" s="180">
        <f t="shared" ca="1" si="292"/>
        <v>48122</v>
      </c>
      <c r="B2032" s="181">
        <v>2018</v>
      </c>
      <c r="C2032" s="182">
        <f t="shared" ca="1" si="287"/>
        <v>137703.3461376827</v>
      </c>
      <c r="D2032" s="182">
        <f t="shared" ca="1" si="288"/>
        <v>91.802230758455138</v>
      </c>
      <c r="E2032" s="182">
        <v>247</v>
      </c>
      <c r="F2032" s="182">
        <f t="shared" ca="1" si="293"/>
        <v>0</v>
      </c>
      <c r="G2032" s="182">
        <f t="shared" ca="1" si="289"/>
        <v>0</v>
      </c>
      <c r="H2032" s="182">
        <f t="shared" ca="1" si="290"/>
        <v>138042.14836844115</v>
      </c>
      <c r="I2032" s="183">
        <v>247</v>
      </c>
      <c r="J2032" s="263">
        <f t="shared" ca="1" si="291"/>
        <v>138042.14836844115</v>
      </c>
    </row>
    <row r="2033" spans="1:10" x14ac:dyDescent="0.25">
      <c r="A2033" s="180">
        <f t="shared" ca="1" si="292"/>
        <v>48123</v>
      </c>
      <c r="B2033" s="181">
        <v>2019</v>
      </c>
      <c r="C2033" s="182">
        <f t="shared" ca="1" si="287"/>
        <v>138042.14836844115</v>
      </c>
      <c r="D2033" s="182">
        <f t="shared" ca="1" si="288"/>
        <v>92.028098912294098</v>
      </c>
      <c r="E2033" s="182">
        <v>248</v>
      </c>
      <c r="F2033" s="182">
        <f t="shared" ca="1" si="293"/>
        <v>0</v>
      </c>
      <c r="G2033" s="182">
        <f t="shared" ca="1" si="289"/>
        <v>0</v>
      </c>
      <c r="H2033" s="182">
        <f t="shared" ca="1" si="290"/>
        <v>138382.17646735345</v>
      </c>
      <c r="I2033" s="183">
        <v>248</v>
      </c>
      <c r="J2033" s="263">
        <f t="shared" ca="1" si="291"/>
        <v>138382.17646735345</v>
      </c>
    </row>
    <row r="2034" spans="1:10" x14ac:dyDescent="0.25">
      <c r="A2034" s="180">
        <f t="shared" ca="1" si="292"/>
        <v>48124</v>
      </c>
      <c r="B2034" s="181">
        <v>2020</v>
      </c>
      <c r="C2034" s="182">
        <f t="shared" ca="1" si="287"/>
        <v>138382.17646735345</v>
      </c>
      <c r="D2034" s="182">
        <f t="shared" ca="1" si="288"/>
        <v>92.254784311568969</v>
      </c>
      <c r="E2034" s="182">
        <v>249</v>
      </c>
      <c r="F2034" s="182">
        <f t="shared" ca="1" si="293"/>
        <v>0</v>
      </c>
      <c r="G2034" s="182">
        <f t="shared" ca="1" si="289"/>
        <v>0</v>
      </c>
      <c r="H2034" s="182">
        <f t="shared" ca="1" si="290"/>
        <v>138723.43125166502</v>
      </c>
      <c r="I2034" s="183">
        <v>249</v>
      </c>
      <c r="J2034" s="263">
        <f t="shared" ca="1" si="291"/>
        <v>138723.43125166502</v>
      </c>
    </row>
    <row r="2035" spans="1:10" x14ac:dyDescent="0.25">
      <c r="A2035" s="180">
        <f t="shared" ca="1" si="292"/>
        <v>48125</v>
      </c>
      <c r="B2035" s="181">
        <v>2021</v>
      </c>
      <c r="C2035" s="182">
        <f t="shared" ca="1" si="287"/>
        <v>138723.43125166502</v>
      </c>
      <c r="D2035" s="182">
        <f t="shared" ca="1" si="288"/>
        <v>92.482287501110008</v>
      </c>
      <c r="E2035" s="182">
        <v>250</v>
      </c>
      <c r="F2035" s="182">
        <f t="shared" ca="1" si="293"/>
        <v>0</v>
      </c>
      <c r="G2035" s="182">
        <f t="shared" ca="1" si="289"/>
        <v>0</v>
      </c>
      <c r="H2035" s="182">
        <f t="shared" ca="1" si="290"/>
        <v>139065.91353916613</v>
      </c>
      <c r="I2035" s="183">
        <v>250</v>
      </c>
      <c r="J2035" s="263">
        <f t="shared" ca="1" si="291"/>
        <v>139065.91353916613</v>
      </c>
    </row>
    <row r="2036" spans="1:10" x14ac:dyDescent="0.25">
      <c r="A2036" s="180">
        <f t="shared" ca="1" si="292"/>
        <v>48126</v>
      </c>
      <c r="B2036" s="181">
        <v>2022</v>
      </c>
      <c r="C2036" s="182">
        <f t="shared" ca="1" si="287"/>
        <v>139065.91353916613</v>
      </c>
      <c r="D2036" s="182">
        <f t="shared" ca="1" si="288"/>
        <v>92.710609026110745</v>
      </c>
      <c r="E2036" s="182">
        <v>251</v>
      </c>
      <c r="F2036" s="182">
        <f t="shared" ca="1" si="293"/>
        <v>0</v>
      </c>
      <c r="G2036" s="182">
        <f t="shared" ca="1" si="289"/>
        <v>0</v>
      </c>
      <c r="H2036" s="182">
        <f t="shared" ca="1" si="290"/>
        <v>139409.62414819223</v>
      </c>
      <c r="I2036" s="183">
        <v>251</v>
      </c>
      <c r="J2036" s="263">
        <f t="shared" ca="1" si="291"/>
        <v>139409.62414819223</v>
      </c>
    </row>
    <row r="2037" spans="1:10" x14ac:dyDescent="0.25">
      <c r="A2037" s="180">
        <f t="shared" ca="1" si="292"/>
        <v>48127</v>
      </c>
      <c r="B2037" s="181">
        <v>2023</v>
      </c>
      <c r="C2037" s="182">
        <f t="shared" ca="1" si="287"/>
        <v>139409.62414819223</v>
      </c>
      <c r="D2037" s="182">
        <f t="shared" ca="1" si="288"/>
        <v>92.939749432128153</v>
      </c>
      <c r="E2037" s="182">
        <v>252</v>
      </c>
      <c r="F2037" s="182">
        <f t="shared" ca="1" si="293"/>
        <v>0</v>
      </c>
      <c r="G2037" s="182">
        <f t="shared" ca="1" si="289"/>
        <v>0</v>
      </c>
      <c r="H2037" s="182">
        <f t="shared" ca="1" si="290"/>
        <v>139754.56389762435</v>
      </c>
      <c r="I2037" s="183">
        <v>252</v>
      </c>
      <c r="J2037" s="263">
        <f t="shared" ca="1" si="291"/>
        <v>139754.56389762435</v>
      </c>
    </row>
    <row r="2038" spans="1:10" x14ac:dyDescent="0.25">
      <c r="A2038" s="180">
        <f t="shared" ca="1" si="292"/>
        <v>48128</v>
      </c>
      <c r="B2038" s="181">
        <v>2024</v>
      </c>
      <c r="C2038" s="182">
        <f t="shared" ca="1" si="287"/>
        <v>139754.56389762435</v>
      </c>
      <c r="D2038" s="182">
        <f t="shared" ca="1" si="288"/>
        <v>93.169709265082901</v>
      </c>
      <c r="E2038" s="182">
        <v>253</v>
      </c>
      <c r="F2038" s="182">
        <f t="shared" ca="1" si="293"/>
        <v>0</v>
      </c>
      <c r="G2038" s="182">
        <f t="shared" ca="1" si="289"/>
        <v>0</v>
      </c>
      <c r="H2038" s="182">
        <f t="shared" ca="1" si="290"/>
        <v>140100.73360688944</v>
      </c>
      <c r="I2038" s="183">
        <v>253</v>
      </c>
      <c r="J2038" s="263">
        <f t="shared" ca="1" si="291"/>
        <v>140100.73360688944</v>
      </c>
    </row>
    <row r="2039" spans="1:10" x14ac:dyDescent="0.25">
      <c r="A2039" s="180">
        <f t="shared" ca="1" si="292"/>
        <v>48129</v>
      </c>
      <c r="B2039" s="181">
        <v>2025</v>
      </c>
      <c r="C2039" s="182">
        <f t="shared" ca="1" si="287"/>
        <v>140100.73360688944</v>
      </c>
      <c r="D2039" s="182">
        <f t="shared" ca="1" si="288"/>
        <v>93.400489071259628</v>
      </c>
      <c r="E2039" s="182">
        <v>254</v>
      </c>
      <c r="F2039" s="182">
        <f t="shared" ca="1" si="293"/>
        <v>0</v>
      </c>
      <c r="G2039" s="182">
        <f t="shared" ca="1" si="289"/>
        <v>0</v>
      </c>
      <c r="H2039" s="182">
        <f t="shared" ca="1" si="290"/>
        <v>140448.1340959607</v>
      </c>
      <c r="I2039" s="183">
        <v>254</v>
      </c>
      <c r="J2039" s="263">
        <f t="shared" ca="1" si="291"/>
        <v>140448.1340959607</v>
      </c>
    </row>
    <row r="2040" spans="1:10" x14ac:dyDescent="0.25">
      <c r="A2040" s="180">
        <f t="shared" ca="1" si="292"/>
        <v>48130</v>
      </c>
      <c r="B2040" s="181">
        <v>2026</v>
      </c>
      <c r="C2040" s="182">
        <f t="shared" ca="1" si="287"/>
        <v>140448.1340959607</v>
      </c>
      <c r="D2040" s="182">
        <f t="shared" ca="1" si="288"/>
        <v>93.632089397307126</v>
      </c>
      <c r="E2040" s="182">
        <v>255</v>
      </c>
      <c r="F2040" s="182">
        <f t="shared" ca="1" si="293"/>
        <v>0</v>
      </c>
      <c r="G2040" s="182">
        <f t="shared" ca="1" si="289"/>
        <v>0</v>
      </c>
      <c r="H2040" s="182">
        <f t="shared" ca="1" si="290"/>
        <v>140796.76618535802</v>
      </c>
      <c r="I2040" s="183">
        <v>255</v>
      </c>
      <c r="J2040" s="263">
        <f t="shared" ca="1" si="291"/>
        <v>140796.76618535802</v>
      </c>
    </row>
    <row r="2041" spans="1:10" x14ac:dyDescent="0.25">
      <c r="A2041" s="180">
        <f t="shared" ca="1" si="292"/>
        <v>48131</v>
      </c>
      <c r="B2041" s="181">
        <v>2027</v>
      </c>
      <c r="C2041" s="182">
        <f t="shared" ca="1" si="287"/>
        <v>140796.76618535802</v>
      </c>
      <c r="D2041" s="182">
        <f t="shared" ca="1" si="288"/>
        <v>93.864510790238683</v>
      </c>
      <c r="E2041" s="182">
        <v>256</v>
      </c>
      <c r="F2041" s="182">
        <f t="shared" ca="1" si="293"/>
        <v>0</v>
      </c>
      <c r="G2041" s="182">
        <f t="shared" ca="1" si="289"/>
        <v>0</v>
      </c>
      <c r="H2041" s="182">
        <f t="shared" ca="1" si="290"/>
        <v>141146.63069614826</v>
      </c>
      <c r="I2041" s="183">
        <v>256</v>
      </c>
      <c r="J2041" s="263">
        <f t="shared" ca="1" si="291"/>
        <v>141146.63069614826</v>
      </c>
    </row>
    <row r="2042" spans="1:10" x14ac:dyDescent="0.25">
      <c r="A2042" s="180">
        <f t="shared" ca="1" si="292"/>
        <v>48132</v>
      </c>
      <c r="B2042" s="181">
        <v>2028</v>
      </c>
      <c r="C2042" s="182">
        <f t="shared" ref="C2042:C2105" ca="1" si="294">H2041</f>
        <v>141146.63069614826</v>
      </c>
      <c r="D2042" s="182">
        <f t="shared" ref="D2042:D2105" ca="1" si="295">(($C$6/360))*C2042</f>
        <v>94.097753797432176</v>
      </c>
      <c r="E2042" s="182">
        <v>257</v>
      </c>
      <c r="F2042" s="182">
        <f t="shared" ca="1" si="293"/>
        <v>0</v>
      </c>
      <c r="G2042" s="182">
        <f t="shared" ref="G2042:G2105" ca="1" si="296">IF(G2041-D2042-E2042&gt;0,G2041-D2042-E2042,0)</f>
        <v>0</v>
      </c>
      <c r="H2042" s="182">
        <f t="shared" ref="H2042:H2105" ca="1" si="297">IF(G2042&gt;0,C2042+F2042+I2042,SUM(C2042:F2042)-G2041)</f>
        <v>141497.72844994569</v>
      </c>
      <c r="I2042" s="183">
        <v>257</v>
      </c>
      <c r="J2042" s="263">
        <f t="shared" ca="1" si="291"/>
        <v>141497.72844994569</v>
      </c>
    </row>
    <row r="2043" spans="1:10" x14ac:dyDescent="0.25">
      <c r="A2043" s="180">
        <f t="shared" ca="1" si="292"/>
        <v>48133</v>
      </c>
      <c r="B2043" s="181">
        <v>2029</v>
      </c>
      <c r="C2043" s="182">
        <f t="shared" ca="1" si="294"/>
        <v>141497.72844994569</v>
      </c>
      <c r="D2043" s="182">
        <f t="shared" ca="1" si="295"/>
        <v>94.331818966630451</v>
      </c>
      <c r="E2043" s="182">
        <v>258</v>
      </c>
      <c r="F2043" s="182">
        <f t="shared" ca="1" si="293"/>
        <v>0</v>
      </c>
      <c r="G2043" s="182">
        <f t="shared" ca="1" si="296"/>
        <v>0</v>
      </c>
      <c r="H2043" s="182">
        <f t="shared" ca="1" si="297"/>
        <v>141850.06026891232</v>
      </c>
      <c r="I2043" s="183">
        <v>258</v>
      </c>
      <c r="J2043" s="263">
        <f t="shared" ca="1" si="291"/>
        <v>141850.06026891232</v>
      </c>
    </row>
    <row r="2044" spans="1:10" x14ac:dyDescent="0.25">
      <c r="A2044" s="180">
        <f t="shared" ca="1" si="292"/>
        <v>48134</v>
      </c>
      <c r="B2044" s="181">
        <v>2030</v>
      </c>
      <c r="C2044" s="182">
        <f t="shared" ca="1" si="294"/>
        <v>141850.06026891232</v>
      </c>
      <c r="D2044" s="182">
        <f t="shared" ca="1" si="295"/>
        <v>94.566706845941539</v>
      </c>
      <c r="E2044" s="182">
        <v>259</v>
      </c>
      <c r="F2044" s="182">
        <f t="shared" ca="1" si="293"/>
        <v>0</v>
      </c>
      <c r="G2044" s="182">
        <f t="shared" ca="1" si="296"/>
        <v>0</v>
      </c>
      <c r="H2044" s="182">
        <f t="shared" ca="1" si="297"/>
        <v>142203.62697575826</v>
      </c>
      <c r="I2044" s="183">
        <v>259</v>
      </c>
      <c r="J2044" s="263">
        <f t="shared" ca="1" si="291"/>
        <v>142203.62697575826</v>
      </c>
    </row>
    <row r="2045" spans="1:10" x14ac:dyDescent="0.25">
      <c r="A2045" s="180">
        <f t="shared" ca="1" si="292"/>
        <v>48135</v>
      </c>
      <c r="B2045" s="181">
        <v>2031</v>
      </c>
      <c r="C2045" s="182">
        <f t="shared" ca="1" si="294"/>
        <v>142203.62697575826</v>
      </c>
      <c r="D2045" s="182">
        <f t="shared" ca="1" si="295"/>
        <v>94.802417983838836</v>
      </c>
      <c r="E2045" s="182">
        <v>260</v>
      </c>
      <c r="F2045" s="182">
        <f t="shared" ca="1" si="293"/>
        <v>0</v>
      </c>
      <c r="G2045" s="182">
        <f t="shared" ca="1" si="296"/>
        <v>0</v>
      </c>
      <c r="H2045" s="182">
        <f t="shared" ca="1" si="297"/>
        <v>142558.42939374209</v>
      </c>
      <c r="I2045" s="183">
        <v>260</v>
      </c>
      <c r="J2045" s="263">
        <f t="shared" ca="1" si="291"/>
        <v>142558.42939374209</v>
      </c>
    </row>
    <row r="2046" spans="1:10" x14ac:dyDescent="0.25">
      <c r="A2046" s="180">
        <f t="shared" ca="1" si="292"/>
        <v>48136</v>
      </c>
      <c r="B2046" s="181">
        <v>2032</v>
      </c>
      <c r="C2046" s="182">
        <f t="shared" ca="1" si="294"/>
        <v>142558.42939374209</v>
      </c>
      <c r="D2046" s="182">
        <f t="shared" ca="1" si="295"/>
        <v>95.038952929161383</v>
      </c>
      <c r="E2046" s="182">
        <v>261</v>
      </c>
      <c r="F2046" s="182">
        <f t="shared" ca="1" si="293"/>
        <v>0</v>
      </c>
      <c r="G2046" s="182">
        <f t="shared" ca="1" si="296"/>
        <v>0</v>
      </c>
      <c r="H2046" s="182">
        <f t="shared" ca="1" si="297"/>
        <v>142914.46834667126</v>
      </c>
      <c r="I2046" s="183">
        <v>261</v>
      </c>
      <c r="J2046" s="263">
        <f t="shared" ca="1" si="291"/>
        <v>142914.46834667126</v>
      </c>
    </row>
    <row r="2047" spans="1:10" x14ac:dyDescent="0.25">
      <c r="A2047" s="180">
        <f t="shared" ca="1" si="292"/>
        <v>48137</v>
      </c>
      <c r="B2047" s="181">
        <v>2033</v>
      </c>
      <c r="C2047" s="182">
        <f t="shared" ca="1" si="294"/>
        <v>142914.46834667126</v>
      </c>
      <c r="D2047" s="182">
        <f t="shared" ca="1" si="295"/>
        <v>95.276312231114176</v>
      </c>
      <c r="E2047" s="182">
        <v>262</v>
      </c>
      <c r="F2047" s="182">
        <f t="shared" ca="1" si="293"/>
        <v>0</v>
      </c>
      <c r="G2047" s="182">
        <f t="shared" ca="1" si="296"/>
        <v>0</v>
      </c>
      <c r="H2047" s="182">
        <f t="shared" ca="1" si="297"/>
        <v>143271.74465890237</v>
      </c>
      <c r="I2047" s="183">
        <v>262</v>
      </c>
      <c r="J2047" s="263">
        <f t="shared" ca="1" si="291"/>
        <v>143271.74465890237</v>
      </c>
    </row>
    <row r="2048" spans="1:10" x14ac:dyDescent="0.25">
      <c r="A2048" s="180">
        <f t="shared" ca="1" si="292"/>
        <v>48138</v>
      </c>
      <c r="B2048" s="181">
        <v>2034</v>
      </c>
      <c r="C2048" s="182">
        <f t="shared" ca="1" si="294"/>
        <v>143271.74465890237</v>
      </c>
      <c r="D2048" s="182">
        <f t="shared" ca="1" si="295"/>
        <v>95.514496439268243</v>
      </c>
      <c r="E2048" s="182">
        <v>263</v>
      </c>
      <c r="F2048" s="182">
        <f t="shared" ca="1" si="293"/>
        <v>0</v>
      </c>
      <c r="G2048" s="182">
        <f t="shared" ca="1" si="296"/>
        <v>0</v>
      </c>
      <c r="H2048" s="182">
        <f t="shared" ca="1" si="297"/>
        <v>143630.25915534166</v>
      </c>
      <c r="I2048" s="183">
        <v>263</v>
      </c>
      <c r="J2048" s="263">
        <f t="shared" ca="1" si="291"/>
        <v>143630.25915534166</v>
      </c>
    </row>
    <row r="2049" spans="1:10" x14ac:dyDescent="0.25">
      <c r="A2049" s="180">
        <f t="shared" ca="1" si="292"/>
        <v>48139</v>
      </c>
      <c r="B2049" s="181">
        <v>2035</v>
      </c>
      <c r="C2049" s="182">
        <f t="shared" ca="1" si="294"/>
        <v>143630.25915534166</v>
      </c>
      <c r="D2049" s="182">
        <f t="shared" ca="1" si="295"/>
        <v>95.753506103561108</v>
      </c>
      <c r="E2049" s="182">
        <v>264</v>
      </c>
      <c r="F2049" s="182">
        <f t="shared" ca="1" si="293"/>
        <v>0</v>
      </c>
      <c r="G2049" s="182">
        <f t="shared" ca="1" si="296"/>
        <v>0</v>
      </c>
      <c r="H2049" s="182">
        <f t="shared" ca="1" si="297"/>
        <v>143990.01266144522</v>
      </c>
      <c r="I2049" s="183">
        <v>264</v>
      </c>
      <c r="J2049" s="263">
        <f t="shared" ca="1" si="291"/>
        <v>143990.01266144522</v>
      </c>
    </row>
    <row r="2050" spans="1:10" x14ac:dyDescent="0.25">
      <c r="A2050" s="180">
        <f t="shared" ca="1" si="292"/>
        <v>48140</v>
      </c>
      <c r="B2050" s="181">
        <v>2036</v>
      </c>
      <c r="C2050" s="182">
        <f t="shared" ca="1" si="294"/>
        <v>143990.01266144522</v>
      </c>
      <c r="D2050" s="182">
        <f t="shared" ca="1" si="295"/>
        <v>95.993341774296809</v>
      </c>
      <c r="E2050" s="182">
        <v>265</v>
      </c>
      <c r="F2050" s="182">
        <f t="shared" ca="1" si="293"/>
        <v>0</v>
      </c>
      <c r="G2050" s="182">
        <f t="shared" ca="1" si="296"/>
        <v>0</v>
      </c>
      <c r="H2050" s="182">
        <f t="shared" ca="1" si="297"/>
        <v>144351.00600321952</v>
      </c>
      <c r="I2050" s="183">
        <v>265</v>
      </c>
      <c r="J2050" s="263">
        <f t="shared" ca="1" si="291"/>
        <v>144351.00600321952</v>
      </c>
    </row>
    <row r="2051" spans="1:10" x14ac:dyDescent="0.25">
      <c r="A2051" s="180">
        <f t="shared" ca="1" si="292"/>
        <v>48141</v>
      </c>
      <c r="B2051" s="181">
        <v>2037</v>
      </c>
      <c r="C2051" s="182">
        <f t="shared" ca="1" si="294"/>
        <v>144351.00600321952</v>
      </c>
      <c r="D2051" s="182">
        <f t="shared" ca="1" si="295"/>
        <v>96.234004002146335</v>
      </c>
      <c r="E2051" s="182">
        <v>266</v>
      </c>
      <c r="F2051" s="182">
        <f t="shared" ca="1" si="293"/>
        <v>0</v>
      </c>
      <c r="G2051" s="182">
        <f t="shared" ca="1" si="296"/>
        <v>0</v>
      </c>
      <c r="H2051" s="182">
        <f t="shared" ca="1" si="297"/>
        <v>144713.24000722167</v>
      </c>
      <c r="I2051" s="183">
        <v>266</v>
      </c>
      <c r="J2051" s="263">
        <f t="shared" ca="1" si="291"/>
        <v>144713.24000722167</v>
      </c>
    </row>
    <row r="2052" spans="1:10" x14ac:dyDescent="0.25">
      <c r="A2052" s="180">
        <f t="shared" ca="1" si="292"/>
        <v>48142</v>
      </c>
      <c r="B2052" s="181">
        <v>2038</v>
      </c>
      <c r="C2052" s="182">
        <f t="shared" ca="1" si="294"/>
        <v>144713.24000722167</v>
      </c>
      <c r="D2052" s="182">
        <f t="shared" ca="1" si="295"/>
        <v>96.475493338147771</v>
      </c>
      <c r="E2052" s="182">
        <v>267</v>
      </c>
      <c r="F2052" s="182">
        <f t="shared" ca="1" si="293"/>
        <v>0</v>
      </c>
      <c r="G2052" s="182">
        <f t="shared" ca="1" si="296"/>
        <v>0</v>
      </c>
      <c r="H2052" s="182">
        <f t="shared" ca="1" si="297"/>
        <v>145076.7155005598</v>
      </c>
      <c r="I2052" s="183">
        <v>267</v>
      </c>
      <c r="J2052" s="263">
        <f t="shared" ca="1" si="291"/>
        <v>145076.7155005598</v>
      </c>
    </row>
    <row r="2053" spans="1:10" x14ac:dyDescent="0.25">
      <c r="A2053" s="180">
        <f t="shared" ca="1" si="292"/>
        <v>48143</v>
      </c>
      <c r="B2053" s="181">
        <v>2039</v>
      </c>
      <c r="C2053" s="182">
        <f t="shared" ca="1" si="294"/>
        <v>145076.7155005598</v>
      </c>
      <c r="D2053" s="182">
        <f t="shared" ca="1" si="295"/>
        <v>96.717810333706538</v>
      </c>
      <c r="E2053" s="182">
        <v>268</v>
      </c>
      <c r="F2053" s="182">
        <f t="shared" ca="1" si="293"/>
        <v>0</v>
      </c>
      <c r="G2053" s="182">
        <f t="shared" ca="1" si="296"/>
        <v>0</v>
      </c>
      <c r="H2053" s="182">
        <f t="shared" ca="1" si="297"/>
        <v>145441.43331089351</v>
      </c>
      <c r="I2053" s="183">
        <v>268</v>
      </c>
      <c r="J2053" s="263">
        <f t="shared" ca="1" si="291"/>
        <v>145441.43331089351</v>
      </c>
    </row>
    <row r="2054" spans="1:10" x14ac:dyDescent="0.25">
      <c r="A2054" s="180">
        <f t="shared" ca="1" si="292"/>
        <v>48144</v>
      </c>
      <c r="B2054" s="181">
        <v>2040</v>
      </c>
      <c r="C2054" s="182">
        <f t="shared" ca="1" si="294"/>
        <v>145441.43331089351</v>
      </c>
      <c r="D2054" s="182">
        <f t="shared" ca="1" si="295"/>
        <v>96.960955540595677</v>
      </c>
      <c r="E2054" s="182">
        <v>269</v>
      </c>
      <c r="F2054" s="182">
        <f t="shared" ca="1" si="293"/>
        <v>0</v>
      </c>
      <c r="G2054" s="182">
        <f t="shared" ca="1" si="296"/>
        <v>0</v>
      </c>
      <c r="H2054" s="182">
        <f t="shared" ca="1" si="297"/>
        <v>145807.3942664341</v>
      </c>
      <c r="I2054" s="183">
        <v>269</v>
      </c>
      <c r="J2054" s="263">
        <f t="shared" ca="1" si="291"/>
        <v>145807.3942664341</v>
      </c>
    </row>
    <row r="2055" spans="1:10" x14ac:dyDescent="0.25">
      <c r="A2055" s="180">
        <f t="shared" ca="1" si="292"/>
        <v>48145</v>
      </c>
      <c r="B2055" s="181">
        <v>2041</v>
      </c>
      <c r="C2055" s="182">
        <f t="shared" ca="1" si="294"/>
        <v>145807.3942664341</v>
      </c>
      <c r="D2055" s="182">
        <f t="shared" ca="1" si="295"/>
        <v>97.204929510956063</v>
      </c>
      <c r="E2055" s="182">
        <v>270</v>
      </c>
      <c r="F2055" s="182">
        <f t="shared" ca="1" si="293"/>
        <v>0</v>
      </c>
      <c r="G2055" s="182">
        <f t="shared" ca="1" si="296"/>
        <v>0</v>
      </c>
      <c r="H2055" s="182">
        <f t="shared" ca="1" si="297"/>
        <v>146174.59919594505</v>
      </c>
      <c r="I2055" s="183">
        <v>270</v>
      </c>
      <c r="J2055" s="263">
        <f t="shared" ca="1" si="291"/>
        <v>146174.59919594505</v>
      </c>
    </row>
    <row r="2056" spans="1:10" x14ac:dyDescent="0.25">
      <c r="A2056" s="180">
        <f t="shared" ca="1" si="292"/>
        <v>48146</v>
      </c>
      <c r="B2056" s="181">
        <v>2042</v>
      </c>
      <c r="C2056" s="182">
        <f t="shared" ca="1" si="294"/>
        <v>146174.59919594505</v>
      </c>
      <c r="D2056" s="182">
        <f t="shared" ca="1" si="295"/>
        <v>97.44973279729669</v>
      </c>
      <c r="E2056" s="182">
        <v>271</v>
      </c>
      <c r="F2056" s="182">
        <f t="shared" ca="1" si="293"/>
        <v>0</v>
      </c>
      <c r="G2056" s="182">
        <f t="shared" ca="1" si="296"/>
        <v>0</v>
      </c>
      <c r="H2056" s="182">
        <f t="shared" ca="1" si="297"/>
        <v>146543.04892874236</v>
      </c>
      <c r="I2056" s="183">
        <v>271</v>
      </c>
      <c r="J2056" s="263">
        <f t="shared" ca="1" si="291"/>
        <v>146543.04892874236</v>
      </c>
    </row>
    <row r="2057" spans="1:10" x14ac:dyDescent="0.25">
      <c r="A2057" s="180">
        <f t="shared" ca="1" si="292"/>
        <v>48147</v>
      </c>
      <c r="B2057" s="181">
        <v>2043</v>
      </c>
      <c r="C2057" s="182">
        <f t="shared" ca="1" si="294"/>
        <v>146543.04892874236</v>
      </c>
      <c r="D2057" s="182">
        <f t="shared" ca="1" si="295"/>
        <v>97.695365952494896</v>
      </c>
      <c r="E2057" s="182">
        <v>272</v>
      </c>
      <c r="F2057" s="182">
        <f t="shared" ca="1" si="293"/>
        <v>0</v>
      </c>
      <c r="G2057" s="182">
        <f t="shared" ca="1" si="296"/>
        <v>0</v>
      </c>
      <c r="H2057" s="182">
        <f t="shared" ca="1" si="297"/>
        <v>146912.74429469486</v>
      </c>
      <c r="I2057" s="183">
        <v>272</v>
      </c>
      <c r="J2057" s="263">
        <f t="shared" ca="1" si="291"/>
        <v>146912.74429469486</v>
      </c>
    </row>
    <row r="2058" spans="1:10" x14ac:dyDescent="0.25">
      <c r="A2058" s="180">
        <f t="shared" ca="1" si="292"/>
        <v>48148</v>
      </c>
      <c r="B2058" s="181">
        <v>2044</v>
      </c>
      <c r="C2058" s="182">
        <f t="shared" ca="1" si="294"/>
        <v>146912.74429469486</v>
      </c>
      <c r="D2058" s="182">
        <f t="shared" ca="1" si="295"/>
        <v>97.941829529796564</v>
      </c>
      <c r="E2058" s="182">
        <v>273</v>
      </c>
      <c r="F2058" s="182">
        <f t="shared" ca="1" si="293"/>
        <v>0</v>
      </c>
      <c r="G2058" s="182">
        <f t="shared" ca="1" si="296"/>
        <v>0</v>
      </c>
      <c r="H2058" s="182">
        <f t="shared" ca="1" si="297"/>
        <v>147283.68612422465</v>
      </c>
      <c r="I2058" s="183">
        <v>273</v>
      </c>
      <c r="J2058" s="263">
        <f t="shared" ca="1" si="291"/>
        <v>147283.68612422465</v>
      </c>
    </row>
    <row r="2059" spans="1:10" x14ac:dyDescent="0.25">
      <c r="A2059" s="180">
        <f t="shared" ca="1" si="292"/>
        <v>48149</v>
      </c>
      <c r="B2059" s="181">
        <v>2045</v>
      </c>
      <c r="C2059" s="182">
        <f t="shared" ca="1" si="294"/>
        <v>147283.68612422465</v>
      </c>
      <c r="D2059" s="182">
        <f t="shared" ca="1" si="295"/>
        <v>98.189124082816434</v>
      </c>
      <c r="E2059" s="182">
        <v>274</v>
      </c>
      <c r="F2059" s="182">
        <f t="shared" ca="1" si="293"/>
        <v>0</v>
      </c>
      <c r="G2059" s="182">
        <f t="shared" ca="1" si="296"/>
        <v>0</v>
      </c>
      <c r="H2059" s="182">
        <f t="shared" ca="1" si="297"/>
        <v>147655.87524830748</v>
      </c>
      <c r="I2059" s="183">
        <v>274</v>
      </c>
      <c r="J2059" s="263">
        <f t="shared" ca="1" si="291"/>
        <v>147655.87524830748</v>
      </c>
    </row>
    <row r="2060" spans="1:10" x14ac:dyDescent="0.25">
      <c r="A2060" s="180">
        <f t="shared" ca="1" si="292"/>
        <v>48150</v>
      </c>
      <c r="B2060" s="181">
        <v>2046</v>
      </c>
      <c r="C2060" s="182">
        <f t="shared" ca="1" si="294"/>
        <v>147655.87524830748</v>
      </c>
      <c r="D2060" s="182">
        <f t="shared" ca="1" si="295"/>
        <v>98.437250165538316</v>
      </c>
      <c r="E2060" s="182">
        <v>275</v>
      </c>
      <c r="F2060" s="182">
        <f t="shared" ca="1" si="293"/>
        <v>0</v>
      </c>
      <c r="G2060" s="182">
        <f t="shared" ca="1" si="296"/>
        <v>0</v>
      </c>
      <c r="H2060" s="182">
        <f t="shared" ca="1" si="297"/>
        <v>148029.31249847301</v>
      </c>
      <c r="I2060" s="183">
        <v>275</v>
      </c>
      <c r="J2060" s="263">
        <f t="shared" ca="1" si="291"/>
        <v>148029.31249847301</v>
      </c>
    </row>
    <row r="2061" spans="1:10" x14ac:dyDescent="0.25">
      <c r="A2061" s="180">
        <f t="shared" ca="1" si="292"/>
        <v>48151</v>
      </c>
      <c r="B2061" s="181">
        <v>2047</v>
      </c>
      <c r="C2061" s="182">
        <f t="shared" ca="1" si="294"/>
        <v>148029.31249847301</v>
      </c>
      <c r="D2061" s="182">
        <f t="shared" ca="1" si="295"/>
        <v>98.686208332315331</v>
      </c>
      <c r="E2061" s="182">
        <v>276</v>
      </c>
      <c r="F2061" s="182">
        <f t="shared" ca="1" si="293"/>
        <v>0</v>
      </c>
      <c r="G2061" s="182">
        <f t="shared" ca="1" si="296"/>
        <v>0</v>
      </c>
      <c r="H2061" s="182">
        <f t="shared" ca="1" si="297"/>
        <v>148403.99870680532</v>
      </c>
      <c r="I2061" s="183">
        <v>276</v>
      </c>
      <c r="J2061" s="263">
        <f t="shared" ca="1" si="291"/>
        <v>148403.99870680532</v>
      </c>
    </row>
    <row r="2062" spans="1:10" x14ac:dyDescent="0.25">
      <c r="A2062" s="180">
        <f t="shared" ca="1" si="292"/>
        <v>48152</v>
      </c>
      <c r="B2062" s="181">
        <v>2048</v>
      </c>
      <c r="C2062" s="182">
        <f t="shared" ca="1" si="294"/>
        <v>148403.99870680532</v>
      </c>
      <c r="D2062" s="182">
        <f t="shared" ca="1" si="295"/>
        <v>98.935999137870212</v>
      </c>
      <c r="E2062" s="182">
        <v>277</v>
      </c>
      <c r="F2062" s="182">
        <f t="shared" ca="1" si="293"/>
        <v>0</v>
      </c>
      <c r="G2062" s="182">
        <f t="shared" ca="1" si="296"/>
        <v>0</v>
      </c>
      <c r="H2062" s="182">
        <f t="shared" ca="1" si="297"/>
        <v>148779.93470594319</v>
      </c>
      <c r="I2062" s="183">
        <v>277</v>
      </c>
      <c r="J2062" s="263">
        <f t="shared" ca="1" si="291"/>
        <v>148779.93470594319</v>
      </c>
    </row>
    <row r="2063" spans="1:10" x14ac:dyDescent="0.25">
      <c r="A2063" s="180">
        <f t="shared" ca="1" si="292"/>
        <v>48153</v>
      </c>
      <c r="B2063" s="181">
        <v>2049</v>
      </c>
      <c r="C2063" s="182">
        <f t="shared" ca="1" si="294"/>
        <v>148779.93470594319</v>
      </c>
      <c r="D2063" s="182">
        <f t="shared" ca="1" si="295"/>
        <v>99.186623137295456</v>
      </c>
      <c r="E2063" s="182">
        <v>278</v>
      </c>
      <c r="F2063" s="182">
        <f t="shared" ca="1" si="293"/>
        <v>0</v>
      </c>
      <c r="G2063" s="182">
        <f t="shared" ca="1" si="296"/>
        <v>0</v>
      </c>
      <c r="H2063" s="182">
        <f t="shared" ca="1" si="297"/>
        <v>149157.12132908049</v>
      </c>
      <c r="I2063" s="183">
        <v>278</v>
      </c>
      <c r="J2063" s="263">
        <f t="shared" ref="J2063:J2126" ca="1" si="298">H2063-IF(I$8-G2063&lt;Q$42,I$8-Q$42,G2063)</f>
        <v>149157.12132908049</v>
      </c>
    </row>
    <row r="2064" spans="1:10" x14ac:dyDescent="0.25">
      <c r="A2064" s="180">
        <f t="shared" ca="1" si="292"/>
        <v>48154</v>
      </c>
      <c r="B2064" s="181">
        <v>2050</v>
      </c>
      <c r="C2064" s="182">
        <f t="shared" ca="1" si="294"/>
        <v>149157.12132908049</v>
      </c>
      <c r="D2064" s="182">
        <f t="shared" ca="1" si="295"/>
        <v>99.438080886053655</v>
      </c>
      <c r="E2064" s="182">
        <v>279</v>
      </c>
      <c r="F2064" s="182">
        <f t="shared" ca="1" si="293"/>
        <v>0</v>
      </c>
      <c r="G2064" s="182">
        <f t="shared" ca="1" si="296"/>
        <v>0</v>
      </c>
      <c r="H2064" s="182">
        <f t="shared" ca="1" si="297"/>
        <v>149535.55940996655</v>
      </c>
      <c r="I2064" s="183">
        <v>279</v>
      </c>
      <c r="J2064" s="263">
        <f t="shared" ca="1" si="298"/>
        <v>149535.55940996655</v>
      </c>
    </row>
    <row r="2065" spans="1:10" x14ac:dyDescent="0.25">
      <c r="A2065" s="180">
        <f t="shared" ref="A2065:A2128" ca="1" si="299">A2064+1</f>
        <v>48155</v>
      </c>
      <c r="B2065" s="181">
        <v>2051</v>
      </c>
      <c r="C2065" s="182">
        <f t="shared" ca="1" si="294"/>
        <v>149535.55940996655</v>
      </c>
      <c r="D2065" s="182">
        <f t="shared" ca="1" si="295"/>
        <v>99.690372939977692</v>
      </c>
      <c r="E2065" s="182">
        <v>280</v>
      </c>
      <c r="F2065" s="182">
        <f t="shared" ca="1" si="293"/>
        <v>0</v>
      </c>
      <c r="G2065" s="182">
        <f t="shared" ca="1" si="296"/>
        <v>0</v>
      </c>
      <c r="H2065" s="182">
        <f t="shared" ca="1" si="297"/>
        <v>149915.24978290653</v>
      </c>
      <c r="I2065" s="183">
        <v>280</v>
      </c>
      <c r="J2065" s="263">
        <f t="shared" ca="1" si="298"/>
        <v>149915.24978290653</v>
      </c>
    </row>
    <row r="2066" spans="1:10" x14ac:dyDescent="0.25">
      <c r="A2066" s="180">
        <f t="shared" ca="1" si="299"/>
        <v>48156</v>
      </c>
      <c r="B2066" s="181">
        <v>2052</v>
      </c>
      <c r="C2066" s="182">
        <f t="shared" ca="1" si="294"/>
        <v>149915.24978290653</v>
      </c>
      <c r="D2066" s="182">
        <f t="shared" ca="1" si="295"/>
        <v>99.943499855271014</v>
      </c>
      <c r="E2066" s="182">
        <v>281</v>
      </c>
      <c r="F2066" s="182">
        <f t="shared" ca="1" si="293"/>
        <v>0</v>
      </c>
      <c r="G2066" s="182">
        <f t="shared" ca="1" si="296"/>
        <v>0</v>
      </c>
      <c r="H2066" s="182">
        <f t="shared" ca="1" si="297"/>
        <v>150296.19328276179</v>
      </c>
      <c r="I2066" s="183">
        <v>281</v>
      </c>
      <c r="J2066" s="263">
        <f t="shared" ca="1" si="298"/>
        <v>150296.19328276179</v>
      </c>
    </row>
    <row r="2067" spans="1:10" x14ac:dyDescent="0.25">
      <c r="A2067" s="180">
        <f t="shared" ca="1" si="299"/>
        <v>48157</v>
      </c>
      <c r="B2067" s="181">
        <v>2053</v>
      </c>
      <c r="C2067" s="182">
        <f t="shared" ca="1" si="294"/>
        <v>150296.19328276179</v>
      </c>
      <c r="D2067" s="182">
        <f t="shared" ca="1" si="295"/>
        <v>100.19746218850786</v>
      </c>
      <c r="E2067" s="182">
        <v>282</v>
      </c>
      <c r="F2067" s="182">
        <f t="shared" ca="1" si="293"/>
        <v>0</v>
      </c>
      <c r="G2067" s="182">
        <f t="shared" ca="1" si="296"/>
        <v>0</v>
      </c>
      <c r="H2067" s="182">
        <f t="shared" ca="1" si="297"/>
        <v>150678.3907449503</v>
      </c>
      <c r="I2067" s="183">
        <v>282</v>
      </c>
      <c r="J2067" s="263">
        <f t="shared" ca="1" si="298"/>
        <v>150678.3907449503</v>
      </c>
    </row>
    <row r="2068" spans="1:10" x14ac:dyDescent="0.25">
      <c r="A2068" s="180">
        <f t="shared" ca="1" si="299"/>
        <v>48158</v>
      </c>
      <c r="B2068" s="181">
        <v>2054</v>
      </c>
      <c r="C2068" s="182">
        <f t="shared" ca="1" si="294"/>
        <v>150678.3907449503</v>
      </c>
      <c r="D2068" s="182">
        <f t="shared" ca="1" si="295"/>
        <v>100.45226049663353</v>
      </c>
      <c r="E2068" s="182">
        <v>283</v>
      </c>
      <c r="F2068" s="182">
        <f t="shared" ca="1" si="293"/>
        <v>0</v>
      </c>
      <c r="G2068" s="182">
        <f t="shared" ca="1" si="296"/>
        <v>0</v>
      </c>
      <c r="H2068" s="182">
        <f t="shared" ca="1" si="297"/>
        <v>151061.84300544695</v>
      </c>
      <c r="I2068" s="183">
        <v>283</v>
      </c>
      <c r="J2068" s="263">
        <f t="shared" ca="1" si="298"/>
        <v>151061.84300544695</v>
      </c>
    </row>
    <row r="2069" spans="1:10" x14ac:dyDescent="0.25">
      <c r="A2069" s="180">
        <f t="shared" ca="1" si="299"/>
        <v>48159</v>
      </c>
      <c r="B2069" s="181">
        <v>2055</v>
      </c>
      <c r="C2069" s="182">
        <f t="shared" ca="1" si="294"/>
        <v>151061.84300544695</v>
      </c>
      <c r="D2069" s="182">
        <f t="shared" ca="1" si="295"/>
        <v>100.70789533696463</v>
      </c>
      <c r="E2069" s="182">
        <v>284</v>
      </c>
      <c r="F2069" s="182">
        <f t="shared" ca="1" si="293"/>
        <v>0</v>
      </c>
      <c r="G2069" s="182">
        <f t="shared" ca="1" si="296"/>
        <v>0</v>
      </c>
      <c r="H2069" s="182">
        <f t="shared" ca="1" si="297"/>
        <v>151446.55090078391</v>
      </c>
      <c r="I2069" s="183">
        <v>284</v>
      </c>
      <c r="J2069" s="263">
        <f t="shared" ca="1" si="298"/>
        <v>151446.55090078391</v>
      </c>
    </row>
    <row r="2070" spans="1:10" x14ac:dyDescent="0.25">
      <c r="A2070" s="180">
        <f t="shared" ca="1" si="299"/>
        <v>48160</v>
      </c>
      <c r="B2070" s="181">
        <v>2056</v>
      </c>
      <c r="C2070" s="182">
        <f t="shared" ca="1" si="294"/>
        <v>151446.55090078391</v>
      </c>
      <c r="D2070" s="182">
        <f t="shared" ca="1" si="295"/>
        <v>100.96436726718927</v>
      </c>
      <c r="E2070" s="182">
        <v>285</v>
      </c>
      <c r="F2070" s="182">
        <f t="shared" ca="1" si="293"/>
        <v>0</v>
      </c>
      <c r="G2070" s="182">
        <f t="shared" ca="1" si="296"/>
        <v>0</v>
      </c>
      <c r="H2070" s="182">
        <f t="shared" ca="1" si="297"/>
        <v>151832.51526805109</v>
      </c>
      <c r="I2070" s="183">
        <v>285</v>
      </c>
      <c r="J2070" s="263">
        <f t="shared" ca="1" si="298"/>
        <v>151832.51526805109</v>
      </c>
    </row>
    <row r="2071" spans="1:10" x14ac:dyDescent="0.25">
      <c r="A2071" s="180">
        <f t="shared" ca="1" si="299"/>
        <v>48161</v>
      </c>
      <c r="B2071" s="181">
        <v>2057</v>
      </c>
      <c r="C2071" s="182">
        <f t="shared" ca="1" si="294"/>
        <v>151832.51526805109</v>
      </c>
      <c r="D2071" s="182">
        <f t="shared" ca="1" si="295"/>
        <v>101.2216768453674</v>
      </c>
      <c r="E2071" s="182">
        <v>286</v>
      </c>
      <c r="F2071" s="182">
        <f t="shared" ca="1" si="293"/>
        <v>0</v>
      </c>
      <c r="G2071" s="182">
        <f t="shared" ca="1" si="296"/>
        <v>0</v>
      </c>
      <c r="H2071" s="182">
        <f t="shared" ca="1" si="297"/>
        <v>152219.73694489646</v>
      </c>
      <c r="I2071" s="183">
        <v>286</v>
      </c>
      <c r="J2071" s="263">
        <f t="shared" ca="1" si="298"/>
        <v>152219.73694489646</v>
      </c>
    </row>
    <row r="2072" spans="1:10" x14ac:dyDescent="0.25">
      <c r="A2072" s="180">
        <f t="shared" ca="1" si="299"/>
        <v>48162</v>
      </c>
      <c r="B2072" s="181">
        <v>2058</v>
      </c>
      <c r="C2072" s="182">
        <f t="shared" ca="1" si="294"/>
        <v>152219.73694489646</v>
      </c>
      <c r="D2072" s="182">
        <f t="shared" ca="1" si="295"/>
        <v>101.47982462993097</v>
      </c>
      <c r="E2072" s="182">
        <v>287</v>
      </c>
      <c r="F2072" s="182">
        <f t="shared" ca="1" si="293"/>
        <v>0</v>
      </c>
      <c r="G2072" s="182">
        <f t="shared" ca="1" si="296"/>
        <v>0</v>
      </c>
      <c r="H2072" s="182">
        <f t="shared" ca="1" si="297"/>
        <v>152608.21676952639</v>
      </c>
      <c r="I2072" s="183">
        <v>287</v>
      </c>
      <c r="J2072" s="263">
        <f t="shared" ca="1" si="298"/>
        <v>152608.21676952639</v>
      </c>
    </row>
    <row r="2073" spans="1:10" x14ac:dyDescent="0.25">
      <c r="A2073" s="180">
        <f t="shared" ca="1" si="299"/>
        <v>48163</v>
      </c>
      <c r="B2073" s="181">
        <v>2059</v>
      </c>
      <c r="C2073" s="182">
        <f t="shared" ca="1" si="294"/>
        <v>152608.21676952639</v>
      </c>
      <c r="D2073" s="182">
        <f t="shared" ca="1" si="295"/>
        <v>101.73881117968426</v>
      </c>
      <c r="E2073" s="182">
        <v>288</v>
      </c>
      <c r="F2073" s="182">
        <f t="shared" ca="1" si="293"/>
        <v>0</v>
      </c>
      <c r="G2073" s="182">
        <f t="shared" ca="1" si="296"/>
        <v>0</v>
      </c>
      <c r="H2073" s="182">
        <f t="shared" ca="1" si="297"/>
        <v>152997.95558070607</v>
      </c>
      <c r="I2073" s="183">
        <v>288</v>
      </c>
      <c r="J2073" s="263">
        <f t="shared" ca="1" si="298"/>
        <v>152997.95558070607</v>
      </c>
    </row>
    <row r="2074" spans="1:10" x14ac:dyDescent="0.25">
      <c r="A2074" s="180">
        <f t="shared" ca="1" si="299"/>
        <v>48164</v>
      </c>
      <c r="B2074" s="181">
        <v>2060</v>
      </c>
      <c r="C2074" s="182">
        <f t="shared" ca="1" si="294"/>
        <v>152997.95558070607</v>
      </c>
      <c r="D2074" s="182">
        <f t="shared" ca="1" si="295"/>
        <v>101.99863705380405</v>
      </c>
      <c r="E2074" s="182">
        <v>289</v>
      </c>
      <c r="F2074" s="182">
        <f t="shared" ca="1" si="293"/>
        <v>0</v>
      </c>
      <c r="G2074" s="182">
        <f t="shared" ca="1" si="296"/>
        <v>0</v>
      </c>
      <c r="H2074" s="182">
        <f t="shared" ca="1" si="297"/>
        <v>153388.95421775986</v>
      </c>
      <c r="I2074" s="183">
        <v>289</v>
      </c>
      <c r="J2074" s="263">
        <f t="shared" ca="1" si="298"/>
        <v>153388.95421775986</v>
      </c>
    </row>
    <row r="2075" spans="1:10" x14ac:dyDescent="0.25">
      <c r="A2075" s="180">
        <f t="shared" ca="1" si="299"/>
        <v>48165</v>
      </c>
      <c r="B2075" s="181">
        <v>2061</v>
      </c>
      <c r="C2075" s="182">
        <f t="shared" ca="1" si="294"/>
        <v>153388.95421775986</v>
      </c>
      <c r="D2075" s="182">
        <f t="shared" ca="1" si="295"/>
        <v>102.2593028118399</v>
      </c>
      <c r="E2075" s="182">
        <v>290</v>
      </c>
      <c r="F2075" s="182">
        <f t="shared" ca="1" si="293"/>
        <v>0</v>
      </c>
      <c r="G2075" s="182">
        <f t="shared" ca="1" si="296"/>
        <v>0</v>
      </c>
      <c r="H2075" s="182">
        <f t="shared" ca="1" si="297"/>
        <v>153781.21352057171</v>
      </c>
      <c r="I2075" s="183">
        <v>290</v>
      </c>
      <c r="J2075" s="263">
        <f t="shared" ca="1" si="298"/>
        <v>153781.21352057171</v>
      </c>
    </row>
    <row r="2076" spans="1:10" x14ac:dyDescent="0.25">
      <c r="A2076" s="180">
        <f t="shared" ca="1" si="299"/>
        <v>48166</v>
      </c>
      <c r="B2076" s="181">
        <v>2062</v>
      </c>
      <c r="C2076" s="182">
        <f t="shared" ca="1" si="294"/>
        <v>153781.21352057171</v>
      </c>
      <c r="D2076" s="182">
        <f t="shared" ca="1" si="295"/>
        <v>102.52080901371447</v>
      </c>
      <c r="E2076" s="182">
        <v>291</v>
      </c>
      <c r="F2076" s="182">
        <f t="shared" ca="1" si="293"/>
        <v>0</v>
      </c>
      <c r="G2076" s="182">
        <f t="shared" ca="1" si="296"/>
        <v>0</v>
      </c>
      <c r="H2076" s="182">
        <f t="shared" ca="1" si="297"/>
        <v>154174.73432958542</v>
      </c>
      <c r="I2076" s="183">
        <v>291</v>
      </c>
      <c r="J2076" s="263">
        <f t="shared" ca="1" si="298"/>
        <v>154174.73432958542</v>
      </c>
    </row>
    <row r="2077" spans="1:10" x14ac:dyDescent="0.25">
      <c r="A2077" s="180">
        <f t="shared" ca="1" si="299"/>
        <v>48167</v>
      </c>
      <c r="B2077" s="181">
        <v>2063</v>
      </c>
      <c r="C2077" s="182">
        <f t="shared" ca="1" si="294"/>
        <v>154174.73432958542</v>
      </c>
      <c r="D2077" s="182">
        <f t="shared" ca="1" si="295"/>
        <v>102.78315621972361</v>
      </c>
      <c r="E2077" s="182">
        <v>292</v>
      </c>
      <c r="F2077" s="182">
        <f t="shared" ca="1" si="293"/>
        <v>0</v>
      </c>
      <c r="G2077" s="182">
        <f t="shared" ca="1" si="296"/>
        <v>0</v>
      </c>
      <c r="H2077" s="182">
        <f t="shared" ca="1" si="297"/>
        <v>154569.51748580515</v>
      </c>
      <c r="I2077" s="183">
        <v>292</v>
      </c>
      <c r="J2077" s="263">
        <f t="shared" ca="1" si="298"/>
        <v>154569.51748580515</v>
      </c>
    </row>
    <row r="2078" spans="1:10" x14ac:dyDescent="0.25">
      <c r="A2078" s="180">
        <f t="shared" ca="1" si="299"/>
        <v>48168</v>
      </c>
      <c r="B2078" s="181">
        <v>2064</v>
      </c>
      <c r="C2078" s="182">
        <f t="shared" ca="1" si="294"/>
        <v>154569.51748580515</v>
      </c>
      <c r="D2078" s="182">
        <f t="shared" ca="1" si="295"/>
        <v>103.04634499053677</v>
      </c>
      <c r="E2078" s="182">
        <v>293</v>
      </c>
      <c r="F2078" s="182">
        <f t="shared" ca="1" si="293"/>
        <v>0</v>
      </c>
      <c r="G2078" s="182">
        <f t="shared" ca="1" si="296"/>
        <v>0</v>
      </c>
      <c r="H2078" s="182">
        <f t="shared" ca="1" si="297"/>
        <v>154965.5638307957</v>
      </c>
      <c r="I2078" s="183">
        <v>293</v>
      </c>
      <c r="J2078" s="263">
        <f t="shared" ca="1" si="298"/>
        <v>154965.5638307957</v>
      </c>
    </row>
    <row r="2079" spans="1:10" x14ac:dyDescent="0.25">
      <c r="A2079" s="180">
        <f t="shared" ca="1" si="299"/>
        <v>48169</v>
      </c>
      <c r="B2079" s="181">
        <v>2065</v>
      </c>
      <c r="C2079" s="182">
        <f t="shared" ca="1" si="294"/>
        <v>154965.5638307957</v>
      </c>
      <c r="D2079" s="182">
        <f t="shared" ca="1" si="295"/>
        <v>103.31037588719713</v>
      </c>
      <c r="E2079" s="182">
        <v>294</v>
      </c>
      <c r="F2079" s="182">
        <f t="shared" ca="1" si="293"/>
        <v>0</v>
      </c>
      <c r="G2079" s="182">
        <f t="shared" ca="1" si="296"/>
        <v>0</v>
      </c>
      <c r="H2079" s="182">
        <f t="shared" ca="1" si="297"/>
        <v>155362.8742066829</v>
      </c>
      <c r="I2079" s="183">
        <v>294</v>
      </c>
      <c r="J2079" s="263">
        <f t="shared" ca="1" si="298"/>
        <v>155362.8742066829</v>
      </c>
    </row>
    <row r="2080" spans="1:10" x14ac:dyDescent="0.25">
      <c r="A2080" s="180">
        <f t="shared" ca="1" si="299"/>
        <v>48170</v>
      </c>
      <c r="B2080" s="181">
        <v>2066</v>
      </c>
      <c r="C2080" s="182">
        <f t="shared" ca="1" si="294"/>
        <v>155362.8742066829</v>
      </c>
      <c r="D2080" s="182">
        <f t="shared" ca="1" si="295"/>
        <v>103.57524947112194</v>
      </c>
      <c r="E2080" s="182">
        <v>295</v>
      </c>
      <c r="F2080" s="182">
        <f t="shared" ca="1" si="293"/>
        <v>0</v>
      </c>
      <c r="G2080" s="182">
        <f t="shared" ca="1" si="296"/>
        <v>0</v>
      </c>
      <c r="H2080" s="182">
        <f t="shared" ca="1" si="297"/>
        <v>155761.44945615402</v>
      </c>
      <c r="I2080" s="183">
        <v>295</v>
      </c>
      <c r="J2080" s="263">
        <f t="shared" ca="1" si="298"/>
        <v>155761.44945615402</v>
      </c>
    </row>
    <row r="2081" spans="1:10" x14ac:dyDescent="0.25">
      <c r="A2081" s="180">
        <f t="shared" ca="1" si="299"/>
        <v>48171</v>
      </c>
      <c r="B2081" s="181">
        <v>2067</v>
      </c>
      <c r="C2081" s="182">
        <f t="shared" ca="1" si="294"/>
        <v>155761.44945615402</v>
      </c>
      <c r="D2081" s="182">
        <f t="shared" ca="1" si="295"/>
        <v>103.84096630410268</v>
      </c>
      <c r="E2081" s="182">
        <v>296</v>
      </c>
      <c r="F2081" s="182">
        <f t="shared" ca="1" si="293"/>
        <v>0</v>
      </c>
      <c r="G2081" s="182">
        <f t="shared" ca="1" si="296"/>
        <v>0</v>
      </c>
      <c r="H2081" s="182">
        <f t="shared" ca="1" si="297"/>
        <v>156161.29042245811</v>
      </c>
      <c r="I2081" s="183">
        <v>296</v>
      </c>
      <c r="J2081" s="263">
        <f t="shared" ca="1" si="298"/>
        <v>156161.29042245811</v>
      </c>
    </row>
    <row r="2082" spans="1:10" x14ac:dyDescent="0.25">
      <c r="A2082" s="180">
        <f t="shared" ca="1" si="299"/>
        <v>48172</v>
      </c>
      <c r="B2082" s="181">
        <v>2068</v>
      </c>
      <c r="C2082" s="182">
        <f t="shared" ca="1" si="294"/>
        <v>156161.29042245811</v>
      </c>
      <c r="D2082" s="182">
        <f t="shared" ca="1" si="295"/>
        <v>104.10752694830541</v>
      </c>
      <c r="E2082" s="182">
        <v>297</v>
      </c>
      <c r="F2082" s="182">
        <f t="shared" ca="1" si="293"/>
        <v>0</v>
      </c>
      <c r="G2082" s="182">
        <f t="shared" ca="1" si="296"/>
        <v>0</v>
      </c>
      <c r="H2082" s="182">
        <f t="shared" ca="1" si="297"/>
        <v>156562.39794940641</v>
      </c>
      <c r="I2082" s="183">
        <v>297</v>
      </c>
      <c r="J2082" s="263">
        <f t="shared" ca="1" si="298"/>
        <v>156562.39794940641</v>
      </c>
    </row>
    <row r="2083" spans="1:10" x14ac:dyDescent="0.25">
      <c r="A2083" s="180">
        <f t="shared" ca="1" si="299"/>
        <v>48173</v>
      </c>
      <c r="B2083" s="181">
        <v>2069</v>
      </c>
      <c r="C2083" s="182">
        <f t="shared" ca="1" si="294"/>
        <v>156562.39794940641</v>
      </c>
      <c r="D2083" s="182">
        <f t="shared" ca="1" si="295"/>
        <v>104.37493196627094</v>
      </c>
      <c r="E2083" s="182">
        <v>298</v>
      </c>
      <c r="F2083" s="182">
        <f t="shared" ca="1" si="293"/>
        <v>0</v>
      </c>
      <c r="G2083" s="182">
        <f t="shared" ca="1" si="296"/>
        <v>0</v>
      </c>
      <c r="H2083" s="182">
        <f t="shared" ca="1" si="297"/>
        <v>156964.77288137269</v>
      </c>
      <c r="I2083" s="183">
        <v>298</v>
      </c>
      <c r="J2083" s="263">
        <f t="shared" ca="1" si="298"/>
        <v>156964.77288137269</v>
      </c>
    </row>
    <row r="2084" spans="1:10" x14ac:dyDescent="0.25">
      <c r="A2084" s="180">
        <f t="shared" ca="1" si="299"/>
        <v>48174</v>
      </c>
      <c r="B2084" s="181">
        <v>2070</v>
      </c>
      <c r="C2084" s="182">
        <f t="shared" ca="1" si="294"/>
        <v>156964.77288137269</v>
      </c>
      <c r="D2084" s="182">
        <f t="shared" ca="1" si="295"/>
        <v>104.64318192091513</v>
      </c>
      <c r="E2084" s="182">
        <v>299</v>
      </c>
      <c r="F2084" s="182">
        <f t="shared" ca="1" si="293"/>
        <v>0</v>
      </c>
      <c r="G2084" s="182">
        <f t="shared" ca="1" si="296"/>
        <v>0</v>
      </c>
      <c r="H2084" s="182">
        <f t="shared" ca="1" si="297"/>
        <v>157368.41606329361</v>
      </c>
      <c r="I2084" s="183">
        <v>299</v>
      </c>
      <c r="J2084" s="263">
        <f t="shared" ca="1" si="298"/>
        <v>157368.41606329361</v>
      </c>
    </row>
    <row r="2085" spans="1:10" x14ac:dyDescent="0.25">
      <c r="A2085" s="180">
        <f t="shared" ca="1" si="299"/>
        <v>48175</v>
      </c>
      <c r="B2085" s="181">
        <v>2071</v>
      </c>
      <c r="C2085" s="182">
        <f t="shared" ca="1" si="294"/>
        <v>157368.41606329361</v>
      </c>
      <c r="D2085" s="182">
        <f t="shared" ca="1" si="295"/>
        <v>104.91227737552907</v>
      </c>
      <c r="E2085" s="182">
        <v>300</v>
      </c>
      <c r="F2085" s="182">
        <f t="shared" ca="1" si="293"/>
        <v>0</v>
      </c>
      <c r="G2085" s="182">
        <f t="shared" ca="1" si="296"/>
        <v>0</v>
      </c>
      <c r="H2085" s="182">
        <f t="shared" ca="1" si="297"/>
        <v>157773.32834066913</v>
      </c>
      <c r="I2085" s="183">
        <v>300</v>
      </c>
      <c r="J2085" s="263">
        <f t="shared" ca="1" si="298"/>
        <v>157773.32834066913</v>
      </c>
    </row>
    <row r="2086" spans="1:10" x14ac:dyDescent="0.25">
      <c r="A2086" s="180">
        <f t="shared" ca="1" si="299"/>
        <v>48176</v>
      </c>
      <c r="B2086" s="181">
        <v>2072</v>
      </c>
      <c r="C2086" s="182">
        <f t="shared" ca="1" si="294"/>
        <v>157773.32834066913</v>
      </c>
      <c r="D2086" s="182">
        <f t="shared" ca="1" si="295"/>
        <v>105.18221889377942</v>
      </c>
      <c r="E2086" s="182">
        <v>301</v>
      </c>
      <c r="F2086" s="182">
        <f t="shared" ca="1" si="293"/>
        <v>0</v>
      </c>
      <c r="G2086" s="182">
        <f t="shared" ca="1" si="296"/>
        <v>0</v>
      </c>
      <c r="H2086" s="182">
        <f t="shared" ca="1" si="297"/>
        <v>158179.51055956291</v>
      </c>
      <c r="I2086" s="183">
        <v>301</v>
      </c>
      <c r="J2086" s="263">
        <f t="shared" ca="1" si="298"/>
        <v>158179.51055956291</v>
      </c>
    </row>
    <row r="2087" spans="1:10" x14ac:dyDescent="0.25">
      <c r="A2087" s="180">
        <f t="shared" ca="1" si="299"/>
        <v>48177</v>
      </c>
      <c r="B2087" s="181">
        <v>2073</v>
      </c>
      <c r="C2087" s="182">
        <f t="shared" ca="1" si="294"/>
        <v>158179.51055956291</v>
      </c>
      <c r="D2087" s="182">
        <f t="shared" ca="1" si="295"/>
        <v>105.45300703970861</v>
      </c>
      <c r="E2087" s="182">
        <v>302</v>
      </c>
      <c r="F2087" s="182">
        <f t="shared" ca="1" si="293"/>
        <v>0</v>
      </c>
      <c r="G2087" s="182">
        <f t="shared" ca="1" si="296"/>
        <v>0</v>
      </c>
      <c r="H2087" s="182">
        <f t="shared" ca="1" si="297"/>
        <v>158586.96356660262</v>
      </c>
      <c r="I2087" s="183">
        <v>302</v>
      </c>
      <c r="J2087" s="263">
        <f t="shared" ca="1" si="298"/>
        <v>158586.96356660262</v>
      </c>
    </row>
    <row r="2088" spans="1:10" x14ac:dyDescent="0.25">
      <c r="A2088" s="180">
        <f t="shared" ca="1" si="299"/>
        <v>48178</v>
      </c>
      <c r="B2088" s="181">
        <v>2074</v>
      </c>
      <c r="C2088" s="182">
        <f t="shared" ca="1" si="294"/>
        <v>158586.96356660262</v>
      </c>
      <c r="D2088" s="182">
        <f t="shared" ca="1" si="295"/>
        <v>105.72464237773508</v>
      </c>
      <c r="E2088" s="182">
        <v>303</v>
      </c>
      <c r="F2088" s="182">
        <f t="shared" ca="1" si="293"/>
        <v>0</v>
      </c>
      <c r="G2088" s="182">
        <f t="shared" ca="1" si="296"/>
        <v>0</v>
      </c>
      <c r="H2088" s="182">
        <f t="shared" ca="1" si="297"/>
        <v>158995.68820898034</v>
      </c>
      <c r="I2088" s="183">
        <v>303</v>
      </c>
      <c r="J2088" s="263">
        <f t="shared" ca="1" si="298"/>
        <v>158995.68820898034</v>
      </c>
    </row>
    <row r="2089" spans="1:10" x14ac:dyDescent="0.25">
      <c r="A2089" s="180">
        <f t="shared" ca="1" si="299"/>
        <v>48179</v>
      </c>
      <c r="B2089" s="181">
        <v>2075</v>
      </c>
      <c r="C2089" s="182">
        <f t="shared" ca="1" si="294"/>
        <v>158995.68820898034</v>
      </c>
      <c r="D2089" s="182">
        <f t="shared" ca="1" si="295"/>
        <v>105.99712547265355</v>
      </c>
      <c r="E2089" s="182">
        <v>304</v>
      </c>
      <c r="F2089" s="182">
        <f t="shared" ca="1" si="293"/>
        <v>0</v>
      </c>
      <c r="G2089" s="182">
        <f t="shared" ca="1" si="296"/>
        <v>0</v>
      </c>
      <c r="H2089" s="182">
        <f t="shared" ca="1" si="297"/>
        <v>159405.68533445298</v>
      </c>
      <c r="I2089" s="183">
        <v>304</v>
      </c>
      <c r="J2089" s="263">
        <f t="shared" ca="1" si="298"/>
        <v>159405.68533445298</v>
      </c>
    </row>
    <row r="2090" spans="1:10" x14ac:dyDescent="0.25">
      <c r="A2090" s="180">
        <f t="shared" ca="1" si="299"/>
        <v>48180</v>
      </c>
      <c r="B2090" s="181">
        <v>2076</v>
      </c>
      <c r="C2090" s="182">
        <f t="shared" ca="1" si="294"/>
        <v>159405.68533445298</v>
      </c>
      <c r="D2090" s="182">
        <f t="shared" ca="1" si="295"/>
        <v>106.27045688963531</v>
      </c>
      <c r="E2090" s="182">
        <v>305</v>
      </c>
      <c r="F2090" s="182">
        <f t="shared" ca="1" si="293"/>
        <v>0</v>
      </c>
      <c r="G2090" s="182">
        <f t="shared" ca="1" si="296"/>
        <v>0</v>
      </c>
      <c r="H2090" s="182">
        <f t="shared" ca="1" si="297"/>
        <v>159816.95579134263</v>
      </c>
      <c r="I2090" s="183">
        <v>305</v>
      </c>
      <c r="J2090" s="263">
        <f t="shared" ca="1" si="298"/>
        <v>159816.95579134263</v>
      </c>
    </row>
    <row r="2091" spans="1:10" x14ac:dyDescent="0.25">
      <c r="A2091" s="180">
        <f t="shared" ca="1" si="299"/>
        <v>48181</v>
      </c>
      <c r="B2091" s="181">
        <v>2077</v>
      </c>
      <c r="C2091" s="182">
        <f t="shared" ca="1" si="294"/>
        <v>159816.95579134263</v>
      </c>
      <c r="D2091" s="182">
        <f t="shared" ca="1" si="295"/>
        <v>106.54463719422841</v>
      </c>
      <c r="E2091" s="182">
        <v>306</v>
      </c>
      <c r="F2091" s="182">
        <f t="shared" ca="1" si="293"/>
        <v>0</v>
      </c>
      <c r="G2091" s="182">
        <f t="shared" ca="1" si="296"/>
        <v>0</v>
      </c>
      <c r="H2091" s="182">
        <f t="shared" ca="1" si="297"/>
        <v>160229.50042853685</v>
      </c>
      <c r="I2091" s="183">
        <v>306</v>
      </c>
      <c r="J2091" s="263">
        <f t="shared" ca="1" si="298"/>
        <v>160229.50042853685</v>
      </c>
    </row>
    <row r="2092" spans="1:10" x14ac:dyDescent="0.25">
      <c r="A2092" s="180">
        <f t="shared" ca="1" si="299"/>
        <v>48182</v>
      </c>
      <c r="B2092" s="181">
        <v>2078</v>
      </c>
      <c r="C2092" s="182">
        <f t="shared" ca="1" si="294"/>
        <v>160229.50042853685</v>
      </c>
      <c r="D2092" s="182">
        <f t="shared" ca="1" si="295"/>
        <v>106.81966695235789</v>
      </c>
      <c r="E2092" s="182">
        <v>307</v>
      </c>
      <c r="F2092" s="182">
        <f t="shared" ref="F2092:F2155" ca="1" si="300">IFERROR(-VLOOKUP(A2092,$P$4:$R$31,2,FALSE),0)</f>
        <v>0</v>
      </c>
      <c r="G2092" s="182">
        <f t="shared" ca="1" si="296"/>
        <v>0</v>
      </c>
      <c r="H2092" s="182">
        <f t="shared" ca="1" si="297"/>
        <v>160643.32009548921</v>
      </c>
      <c r="I2092" s="183">
        <v>307</v>
      </c>
      <c r="J2092" s="263">
        <f t="shared" ca="1" si="298"/>
        <v>160643.32009548921</v>
      </c>
    </row>
    <row r="2093" spans="1:10" x14ac:dyDescent="0.25">
      <c r="A2093" s="180">
        <f t="shared" ca="1" si="299"/>
        <v>48183</v>
      </c>
      <c r="B2093" s="181">
        <v>2079</v>
      </c>
      <c r="C2093" s="182">
        <f t="shared" ca="1" si="294"/>
        <v>160643.32009548921</v>
      </c>
      <c r="D2093" s="182">
        <f t="shared" ca="1" si="295"/>
        <v>107.09554673032613</v>
      </c>
      <c r="E2093" s="182">
        <v>308</v>
      </c>
      <c r="F2093" s="182">
        <f t="shared" ca="1" si="300"/>
        <v>0</v>
      </c>
      <c r="G2093" s="182">
        <f t="shared" ca="1" si="296"/>
        <v>0</v>
      </c>
      <c r="H2093" s="182">
        <f t="shared" ca="1" si="297"/>
        <v>161058.41564221954</v>
      </c>
      <c r="I2093" s="183">
        <v>308</v>
      </c>
      <c r="J2093" s="263">
        <f t="shared" ca="1" si="298"/>
        <v>161058.41564221954</v>
      </c>
    </row>
    <row r="2094" spans="1:10" x14ac:dyDescent="0.25">
      <c r="A2094" s="180">
        <f t="shared" ca="1" si="299"/>
        <v>48184</v>
      </c>
      <c r="B2094" s="181">
        <v>2080</v>
      </c>
      <c r="C2094" s="182">
        <f t="shared" ca="1" si="294"/>
        <v>161058.41564221954</v>
      </c>
      <c r="D2094" s="182">
        <f t="shared" ca="1" si="295"/>
        <v>107.37227709481301</v>
      </c>
      <c r="E2094" s="182">
        <v>309</v>
      </c>
      <c r="F2094" s="182">
        <f t="shared" ca="1" si="300"/>
        <v>0</v>
      </c>
      <c r="G2094" s="182">
        <f t="shared" ca="1" si="296"/>
        <v>0</v>
      </c>
      <c r="H2094" s="182">
        <f t="shared" ca="1" si="297"/>
        <v>161474.78791931435</v>
      </c>
      <c r="I2094" s="183">
        <v>309</v>
      </c>
      <c r="J2094" s="263">
        <f t="shared" ca="1" si="298"/>
        <v>161474.78791931435</v>
      </c>
    </row>
    <row r="2095" spans="1:10" x14ac:dyDescent="0.25">
      <c r="A2095" s="180">
        <f t="shared" ca="1" si="299"/>
        <v>48185</v>
      </c>
      <c r="B2095" s="181">
        <v>2081</v>
      </c>
      <c r="C2095" s="182">
        <f t="shared" ca="1" si="294"/>
        <v>161474.78791931435</v>
      </c>
      <c r="D2095" s="182">
        <f t="shared" ca="1" si="295"/>
        <v>107.64985861287623</v>
      </c>
      <c r="E2095" s="182">
        <v>310</v>
      </c>
      <c r="F2095" s="182">
        <f t="shared" ca="1" si="300"/>
        <v>0</v>
      </c>
      <c r="G2095" s="182">
        <f t="shared" ca="1" si="296"/>
        <v>0</v>
      </c>
      <c r="H2095" s="182">
        <f t="shared" ca="1" si="297"/>
        <v>161892.43777792723</v>
      </c>
      <c r="I2095" s="183">
        <v>310</v>
      </c>
      <c r="J2095" s="263">
        <f t="shared" ca="1" si="298"/>
        <v>161892.43777792723</v>
      </c>
    </row>
    <row r="2096" spans="1:10" x14ac:dyDescent="0.25">
      <c r="A2096" s="180">
        <f t="shared" ca="1" si="299"/>
        <v>48186</v>
      </c>
      <c r="B2096" s="181">
        <v>2082</v>
      </c>
      <c r="C2096" s="182">
        <f t="shared" ca="1" si="294"/>
        <v>161892.43777792723</v>
      </c>
      <c r="D2096" s="182">
        <f t="shared" ca="1" si="295"/>
        <v>107.92829185195149</v>
      </c>
      <c r="E2096" s="182">
        <v>311</v>
      </c>
      <c r="F2096" s="182">
        <f t="shared" ca="1" si="300"/>
        <v>0</v>
      </c>
      <c r="G2096" s="182">
        <f t="shared" ca="1" si="296"/>
        <v>0</v>
      </c>
      <c r="H2096" s="182">
        <f t="shared" ca="1" si="297"/>
        <v>162311.36606977918</v>
      </c>
      <c r="I2096" s="183">
        <v>311</v>
      </c>
      <c r="J2096" s="263">
        <f t="shared" ca="1" si="298"/>
        <v>162311.36606977918</v>
      </c>
    </row>
    <row r="2097" spans="1:10" x14ac:dyDescent="0.25">
      <c r="A2097" s="180">
        <f t="shared" ca="1" si="299"/>
        <v>48187</v>
      </c>
      <c r="B2097" s="181">
        <v>2083</v>
      </c>
      <c r="C2097" s="182">
        <f t="shared" ca="1" si="294"/>
        <v>162311.36606977918</v>
      </c>
      <c r="D2097" s="182">
        <f t="shared" ca="1" si="295"/>
        <v>108.20757737985278</v>
      </c>
      <c r="E2097" s="182">
        <v>312</v>
      </c>
      <c r="F2097" s="182">
        <f t="shared" ca="1" si="300"/>
        <v>0</v>
      </c>
      <c r="G2097" s="182">
        <f t="shared" ca="1" si="296"/>
        <v>0</v>
      </c>
      <c r="H2097" s="182">
        <f t="shared" ca="1" si="297"/>
        <v>162731.57364715904</v>
      </c>
      <c r="I2097" s="183">
        <v>312</v>
      </c>
      <c r="J2097" s="263">
        <f t="shared" ca="1" si="298"/>
        <v>162731.57364715904</v>
      </c>
    </row>
    <row r="2098" spans="1:10" x14ac:dyDescent="0.25">
      <c r="A2098" s="180">
        <f t="shared" ca="1" si="299"/>
        <v>48188</v>
      </c>
      <c r="B2098" s="181">
        <v>2084</v>
      </c>
      <c r="C2098" s="182">
        <f t="shared" ca="1" si="294"/>
        <v>162731.57364715904</v>
      </c>
      <c r="D2098" s="182">
        <f t="shared" ca="1" si="295"/>
        <v>108.48771576477269</v>
      </c>
      <c r="E2098" s="182">
        <v>313</v>
      </c>
      <c r="F2098" s="182">
        <f t="shared" ca="1" si="300"/>
        <v>0</v>
      </c>
      <c r="G2098" s="182">
        <f t="shared" ca="1" si="296"/>
        <v>0</v>
      </c>
      <c r="H2098" s="182">
        <f t="shared" ca="1" si="297"/>
        <v>163153.06136292382</v>
      </c>
      <c r="I2098" s="183">
        <v>313</v>
      </c>
      <c r="J2098" s="263">
        <f t="shared" ca="1" si="298"/>
        <v>163153.06136292382</v>
      </c>
    </row>
    <row r="2099" spans="1:10" x14ac:dyDescent="0.25">
      <c r="A2099" s="180">
        <f t="shared" ca="1" si="299"/>
        <v>48189</v>
      </c>
      <c r="B2099" s="181">
        <v>2085</v>
      </c>
      <c r="C2099" s="182">
        <f t="shared" ca="1" si="294"/>
        <v>163153.06136292382</v>
      </c>
      <c r="D2099" s="182">
        <f t="shared" ca="1" si="295"/>
        <v>108.76870757528255</v>
      </c>
      <c r="E2099" s="182">
        <v>314</v>
      </c>
      <c r="F2099" s="182">
        <f t="shared" ca="1" si="300"/>
        <v>0</v>
      </c>
      <c r="G2099" s="182">
        <f t="shared" ca="1" si="296"/>
        <v>0</v>
      </c>
      <c r="H2099" s="182">
        <f t="shared" ca="1" si="297"/>
        <v>163575.8300704991</v>
      </c>
      <c r="I2099" s="183">
        <v>314</v>
      </c>
      <c r="J2099" s="263">
        <f t="shared" ca="1" si="298"/>
        <v>163575.8300704991</v>
      </c>
    </row>
    <row r="2100" spans="1:10" x14ac:dyDescent="0.25">
      <c r="A2100" s="180">
        <f t="shared" ca="1" si="299"/>
        <v>48190</v>
      </c>
      <c r="B2100" s="181">
        <v>2086</v>
      </c>
      <c r="C2100" s="182">
        <f t="shared" ca="1" si="294"/>
        <v>163575.8300704991</v>
      </c>
      <c r="D2100" s="182">
        <f t="shared" ca="1" si="295"/>
        <v>109.05055338033273</v>
      </c>
      <c r="E2100" s="182">
        <v>315</v>
      </c>
      <c r="F2100" s="182">
        <f t="shared" ca="1" si="300"/>
        <v>0</v>
      </c>
      <c r="G2100" s="182">
        <f t="shared" ca="1" si="296"/>
        <v>0</v>
      </c>
      <c r="H2100" s="182">
        <f t="shared" ca="1" si="297"/>
        <v>163999.88062387944</v>
      </c>
      <c r="I2100" s="183">
        <v>315</v>
      </c>
      <c r="J2100" s="263">
        <f t="shared" ca="1" si="298"/>
        <v>163999.88062387944</v>
      </c>
    </row>
    <row r="2101" spans="1:10" x14ac:dyDescent="0.25">
      <c r="A2101" s="180">
        <f t="shared" ca="1" si="299"/>
        <v>48191</v>
      </c>
      <c r="B2101" s="181">
        <v>2087</v>
      </c>
      <c r="C2101" s="182">
        <f t="shared" ca="1" si="294"/>
        <v>163999.88062387944</v>
      </c>
      <c r="D2101" s="182">
        <f t="shared" ca="1" si="295"/>
        <v>109.33325374925295</v>
      </c>
      <c r="E2101" s="182">
        <v>316</v>
      </c>
      <c r="F2101" s="182">
        <f t="shared" ca="1" si="300"/>
        <v>0</v>
      </c>
      <c r="G2101" s="182">
        <f t="shared" ca="1" si="296"/>
        <v>0</v>
      </c>
      <c r="H2101" s="182">
        <f t="shared" ca="1" si="297"/>
        <v>164425.21387762867</v>
      </c>
      <c r="I2101" s="183">
        <v>316</v>
      </c>
      <c r="J2101" s="263">
        <f t="shared" ca="1" si="298"/>
        <v>164425.21387762867</v>
      </c>
    </row>
    <row r="2102" spans="1:10" x14ac:dyDescent="0.25">
      <c r="A2102" s="180">
        <f t="shared" ca="1" si="299"/>
        <v>48192</v>
      </c>
      <c r="B2102" s="181">
        <v>2088</v>
      </c>
      <c r="C2102" s="182">
        <f t="shared" ca="1" si="294"/>
        <v>164425.21387762867</v>
      </c>
      <c r="D2102" s="182">
        <f t="shared" ca="1" si="295"/>
        <v>109.61680925175244</v>
      </c>
      <c r="E2102" s="182">
        <v>317</v>
      </c>
      <c r="F2102" s="182">
        <f t="shared" ca="1" si="300"/>
        <v>0</v>
      </c>
      <c r="G2102" s="182">
        <f t="shared" ca="1" si="296"/>
        <v>0</v>
      </c>
      <c r="H2102" s="182">
        <f t="shared" ca="1" si="297"/>
        <v>164851.83068688042</v>
      </c>
      <c r="I2102" s="183">
        <v>317</v>
      </c>
      <c r="J2102" s="263">
        <f t="shared" ca="1" si="298"/>
        <v>164851.83068688042</v>
      </c>
    </row>
    <row r="2103" spans="1:10" x14ac:dyDescent="0.25">
      <c r="A2103" s="180">
        <f t="shared" ca="1" si="299"/>
        <v>48193</v>
      </c>
      <c r="B2103" s="181">
        <v>2089</v>
      </c>
      <c r="C2103" s="182">
        <f t="shared" ca="1" si="294"/>
        <v>164851.83068688042</v>
      </c>
      <c r="D2103" s="182">
        <f t="shared" ca="1" si="295"/>
        <v>109.90122045792027</v>
      </c>
      <c r="E2103" s="182">
        <v>318</v>
      </c>
      <c r="F2103" s="182">
        <f t="shared" ca="1" si="300"/>
        <v>0</v>
      </c>
      <c r="G2103" s="182">
        <f t="shared" ca="1" si="296"/>
        <v>0</v>
      </c>
      <c r="H2103" s="182">
        <f t="shared" ca="1" si="297"/>
        <v>165279.73190733834</v>
      </c>
      <c r="I2103" s="183">
        <v>318</v>
      </c>
      <c r="J2103" s="263">
        <f t="shared" ca="1" si="298"/>
        <v>165279.73190733834</v>
      </c>
    </row>
    <row r="2104" spans="1:10" x14ac:dyDescent="0.25">
      <c r="A2104" s="180">
        <f t="shared" ca="1" si="299"/>
        <v>48194</v>
      </c>
      <c r="B2104" s="181">
        <v>2090</v>
      </c>
      <c r="C2104" s="182">
        <f t="shared" ca="1" si="294"/>
        <v>165279.73190733834</v>
      </c>
      <c r="D2104" s="182">
        <f t="shared" ca="1" si="295"/>
        <v>110.18648793822555</v>
      </c>
      <c r="E2104" s="182">
        <v>319</v>
      </c>
      <c r="F2104" s="182">
        <f t="shared" ca="1" si="300"/>
        <v>0</v>
      </c>
      <c r="G2104" s="182">
        <f t="shared" ca="1" si="296"/>
        <v>0</v>
      </c>
      <c r="H2104" s="182">
        <f t="shared" ca="1" si="297"/>
        <v>165708.91839527656</v>
      </c>
      <c r="I2104" s="183">
        <v>319</v>
      </c>
      <c r="J2104" s="263">
        <f t="shared" ca="1" si="298"/>
        <v>165708.91839527656</v>
      </c>
    </row>
    <row r="2105" spans="1:10" x14ac:dyDescent="0.25">
      <c r="A2105" s="180">
        <f t="shared" ca="1" si="299"/>
        <v>48195</v>
      </c>
      <c r="B2105" s="181">
        <v>2091</v>
      </c>
      <c r="C2105" s="182">
        <f t="shared" ca="1" si="294"/>
        <v>165708.91839527656</v>
      </c>
      <c r="D2105" s="182">
        <f t="shared" ca="1" si="295"/>
        <v>110.4726122635177</v>
      </c>
      <c r="E2105" s="182">
        <v>320</v>
      </c>
      <c r="F2105" s="182">
        <f t="shared" ca="1" si="300"/>
        <v>0</v>
      </c>
      <c r="G2105" s="182">
        <f t="shared" ca="1" si="296"/>
        <v>0</v>
      </c>
      <c r="H2105" s="182">
        <f t="shared" ca="1" si="297"/>
        <v>166139.39100754008</v>
      </c>
      <c r="I2105" s="183">
        <v>320</v>
      </c>
      <c r="J2105" s="263">
        <f t="shared" ca="1" si="298"/>
        <v>166139.39100754008</v>
      </c>
    </row>
    <row r="2106" spans="1:10" x14ac:dyDescent="0.25">
      <c r="A2106" s="180">
        <f t="shared" ca="1" si="299"/>
        <v>48196</v>
      </c>
      <c r="B2106" s="181">
        <v>2092</v>
      </c>
      <c r="C2106" s="182">
        <f t="shared" ref="C2106:C2169" ca="1" si="301">H2105</f>
        <v>166139.39100754008</v>
      </c>
      <c r="D2106" s="182">
        <f t="shared" ref="D2106:D2169" ca="1" si="302">(($C$6/360))*C2106</f>
        <v>110.75959400502671</v>
      </c>
      <c r="E2106" s="182">
        <v>321</v>
      </c>
      <c r="F2106" s="182">
        <f t="shared" ca="1" si="300"/>
        <v>0</v>
      </c>
      <c r="G2106" s="182">
        <f t="shared" ref="G2106:G2169" ca="1" si="303">IF(G2105-D2106-E2106&gt;0,G2105-D2106-E2106,0)</f>
        <v>0</v>
      </c>
      <c r="H2106" s="182">
        <f t="shared" ref="H2106:H2169" ca="1" si="304">IF(G2106&gt;0,C2106+F2106+I2106,SUM(C2106:F2106)-G2105)</f>
        <v>166571.15060154512</v>
      </c>
      <c r="I2106" s="183">
        <v>321</v>
      </c>
      <c r="J2106" s="263">
        <f t="shared" ca="1" si="298"/>
        <v>166571.15060154512</v>
      </c>
    </row>
    <row r="2107" spans="1:10" x14ac:dyDescent="0.25">
      <c r="A2107" s="180">
        <f t="shared" ca="1" si="299"/>
        <v>48197</v>
      </c>
      <c r="B2107" s="181">
        <v>2093</v>
      </c>
      <c r="C2107" s="182">
        <f t="shared" ca="1" si="301"/>
        <v>166571.15060154512</v>
      </c>
      <c r="D2107" s="182">
        <f t="shared" ca="1" si="302"/>
        <v>111.04743373436341</v>
      </c>
      <c r="E2107" s="182">
        <v>322</v>
      </c>
      <c r="F2107" s="182">
        <f t="shared" ca="1" si="300"/>
        <v>0</v>
      </c>
      <c r="G2107" s="182">
        <f t="shared" ca="1" si="303"/>
        <v>0</v>
      </c>
      <c r="H2107" s="182">
        <f t="shared" ca="1" si="304"/>
        <v>167004.19803527949</v>
      </c>
      <c r="I2107" s="183">
        <v>322</v>
      </c>
      <c r="J2107" s="263">
        <f t="shared" ca="1" si="298"/>
        <v>167004.19803527949</v>
      </c>
    </row>
    <row r="2108" spans="1:10" x14ac:dyDescent="0.25">
      <c r="A2108" s="180">
        <f t="shared" ca="1" si="299"/>
        <v>48198</v>
      </c>
      <c r="B2108" s="181">
        <v>2094</v>
      </c>
      <c r="C2108" s="182">
        <f t="shared" ca="1" si="301"/>
        <v>167004.19803527949</v>
      </c>
      <c r="D2108" s="182">
        <f t="shared" ca="1" si="302"/>
        <v>111.33613202351965</v>
      </c>
      <c r="E2108" s="182">
        <v>323</v>
      </c>
      <c r="F2108" s="182">
        <f t="shared" ca="1" si="300"/>
        <v>0</v>
      </c>
      <c r="G2108" s="182">
        <f t="shared" ca="1" si="303"/>
        <v>0</v>
      </c>
      <c r="H2108" s="182">
        <f t="shared" ca="1" si="304"/>
        <v>167438.53416730301</v>
      </c>
      <c r="I2108" s="183">
        <v>323</v>
      </c>
      <c r="J2108" s="263">
        <f t="shared" ca="1" si="298"/>
        <v>167438.53416730301</v>
      </c>
    </row>
    <row r="2109" spans="1:10" x14ac:dyDescent="0.25">
      <c r="A2109" s="180">
        <f t="shared" ca="1" si="299"/>
        <v>48199</v>
      </c>
      <c r="B2109" s="181">
        <v>2095</v>
      </c>
      <c r="C2109" s="182">
        <f t="shared" ca="1" si="301"/>
        <v>167438.53416730301</v>
      </c>
      <c r="D2109" s="182">
        <f t="shared" ca="1" si="302"/>
        <v>111.62568944486867</v>
      </c>
      <c r="E2109" s="182">
        <v>324</v>
      </c>
      <c r="F2109" s="182">
        <f t="shared" ca="1" si="300"/>
        <v>0</v>
      </c>
      <c r="G2109" s="182">
        <f t="shared" ca="1" si="303"/>
        <v>0</v>
      </c>
      <c r="H2109" s="182">
        <f t="shared" ca="1" si="304"/>
        <v>167874.15985674786</v>
      </c>
      <c r="I2109" s="183">
        <v>324</v>
      </c>
      <c r="J2109" s="263">
        <f t="shared" ca="1" si="298"/>
        <v>167874.15985674786</v>
      </c>
    </row>
    <row r="2110" spans="1:10" x14ac:dyDescent="0.25">
      <c r="A2110" s="180">
        <f t="shared" ca="1" si="299"/>
        <v>48200</v>
      </c>
      <c r="B2110" s="181">
        <v>2096</v>
      </c>
      <c r="C2110" s="182">
        <f t="shared" ca="1" si="301"/>
        <v>167874.15985674786</v>
      </c>
      <c r="D2110" s="182">
        <f t="shared" ca="1" si="302"/>
        <v>111.91610657116524</v>
      </c>
      <c r="E2110" s="182">
        <v>325</v>
      </c>
      <c r="F2110" s="182">
        <f t="shared" ca="1" si="300"/>
        <v>0</v>
      </c>
      <c r="G2110" s="182">
        <f t="shared" ca="1" si="303"/>
        <v>0</v>
      </c>
      <c r="H2110" s="182">
        <f t="shared" ca="1" si="304"/>
        <v>168311.07596331902</v>
      </c>
      <c r="I2110" s="183">
        <v>325</v>
      </c>
      <c r="J2110" s="263">
        <f t="shared" ca="1" si="298"/>
        <v>168311.07596331902</v>
      </c>
    </row>
    <row r="2111" spans="1:10" x14ac:dyDescent="0.25">
      <c r="A2111" s="180">
        <f t="shared" ca="1" si="299"/>
        <v>48201</v>
      </c>
      <c r="B2111" s="181">
        <v>2097</v>
      </c>
      <c r="C2111" s="182">
        <f t="shared" ca="1" si="301"/>
        <v>168311.07596331902</v>
      </c>
      <c r="D2111" s="182">
        <f t="shared" ca="1" si="302"/>
        <v>112.20738397554601</v>
      </c>
      <c r="E2111" s="182">
        <v>326</v>
      </c>
      <c r="F2111" s="182">
        <f t="shared" ca="1" si="300"/>
        <v>0</v>
      </c>
      <c r="G2111" s="182">
        <f t="shared" ca="1" si="303"/>
        <v>0</v>
      </c>
      <c r="H2111" s="182">
        <f t="shared" ca="1" si="304"/>
        <v>168749.28334729455</v>
      </c>
      <c r="I2111" s="183">
        <v>326</v>
      </c>
      <c r="J2111" s="263">
        <f t="shared" ca="1" si="298"/>
        <v>168749.28334729455</v>
      </c>
    </row>
    <row r="2112" spans="1:10" x14ac:dyDescent="0.25">
      <c r="A2112" s="180">
        <f t="shared" ca="1" si="299"/>
        <v>48202</v>
      </c>
      <c r="B2112" s="181">
        <v>2098</v>
      </c>
      <c r="C2112" s="182">
        <f t="shared" ca="1" si="301"/>
        <v>168749.28334729455</v>
      </c>
      <c r="D2112" s="182">
        <f t="shared" ca="1" si="302"/>
        <v>112.4995222315297</v>
      </c>
      <c r="E2112" s="182">
        <v>327</v>
      </c>
      <c r="F2112" s="182">
        <f t="shared" ca="1" si="300"/>
        <v>0</v>
      </c>
      <c r="G2112" s="182">
        <f t="shared" ca="1" si="303"/>
        <v>0</v>
      </c>
      <c r="H2112" s="182">
        <f t="shared" ca="1" si="304"/>
        <v>169188.78286952607</v>
      </c>
      <c r="I2112" s="183">
        <v>327</v>
      </c>
      <c r="J2112" s="263">
        <f t="shared" ca="1" si="298"/>
        <v>169188.78286952607</v>
      </c>
    </row>
    <row r="2113" spans="1:10" x14ac:dyDescent="0.25">
      <c r="A2113" s="180">
        <f t="shared" ca="1" si="299"/>
        <v>48203</v>
      </c>
      <c r="B2113" s="181">
        <v>2099</v>
      </c>
      <c r="C2113" s="182">
        <f t="shared" ca="1" si="301"/>
        <v>169188.78286952607</v>
      </c>
      <c r="D2113" s="182">
        <f t="shared" ca="1" si="302"/>
        <v>112.79252191301738</v>
      </c>
      <c r="E2113" s="182">
        <v>328</v>
      </c>
      <c r="F2113" s="182">
        <f t="shared" ca="1" si="300"/>
        <v>0</v>
      </c>
      <c r="G2113" s="182">
        <f t="shared" ca="1" si="303"/>
        <v>0</v>
      </c>
      <c r="H2113" s="182">
        <f t="shared" ca="1" si="304"/>
        <v>169629.57539143908</v>
      </c>
      <c r="I2113" s="183">
        <v>328</v>
      </c>
      <c r="J2113" s="263">
        <f t="shared" ca="1" si="298"/>
        <v>169629.57539143908</v>
      </c>
    </row>
    <row r="2114" spans="1:10" x14ac:dyDescent="0.25">
      <c r="A2114" s="180">
        <f t="shared" ca="1" si="299"/>
        <v>48204</v>
      </c>
      <c r="B2114" s="181">
        <v>2100</v>
      </c>
      <c r="C2114" s="182">
        <f t="shared" ca="1" si="301"/>
        <v>169629.57539143908</v>
      </c>
      <c r="D2114" s="182">
        <f t="shared" ca="1" si="302"/>
        <v>113.08638359429271</v>
      </c>
      <c r="E2114" s="182">
        <v>329</v>
      </c>
      <c r="F2114" s="182">
        <f t="shared" ca="1" si="300"/>
        <v>0</v>
      </c>
      <c r="G2114" s="182">
        <f t="shared" ca="1" si="303"/>
        <v>0</v>
      </c>
      <c r="H2114" s="182">
        <f t="shared" ca="1" si="304"/>
        <v>170071.66177503337</v>
      </c>
      <c r="I2114" s="183">
        <v>329</v>
      </c>
      <c r="J2114" s="263">
        <f t="shared" ca="1" si="298"/>
        <v>170071.66177503337</v>
      </c>
    </row>
    <row r="2115" spans="1:10" x14ac:dyDescent="0.25">
      <c r="A2115" s="180">
        <f t="shared" ca="1" si="299"/>
        <v>48205</v>
      </c>
      <c r="B2115" s="181">
        <v>2101</v>
      </c>
      <c r="C2115" s="182">
        <f t="shared" ca="1" si="301"/>
        <v>170071.66177503337</v>
      </c>
      <c r="D2115" s="182">
        <f t="shared" ca="1" si="302"/>
        <v>113.38110785002225</v>
      </c>
      <c r="E2115" s="182">
        <v>330</v>
      </c>
      <c r="F2115" s="182">
        <f t="shared" ca="1" si="300"/>
        <v>0</v>
      </c>
      <c r="G2115" s="182">
        <f t="shared" ca="1" si="303"/>
        <v>0</v>
      </c>
      <c r="H2115" s="182">
        <f t="shared" ca="1" si="304"/>
        <v>170515.0428828834</v>
      </c>
      <c r="I2115" s="183">
        <v>330</v>
      </c>
      <c r="J2115" s="263">
        <f t="shared" ca="1" si="298"/>
        <v>170515.0428828834</v>
      </c>
    </row>
    <row r="2116" spans="1:10" x14ac:dyDescent="0.25">
      <c r="A2116" s="180">
        <f t="shared" ca="1" si="299"/>
        <v>48206</v>
      </c>
      <c r="B2116" s="181">
        <v>2102</v>
      </c>
      <c r="C2116" s="182">
        <f t="shared" ca="1" si="301"/>
        <v>170515.0428828834</v>
      </c>
      <c r="D2116" s="182">
        <f t="shared" ca="1" si="302"/>
        <v>113.67669525525559</v>
      </c>
      <c r="E2116" s="182">
        <v>331</v>
      </c>
      <c r="F2116" s="182">
        <f t="shared" ca="1" si="300"/>
        <v>0</v>
      </c>
      <c r="G2116" s="182">
        <f t="shared" ca="1" si="303"/>
        <v>0</v>
      </c>
      <c r="H2116" s="182">
        <f t="shared" ca="1" si="304"/>
        <v>170959.71957813864</v>
      </c>
      <c r="I2116" s="183">
        <v>331</v>
      </c>
      <c r="J2116" s="263">
        <f t="shared" ca="1" si="298"/>
        <v>170959.71957813864</v>
      </c>
    </row>
    <row r="2117" spans="1:10" x14ac:dyDescent="0.25">
      <c r="A2117" s="180">
        <f t="shared" ca="1" si="299"/>
        <v>48207</v>
      </c>
      <c r="B2117" s="181">
        <v>2103</v>
      </c>
      <c r="C2117" s="182">
        <f t="shared" ca="1" si="301"/>
        <v>170959.71957813864</v>
      </c>
      <c r="D2117" s="182">
        <f t="shared" ca="1" si="302"/>
        <v>113.97314638542575</v>
      </c>
      <c r="E2117" s="182">
        <v>332</v>
      </c>
      <c r="F2117" s="182">
        <f t="shared" ca="1" si="300"/>
        <v>0</v>
      </c>
      <c r="G2117" s="182">
        <f t="shared" ca="1" si="303"/>
        <v>0</v>
      </c>
      <c r="H2117" s="182">
        <f t="shared" ca="1" si="304"/>
        <v>171405.69272452407</v>
      </c>
      <c r="I2117" s="183">
        <v>332</v>
      </c>
      <c r="J2117" s="263">
        <f t="shared" ca="1" si="298"/>
        <v>171405.69272452407</v>
      </c>
    </row>
    <row r="2118" spans="1:10" x14ac:dyDescent="0.25">
      <c r="A2118" s="180">
        <f t="shared" ca="1" si="299"/>
        <v>48208</v>
      </c>
      <c r="B2118" s="181">
        <v>2104</v>
      </c>
      <c r="C2118" s="182">
        <f t="shared" ca="1" si="301"/>
        <v>171405.69272452407</v>
      </c>
      <c r="D2118" s="182">
        <f t="shared" ca="1" si="302"/>
        <v>114.27046181634937</v>
      </c>
      <c r="E2118" s="182">
        <v>333</v>
      </c>
      <c r="F2118" s="182">
        <f t="shared" ca="1" si="300"/>
        <v>0</v>
      </c>
      <c r="G2118" s="182">
        <f t="shared" ca="1" si="303"/>
        <v>0</v>
      </c>
      <c r="H2118" s="182">
        <f t="shared" ca="1" si="304"/>
        <v>171852.96318634041</v>
      </c>
      <c r="I2118" s="183">
        <v>333</v>
      </c>
      <c r="J2118" s="263">
        <f t="shared" ca="1" si="298"/>
        <v>171852.96318634041</v>
      </c>
    </row>
    <row r="2119" spans="1:10" x14ac:dyDescent="0.25">
      <c r="A2119" s="180">
        <f t="shared" ca="1" si="299"/>
        <v>48209</v>
      </c>
      <c r="B2119" s="181">
        <v>2105</v>
      </c>
      <c r="C2119" s="182">
        <f t="shared" ca="1" si="301"/>
        <v>171852.96318634041</v>
      </c>
      <c r="D2119" s="182">
        <f t="shared" ca="1" si="302"/>
        <v>114.56864212422694</v>
      </c>
      <c r="E2119" s="182">
        <v>334</v>
      </c>
      <c r="F2119" s="182">
        <f t="shared" ca="1" si="300"/>
        <v>0</v>
      </c>
      <c r="G2119" s="182">
        <f t="shared" ca="1" si="303"/>
        <v>0</v>
      </c>
      <c r="H2119" s="182">
        <f t="shared" ca="1" si="304"/>
        <v>172301.53182846462</v>
      </c>
      <c r="I2119" s="183">
        <v>334</v>
      </c>
      <c r="J2119" s="263">
        <f t="shared" ca="1" si="298"/>
        <v>172301.53182846462</v>
      </c>
    </row>
    <row r="2120" spans="1:10" x14ac:dyDescent="0.25">
      <c r="A2120" s="180">
        <f t="shared" ca="1" si="299"/>
        <v>48210</v>
      </c>
      <c r="B2120" s="181">
        <v>2106</v>
      </c>
      <c r="C2120" s="182">
        <f t="shared" ca="1" si="301"/>
        <v>172301.53182846462</v>
      </c>
      <c r="D2120" s="182">
        <f t="shared" ca="1" si="302"/>
        <v>114.86768788564308</v>
      </c>
      <c r="E2120" s="182">
        <v>335</v>
      </c>
      <c r="F2120" s="182">
        <f t="shared" ca="1" si="300"/>
        <v>0</v>
      </c>
      <c r="G2120" s="182">
        <f t="shared" ca="1" si="303"/>
        <v>0</v>
      </c>
      <c r="H2120" s="182">
        <f t="shared" ca="1" si="304"/>
        <v>172751.39951635027</v>
      </c>
      <c r="I2120" s="183">
        <v>335</v>
      </c>
      <c r="J2120" s="263">
        <f t="shared" ca="1" si="298"/>
        <v>172751.39951635027</v>
      </c>
    </row>
    <row r="2121" spans="1:10" x14ac:dyDescent="0.25">
      <c r="A2121" s="180">
        <f t="shared" ca="1" si="299"/>
        <v>48211</v>
      </c>
      <c r="B2121" s="181">
        <v>2107</v>
      </c>
      <c r="C2121" s="182">
        <f t="shared" ca="1" si="301"/>
        <v>172751.39951635027</v>
      </c>
      <c r="D2121" s="182">
        <f t="shared" ca="1" si="302"/>
        <v>115.16759967756684</v>
      </c>
      <c r="E2121" s="182">
        <v>336</v>
      </c>
      <c r="F2121" s="182">
        <f t="shared" ca="1" si="300"/>
        <v>0</v>
      </c>
      <c r="G2121" s="182">
        <f t="shared" ca="1" si="303"/>
        <v>0</v>
      </c>
      <c r="H2121" s="182">
        <f t="shared" ca="1" si="304"/>
        <v>173202.56711602784</v>
      </c>
      <c r="I2121" s="183">
        <v>336</v>
      </c>
      <c r="J2121" s="263">
        <f t="shared" ca="1" si="298"/>
        <v>173202.56711602784</v>
      </c>
    </row>
    <row r="2122" spans="1:10" x14ac:dyDescent="0.25">
      <c r="A2122" s="180">
        <f t="shared" ca="1" si="299"/>
        <v>48212</v>
      </c>
      <c r="B2122" s="181">
        <v>2108</v>
      </c>
      <c r="C2122" s="182">
        <f t="shared" ca="1" si="301"/>
        <v>173202.56711602784</v>
      </c>
      <c r="D2122" s="182">
        <f t="shared" ca="1" si="302"/>
        <v>115.46837807735189</v>
      </c>
      <c r="E2122" s="182">
        <v>337</v>
      </c>
      <c r="F2122" s="182">
        <f t="shared" ca="1" si="300"/>
        <v>0</v>
      </c>
      <c r="G2122" s="182">
        <f t="shared" ca="1" si="303"/>
        <v>0</v>
      </c>
      <c r="H2122" s="182">
        <f t="shared" ca="1" si="304"/>
        <v>173655.03549410519</v>
      </c>
      <c r="I2122" s="183">
        <v>337</v>
      </c>
      <c r="J2122" s="263">
        <f t="shared" ca="1" si="298"/>
        <v>173655.03549410519</v>
      </c>
    </row>
    <row r="2123" spans="1:10" x14ac:dyDescent="0.25">
      <c r="A2123" s="180">
        <f t="shared" ca="1" si="299"/>
        <v>48213</v>
      </c>
      <c r="B2123" s="181">
        <v>2109</v>
      </c>
      <c r="C2123" s="182">
        <f t="shared" ca="1" si="301"/>
        <v>173655.03549410519</v>
      </c>
      <c r="D2123" s="182">
        <f t="shared" ca="1" si="302"/>
        <v>115.77002366273679</v>
      </c>
      <c r="E2123" s="182">
        <v>338</v>
      </c>
      <c r="F2123" s="182">
        <f t="shared" ca="1" si="300"/>
        <v>0</v>
      </c>
      <c r="G2123" s="182">
        <f t="shared" ca="1" si="303"/>
        <v>0</v>
      </c>
      <c r="H2123" s="182">
        <f t="shared" ca="1" si="304"/>
        <v>174108.80551776793</v>
      </c>
      <c r="I2123" s="183">
        <v>338</v>
      </c>
      <c r="J2123" s="263">
        <f t="shared" ca="1" si="298"/>
        <v>174108.80551776793</v>
      </c>
    </row>
    <row r="2124" spans="1:10" x14ac:dyDescent="0.25">
      <c r="A2124" s="180">
        <f t="shared" ca="1" si="299"/>
        <v>48214</v>
      </c>
      <c r="B2124" s="181">
        <v>2110</v>
      </c>
      <c r="C2124" s="182">
        <f t="shared" ca="1" si="301"/>
        <v>174108.80551776793</v>
      </c>
      <c r="D2124" s="182">
        <f t="shared" ca="1" si="302"/>
        <v>116.07253701184528</v>
      </c>
      <c r="E2124" s="182">
        <v>339</v>
      </c>
      <c r="F2124" s="182">
        <f t="shared" ca="1" si="300"/>
        <v>0</v>
      </c>
      <c r="G2124" s="182">
        <f t="shared" ca="1" si="303"/>
        <v>0</v>
      </c>
      <c r="H2124" s="182">
        <f t="shared" ca="1" si="304"/>
        <v>174563.87805477978</v>
      </c>
      <c r="I2124" s="183">
        <v>339</v>
      </c>
      <c r="J2124" s="263">
        <f t="shared" ca="1" si="298"/>
        <v>174563.87805477978</v>
      </c>
    </row>
    <row r="2125" spans="1:10" x14ac:dyDescent="0.25">
      <c r="A2125" s="180">
        <f t="shared" ca="1" si="299"/>
        <v>48215</v>
      </c>
      <c r="B2125" s="181">
        <v>2111</v>
      </c>
      <c r="C2125" s="182">
        <f t="shared" ca="1" si="301"/>
        <v>174563.87805477978</v>
      </c>
      <c r="D2125" s="182">
        <f t="shared" ca="1" si="302"/>
        <v>116.37591870318651</v>
      </c>
      <c r="E2125" s="182">
        <v>340</v>
      </c>
      <c r="F2125" s="182">
        <f t="shared" ca="1" si="300"/>
        <v>0</v>
      </c>
      <c r="G2125" s="182">
        <f t="shared" ca="1" si="303"/>
        <v>0</v>
      </c>
      <c r="H2125" s="182">
        <f t="shared" ca="1" si="304"/>
        <v>175020.25397348296</v>
      </c>
      <c r="I2125" s="183">
        <v>340</v>
      </c>
      <c r="J2125" s="263">
        <f t="shared" ca="1" si="298"/>
        <v>175020.25397348296</v>
      </c>
    </row>
    <row r="2126" spans="1:10" x14ac:dyDescent="0.25">
      <c r="A2126" s="180">
        <f t="shared" ca="1" si="299"/>
        <v>48216</v>
      </c>
      <c r="B2126" s="181">
        <v>2112</v>
      </c>
      <c r="C2126" s="182">
        <f t="shared" ca="1" si="301"/>
        <v>175020.25397348296</v>
      </c>
      <c r="D2126" s="182">
        <f t="shared" ca="1" si="302"/>
        <v>116.68016931565531</v>
      </c>
      <c r="E2126" s="182">
        <v>341</v>
      </c>
      <c r="F2126" s="182">
        <f t="shared" ca="1" si="300"/>
        <v>0</v>
      </c>
      <c r="G2126" s="182">
        <f t="shared" ca="1" si="303"/>
        <v>0</v>
      </c>
      <c r="H2126" s="182">
        <f t="shared" ca="1" si="304"/>
        <v>175477.93414279862</v>
      </c>
      <c r="I2126" s="183">
        <v>341</v>
      </c>
      <c r="J2126" s="263">
        <f t="shared" ca="1" si="298"/>
        <v>175477.93414279862</v>
      </c>
    </row>
    <row r="2127" spans="1:10" x14ac:dyDescent="0.25">
      <c r="A2127" s="180">
        <f t="shared" ca="1" si="299"/>
        <v>48217</v>
      </c>
      <c r="B2127" s="181">
        <v>2113</v>
      </c>
      <c r="C2127" s="182">
        <f t="shared" ca="1" si="301"/>
        <v>175477.93414279862</v>
      </c>
      <c r="D2127" s="182">
        <f t="shared" ca="1" si="302"/>
        <v>116.98528942853241</v>
      </c>
      <c r="E2127" s="182">
        <v>342</v>
      </c>
      <c r="F2127" s="182">
        <f t="shared" ca="1" si="300"/>
        <v>0</v>
      </c>
      <c r="G2127" s="182">
        <f t="shared" ca="1" si="303"/>
        <v>0</v>
      </c>
      <c r="H2127" s="182">
        <f t="shared" ca="1" si="304"/>
        <v>175936.91943222715</v>
      </c>
      <c r="I2127" s="183">
        <v>342</v>
      </c>
      <c r="J2127" s="263">
        <f t="shared" ref="J2127:J2187" ca="1" si="305">H2127-IF(I$8-G2127&lt;Q$42,I$8-Q$42,G2127)</f>
        <v>175936.91943222715</v>
      </c>
    </row>
    <row r="2128" spans="1:10" x14ac:dyDescent="0.25">
      <c r="A2128" s="180">
        <f t="shared" ca="1" si="299"/>
        <v>48218</v>
      </c>
      <c r="B2128" s="181">
        <v>2114</v>
      </c>
      <c r="C2128" s="182">
        <f t="shared" ca="1" si="301"/>
        <v>175936.91943222715</v>
      </c>
      <c r="D2128" s="182">
        <f t="shared" ca="1" si="302"/>
        <v>117.29127962148476</v>
      </c>
      <c r="E2128" s="182">
        <v>343</v>
      </c>
      <c r="F2128" s="182">
        <f t="shared" ca="1" si="300"/>
        <v>0</v>
      </c>
      <c r="G2128" s="182">
        <f t="shared" ca="1" si="303"/>
        <v>0</v>
      </c>
      <c r="H2128" s="182">
        <f t="shared" ca="1" si="304"/>
        <v>176397.21071184863</v>
      </c>
      <c r="I2128" s="183">
        <v>343</v>
      </c>
      <c r="J2128" s="263">
        <f t="shared" ca="1" si="305"/>
        <v>176397.21071184863</v>
      </c>
    </row>
    <row r="2129" spans="1:10" x14ac:dyDescent="0.25">
      <c r="A2129" s="180">
        <f t="shared" ref="A2129:A2187" ca="1" si="306">A2128+1</f>
        <v>48219</v>
      </c>
      <c r="B2129" s="181">
        <v>2115</v>
      </c>
      <c r="C2129" s="182">
        <f t="shared" ca="1" si="301"/>
        <v>176397.21071184863</v>
      </c>
      <c r="D2129" s="182">
        <f t="shared" ca="1" si="302"/>
        <v>117.59814047456575</v>
      </c>
      <c r="E2129" s="182">
        <v>344</v>
      </c>
      <c r="F2129" s="182">
        <f t="shared" ca="1" si="300"/>
        <v>0</v>
      </c>
      <c r="G2129" s="182">
        <f t="shared" ca="1" si="303"/>
        <v>0</v>
      </c>
      <c r="H2129" s="182">
        <f t="shared" ca="1" si="304"/>
        <v>176858.80885232319</v>
      </c>
      <c r="I2129" s="183">
        <v>344</v>
      </c>
      <c r="J2129" s="263">
        <f t="shared" ca="1" si="305"/>
        <v>176858.80885232319</v>
      </c>
    </row>
    <row r="2130" spans="1:10" x14ac:dyDescent="0.25">
      <c r="A2130" s="180">
        <f t="shared" ca="1" si="306"/>
        <v>48220</v>
      </c>
      <c r="B2130" s="181">
        <v>2116</v>
      </c>
      <c r="C2130" s="182">
        <f t="shared" ca="1" si="301"/>
        <v>176858.80885232319</v>
      </c>
      <c r="D2130" s="182">
        <f t="shared" ca="1" si="302"/>
        <v>117.90587256821546</v>
      </c>
      <c r="E2130" s="182">
        <v>345</v>
      </c>
      <c r="F2130" s="182">
        <f t="shared" ca="1" si="300"/>
        <v>0</v>
      </c>
      <c r="G2130" s="182">
        <f t="shared" ca="1" si="303"/>
        <v>0</v>
      </c>
      <c r="H2130" s="182">
        <f t="shared" ca="1" si="304"/>
        <v>177321.71472489141</v>
      </c>
      <c r="I2130" s="183">
        <v>345</v>
      </c>
      <c r="J2130" s="263">
        <f t="shared" ca="1" si="305"/>
        <v>177321.71472489141</v>
      </c>
    </row>
    <row r="2131" spans="1:10" x14ac:dyDescent="0.25">
      <c r="A2131" s="180">
        <f t="shared" ca="1" si="306"/>
        <v>48221</v>
      </c>
      <c r="B2131" s="181">
        <v>2117</v>
      </c>
      <c r="C2131" s="182">
        <f t="shared" ca="1" si="301"/>
        <v>177321.71472489141</v>
      </c>
      <c r="D2131" s="182">
        <f t="shared" ca="1" si="302"/>
        <v>118.21447648326094</v>
      </c>
      <c r="E2131" s="182">
        <v>346</v>
      </c>
      <c r="F2131" s="182">
        <f t="shared" ca="1" si="300"/>
        <v>0</v>
      </c>
      <c r="G2131" s="182">
        <f t="shared" ca="1" si="303"/>
        <v>0</v>
      </c>
      <c r="H2131" s="182">
        <f t="shared" ca="1" si="304"/>
        <v>177785.92920137467</v>
      </c>
      <c r="I2131" s="183">
        <v>346</v>
      </c>
      <c r="J2131" s="263">
        <f t="shared" ca="1" si="305"/>
        <v>177785.92920137467</v>
      </c>
    </row>
    <row r="2132" spans="1:10" x14ac:dyDescent="0.25">
      <c r="A2132" s="180">
        <f t="shared" ca="1" si="306"/>
        <v>48222</v>
      </c>
      <c r="B2132" s="181">
        <v>2118</v>
      </c>
      <c r="C2132" s="182">
        <f t="shared" ca="1" si="301"/>
        <v>177785.92920137467</v>
      </c>
      <c r="D2132" s="182">
        <f t="shared" ca="1" si="302"/>
        <v>118.52395280091645</v>
      </c>
      <c r="E2132" s="182">
        <v>347</v>
      </c>
      <c r="F2132" s="182">
        <f t="shared" ca="1" si="300"/>
        <v>0</v>
      </c>
      <c r="G2132" s="182">
        <f t="shared" ca="1" si="303"/>
        <v>0</v>
      </c>
      <c r="H2132" s="182">
        <f t="shared" ca="1" si="304"/>
        <v>178251.4531541756</v>
      </c>
      <c r="I2132" s="183">
        <v>347</v>
      </c>
      <c r="J2132" s="263">
        <f t="shared" ca="1" si="305"/>
        <v>178251.4531541756</v>
      </c>
    </row>
    <row r="2133" spans="1:10" x14ac:dyDescent="0.25">
      <c r="A2133" s="180">
        <f t="shared" ca="1" si="306"/>
        <v>48223</v>
      </c>
      <c r="B2133" s="181">
        <v>2119</v>
      </c>
      <c r="C2133" s="182">
        <f t="shared" ca="1" si="301"/>
        <v>178251.4531541756</v>
      </c>
      <c r="D2133" s="182">
        <f t="shared" ca="1" si="302"/>
        <v>118.83430210278372</v>
      </c>
      <c r="E2133" s="182">
        <v>348</v>
      </c>
      <c r="F2133" s="182">
        <f t="shared" ca="1" si="300"/>
        <v>0</v>
      </c>
      <c r="G2133" s="182">
        <f t="shared" ca="1" si="303"/>
        <v>0</v>
      </c>
      <c r="H2133" s="182">
        <f t="shared" ca="1" si="304"/>
        <v>178718.2874562784</v>
      </c>
      <c r="I2133" s="183">
        <v>348</v>
      </c>
      <c r="J2133" s="263">
        <f t="shared" ca="1" si="305"/>
        <v>178718.2874562784</v>
      </c>
    </row>
    <row r="2134" spans="1:10" x14ac:dyDescent="0.25">
      <c r="A2134" s="180">
        <f t="shared" ca="1" si="306"/>
        <v>48224</v>
      </c>
      <c r="B2134" s="181">
        <v>2120</v>
      </c>
      <c r="C2134" s="182">
        <f t="shared" ca="1" si="301"/>
        <v>178718.2874562784</v>
      </c>
      <c r="D2134" s="182">
        <f t="shared" ca="1" si="302"/>
        <v>119.14552497085226</v>
      </c>
      <c r="E2134" s="182">
        <v>349</v>
      </c>
      <c r="F2134" s="182">
        <f t="shared" ca="1" si="300"/>
        <v>0</v>
      </c>
      <c r="G2134" s="182">
        <f t="shared" ca="1" si="303"/>
        <v>0</v>
      </c>
      <c r="H2134" s="182">
        <f t="shared" ca="1" si="304"/>
        <v>179186.43298124924</v>
      </c>
      <c r="I2134" s="183">
        <v>349</v>
      </c>
      <c r="J2134" s="263">
        <f t="shared" ca="1" si="305"/>
        <v>179186.43298124924</v>
      </c>
    </row>
    <row r="2135" spans="1:10" x14ac:dyDescent="0.25">
      <c r="A2135" s="180">
        <f t="shared" ca="1" si="306"/>
        <v>48225</v>
      </c>
      <c r="B2135" s="181">
        <v>2121</v>
      </c>
      <c r="C2135" s="182">
        <f t="shared" ca="1" si="301"/>
        <v>179186.43298124924</v>
      </c>
      <c r="D2135" s="182">
        <f t="shared" ca="1" si="302"/>
        <v>119.45762198749949</v>
      </c>
      <c r="E2135" s="182">
        <v>350</v>
      </c>
      <c r="F2135" s="182">
        <f t="shared" ca="1" si="300"/>
        <v>0</v>
      </c>
      <c r="G2135" s="182">
        <f t="shared" ca="1" si="303"/>
        <v>0</v>
      </c>
      <c r="H2135" s="182">
        <f t="shared" ca="1" si="304"/>
        <v>179655.89060323674</v>
      </c>
      <c r="I2135" s="183">
        <v>350</v>
      </c>
      <c r="J2135" s="263">
        <f t="shared" ca="1" si="305"/>
        <v>179655.89060323674</v>
      </c>
    </row>
    <row r="2136" spans="1:10" x14ac:dyDescent="0.25">
      <c r="A2136" s="180">
        <f t="shared" ca="1" si="306"/>
        <v>48226</v>
      </c>
      <c r="B2136" s="181">
        <v>2122</v>
      </c>
      <c r="C2136" s="182">
        <f t="shared" ca="1" si="301"/>
        <v>179655.89060323674</v>
      </c>
      <c r="D2136" s="182">
        <f t="shared" ca="1" si="302"/>
        <v>119.77059373549116</v>
      </c>
      <c r="E2136" s="182">
        <v>351</v>
      </c>
      <c r="F2136" s="182">
        <f t="shared" ca="1" si="300"/>
        <v>0</v>
      </c>
      <c r="G2136" s="182">
        <f t="shared" ca="1" si="303"/>
        <v>0</v>
      </c>
      <c r="H2136" s="182">
        <f t="shared" ca="1" si="304"/>
        <v>180126.66119697221</v>
      </c>
      <c r="I2136" s="183">
        <v>351</v>
      </c>
      <c r="J2136" s="263">
        <f t="shared" ca="1" si="305"/>
        <v>180126.66119697221</v>
      </c>
    </row>
    <row r="2137" spans="1:10" x14ac:dyDescent="0.25">
      <c r="A2137" s="180">
        <f t="shared" ca="1" si="306"/>
        <v>48227</v>
      </c>
      <c r="B2137" s="181">
        <v>2123</v>
      </c>
      <c r="C2137" s="182">
        <f t="shared" ca="1" si="301"/>
        <v>180126.66119697221</v>
      </c>
      <c r="D2137" s="182">
        <f t="shared" ca="1" si="302"/>
        <v>120.08444079798147</v>
      </c>
      <c r="E2137" s="182">
        <v>352</v>
      </c>
      <c r="F2137" s="182">
        <f t="shared" ca="1" si="300"/>
        <v>0</v>
      </c>
      <c r="G2137" s="182">
        <f t="shared" ca="1" si="303"/>
        <v>0</v>
      </c>
      <c r="H2137" s="182">
        <f t="shared" ca="1" si="304"/>
        <v>180598.74563777019</v>
      </c>
      <c r="I2137" s="183">
        <v>352</v>
      </c>
      <c r="J2137" s="263">
        <f t="shared" ca="1" si="305"/>
        <v>180598.74563777019</v>
      </c>
    </row>
    <row r="2138" spans="1:10" x14ac:dyDescent="0.25">
      <c r="A2138" s="180">
        <f t="shared" ca="1" si="306"/>
        <v>48228</v>
      </c>
      <c r="B2138" s="181">
        <v>2124</v>
      </c>
      <c r="C2138" s="182">
        <f t="shared" ca="1" si="301"/>
        <v>180598.74563777019</v>
      </c>
      <c r="D2138" s="182">
        <f t="shared" ca="1" si="302"/>
        <v>120.39916375851345</v>
      </c>
      <c r="E2138" s="182">
        <v>353</v>
      </c>
      <c r="F2138" s="182">
        <f t="shared" ca="1" si="300"/>
        <v>0</v>
      </c>
      <c r="G2138" s="182">
        <f t="shared" ca="1" si="303"/>
        <v>0</v>
      </c>
      <c r="H2138" s="182">
        <f t="shared" ca="1" si="304"/>
        <v>181072.14480152872</v>
      </c>
      <c r="I2138" s="183">
        <v>353</v>
      </c>
      <c r="J2138" s="263">
        <f t="shared" ca="1" si="305"/>
        <v>181072.14480152872</v>
      </c>
    </row>
    <row r="2139" spans="1:10" x14ac:dyDescent="0.25">
      <c r="A2139" s="180">
        <f t="shared" ca="1" si="306"/>
        <v>48229</v>
      </c>
      <c r="B2139" s="181">
        <v>2125</v>
      </c>
      <c r="C2139" s="182">
        <f t="shared" ca="1" si="301"/>
        <v>181072.14480152872</v>
      </c>
      <c r="D2139" s="182">
        <f t="shared" ca="1" si="302"/>
        <v>120.71476320101914</v>
      </c>
      <c r="E2139" s="182">
        <v>354</v>
      </c>
      <c r="F2139" s="182">
        <f t="shared" ca="1" si="300"/>
        <v>0</v>
      </c>
      <c r="G2139" s="182">
        <f t="shared" ca="1" si="303"/>
        <v>0</v>
      </c>
      <c r="H2139" s="182">
        <f t="shared" ca="1" si="304"/>
        <v>181546.85956472973</v>
      </c>
      <c r="I2139" s="183">
        <v>354</v>
      </c>
      <c r="J2139" s="263">
        <f t="shared" ca="1" si="305"/>
        <v>181546.85956472973</v>
      </c>
    </row>
    <row r="2140" spans="1:10" x14ac:dyDescent="0.25">
      <c r="A2140" s="180">
        <f t="shared" ca="1" si="306"/>
        <v>48230</v>
      </c>
      <c r="B2140" s="181">
        <v>2126</v>
      </c>
      <c r="C2140" s="182">
        <f t="shared" ca="1" si="301"/>
        <v>181546.85956472973</v>
      </c>
      <c r="D2140" s="182">
        <f t="shared" ca="1" si="302"/>
        <v>121.03123970981981</v>
      </c>
      <c r="E2140" s="182">
        <v>355</v>
      </c>
      <c r="F2140" s="182">
        <f t="shared" ca="1" si="300"/>
        <v>0</v>
      </c>
      <c r="G2140" s="182">
        <f t="shared" ca="1" si="303"/>
        <v>0</v>
      </c>
      <c r="H2140" s="182">
        <f t="shared" ca="1" si="304"/>
        <v>182022.89080443955</v>
      </c>
      <c r="I2140" s="183">
        <v>355</v>
      </c>
      <c r="J2140" s="263">
        <f t="shared" ca="1" si="305"/>
        <v>182022.89080443955</v>
      </c>
    </row>
    <row r="2141" spans="1:10" x14ac:dyDescent="0.25">
      <c r="A2141" s="180">
        <f t="shared" ca="1" si="306"/>
        <v>48231</v>
      </c>
      <c r="B2141" s="181">
        <v>2127</v>
      </c>
      <c r="C2141" s="182">
        <f t="shared" ca="1" si="301"/>
        <v>182022.89080443955</v>
      </c>
      <c r="D2141" s="182">
        <f t="shared" ca="1" si="302"/>
        <v>121.34859386962636</v>
      </c>
      <c r="E2141" s="182">
        <v>356</v>
      </c>
      <c r="F2141" s="182">
        <f t="shared" ca="1" si="300"/>
        <v>0</v>
      </c>
      <c r="G2141" s="182">
        <f t="shared" ca="1" si="303"/>
        <v>0</v>
      </c>
      <c r="H2141" s="182">
        <f t="shared" ca="1" si="304"/>
        <v>182500.23939830918</v>
      </c>
      <c r="I2141" s="183">
        <v>356</v>
      </c>
      <c r="J2141" s="263">
        <f t="shared" ca="1" si="305"/>
        <v>182500.23939830918</v>
      </c>
    </row>
    <row r="2142" spans="1:10" x14ac:dyDescent="0.25">
      <c r="A2142" s="180">
        <f t="shared" ca="1" si="306"/>
        <v>48232</v>
      </c>
      <c r="B2142" s="181">
        <v>2128</v>
      </c>
      <c r="C2142" s="182">
        <f t="shared" ca="1" si="301"/>
        <v>182500.23939830918</v>
      </c>
      <c r="D2142" s="182">
        <f t="shared" ca="1" si="302"/>
        <v>121.66682626553944</v>
      </c>
      <c r="E2142" s="182">
        <v>357</v>
      </c>
      <c r="F2142" s="182">
        <f t="shared" ca="1" si="300"/>
        <v>0</v>
      </c>
      <c r="G2142" s="182">
        <f t="shared" ca="1" si="303"/>
        <v>0</v>
      </c>
      <c r="H2142" s="182">
        <f t="shared" ca="1" si="304"/>
        <v>182978.90622457472</v>
      </c>
      <c r="I2142" s="183">
        <v>357</v>
      </c>
      <c r="J2142" s="263">
        <f t="shared" ca="1" si="305"/>
        <v>182978.90622457472</v>
      </c>
    </row>
    <row r="2143" spans="1:10" x14ac:dyDescent="0.25">
      <c r="A2143" s="180">
        <f t="shared" ca="1" si="306"/>
        <v>48233</v>
      </c>
      <c r="B2143" s="181">
        <v>2129</v>
      </c>
      <c r="C2143" s="182">
        <f t="shared" ca="1" si="301"/>
        <v>182978.90622457472</v>
      </c>
      <c r="D2143" s="182">
        <f t="shared" ca="1" si="302"/>
        <v>121.98593748304981</v>
      </c>
      <c r="E2143" s="182">
        <v>358</v>
      </c>
      <c r="F2143" s="182">
        <f t="shared" ca="1" si="300"/>
        <v>0</v>
      </c>
      <c r="G2143" s="182">
        <f t="shared" ca="1" si="303"/>
        <v>0</v>
      </c>
      <c r="H2143" s="182">
        <f t="shared" ca="1" si="304"/>
        <v>183458.89216205777</v>
      </c>
      <c r="I2143" s="183">
        <v>358</v>
      </c>
      <c r="J2143" s="263">
        <f t="shared" ca="1" si="305"/>
        <v>183458.89216205777</v>
      </c>
    </row>
    <row r="2144" spans="1:10" x14ac:dyDescent="0.25">
      <c r="A2144" s="180">
        <f t="shared" ca="1" si="306"/>
        <v>48234</v>
      </c>
      <c r="B2144" s="181">
        <v>2130</v>
      </c>
      <c r="C2144" s="182">
        <f t="shared" ca="1" si="301"/>
        <v>183458.89216205777</v>
      </c>
      <c r="D2144" s="182">
        <f t="shared" ca="1" si="302"/>
        <v>122.30592810803851</v>
      </c>
      <c r="E2144" s="182">
        <v>359</v>
      </c>
      <c r="F2144" s="182">
        <f t="shared" ca="1" si="300"/>
        <v>0</v>
      </c>
      <c r="G2144" s="182">
        <f t="shared" ca="1" si="303"/>
        <v>0</v>
      </c>
      <c r="H2144" s="182">
        <f t="shared" ca="1" si="304"/>
        <v>183940.19809016582</v>
      </c>
      <c r="I2144" s="183">
        <v>359</v>
      </c>
      <c r="J2144" s="263">
        <f t="shared" ca="1" si="305"/>
        <v>183940.19809016582</v>
      </c>
    </row>
    <row r="2145" spans="1:10" x14ac:dyDescent="0.25">
      <c r="A2145" s="180">
        <f t="shared" ca="1" si="306"/>
        <v>48235</v>
      </c>
      <c r="B2145" s="181">
        <v>2131</v>
      </c>
      <c r="C2145" s="182">
        <f t="shared" ca="1" si="301"/>
        <v>183940.19809016582</v>
      </c>
      <c r="D2145" s="182">
        <f t="shared" ca="1" si="302"/>
        <v>122.62679872677721</v>
      </c>
      <c r="E2145" s="182">
        <v>360</v>
      </c>
      <c r="F2145" s="182">
        <f t="shared" ca="1" si="300"/>
        <v>0</v>
      </c>
      <c r="G2145" s="182">
        <f t="shared" ca="1" si="303"/>
        <v>0</v>
      </c>
      <c r="H2145" s="182">
        <f t="shared" ca="1" si="304"/>
        <v>184422.82488889259</v>
      </c>
      <c r="I2145" s="183">
        <v>360</v>
      </c>
      <c r="J2145" s="263">
        <f t="shared" ca="1" si="305"/>
        <v>184422.82488889259</v>
      </c>
    </row>
    <row r="2146" spans="1:10" x14ac:dyDescent="0.25">
      <c r="A2146" s="180">
        <f t="shared" ca="1" si="306"/>
        <v>48236</v>
      </c>
      <c r="B2146" s="181">
        <v>2132</v>
      </c>
      <c r="C2146" s="182">
        <f t="shared" ca="1" si="301"/>
        <v>184422.82488889259</v>
      </c>
      <c r="D2146" s="182">
        <f t="shared" ca="1" si="302"/>
        <v>122.94854992592839</v>
      </c>
      <c r="E2146" s="182">
        <v>361</v>
      </c>
      <c r="F2146" s="182">
        <f t="shared" ca="1" si="300"/>
        <v>0</v>
      </c>
      <c r="G2146" s="182">
        <f t="shared" ca="1" si="303"/>
        <v>0</v>
      </c>
      <c r="H2146" s="182">
        <f t="shared" ca="1" si="304"/>
        <v>184906.77343881852</v>
      </c>
      <c r="I2146" s="183">
        <v>361</v>
      </c>
      <c r="J2146" s="263">
        <f t="shared" ca="1" si="305"/>
        <v>184906.77343881852</v>
      </c>
    </row>
    <row r="2147" spans="1:10" x14ac:dyDescent="0.25">
      <c r="A2147" s="180">
        <f t="shared" ca="1" si="306"/>
        <v>48237</v>
      </c>
      <c r="B2147" s="181">
        <v>2133</v>
      </c>
      <c r="C2147" s="182">
        <f t="shared" ca="1" si="301"/>
        <v>184906.77343881852</v>
      </c>
      <c r="D2147" s="182">
        <f t="shared" ca="1" si="302"/>
        <v>123.27118229254567</v>
      </c>
      <c r="E2147" s="182">
        <v>362</v>
      </c>
      <c r="F2147" s="182">
        <f t="shared" ca="1" si="300"/>
        <v>0</v>
      </c>
      <c r="G2147" s="182">
        <f t="shared" ca="1" si="303"/>
        <v>0</v>
      </c>
      <c r="H2147" s="182">
        <f t="shared" ca="1" si="304"/>
        <v>185392.04462111107</v>
      </c>
      <c r="I2147" s="183">
        <v>362</v>
      </c>
      <c r="J2147" s="263">
        <f t="shared" ca="1" si="305"/>
        <v>185392.04462111107</v>
      </c>
    </row>
    <row r="2148" spans="1:10" x14ac:dyDescent="0.25">
      <c r="A2148" s="180">
        <f t="shared" ca="1" si="306"/>
        <v>48238</v>
      </c>
      <c r="B2148" s="181">
        <v>2134</v>
      </c>
      <c r="C2148" s="182">
        <f t="shared" ca="1" si="301"/>
        <v>185392.04462111107</v>
      </c>
      <c r="D2148" s="182">
        <f t="shared" ca="1" si="302"/>
        <v>123.59469641407404</v>
      </c>
      <c r="E2148" s="182">
        <v>363</v>
      </c>
      <c r="F2148" s="182">
        <f t="shared" ca="1" si="300"/>
        <v>0</v>
      </c>
      <c r="G2148" s="182">
        <f t="shared" ca="1" si="303"/>
        <v>0</v>
      </c>
      <c r="H2148" s="182">
        <f t="shared" ca="1" si="304"/>
        <v>185878.63931752514</v>
      </c>
      <c r="I2148" s="183">
        <v>363</v>
      </c>
      <c r="J2148" s="263">
        <f t="shared" ca="1" si="305"/>
        <v>185878.63931752514</v>
      </c>
    </row>
    <row r="2149" spans="1:10" x14ac:dyDescent="0.25">
      <c r="A2149" s="180">
        <f t="shared" ca="1" si="306"/>
        <v>48239</v>
      </c>
      <c r="B2149" s="181">
        <v>2135</v>
      </c>
      <c r="C2149" s="182">
        <f t="shared" ca="1" si="301"/>
        <v>185878.63931752514</v>
      </c>
      <c r="D2149" s="182">
        <f t="shared" ca="1" si="302"/>
        <v>123.91909287835009</v>
      </c>
      <c r="E2149" s="182">
        <v>364</v>
      </c>
      <c r="F2149" s="182">
        <f t="shared" ca="1" si="300"/>
        <v>0</v>
      </c>
      <c r="G2149" s="182">
        <f t="shared" ca="1" si="303"/>
        <v>0</v>
      </c>
      <c r="H2149" s="182">
        <f t="shared" ca="1" si="304"/>
        <v>186366.55841040349</v>
      </c>
      <c r="I2149" s="183">
        <v>364</v>
      </c>
      <c r="J2149" s="263">
        <f t="shared" ca="1" si="305"/>
        <v>186366.55841040349</v>
      </c>
    </row>
    <row r="2150" spans="1:10" x14ac:dyDescent="0.25">
      <c r="A2150" s="180">
        <f t="shared" ca="1" si="306"/>
        <v>48240</v>
      </c>
      <c r="B2150" s="181">
        <v>2136</v>
      </c>
      <c r="C2150" s="182">
        <f t="shared" ca="1" si="301"/>
        <v>186366.55841040349</v>
      </c>
      <c r="D2150" s="182">
        <f t="shared" ca="1" si="302"/>
        <v>124.24437227360232</v>
      </c>
      <c r="E2150" s="182">
        <v>365</v>
      </c>
      <c r="F2150" s="182">
        <f t="shared" ca="1" si="300"/>
        <v>0</v>
      </c>
      <c r="G2150" s="182">
        <f t="shared" ca="1" si="303"/>
        <v>0</v>
      </c>
      <c r="H2150" s="182">
        <f t="shared" ca="1" si="304"/>
        <v>186855.80278267708</v>
      </c>
      <c r="I2150" s="183">
        <v>365</v>
      </c>
      <c r="J2150" s="263">
        <f t="shared" ca="1" si="305"/>
        <v>186855.80278267708</v>
      </c>
    </row>
    <row r="2151" spans="1:10" x14ac:dyDescent="0.25">
      <c r="A2151" s="180">
        <f t="shared" ca="1" si="306"/>
        <v>48241</v>
      </c>
      <c r="B2151" s="181">
        <v>2137</v>
      </c>
      <c r="C2151" s="182">
        <f t="shared" ca="1" si="301"/>
        <v>186855.80278267708</v>
      </c>
      <c r="D2151" s="182">
        <f t="shared" ca="1" si="302"/>
        <v>124.57053518845139</v>
      </c>
      <c r="E2151" s="182">
        <v>366</v>
      </c>
      <c r="F2151" s="182">
        <f t="shared" ca="1" si="300"/>
        <v>0</v>
      </c>
      <c r="G2151" s="182">
        <f t="shared" ca="1" si="303"/>
        <v>0</v>
      </c>
      <c r="H2151" s="182">
        <f t="shared" ca="1" si="304"/>
        <v>187346.37331786554</v>
      </c>
      <c r="I2151" s="183">
        <v>366</v>
      </c>
      <c r="J2151" s="263">
        <f t="shared" ca="1" si="305"/>
        <v>187346.37331786554</v>
      </c>
    </row>
    <row r="2152" spans="1:10" x14ac:dyDescent="0.25">
      <c r="A2152" s="180">
        <f t="shared" ca="1" si="306"/>
        <v>48242</v>
      </c>
      <c r="B2152" s="181">
        <v>2138</v>
      </c>
      <c r="C2152" s="182">
        <f t="shared" ca="1" si="301"/>
        <v>187346.37331786554</v>
      </c>
      <c r="D2152" s="182">
        <f t="shared" ca="1" si="302"/>
        <v>124.89758221191036</v>
      </c>
      <c r="E2152" s="182">
        <v>367</v>
      </c>
      <c r="F2152" s="182">
        <f t="shared" ca="1" si="300"/>
        <v>0</v>
      </c>
      <c r="G2152" s="182">
        <f t="shared" ca="1" si="303"/>
        <v>0</v>
      </c>
      <c r="H2152" s="182">
        <f t="shared" ca="1" si="304"/>
        <v>187838.27090007745</v>
      </c>
      <c r="I2152" s="183">
        <v>367</v>
      </c>
      <c r="J2152" s="263">
        <f t="shared" ca="1" si="305"/>
        <v>187838.27090007745</v>
      </c>
    </row>
    <row r="2153" spans="1:10" x14ac:dyDescent="0.25">
      <c r="A2153" s="180">
        <f t="shared" ca="1" si="306"/>
        <v>48243</v>
      </c>
      <c r="B2153" s="181">
        <v>2139</v>
      </c>
      <c r="C2153" s="182">
        <f t="shared" ca="1" si="301"/>
        <v>187838.27090007745</v>
      </c>
      <c r="D2153" s="182">
        <f t="shared" ca="1" si="302"/>
        <v>125.22551393338496</v>
      </c>
      <c r="E2153" s="182">
        <v>368</v>
      </c>
      <c r="F2153" s="182">
        <f t="shared" ca="1" si="300"/>
        <v>0</v>
      </c>
      <c r="G2153" s="182">
        <f t="shared" ca="1" si="303"/>
        <v>0</v>
      </c>
      <c r="H2153" s="182">
        <f t="shared" ca="1" si="304"/>
        <v>188331.49641401082</v>
      </c>
      <c r="I2153" s="183">
        <v>368</v>
      </c>
      <c r="J2153" s="263">
        <f t="shared" ca="1" si="305"/>
        <v>188331.49641401082</v>
      </c>
    </row>
    <row r="2154" spans="1:10" x14ac:dyDescent="0.25">
      <c r="A2154" s="180">
        <f t="shared" ca="1" si="306"/>
        <v>48244</v>
      </c>
      <c r="B2154" s="181">
        <v>2140</v>
      </c>
      <c r="C2154" s="182">
        <f t="shared" ca="1" si="301"/>
        <v>188331.49641401082</v>
      </c>
      <c r="D2154" s="182">
        <f t="shared" ca="1" si="302"/>
        <v>125.55433094267387</v>
      </c>
      <c r="E2154" s="182">
        <v>369</v>
      </c>
      <c r="F2154" s="182">
        <f t="shared" ca="1" si="300"/>
        <v>0</v>
      </c>
      <c r="G2154" s="182">
        <f t="shared" ca="1" si="303"/>
        <v>0</v>
      </c>
      <c r="H2154" s="182">
        <f t="shared" ca="1" si="304"/>
        <v>188826.05074495351</v>
      </c>
      <c r="I2154" s="183">
        <v>369</v>
      </c>
      <c r="J2154" s="263">
        <f t="shared" ca="1" si="305"/>
        <v>188826.05074495351</v>
      </c>
    </row>
    <row r="2155" spans="1:10" x14ac:dyDescent="0.25">
      <c r="A2155" s="180">
        <f t="shared" ca="1" si="306"/>
        <v>48245</v>
      </c>
      <c r="B2155" s="181">
        <v>2141</v>
      </c>
      <c r="C2155" s="182">
        <f t="shared" ca="1" si="301"/>
        <v>188826.05074495351</v>
      </c>
      <c r="D2155" s="182">
        <f t="shared" ca="1" si="302"/>
        <v>125.884033829969</v>
      </c>
      <c r="E2155" s="182">
        <v>370</v>
      </c>
      <c r="F2155" s="182">
        <f t="shared" ca="1" si="300"/>
        <v>0</v>
      </c>
      <c r="G2155" s="182">
        <f t="shared" ca="1" si="303"/>
        <v>0</v>
      </c>
      <c r="H2155" s="182">
        <f t="shared" ca="1" si="304"/>
        <v>189321.93477878347</v>
      </c>
      <c r="I2155" s="183">
        <v>370</v>
      </c>
      <c r="J2155" s="263">
        <f t="shared" ca="1" si="305"/>
        <v>189321.93477878347</v>
      </c>
    </row>
    <row r="2156" spans="1:10" x14ac:dyDescent="0.25">
      <c r="A2156" s="180">
        <f t="shared" ca="1" si="306"/>
        <v>48246</v>
      </c>
      <c r="B2156" s="181">
        <v>2142</v>
      </c>
      <c r="C2156" s="182">
        <f t="shared" ca="1" si="301"/>
        <v>189321.93477878347</v>
      </c>
      <c r="D2156" s="182">
        <f t="shared" ca="1" si="302"/>
        <v>126.21462318585564</v>
      </c>
      <c r="E2156" s="182">
        <v>371</v>
      </c>
      <c r="F2156" s="182">
        <f t="shared" ref="F2156:F2187" ca="1" si="307">IFERROR(-VLOOKUP(A2156,$P$4:$R$31,2,FALSE),0)</f>
        <v>0</v>
      </c>
      <c r="G2156" s="182">
        <f t="shared" ca="1" si="303"/>
        <v>0</v>
      </c>
      <c r="H2156" s="182">
        <f t="shared" ca="1" si="304"/>
        <v>189819.14940196933</v>
      </c>
      <c r="I2156" s="183">
        <v>371</v>
      </c>
      <c r="J2156" s="263">
        <f t="shared" ca="1" si="305"/>
        <v>189819.14940196933</v>
      </c>
    </row>
    <row r="2157" spans="1:10" x14ac:dyDescent="0.25">
      <c r="A2157" s="180">
        <f t="shared" ca="1" si="306"/>
        <v>48247</v>
      </c>
      <c r="B2157" s="181">
        <v>2143</v>
      </c>
      <c r="C2157" s="182">
        <f t="shared" ca="1" si="301"/>
        <v>189819.14940196933</v>
      </c>
      <c r="D2157" s="182">
        <f t="shared" ca="1" si="302"/>
        <v>126.54609960131289</v>
      </c>
      <c r="E2157" s="182">
        <v>372</v>
      </c>
      <c r="F2157" s="182">
        <f t="shared" ca="1" si="307"/>
        <v>0</v>
      </c>
      <c r="G2157" s="182">
        <f t="shared" ca="1" si="303"/>
        <v>0</v>
      </c>
      <c r="H2157" s="182">
        <f t="shared" ca="1" si="304"/>
        <v>190317.69550157065</v>
      </c>
      <c r="I2157" s="183">
        <v>372</v>
      </c>
      <c r="J2157" s="263">
        <f t="shared" ca="1" si="305"/>
        <v>190317.69550157065</v>
      </c>
    </row>
    <row r="2158" spans="1:10" x14ac:dyDescent="0.25">
      <c r="A2158" s="180">
        <f t="shared" ca="1" si="306"/>
        <v>48248</v>
      </c>
      <c r="B2158" s="181">
        <v>2144</v>
      </c>
      <c r="C2158" s="182">
        <f t="shared" ca="1" si="301"/>
        <v>190317.69550157065</v>
      </c>
      <c r="D2158" s="182">
        <f t="shared" ca="1" si="302"/>
        <v>126.87846366771376</v>
      </c>
      <c r="E2158" s="182">
        <v>373</v>
      </c>
      <c r="F2158" s="182">
        <f t="shared" ca="1" si="307"/>
        <v>0</v>
      </c>
      <c r="G2158" s="182">
        <f t="shared" ca="1" si="303"/>
        <v>0</v>
      </c>
      <c r="H2158" s="182">
        <f t="shared" ca="1" si="304"/>
        <v>190817.57396523835</v>
      </c>
      <c r="I2158" s="183">
        <v>373</v>
      </c>
      <c r="J2158" s="263">
        <f t="shared" ca="1" si="305"/>
        <v>190817.57396523835</v>
      </c>
    </row>
    <row r="2159" spans="1:10" x14ac:dyDescent="0.25">
      <c r="A2159" s="180">
        <f t="shared" ca="1" si="306"/>
        <v>48249</v>
      </c>
      <c r="B2159" s="181">
        <v>2145</v>
      </c>
      <c r="C2159" s="182">
        <f t="shared" ca="1" si="301"/>
        <v>190817.57396523835</v>
      </c>
      <c r="D2159" s="182">
        <f t="shared" ca="1" si="302"/>
        <v>127.21171597682556</v>
      </c>
      <c r="E2159" s="182">
        <v>374</v>
      </c>
      <c r="F2159" s="182">
        <f t="shared" ca="1" si="307"/>
        <v>0</v>
      </c>
      <c r="G2159" s="182">
        <f t="shared" ca="1" si="303"/>
        <v>0</v>
      </c>
      <c r="H2159" s="182">
        <f t="shared" ca="1" si="304"/>
        <v>191318.78568121517</v>
      </c>
      <c r="I2159" s="183">
        <v>374</v>
      </c>
      <c r="J2159" s="263">
        <f t="shared" ca="1" si="305"/>
        <v>191318.78568121517</v>
      </c>
    </row>
    <row r="2160" spans="1:10" x14ac:dyDescent="0.25">
      <c r="A2160" s="180">
        <f t="shared" ca="1" si="306"/>
        <v>48250</v>
      </c>
      <c r="B2160" s="181">
        <v>2146</v>
      </c>
      <c r="C2160" s="182">
        <f t="shared" ca="1" si="301"/>
        <v>191318.78568121517</v>
      </c>
      <c r="D2160" s="182">
        <f t="shared" ca="1" si="302"/>
        <v>127.54585712081011</v>
      </c>
      <c r="E2160" s="182">
        <v>375</v>
      </c>
      <c r="F2160" s="182">
        <f t="shared" ca="1" si="307"/>
        <v>0</v>
      </c>
      <c r="G2160" s="182">
        <f t="shared" ca="1" si="303"/>
        <v>0</v>
      </c>
      <c r="H2160" s="182">
        <f t="shared" ca="1" si="304"/>
        <v>191821.33153833597</v>
      </c>
      <c r="I2160" s="183">
        <v>375</v>
      </c>
      <c r="J2160" s="263">
        <f t="shared" ca="1" si="305"/>
        <v>191821.33153833597</v>
      </c>
    </row>
    <row r="2161" spans="1:10" x14ac:dyDescent="0.25">
      <c r="A2161" s="180">
        <f t="shared" ca="1" si="306"/>
        <v>48251</v>
      </c>
      <c r="B2161" s="181">
        <v>2147</v>
      </c>
      <c r="C2161" s="182">
        <f t="shared" ca="1" si="301"/>
        <v>191821.33153833597</v>
      </c>
      <c r="D2161" s="182">
        <f t="shared" ca="1" si="302"/>
        <v>127.88088769222398</v>
      </c>
      <c r="E2161" s="182">
        <v>376</v>
      </c>
      <c r="F2161" s="182">
        <f t="shared" ca="1" si="307"/>
        <v>0</v>
      </c>
      <c r="G2161" s="182">
        <f t="shared" ca="1" si="303"/>
        <v>0</v>
      </c>
      <c r="H2161" s="182">
        <f t="shared" ca="1" si="304"/>
        <v>192325.21242602819</v>
      </c>
      <c r="I2161" s="183">
        <v>376</v>
      </c>
      <c r="J2161" s="263">
        <f t="shared" ca="1" si="305"/>
        <v>192325.21242602819</v>
      </c>
    </row>
    <row r="2162" spans="1:10" x14ac:dyDescent="0.25">
      <c r="A2162" s="180">
        <f t="shared" ca="1" si="306"/>
        <v>48252</v>
      </c>
      <c r="B2162" s="181">
        <v>2148</v>
      </c>
      <c r="C2162" s="182">
        <f t="shared" ca="1" si="301"/>
        <v>192325.21242602819</v>
      </c>
      <c r="D2162" s="182">
        <f t="shared" ca="1" si="302"/>
        <v>128.21680828401878</v>
      </c>
      <c r="E2162" s="182">
        <v>377</v>
      </c>
      <c r="F2162" s="182">
        <f t="shared" ca="1" si="307"/>
        <v>0</v>
      </c>
      <c r="G2162" s="182">
        <f t="shared" ca="1" si="303"/>
        <v>0</v>
      </c>
      <c r="H2162" s="182">
        <f t="shared" ca="1" si="304"/>
        <v>192830.42923431221</v>
      </c>
      <c r="I2162" s="183">
        <v>377</v>
      </c>
      <c r="J2162" s="263">
        <f t="shared" ca="1" si="305"/>
        <v>192830.42923431221</v>
      </c>
    </row>
    <row r="2163" spans="1:10" x14ac:dyDescent="0.25">
      <c r="A2163" s="180">
        <f t="shared" ca="1" si="306"/>
        <v>48253</v>
      </c>
      <c r="B2163" s="181">
        <v>2149</v>
      </c>
      <c r="C2163" s="182">
        <f t="shared" ca="1" si="301"/>
        <v>192830.42923431221</v>
      </c>
      <c r="D2163" s="182">
        <f t="shared" ca="1" si="302"/>
        <v>128.55361948954146</v>
      </c>
      <c r="E2163" s="182">
        <v>378</v>
      </c>
      <c r="F2163" s="182">
        <f t="shared" ca="1" si="307"/>
        <v>0</v>
      </c>
      <c r="G2163" s="182">
        <f t="shared" ca="1" si="303"/>
        <v>0</v>
      </c>
      <c r="H2163" s="182">
        <f t="shared" ca="1" si="304"/>
        <v>193336.98285380175</v>
      </c>
      <c r="I2163" s="183">
        <v>378</v>
      </c>
      <c r="J2163" s="263">
        <f t="shared" ca="1" si="305"/>
        <v>193336.98285380175</v>
      </c>
    </row>
    <row r="2164" spans="1:10" x14ac:dyDescent="0.25">
      <c r="A2164" s="180">
        <f t="shared" ca="1" si="306"/>
        <v>48254</v>
      </c>
      <c r="B2164" s="181">
        <v>2150</v>
      </c>
      <c r="C2164" s="182">
        <f t="shared" ca="1" si="301"/>
        <v>193336.98285380175</v>
      </c>
      <c r="D2164" s="182">
        <f t="shared" ca="1" si="302"/>
        <v>128.89132190253449</v>
      </c>
      <c r="E2164" s="182">
        <v>379</v>
      </c>
      <c r="F2164" s="182">
        <f t="shared" ca="1" si="307"/>
        <v>0</v>
      </c>
      <c r="G2164" s="182">
        <f t="shared" ca="1" si="303"/>
        <v>0</v>
      </c>
      <c r="H2164" s="182">
        <f t="shared" ca="1" si="304"/>
        <v>193844.87417570429</v>
      </c>
      <c r="I2164" s="183">
        <v>379</v>
      </c>
      <c r="J2164" s="263">
        <f t="shared" ca="1" si="305"/>
        <v>193844.87417570429</v>
      </c>
    </row>
    <row r="2165" spans="1:10" x14ac:dyDescent="0.25">
      <c r="A2165" s="180">
        <f t="shared" ca="1" si="306"/>
        <v>48255</v>
      </c>
      <c r="B2165" s="181">
        <v>2151</v>
      </c>
      <c r="C2165" s="182">
        <f t="shared" ca="1" si="301"/>
        <v>193844.87417570429</v>
      </c>
      <c r="D2165" s="182">
        <f t="shared" ca="1" si="302"/>
        <v>129.22991611713618</v>
      </c>
      <c r="E2165" s="182">
        <v>380</v>
      </c>
      <c r="F2165" s="182">
        <f t="shared" ca="1" si="307"/>
        <v>0</v>
      </c>
      <c r="G2165" s="182">
        <f t="shared" ca="1" si="303"/>
        <v>0</v>
      </c>
      <c r="H2165" s="182">
        <f t="shared" ca="1" si="304"/>
        <v>194354.10409182141</v>
      </c>
      <c r="I2165" s="183">
        <v>380</v>
      </c>
      <c r="J2165" s="263">
        <f t="shared" ca="1" si="305"/>
        <v>194354.10409182141</v>
      </c>
    </row>
    <row r="2166" spans="1:10" x14ac:dyDescent="0.25">
      <c r="A2166" s="180">
        <f t="shared" ca="1" si="306"/>
        <v>48256</v>
      </c>
      <c r="B2166" s="181">
        <v>2152</v>
      </c>
      <c r="C2166" s="182">
        <f t="shared" ca="1" si="301"/>
        <v>194354.10409182141</v>
      </c>
      <c r="D2166" s="182">
        <f t="shared" ca="1" si="302"/>
        <v>129.56940272788094</v>
      </c>
      <c r="E2166" s="182">
        <v>381</v>
      </c>
      <c r="F2166" s="182">
        <f t="shared" ca="1" si="307"/>
        <v>0</v>
      </c>
      <c r="G2166" s="182">
        <f t="shared" ca="1" si="303"/>
        <v>0</v>
      </c>
      <c r="H2166" s="182">
        <f t="shared" ca="1" si="304"/>
        <v>194864.67349454929</v>
      </c>
      <c r="I2166" s="183">
        <v>381</v>
      </c>
      <c r="J2166" s="263">
        <f t="shared" ca="1" si="305"/>
        <v>194864.67349454929</v>
      </c>
    </row>
    <row r="2167" spans="1:10" x14ac:dyDescent="0.25">
      <c r="A2167" s="180">
        <f t="shared" ca="1" si="306"/>
        <v>48257</v>
      </c>
      <c r="B2167" s="181">
        <v>2153</v>
      </c>
      <c r="C2167" s="182">
        <f t="shared" ca="1" si="301"/>
        <v>194864.67349454929</v>
      </c>
      <c r="D2167" s="182">
        <f t="shared" ca="1" si="302"/>
        <v>129.90978232969954</v>
      </c>
      <c r="E2167" s="182">
        <v>382</v>
      </c>
      <c r="F2167" s="182">
        <f t="shared" ca="1" si="307"/>
        <v>0</v>
      </c>
      <c r="G2167" s="182">
        <f t="shared" ca="1" si="303"/>
        <v>0</v>
      </c>
      <c r="H2167" s="182">
        <f t="shared" ca="1" si="304"/>
        <v>195376.58327687898</v>
      </c>
      <c r="I2167" s="183">
        <v>382</v>
      </c>
      <c r="J2167" s="263">
        <f t="shared" ca="1" si="305"/>
        <v>195376.58327687898</v>
      </c>
    </row>
    <row r="2168" spans="1:10" x14ac:dyDescent="0.25">
      <c r="A2168" s="180">
        <f t="shared" ca="1" si="306"/>
        <v>48258</v>
      </c>
      <c r="B2168" s="181">
        <v>2154</v>
      </c>
      <c r="C2168" s="182">
        <f t="shared" ca="1" si="301"/>
        <v>195376.58327687898</v>
      </c>
      <c r="D2168" s="182">
        <f t="shared" ca="1" si="302"/>
        <v>130.25105551791933</v>
      </c>
      <c r="E2168" s="182">
        <v>383</v>
      </c>
      <c r="F2168" s="182">
        <f t="shared" ca="1" si="307"/>
        <v>0</v>
      </c>
      <c r="G2168" s="182">
        <f t="shared" ca="1" si="303"/>
        <v>0</v>
      </c>
      <c r="H2168" s="182">
        <f t="shared" ca="1" si="304"/>
        <v>195889.83433239692</v>
      </c>
      <c r="I2168" s="183">
        <v>383</v>
      </c>
      <c r="J2168" s="263">
        <f t="shared" ca="1" si="305"/>
        <v>195889.83433239692</v>
      </c>
    </row>
    <row r="2169" spans="1:10" x14ac:dyDescent="0.25">
      <c r="A2169" s="180">
        <f t="shared" ca="1" si="306"/>
        <v>48259</v>
      </c>
      <c r="B2169" s="181">
        <v>2155</v>
      </c>
      <c r="C2169" s="182">
        <f t="shared" ca="1" si="301"/>
        <v>195889.83433239692</v>
      </c>
      <c r="D2169" s="182">
        <f t="shared" ca="1" si="302"/>
        <v>130.59322288826462</v>
      </c>
      <c r="E2169" s="182">
        <v>384</v>
      </c>
      <c r="F2169" s="182">
        <f t="shared" ca="1" si="307"/>
        <v>0</v>
      </c>
      <c r="G2169" s="182">
        <f t="shared" ca="1" si="303"/>
        <v>0</v>
      </c>
      <c r="H2169" s="182">
        <f t="shared" ca="1" si="304"/>
        <v>196404.42755528519</v>
      </c>
      <c r="I2169" s="183">
        <v>384</v>
      </c>
      <c r="J2169" s="263">
        <f t="shared" ca="1" si="305"/>
        <v>196404.42755528519</v>
      </c>
    </row>
    <row r="2170" spans="1:10" x14ac:dyDescent="0.25">
      <c r="A2170" s="180">
        <f t="shared" ca="1" si="306"/>
        <v>48260</v>
      </c>
      <c r="B2170" s="181">
        <v>2156</v>
      </c>
      <c r="C2170" s="182">
        <f t="shared" ref="C2170:C2187" ca="1" si="308">H2169</f>
        <v>196404.42755528519</v>
      </c>
      <c r="D2170" s="182">
        <f t="shared" ref="D2170:D2187" ca="1" si="309">(($C$6/360))*C2170</f>
        <v>130.93628503685679</v>
      </c>
      <c r="E2170" s="182">
        <v>385</v>
      </c>
      <c r="F2170" s="182">
        <f t="shared" ca="1" si="307"/>
        <v>0</v>
      </c>
      <c r="G2170" s="182">
        <f t="shared" ref="G2170:G2187" ca="1" si="310">IF(G2169-D2170-E2170&gt;0,G2169-D2170-E2170,0)</f>
        <v>0</v>
      </c>
      <c r="H2170" s="182">
        <f t="shared" ref="H2170:H2187" ca="1" si="311">IF(G2170&gt;0,C2170+F2170+I2170,SUM(C2170:F2170)-G2169)</f>
        <v>196920.36384032204</v>
      </c>
      <c r="I2170" s="183">
        <v>385</v>
      </c>
      <c r="J2170" s="263">
        <f t="shared" ca="1" si="305"/>
        <v>196920.36384032204</v>
      </c>
    </row>
    <row r="2171" spans="1:10" x14ac:dyDescent="0.25">
      <c r="A2171" s="180">
        <f t="shared" ca="1" si="306"/>
        <v>48261</v>
      </c>
      <c r="B2171" s="181">
        <v>2157</v>
      </c>
      <c r="C2171" s="182">
        <f t="shared" ca="1" si="308"/>
        <v>196920.36384032204</v>
      </c>
      <c r="D2171" s="182">
        <f t="shared" ca="1" si="309"/>
        <v>131.2802425602147</v>
      </c>
      <c r="E2171" s="182">
        <v>386</v>
      </c>
      <c r="F2171" s="182">
        <f t="shared" ca="1" si="307"/>
        <v>0</v>
      </c>
      <c r="G2171" s="182">
        <f t="shared" ca="1" si="310"/>
        <v>0</v>
      </c>
      <c r="H2171" s="182">
        <f t="shared" ca="1" si="311"/>
        <v>197437.64408288227</v>
      </c>
      <c r="I2171" s="183">
        <v>386</v>
      </c>
      <c r="J2171" s="263">
        <f t="shared" ca="1" si="305"/>
        <v>197437.64408288227</v>
      </c>
    </row>
    <row r="2172" spans="1:10" x14ac:dyDescent="0.25">
      <c r="A2172" s="180">
        <f t="shared" ca="1" si="306"/>
        <v>48262</v>
      </c>
      <c r="B2172" s="181">
        <v>2158</v>
      </c>
      <c r="C2172" s="182">
        <f t="shared" ca="1" si="308"/>
        <v>197437.64408288227</v>
      </c>
      <c r="D2172" s="182">
        <f t="shared" ca="1" si="309"/>
        <v>131.62509605525483</v>
      </c>
      <c r="E2172" s="182">
        <v>387</v>
      </c>
      <c r="F2172" s="182">
        <f t="shared" ca="1" si="307"/>
        <v>0</v>
      </c>
      <c r="G2172" s="182">
        <f t="shared" ca="1" si="310"/>
        <v>0</v>
      </c>
      <c r="H2172" s="182">
        <f t="shared" ca="1" si="311"/>
        <v>197956.26917893751</v>
      </c>
      <c r="I2172" s="183">
        <v>387</v>
      </c>
      <c r="J2172" s="263">
        <f t="shared" ca="1" si="305"/>
        <v>197956.26917893751</v>
      </c>
    </row>
    <row r="2173" spans="1:10" x14ac:dyDescent="0.25">
      <c r="A2173" s="180">
        <f t="shared" ca="1" si="306"/>
        <v>48263</v>
      </c>
      <c r="B2173" s="181">
        <v>2159</v>
      </c>
      <c r="C2173" s="182">
        <f t="shared" ca="1" si="308"/>
        <v>197956.26917893751</v>
      </c>
      <c r="D2173" s="182">
        <f t="shared" ca="1" si="309"/>
        <v>131.97084611929168</v>
      </c>
      <c r="E2173" s="182">
        <v>388</v>
      </c>
      <c r="F2173" s="182">
        <f t="shared" ca="1" si="307"/>
        <v>0</v>
      </c>
      <c r="G2173" s="182">
        <f t="shared" ca="1" si="310"/>
        <v>0</v>
      </c>
      <c r="H2173" s="182">
        <f t="shared" ca="1" si="311"/>
        <v>198476.24002505679</v>
      </c>
      <c r="I2173" s="183">
        <v>388</v>
      </c>
      <c r="J2173" s="263">
        <f t="shared" ca="1" si="305"/>
        <v>198476.24002505679</v>
      </c>
    </row>
    <row r="2174" spans="1:10" x14ac:dyDescent="0.25">
      <c r="A2174" s="180">
        <f t="shared" ca="1" si="306"/>
        <v>48264</v>
      </c>
      <c r="B2174" s="181">
        <v>2160</v>
      </c>
      <c r="C2174" s="182">
        <f t="shared" ca="1" si="308"/>
        <v>198476.24002505679</v>
      </c>
      <c r="D2174" s="182">
        <f t="shared" ca="1" si="309"/>
        <v>132.31749335003786</v>
      </c>
      <c r="E2174" s="182">
        <v>389</v>
      </c>
      <c r="F2174" s="182">
        <f t="shared" ca="1" si="307"/>
        <v>0</v>
      </c>
      <c r="G2174" s="182">
        <f t="shared" ca="1" si="310"/>
        <v>0</v>
      </c>
      <c r="H2174" s="182">
        <f t="shared" ca="1" si="311"/>
        <v>198997.55751840683</v>
      </c>
      <c r="I2174" s="183">
        <v>389</v>
      </c>
      <c r="J2174" s="263">
        <f t="shared" ca="1" si="305"/>
        <v>198997.55751840683</v>
      </c>
    </row>
    <row r="2175" spans="1:10" x14ac:dyDescent="0.25">
      <c r="A2175" s="180">
        <f t="shared" ca="1" si="306"/>
        <v>48265</v>
      </c>
      <c r="B2175" s="181">
        <v>2161</v>
      </c>
      <c r="C2175" s="182">
        <f t="shared" ca="1" si="308"/>
        <v>198997.55751840683</v>
      </c>
      <c r="D2175" s="182">
        <f t="shared" ca="1" si="309"/>
        <v>132.66503834560456</v>
      </c>
      <c r="E2175" s="182">
        <v>390</v>
      </c>
      <c r="F2175" s="182">
        <f t="shared" ca="1" si="307"/>
        <v>0</v>
      </c>
      <c r="G2175" s="182">
        <f t="shared" ca="1" si="310"/>
        <v>0</v>
      </c>
      <c r="H2175" s="182">
        <f t="shared" ca="1" si="311"/>
        <v>199520.22255675244</v>
      </c>
      <c r="I2175" s="183">
        <v>390</v>
      </c>
      <c r="J2175" s="263">
        <f t="shared" ca="1" si="305"/>
        <v>199520.22255675244</v>
      </c>
    </row>
    <row r="2176" spans="1:10" x14ac:dyDescent="0.25">
      <c r="A2176" s="180">
        <f t="shared" ca="1" si="306"/>
        <v>48266</v>
      </c>
      <c r="B2176" s="181">
        <v>2162</v>
      </c>
      <c r="C2176" s="182">
        <f t="shared" ca="1" si="308"/>
        <v>199520.22255675244</v>
      </c>
      <c r="D2176" s="182">
        <f t="shared" ca="1" si="309"/>
        <v>133.01348170450163</v>
      </c>
      <c r="E2176" s="182">
        <v>391</v>
      </c>
      <c r="F2176" s="182">
        <f t="shared" ca="1" si="307"/>
        <v>0</v>
      </c>
      <c r="G2176" s="182">
        <f t="shared" ca="1" si="310"/>
        <v>0</v>
      </c>
      <c r="H2176" s="182">
        <f t="shared" ca="1" si="311"/>
        <v>200044.23603845693</v>
      </c>
      <c r="I2176" s="183">
        <v>391</v>
      </c>
      <c r="J2176" s="263">
        <f t="shared" ca="1" si="305"/>
        <v>200044.23603845693</v>
      </c>
    </row>
    <row r="2177" spans="1:10" x14ac:dyDescent="0.25">
      <c r="A2177" s="180">
        <f t="shared" ca="1" si="306"/>
        <v>48267</v>
      </c>
      <c r="B2177" s="181">
        <v>2163</v>
      </c>
      <c r="C2177" s="182">
        <f t="shared" ca="1" si="308"/>
        <v>200044.23603845693</v>
      </c>
      <c r="D2177" s="182">
        <f t="shared" ca="1" si="309"/>
        <v>133.36282402563796</v>
      </c>
      <c r="E2177" s="182">
        <v>392</v>
      </c>
      <c r="F2177" s="182">
        <f t="shared" ca="1" si="307"/>
        <v>0</v>
      </c>
      <c r="G2177" s="182">
        <f t="shared" ca="1" si="310"/>
        <v>0</v>
      </c>
      <c r="H2177" s="182">
        <f t="shared" ca="1" si="311"/>
        <v>200569.59886248258</v>
      </c>
      <c r="I2177" s="183">
        <v>392</v>
      </c>
      <c r="J2177" s="263">
        <f t="shared" ca="1" si="305"/>
        <v>200569.59886248258</v>
      </c>
    </row>
    <row r="2178" spans="1:10" x14ac:dyDescent="0.25">
      <c r="A2178" s="180">
        <f t="shared" ca="1" si="306"/>
        <v>48268</v>
      </c>
      <c r="B2178" s="181">
        <v>2164</v>
      </c>
      <c r="C2178" s="182">
        <f t="shared" ca="1" si="308"/>
        <v>200569.59886248258</v>
      </c>
      <c r="D2178" s="182">
        <f t="shared" ca="1" si="309"/>
        <v>133.71306590832171</v>
      </c>
      <c r="E2178" s="182">
        <v>393</v>
      </c>
      <c r="F2178" s="182">
        <f t="shared" ca="1" si="307"/>
        <v>0</v>
      </c>
      <c r="G2178" s="182">
        <f t="shared" ca="1" si="310"/>
        <v>0</v>
      </c>
      <c r="H2178" s="182">
        <f t="shared" ca="1" si="311"/>
        <v>201096.3119283909</v>
      </c>
      <c r="I2178" s="183">
        <v>393</v>
      </c>
      <c r="J2178" s="263">
        <f t="shared" ca="1" si="305"/>
        <v>201096.3119283909</v>
      </c>
    </row>
    <row r="2179" spans="1:10" x14ac:dyDescent="0.25">
      <c r="A2179" s="180">
        <f t="shared" ca="1" si="306"/>
        <v>48269</v>
      </c>
      <c r="B2179" s="181">
        <v>2165</v>
      </c>
      <c r="C2179" s="182">
        <f t="shared" ca="1" si="308"/>
        <v>201096.3119283909</v>
      </c>
      <c r="D2179" s="182">
        <f t="shared" ca="1" si="309"/>
        <v>134.0642079522606</v>
      </c>
      <c r="E2179" s="182">
        <v>394</v>
      </c>
      <c r="F2179" s="182">
        <f t="shared" ca="1" si="307"/>
        <v>0</v>
      </c>
      <c r="G2179" s="182">
        <f t="shared" ca="1" si="310"/>
        <v>0</v>
      </c>
      <c r="H2179" s="182">
        <f t="shared" ca="1" si="311"/>
        <v>201624.37613634317</v>
      </c>
      <c r="I2179" s="183">
        <v>394</v>
      </c>
      <c r="J2179" s="263">
        <f t="shared" ca="1" si="305"/>
        <v>201624.37613634317</v>
      </c>
    </row>
    <row r="2180" spans="1:10" x14ac:dyDescent="0.25">
      <c r="A2180" s="180">
        <f t="shared" ca="1" si="306"/>
        <v>48270</v>
      </c>
      <c r="B2180" s="181">
        <v>2166</v>
      </c>
      <c r="C2180" s="182">
        <f t="shared" ca="1" si="308"/>
        <v>201624.37613634317</v>
      </c>
      <c r="D2180" s="182">
        <f t="shared" ca="1" si="309"/>
        <v>134.4162507575621</v>
      </c>
      <c r="E2180" s="182">
        <v>395</v>
      </c>
      <c r="F2180" s="182">
        <f t="shared" ca="1" si="307"/>
        <v>0</v>
      </c>
      <c r="G2180" s="182">
        <f t="shared" ca="1" si="310"/>
        <v>0</v>
      </c>
      <c r="H2180" s="182">
        <f t="shared" ca="1" si="311"/>
        <v>202153.79238710072</v>
      </c>
      <c r="I2180" s="183">
        <v>395</v>
      </c>
      <c r="J2180" s="263">
        <f t="shared" ca="1" si="305"/>
        <v>202153.79238710072</v>
      </c>
    </row>
    <row r="2181" spans="1:10" x14ac:dyDescent="0.25">
      <c r="A2181" s="180">
        <f t="shared" ca="1" si="306"/>
        <v>48271</v>
      </c>
      <c r="B2181" s="181">
        <v>2167</v>
      </c>
      <c r="C2181" s="182">
        <f t="shared" ca="1" si="308"/>
        <v>202153.79238710072</v>
      </c>
      <c r="D2181" s="182">
        <f t="shared" ca="1" si="309"/>
        <v>134.76919492473382</v>
      </c>
      <c r="E2181" s="182">
        <v>396</v>
      </c>
      <c r="F2181" s="182">
        <f t="shared" ca="1" si="307"/>
        <v>0</v>
      </c>
      <c r="G2181" s="182">
        <f t="shared" ca="1" si="310"/>
        <v>0</v>
      </c>
      <c r="H2181" s="182">
        <f t="shared" ca="1" si="311"/>
        <v>202684.56158202546</v>
      </c>
      <c r="I2181" s="183">
        <v>396</v>
      </c>
      <c r="J2181" s="263">
        <f t="shared" ca="1" si="305"/>
        <v>202684.56158202546</v>
      </c>
    </row>
    <row r="2182" spans="1:10" x14ac:dyDescent="0.25">
      <c r="A2182" s="180">
        <f t="shared" ca="1" si="306"/>
        <v>48272</v>
      </c>
      <c r="B2182" s="181">
        <v>2168</v>
      </c>
      <c r="C2182" s="182">
        <f t="shared" ca="1" si="308"/>
        <v>202684.56158202546</v>
      </c>
      <c r="D2182" s="182">
        <f t="shared" ca="1" si="309"/>
        <v>135.12304105468363</v>
      </c>
      <c r="E2182" s="182">
        <v>397</v>
      </c>
      <c r="F2182" s="182">
        <f t="shared" ca="1" si="307"/>
        <v>0</v>
      </c>
      <c r="G2182" s="182">
        <f t="shared" ca="1" si="310"/>
        <v>0</v>
      </c>
      <c r="H2182" s="182">
        <f t="shared" ca="1" si="311"/>
        <v>203216.68462308013</v>
      </c>
      <c r="I2182" s="183">
        <v>397</v>
      </c>
      <c r="J2182" s="263">
        <f t="shared" ca="1" si="305"/>
        <v>203216.68462308013</v>
      </c>
    </row>
    <row r="2183" spans="1:10" x14ac:dyDescent="0.25">
      <c r="A2183" s="180">
        <f t="shared" ca="1" si="306"/>
        <v>48273</v>
      </c>
      <c r="B2183" s="181">
        <v>2169</v>
      </c>
      <c r="C2183" s="182">
        <f t="shared" ca="1" si="308"/>
        <v>203216.68462308013</v>
      </c>
      <c r="D2183" s="182">
        <f t="shared" ca="1" si="309"/>
        <v>135.47778974872008</v>
      </c>
      <c r="E2183" s="182">
        <v>398</v>
      </c>
      <c r="F2183" s="182">
        <f t="shared" ca="1" si="307"/>
        <v>0</v>
      </c>
      <c r="G2183" s="182">
        <f t="shared" ca="1" si="310"/>
        <v>0</v>
      </c>
      <c r="H2183" s="182">
        <f t="shared" ca="1" si="311"/>
        <v>203750.16241282885</v>
      </c>
      <c r="I2183" s="183">
        <v>398</v>
      </c>
      <c r="J2183" s="263">
        <f t="shared" ca="1" si="305"/>
        <v>203750.16241282885</v>
      </c>
    </row>
    <row r="2184" spans="1:10" x14ac:dyDescent="0.25">
      <c r="A2184" s="180">
        <f t="shared" ca="1" si="306"/>
        <v>48274</v>
      </c>
      <c r="B2184" s="181">
        <v>2170</v>
      </c>
      <c r="C2184" s="182">
        <f t="shared" ca="1" si="308"/>
        <v>203750.16241282885</v>
      </c>
      <c r="D2184" s="182">
        <f t="shared" ca="1" si="309"/>
        <v>135.83344160855256</v>
      </c>
      <c r="E2184" s="182">
        <v>399</v>
      </c>
      <c r="F2184" s="182">
        <f t="shared" ca="1" si="307"/>
        <v>0</v>
      </c>
      <c r="G2184" s="182">
        <f t="shared" ca="1" si="310"/>
        <v>0</v>
      </c>
      <c r="H2184" s="182">
        <f t="shared" ca="1" si="311"/>
        <v>204284.99585443741</v>
      </c>
      <c r="I2184" s="183">
        <v>399</v>
      </c>
      <c r="J2184" s="263">
        <f t="shared" ca="1" si="305"/>
        <v>204284.99585443741</v>
      </c>
    </row>
    <row r="2185" spans="1:10" x14ac:dyDescent="0.25">
      <c r="A2185" s="180">
        <f t="shared" ca="1" si="306"/>
        <v>48275</v>
      </c>
      <c r="B2185" s="181">
        <v>2171</v>
      </c>
      <c r="C2185" s="182">
        <f t="shared" ca="1" si="308"/>
        <v>204284.99585443741</v>
      </c>
      <c r="D2185" s="182">
        <f t="shared" ca="1" si="309"/>
        <v>136.18999723629159</v>
      </c>
      <c r="E2185" s="182">
        <v>400</v>
      </c>
      <c r="F2185" s="182">
        <f t="shared" ca="1" si="307"/>
        <v>0</v>
      </c>
      <c r="G2185" s="182">
        <f t="shared" ca="1" si="310"/>
        <v>0</v>
      </c>
      <c r="H2185" s="182">
        <f t="shared" ca="1" si="311"/>
        <v>204821.18585167371</v>
      </c>
      <c r="I2185" s="183">
        <v>400</v>
      </c>
      <c r="J2185" s="263">
        <f t="shared" ca="1" si="305"/>
        <v>204821.18585167371</v>
      </c>
    </row>
    <row r="2186" spans="1:10" x14ac:dyDescent="0.25">
      <c r="A2186" s="180">
        <f t="shared" ca="1" si="306"/>
        <v>48276</v>
      </c>
      <c r="B2186" s="181">
        <v>2172</v>
      </c>
      <c r="C2186" s="182">
        <f t="shared" ca="1" si="308"/>
        <v>204821.18585167371</v>
      </c>
      <c r="D2186" s="182">
        <f t="shared" ca="1" si="309"/>
        <v>136.54745723444913</v>
      </c>
      <c r="E2186" s="182">
        <v>401</v>
      </c>
      <c r="F2186" s="182">
        <f t="shared" ca="1" si="307"/>
        <v>0</v>
      </c>
      <c r="G2186" s="182">
        <f t="shared" ca="1" si="310"/>
        <v>0</v>
      </c>
      <c r="H2186" s="182">
        <f t="shared" ca="1" si="311"/>
        <v>205358.73330890815</v>
      </c>
      <c r="I2186" s="183">
        <v>401</v>
      </c>
      <c r="J2186" s="263">
        <f t="shared" ca="1" si="305"/>
        <v>205358.73330890815</v>
      </c>
    </row>
    <row r="2187" spans="1:10" x14ac:dyDescent="0.25">
      <c r="A2187" s="180">
        <f t="shared" ca="1" si="306"/>
        <v>48277</v>
      </c>
      <c r="B2187" s="181">
        <v>2173</v>
      </c>
      <c r="C2187" s="182">
        <f t="shared" ca="1" si="308"/>
        <v>205358.73330890815</v>
      </c>
      <c r="D2187" s="182">
        <f t="shared" ca="1" si="309"/>
        <v>136.90582220593876</v>
      </c>
      <c r="E2187" s="182">
        <v>402</v>
      </c>
      <c r="F2187" s="182">
        <f t="shared" ca="1" si="307"/>
        <v>0</v>
      </c>
      <c r="G2187" s="182">
        <f t="shared" ca="1" si="310"/>
        <v>0</v>
      </c>
      <c r="H2187" s="182">
        <f t="shared" ca="1" si="311"/>
        <v>205897.63913111409</v>
      </c>
      <c r="I2187" s="183">
        <v>402</v>
      </c>
      <c r="J2187" s="263">
        <f t="shared" ca="1" si="305"/>
        <v>205897.63913111409</v>
      </c>
    </row>
  </sheetData>
  <mergeCells count="7">
    <mergeCell ref="Q444:S444"/>
    <mergeCell ref="P2:R2"/>
    <mergeCell ref="T2:V2"/>
    <mergeCell ref="X2:Z2"/>
    <mergeCell ref="U27:V27"/>
    <mergeCell ref="Q384:S384"/>
    <mergeCell ref="Q414:S414"/>
  </mergeCells>
  <conditionalFormatting sqref="X27">
    <cfRule type="containsText" dxfId="7" priority="2" operator="containsText" text="NO">
      <formula>NOT(ISERROR(SEARCH("NO",X27)))</formula>
    </cfRule>
    <cfRule type="containsText" dxfId="6" priority="3" operator="containsText" text="YES">
      <formula>NOT(ISERROR(SEARCH("YES",X27)))</formula>
    </cfRule>
    <cfRule type="cellIs" dxfId="5" priority="4" stopIfTrue="1" operator="equal">
      <formula>"""YES"""</formula>
    </cfRule>
  </conditionalFormatting>
  <conditionalFormatting sqref="AC5">
    <cfRule type="cellIs" dxfId="4" priority="1" operator="lessThan">
      <formula>0</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rgb="FF002060"/>
  </sheetPr>
  <dimension ref="B1:J66"/>
  <sheetViews>
    <sheetView topLeftCell="A6" workbookViewId="0">
      <selection activeCell="H24" sqref="H24"/>
    </sheetView>
  </sheetViews>
  <sheetFormatPr defaultColWidth="8.85546875" defaultRowHeight="15" x14ac:dyDescent="0.25"/>
  <cols>
    <col min="2" max="2" width="25.42578125" bestFit="1" customWidth="1"/>
    <col min="3" max="3" width="22.42578125" customWidth="1"/>
    <col min="4" max="4" width="16.85546875" customWidth="1"/>
    <col min="5" max="5" width="6.5703125" customWidth="1"/>
    <col min="6" max="6" width="25.140625" customWidth="1"/>
    <col min="7" max="7" width="26.42578125" bestFit="1" customWidth="1"/>
    <col min="8" max="8" width="12.85546875" customWidth="1"/>
    <col min="9" max="9" width="16.42578125" customWidth="1"/>
    <col min="10" max="10" width="40.42578125" customWidth="1"/>
  </cols>
  <sheetData>
    <row r="1" spans="2:10" ht="12" customHeight="1" x14ac:dyDescent="0.25"/>
    <row r="2" spans="2:10" ht="36" x14ac:dyDescent="0.55000000000000004">
      <c r="B2" s="736">
        <f>ProForma!B1</f>
        <v>0</v>
      </c>
      <c r="C2" s="736"/>
      <c r="D2" s="736"/>
      <c r="E2" s="736"/>
      <c r="F2" s="736"/>
    </row>
    <row r="3" spans="2:10" ht="5.25" customHeight="1" x14ac:dyDescent="0.25"/>
    <row r="4" spans="2:10" x14ac:dyDescent="0.25">
      <c r="B4" s="722" t="s">
        <v>176</v>
      </c>
      <c r="C4" s="722"/>
      <c r="F4" s="729" t="s">
        <v>177</v>
      </c>
      <c r="G4" s="730"/>
      <c r="I4" s="722" t="s">
        <v>178</v>
      </c>
      <c r="J4" s="722"/>
    </row>
    <row r="5" spans="2:10" x14ac:dyDescent="0.25">
      <c r="B5" s="1" t="s">
        <v>179</v>
      </c>
      <c r="C5" s="102">
        <f>'Deal Details'!C11</f>
        <v>0</v>
      </c>
      <c r="F5" s="1">
        <f>'Deal Details'!C15</f>
        <v>0</v>
      </c>
      <c r="I5" s="723"/>
      <c r="J5" s="724"/>
    </row>
    <row r="6" spans="2:10" x14ac:dyDescent="0.25">
      <c r="B6" s="1" t="s">
        <v>180</v>
      </c>
      <c r="C6" s="102">
        <f>'Deal Details'!C12</f>
        <v>0</v>
      </c>
      <c r="F6" s="1"/>
      <c r="I6" s="725"/>
      <c r="J6" s="726"/>
    </row>
    <row r="7" spans="2:10" x14ac:dyDescent="0.25">
      <c r="B7" s="1" t="s">
        <v>181</v>
      </c>
      <c r="C7" s="102">
        <f>'Deal Details'!C6</f>
        <v>0</v>
      </c>
      <c r="F7" s="1" t="s">
        <v>182</v>
      </c>
      <c r="G7">
        <f>'Deal Details'!C16</f>
        <v>0</v>
      </c>
      <c r="I7" s="725"/>
      <c r="J7" s="726"/>
    </row>
    <row r="8" spans="2:10" x14ac:dyDescent="0.25">
      <c r="B8" s="1" t="s">
        <v>183</v>
      </c>
      <c r="C8" s="102">
        <f>'Deal Details'!C7</f>
        <v>0</v>
      </c>
      <c r="F8" s="110"/>
      <c r="I8" s="725"/>
      <c r="J8" s="726"/>
    </row>
    <row r="9" spans="2:10" hidden="1" x14ac:dyDescent="0.25">
      <c r="B9" s="1"/>
      <c r="G9" s="102"/>
      <c r="I9" s="725"/>
      <c r="J9" s="726"/>
    </row>
    <row r="10" spans="2:10" x14ac:dyDescent="0.25">
      <c r="B10" s="1" t="s">
        <v>184</v>
      </c>
      <c r="C10" s="102">
        <f>'Deal Details'!C10</f>
        <v>0</v>
      </c>
      <c r="G10" s="102"/>
      <c r="I10" s="725"/>
      <c r="J10" s="726"/>
    </row>
    <row r="11" spans="2:10" x14ac:dyDescent="0.25">
      <c r="G11" s="102"/>
      <c r="I11" s="725"/>
      <c r="J11" s="726"/>
    </row>
    <row r="12" spans="2:10" ht="15" customHeight="1" x14ac:dyDescent="0.25">
      <c r="B12" s="729" t="s">
        <v>185</v>
      </c>
      <c r="C12" s="740"/>
      <c r="D12" s="740"/>
      <c r="E12" s="740"/>
      <c r="F12" s="740"/>
      <c r="G12" s="730"/>
      <c r="I12" s="727"/>
      <c r="J12" s="728"/>
    </row>
    <row r="13" spans="2:10" ht="15" customHeight="1" x14ac:dyDescent="0.25">
      <c r="B13" s="723"/>
      <c r="C13" s="737"/>
      <c r="D13" s="737"/>
      <c r="E13" s="737"/>
      <c r="F13" s="737"/>
      <c r="G13" s="724"/>
    </row>
    <row r="14" spans="2:10" x14ac:dyDescent="0.25">
      <c r="B14" s="725"/>
      <c r="C14" s="738"/>
      <c r="D14" s="738"/>
      <c r="E14" s="738"/>
      <c r="F14" s="738"/>
      <c r="G14" s="726"/>
      <c r="I14" s="722" t="s">
        <v>186</v>
      </c>
      <c r="J14" s="722"/>
    </row>
    <row r="15" spans="2:10" ht="15" customHeight="1" x14ac:dyDescent="0.25">
      <c r="B15" s="725"/>
      <c r="C15" s="738"/>
      <c r="D15" s="738"/>
      <c r="E15" s="738"/>
      <c r="F15" s="738"/>
      <c r="G15" s="726"/>
      <c r="I15" s="723"/>
      <c r="J15" s="724"/>
    </row>
    <row r="16" spans="2:10" x14ac:dyDescent="0.25">
      <c r="B16" s="725"/>
      <c r="C16" s="738"/>
      <c r="D16" s="738"/>
      <c r="E16" s="738"/>
      <c r="F16" s="738"/>
      <c r="G16" s="726"/>
      <c r="I16" s="725"/>
      <c r="J16" s="726"/>
    </row>
    <row r="17" spans="2:10" x14ac:dyDescent="0.25">
      <c r="B17" s="725"/>
      <c r="C17" s="738"/>
      <c r="D17" s="738"/>
      <c r="E17" s="738"/>
      <c r="F17" s="738"/>
      <c r="G17" s="726"/>
      <c r="I17" s="725"/>
      <c r="J17" s="726"/>
    </row>
    <row r="18" spans="2:10" x14ac:dyDescent="0.25">
      <c r="B18" s="727"/>
      <c r="C18" s="739"/>
      <c r="D18" s="739"/>
      <c r="E18" s="739"/>
      <c r="F18" s="739"/>
      <c r="G18" s="728"/>
      <c r="I18" s="725"/>
      <c r="J18" s="726"/>
    </row>
    <row r="19" spans="2:10" x14ac:dyDescent="0.25">
      <c r="G19" s="102"/>
      <c r="I19" s="725"/>
      <c r="J19" s="726"/>
    </row>
    <row r="20" spans="2:10" x14ac:dyDescent="0.25">
      <c r="B20" s="729" t="s">
        <v>187</v>
      </c>
      <c r="C20" s="730"/>
      <c r="F20" s="731" t="s">
        <v>188</v>
      </c>
      <c r="G20" s="732"/>
      <c r="I20" s="725"/>
      <c r="J20" s="726"/>
    </row>
    <row r="21" spans="2:10" x14ac:dyDescent="0.25">
      <c r="B21" s="1" t="s">
        <v>189</v>
      </c>
      <c r="C21" s="244" t="str">
        <f>'Deal Details'!C27&amp;" Months"</f>
        <v>12 Months</v>
      </c>
      <c r="F21" s="1" t="s">
        <v>27</v>
      </c>
      <c r="G21" s="213">
        <f ca="1">'Deal Details'!C31</f>
        <v>46105</v>
      </c>
      <c r="I21" s="725"/>
      <c r="J21" s="726"/>
    </row>
    <row r="22" spans="2:10" x14ac:dyDescent="0.25">
      <c r="B22" s="1" t="s">
        <v>190</v>
      </c>
      <c r="C22" s="233" t="str">
        <f>ProForma!H54</f>
        <v>$0</v>
      </c>
      <c r="F22" s="1" t="s">
        <v>191</v>
      </c>
      <c r="G22" s="102">
        <f>G44</f>
        <v>867</v>
      </c>
      <c r="I22" s="727"/>
      <c r="J22" s="728"/>
    </row>
    <row r="23" spans="2:10" x14ac:dyDescent="0.25">
      <c r="B23" s="1" t="s">
        <v>192</v>
      </c>
      <c r="C23" s="116">
        <f>C50</f>
        <v>0</v>
      </c>
      <c r="F23" s="1" t="s">
        <v>193</v>
      </c>
      <c r="G23" s="234" t="e" cm="1">
        <f t="array" aca="1" ref="G23" ca="1">INDEX('Senior Amort'!A33:A2180,MATCH(TRUE, ('Senior Amort'!I33:I2180+'Mezz Amort'!J15:J2187)&gt;'Deal Details'!F26,0))</f>
        <v>#N/A</v>
      </c>
      <c r="H23" s="89"/>
    </row>
    <row r="24" spans="2:10" x14ac:dyDescent="0.25">
      <c r="B24" s="1" t="s">
        <v>194</v>
      </c>
      <c r="C24" s="116">
        <f>ProForma!H53</f>
        <v>0</v>
      </c>
      <c r="F24" s="1" t="s">
        <v>195</v>
      </c>
      <c r="G24" s="213">
        <f ca="1">G51</f>
        <v>46876</v>
      </c>
      <c r="H24" s="89"/>
    </row>
    <row r="25" spans="2:10" x14ac:dyDescent="0.25">
      <c r="B25" s="1" t="s">
        <v>196</v>
      </c>
      <c r="C25" s="116" t="str">
        <f>IFERROR(C24/C10,"")</f>
        <v/>
      </c>
      <c r="F25" s="1" t="s">
        <v>197</v>
      </c>
      <c r="G25" s="213">
        <f ca="1">G59</f>
        <v>46397</v>
      </c>
      <c r="H25" s="89"/>
    </row>
    <row r="26" spans="2:10" x14ac:dyDescent="0.25">
      <c r="B26" s="1" t="s">
        <v>198</v>
      </c>
      <c r="C26" s="235" t="str">
        <f>ProForma!H65</f>
        <v/>
      </c>
      <c r="F26" s="1" t="s">
        <v>199</v>
      </c>
      <c r="G26" s="213">
        <f ca="1">G21+G27</f>
        <v>46470</v>
      </c>
      <c r="H26" s="89"/>
    </row>
    <row r="27" spans="2:10" x14ac:dyDescent="0.25">
      <c r="B27" s="1" t="s">
        <v>200</v>
      </c>
      <c r="C27" s="231" t="str">
        <f>ProForma!H66</f>
        <v/>
      </c>
      <c r="F27" s="1" t="s">
        <v>201</v>
      </c>
      <c r="G27" s="102">
        <v>365</v>
      </c>
    </row>
    <row r="29" spans="2:10" x14ac:dyDescent="0.25">
      <c r="B29" s="729" t="s">
        <v>202</v>
      </c>
      <c r="C29" s="734"/>
      <c r="D29" s="735"/>
      <c r="F29" s="729" t="s">
        <v>442</v>
      </c>
      <c r="G29" s="730"/>
      <c r="H29" s="102"/>
    </row>
    <row r="30" spans="2:10" x14ac:dyDescent="0.25">
      <c r="C30" s="103" t="s">
        <v>85</v>
      </c>
      <c r="D30" s="103" t="s">
        <v>78</v>
      </c>
      <c r="F30" s="1" t="s">
        <v>203</v>
      </c>
      <c r="G30" s="231" t="str">
        <f ca="1">IFERROR('Mezz Amort'!Y18,"")</f>
        <v/>
      </c>
      <c r="H30" s="103"/>
    </row>
    <row r="31" spans="2:10" x14ac:dyDescent="0.25">
      <c r="B31" s="1" t="s">
        <v>204</v>
      </c>
      <c r="C31" s="116">
        <f>ProForma!D28</f>
        <v>0</v>
      </c>
      <c r="D31" s="116">
        <f>ProForma!C28</f>
        <v>0</v>
      </c>
      <c r="F31" s="1" t="s">
        <v>205</v>
      </c>
      <c r="G31" s="116">
        <f>IFERROR('Mezz Amort'!I6,"")</f>
        <v>350</v>
      </c>
      <c r="H31" s="116"/>
    </row>
    <row r="32" spans="2:10" x14ac:dyDescent="0.25">
      <c r="B32" s="1" t="s">
        <v>206</v>
      </c>
      <c r="C32" s="245">
        <v>3333</v>
      </c>
      <c r="D32" s="245">
        <f>C32*C10</f>
        <v>0</v>
      </c>
      <c r="F32" s="1" t="s">
        <v>207</v>
      </c>
      <c r="G32" s="116">
        <v>3000</v>
      </c>
    </row>
    <row r="33" spans="2:8" x14ac:dyDescent="0.25">
      <c r="B33" s="1" t="s">
        <v>208</v>
      </c>
      <c r="C33" s="220">
        <f>C31/C32</f>
        <v>0</v>
      </c>
      <c r="D33" s="220" t="str">
        <f>IFERROR(D31/D32,"")</f>
        <v/>
      </c>
      <c r="F33" s="1" t="s">
        <v>209</v>
      </c>
      <c r="G33" s="116">
        <v>1500</v>
      </c>
    </row>
    <row r="34" spans="2:8" x14ac:dyDescent="0.25">
      <c r="B34" s="1" t="s">
        <v>210</v>
      </c>
      <c r="C34" s="232">
        <f>ProForma!E37</f>
        <v>0</v>
      </c>
      <c r="D34" s="116"/>
      <c r="F34" s="1" t="s">
        <v>211</v>
      </c>
      <c r="G34" s="116">
        <f ca="1">IFERROR('Mezz Amort'!Y17+'Mezz Amort'!Y4-SUM('Mezz Amort'!I4:I5),"")</f>
        <v>-17359.766459155566</v>
      </c>
      <c r="H34" s="102"/>
    </row>
    <row r="35" spans="2:8" x14ac:dyDescent="0.25">
      <c r="B35" s="1" t="s">
        <v>212</v>
      </c>
      <c r="C35" s="116">
        <f>-C31*$C$34</f>
        <v>0</v>
      </c>
      <c r="D35" s="116">
        <f>-D31*$C$34</f>
        <v>0</v>
      </c>
      <c r="F35" s="1" t="s">
        <v>213</v>
      </c>
      <c r="G35" s="236">
        <f ca="1">SUM(G31:G34)</f>
        <v>-12509.766459155566</v>
      </c>
      <c r="H35" s="103"/>
    </row>
    <row r="36" spans="2:8" x14ac:dyDescent="0.25">
      <c r="B36" s="1" t="s">
        <v>214</v>
      </c>
      <c r="C36" s="220">
        <f>C31+C35</f>
        <v>0</v>
      </c>
      <c r="D36" s="220">
        <f>D31+D35</f>
        <v>0</v>
      </c>
      <c r="E36" s="116"/>
      <c r="F36" s="1" t="s">
        <v>215</v>
      </c>
      <c r="G36" s="116">
        <f>D43</f>
        <v>0</v>
      </c>
      <c r="H36" s="116"/>
    </row>
    <row r="37" spans="2:8" x14ac:dyDescent="0.25">
      <c r="C37" s="116"/>
      <c r="E37" s="116"/>
      <c r="F37" s="1" t="s">
        <v>216</v>
      </c>
      <c r="G37" s="116">
        <f>ProForma!H47</f>
        <v>-9490.1624870846626</v>
      </c>
      <c r="H37" s="116"/>
    </row>
    <row r="38" spans="2:8" x14ac:dyDescent="0.25">
      <c r="B38" s="729" t="s">
        <v>128</v>
      </c>
      <c r="C38" s="734"/>
      <c r="D38" s="735"/>
      <c r="E38" s="116"/>
      <c r="F38" s="1" t="s">
        <v>217</v>
      </c>
      <c r="G38" s="105" t="str">
        <f>IFERROR(C22/SUM($C$22:$C$23),"")</f>
        <v/>
      </c>
      <c r="H38" s="116"/>
    </row>
    <row r="39" spans="2:8" x14ac:dyDescent="0.25">
      <c r="C39" s="103" t="s">
        <v>85</v>
      </c>
      <c r="D39" s="103" t="s">
        <v>78</v>
      </c>
      <c r="E39" s="116"/>
      <c r="F39" s="1" t="s">
        <v>218</v>
      </c>
      <c r="G39" s="105" t="str">
        <f>IFERROR(C23/SUM($C$22:$C$23),"")</f>
        <v/>
      </c>
      <c r="H39" s="116"/>
    </row>
    <row r="40" spans="2:8" x14ac:dyDescent="0.25">
      <c r="B40" s="1" t="s">
        <v>219</v>
      </c>
      <c r="C40" s="116" t="str">
        <f>ProForma!D33</f>
        <v/>
      </c>
      <c r="D40" s="116">
        <f>ProForma!C33</f>
        <v>0</v>
      </c>
      <c r="E40" s="116"/>
      <c r="F40" s="733"/>
      <c r="G40" s="733"/>
      <c r="H40" s="116"/>
    </row>
    <row r="41" spans="2:8" x14ac:dyDescent="0.25">
      <c r="B41" s="1" t="s">
        <v>220</v>
      </c>
      <c r="C41" s="116" t="str">
        <f>ProForma!D34</f>
        <v/>
      </c>
      <c r="D41" s="116">
        <f>ProForma!C34</f>
        <v>0</v>
      </c>
      <c r="E41" s="116"/>
      <c r="H41" s="116"/>
    </row>
    <row r="42" spans="2:8" x14ac:dyDescent="0.25">
      <c r="B42" s="1" t="s">
        <v>221</v>
      </c>
      <c r="C42" s="116" t="str">
        <f>ProForma!D35</f>
        <v/>
      </c>
      <c r="D42" s="116">
        <f>ProForma!C35</f>
        <v>0</v>
      </c>
      <c r="F42" s="729" t="s">
        <v>222</v>
      </c>
      <c r="G42" s="730"/>
    </row>
    <row r="43" spans="2:8" x14ac:dyDescent="0.25">
      <c r="B43" s="1" t="s">
        <v>223</v>
      </c>
      <c r="C43" s="116" t="str">
        <f>ProForma!D36</f>
        <v/>
      </c>
      <c r="D43" s="116">
        <f>ProForma!C36</f>
        <v>0</v>
      </c>
      <c r="F43" t="s">
        <v>193</v>
      </c>
      <c r="G43" s="213" t="e">
        <f ca="1">G23</f>
        <v>#N/A</v>
      </c>
      <c r="H43" s="116"/>
    </row>
    <row r="44" spans="2:8" x14ac:dyDescent="0.25">
      <c r="B44" s="1" t="s">
        <v>224</v>
      </c>
      <c r="C44" s="116" t="str">
        <f>ProForma!D37</f>
        <v/>
      </c>
      <c r="D44" s="116">
        <f>ProForma!C37</f>
        <v>0</v>
      </c>
      <c r="F44" t="s">
        <v>191</v>
      </c>
      <c r="G44" s="102">
        <v>867</v>
      </c>
    </row>
    <row r="45" spans="2:8" x14ac:dyDescent="0.25">
      <c r="B45" s="1" t="s">
        <v>225</v>
      </c>
      <c r="C45" s="220">
        <f>SUM(C40:C44)</f>
        <v>0</v>
      </c>
      <c r="D45" s="220">
        <f>ProForma!C41</f>
        <v>0</v>
      </c>
      <c r="F45" t="s">
        <v>226</v>
      </c>
      <c r="G45" s="116" t="str">
        <f ca="1">IFERROR(VLOOKUP(G23,'Mezz Amort'!$A$15:$I$1810,7,FALSE),"")</f>
        <v/>
      </c>
    </row>
    <row r="46" spans="2:8" x14ac:dyDescent="0.25">
      <c r="B46" s="1" t="s">
        <v>227</v>
      </c>
      <c r="C46" s="116">
        <f>C45/C32</f>
        <v>0</v>
      </c>
      <c r="D46" s="116" t="e">
        <f>D45/D32</f>
        <v>#DIV/0!</v>
      </c>
      <c r="F46" t="s">
        <v>228</v>
      </c>
      <c r="G46" s="116" t="str">
        <f ca="1">IFERROR(VLOOKUP(G23,'Senior Amort'!$A$33:$I$1835,9,FALSE),"")</f>
        <v/>
      </c>
    </row>
    <row r="47" spans="2:8" x14ac:dyDescent="0.25">
      <c r="F47" t="s">
        <v>229</v>
      </c>
      <c r="G47" s="230">
        <f ca="1">SUM(G45:G46)</f>
        <v>0</v>
      </c>
    </row>
    <row r="48" spans="2:8" x14ac:dyDescent="0.25">
      <c r="B48" s="729" t="str">
        <f>'Senior Amort'!K7</f>
        <v xml:space="preserve">Senior Loan Information </v>
      </c>
      <c r="C48" s="734"/>
      <c r="D48" s="131" t="s">
        <v>230</v>
      </c>
      <c r="F48" t="s">
        <v>231</v>
      </c>
      <c r="G48" s="116">
        <f>D31-D44</f>
        <v>0</v>
      </c>
    </row>
    <row r="49" spans="2:7" x14ac:dyDescent="0.25">
      <c r="B49" s="132" t="str">
        <f>'Senior Amort'!K8</f>
        <v>Institution</v>
      </c>
      <c r="C49" s="238">
        <f>'Deal Details'!C16</f>
        <v>0</v>
      </c>
      <c r="D49" s="713"/>
    </row>
    <row r="50" spans="2:7" x14ac:dyDescent="0.25">
      <c r="B50" s="132" t="str">
        <f>'Senior Amort'!K9</f>
        <v>Total Amount</v>
      </c>
      <c r="C50" s="239">
        <f>'Senior Amort'!L9</f>
        <v>0</v>
      </c>
      <c r="D50" s="714"/>
      <c r="F50" s="729" t="s">
        <v>232</v>
      </c>
      <c r="G50" s="730"/>
    </row>
    <row r="51" spans="2:7" x14ac:dyDescent="0.25">
      <c r="B51" s="132" t="str">
        <f>'Senior Amort'!K10</f>
        <v xml:space="preserve">Rate </v>
      </c>
      <c r="C51" s="243">
        <f>'Senior Amort'!L10</f>
        <v>0.12</v>
      </c>
      <c r="D51" s="714"/>
      <c r="F51" t="s">
        <v>1</v>
      </c>
      <c r="G51" s="213">
        <f ca="1">$G$21+G52</f>
        <v>46876</v>
      </c>
    </row>
    <row r="52" spans="2:7" x14ac:dyDescent="0.25">
      <c r="B52" s="132" t="str">
        <f>'Senior Amort'!K11</f>
        <v>Points</v>
      </c>
      <c r="C52" s="240">
        <f>'Senior Amort'!L11</f>
        <v>0.03</v>
      </c>
      <c r="D52" s="714"/>
      <c r="F52" t="s">
        <v>191</v>
      </c>
      <c r="G52" s="102">
        <v>771</v>
      </c>
    </row>
    <row r="53" spans="2:7" x14ac:dyDescent="0.25">
      <c r="B53" s="132" t="str">
        <f>'Senior Amort'!K12</f>
        <v>Origination Fee</v>
      </c>
      <c r="C53" s="239">
        <f>'Senior Amort'!L12</f>
        <v>0</v>
      </c>
      <c r="D53" s="714"/>
      <c r="F53" t="s">
        <v>226</v>
      </c>
      <c r="G53" s="116">
        <f ca="1">IFERROR(VLOOKUP(G51,'Mezz Amort'!$A$15:$I$1810,7,FALSE),"")</f>
        <v>0</v>
      </c>
    </row>
    <row r="54" spans="2:7" x14ac:dyDescent="0.25">
      <c r="B54" s="132" t="str">
        <f>'Senior Amort'!K13</f>
        <v>Reserves</v>
      </c>
      <c r="C54" s="239">
        <f>'Senior Amort'!L13</f>
        <v>0</v>
      </c>
      <c r="D54" s="714"/>
      <c r="F54" t="s">
        <v>228</v>
      </c>
      <c r="G54" s="116" t="str">
        <f ca="1">IFERROR(VLOOKUP(G51,'Senior Amort'!$A$33:$I$1835,9,FALSE),"")</f>
        <v/>
      </c>
    </row>
    <row r="55" spans="2:7" x14ac:dyDescent="0.25">
      <c r="B55" s="132" t="str">
        <f>'Senior Amort'!K14</f>
        <v>Orig. Maturity Date</v>
      </c>
      <c r="C55" s="239">
        <f ca="1">'Senior Amort'!L14</f>
        <v>46470</v>
      </c>
      <c r="D55" s="714"/>
      <c r="F55" t="s">
        <v>229</v>
      </c>
      <c r="G55" s="230">
        <f ca="1">SUM(G53:G54)</f>
        <v>0</v>
      </c>
    </row>
    <row r="56" spans="2:7" x14ac:dyDescent="0.25">
      <c r="B56" s="132" t="str">
        <f>'Senior Amort'!K15</f>
        <v>Extended Maturity</v>
      </c>
      <c r="C56" s="238" t="str">
        <f>'Senior Amort'!L15</f>
        <v>NA</v>
      </c>
      <c r="D56" s="714"/>
      <c r="F56" t="s">
        <v>233</v>
      </c>
      <c r="G56" s="116">
        <f>G48*0.95</f>
        <v>0</v>
      </c>
    </row>
    <row r="57" spans="2:7" x14ac:dyDescent="0.25">
      <c r="B57" s="132" t="str">
        <f>'Senior Amort'!K16</f>
        <v>Default Interest</v>
      </c>
      <c r="C57" s="240">
        <f>'Senior Amort'!L16</f>
        <v>0.24</v>
      </c>
      <c r="D57" s="714"/>
    </row>
    <row r="58" spans="2:7" x14ac:dyDescent="0.25">
      <c r="B58" s="132" t="str">
        <f>'Senior Amort'!K17</f>
        <v>Extension Fees</v>
      </c>
      <c r="C58" s="238">
        <f>'Senior Amort'!L17</f>
        <v>0</v>
      </c>
      <c r="D58" s="146" t="str">
        <f>'Senior Amort'!M17</f>
        <v>Current LTV</v>
      </c>
      <c r="F58" s="729" t="s">
        <v>234</v>
      </c>
      <c r="G58" s="730"/>
    </row>
    <row r="59" spans="2:7" x14ac:dyDescent="0.25">
      <c r="B59" s="132" t="str">
        <f>'Senior Amort'!K18</f>
        <v>Balance</v>
      </c>
      <c r="C59" s="239">
        <f>'Senior Amort'!L18</f>
        <v>0</v>
      </c>
      <c r="D59" s="242" t="e">
        <f ca="1">'Senior Amort'!M18</f>
        <v>#DIV/0!</v>
      </c>
      <c r="F59" t="s">
        <v>1</v>
      </c>
      <c r="G59" s="213">
        <f ca="1">G21+G60</f>
        <v>46397</v>
      </c>
    </row>
    <row r="60" spans="2:7" x14ac:dyDescent="0.25">
      <c r="B60" s="132" t="str">
        <f>'Senior Amort'!K19</f>
        <v>Left to Draw</v>
      </c>
      <c r="C60" s="239" t="e">
        <f>'Senior Amort'!L19</f>
        <v>#REF!</v>
      </c>
      <c r="D60" s="146">
        <f>'Senior Amort'!M19</f>
        <v>0</v>
      </c>
      <c r="F60" t="s">
        <v>191</v>
      </c>
      <c r="G60" s="102">
        <v>292</v>
      </c>
    </row>
    <row r="61" spans="2:7" x14ac:dyDescent="0.25">
      <c r="B61" s="132" t="str">
        <f>'Senior Amort'!K20</f>
        <v>Valuation</v>
      </c>
      <c r="C61" s="239">
        <f>'Senior Amort'!L20</f>
        <v>0</v>
      </c>
      <c r="D61" s="146">
        <f>'Senior Amort'!M20</f>
        <v>0</v>
      </c>
      <c r="F61" t="s">
        <v>226</v>
      </c>
      <c r="G61" s="116">
        <f ca="1">IFERROR(VLOOKUP(G59,'Mezz Amort'!$A$15:$I$1810,7,FALSE),"")</f>
        <v>1563.3333333333701</v>
      </c>
    </row>
    <row r="62" spans="2:7" ht="25.5" x14ac:dyDescent="0.25">
      <c r="B62" s="132" t="str">
        <f>'Senior Amort'!K21</f>
        <v>Valuation Date</v>
      </c>
      <c r="C62" s="237">
        <f>'Senior Amort'!L21</f>
        <v>43125</v>
      </c>
      <c r="D62" s="146" t="str">
        <f>'Senior Amort'!M21</f>
        <v>Total Debt + Liabilities</v>
      </c>
      <c r="F62" t="s">
        <v>228</v>
      </c>
      <c r="G62" s="116" t="str">
        <f ca="1">IFERROR(VLOOKUP(G59,'Senior Amort'!$A$33:$I$1835,9,FALSE),"")</f>
        <v/>
      </c>
    </row>
    <row r="63" spans="2:7" x14ac:dyDescent="0.25">
      <c r="B63" s="132" t="str">
        <f>'Senior Amort'!K22</f>
        <v>Method</v>
      </c>
      <c r="C63" s="238" t="str">
        <f>'Senior Amort'!L22</f>
        <v>Comparable Sales</v>
      </c>
      <c r="D63" s="146">
        <f ca="1">'Senior Amort'!M22</f>
        <v>29400</v>
      </c>
      <c r="F63" t="s">
        <v>229</v>
      </c>
      <c r="G63" s="230">
        <f ca="1">SUM(G61:G62)</f>
        <v>1563.3333333333701</v>
      </c>
    </row>
    <row r="64" spans="2:7" x14ac:dyDescent="0.25">
      <c r="B64" s="132" t="str">
        <f>'Senior Amort'!K24</f>
        <v>Senior Cost/Day</v>
      </c>
      <c r="C64" s="239">
        <f ca="1">'Senior Amort'!L23</f>
        <v>23.333333333333332</v>
      </c>
      <c r="D64" s="146" t="str">
        <f>'Senior Amort'!M23</f>
        <v>Left to Draw</v>
      </c>
      <c r="F64" t="s">
        <v>235</v>
      </c>
      <c r="G64" s="116">
        <f>G48*0.9</f>
        <v>0</v>
      </c>
    </row>
    <row r="65" spans="2:4" x14ac:dyDescent="0.25">
      <c r="B65" s="132" t="str">
        <f>'Senior Amort'!K23</f>
        <v>Cambia Cost/Day</v>
      </c>
      <c r="C65" s="239">
        <f ca="1">'Senior Amort'!L24</f>
        <v>0</v>
      </c>
      <c r="D65" s="219" t="e">
        <f>'Senior Amort'!M24</f>
        <v>#REF!</v>
      </c>
    </row>
    <row r="66" spans="2:4" x14ac:dyDescent="0.25">
      <c r="B66" s="132" t="str">
        <f>'Senior Amort'!K25</f>
        <v>Finance cost/Day</v>
      </c>
      <c r="C66" s="241">
        <f ca="1">'Senior Amort'!L25</f>
        <v>0</v>
      </c>
      <c r="D66" s="111" t="s">
        <v>236</v>
      </c>
    </row>
  </sheetData>
  <mergeCells count="20">
    <mergeCell ref="B2:F2"/>
    <mergeCell ref="F4:G4"/>
    <mergeCell ref="B13:G18"/>
    <mergeCell ref="B12:G12"/>
    <mergeCell ref="B29:D29"/>
    <mergeCell ref="B20:C20"/>
    <mergeCell ref="B4:C4"/>
    <mergeCell ref="F58:G58"/>
    <mergeCell ref="F50:G50"/>
    <mergeCell ref="F40:G40"/>
    <mergeCell ref="B38:D38"/>
    <mergeCell ref="F42:G42"/>
    <mergeCell ref="B48:C48"/>
    <mergeCell ref="D49:D57"/>
    <mergeCell ref="I4:J4"/>
    <mergeCell ref="I14:J14"/>
    <mergeCell ref="I5:J12"/>
    <mergeCell ref="I15:J22"/>
    <mergeCell ref="F29:G29"/>
    <mergeCell ref="F20:G20"/>
  </mergeCells>
  <conditionalFormatting sqref="C26">
    <cfRule type="cellIs" dxfId="3" priority="4" operator="greaterThan">
      <formula>0.8</formula>
    </cfRule>
    <cfRule type="cellIs" dxfId="2" priority="5" operator="lessThan">
      <formula>0</formula>
    </cfRule>
  </conditionalFormatting>
  <conditionalFormatting sqref="C34">
    <cfRule type="cellIs" dxfId="1" priority="1" operator="greaterThan">
      <formula>0.8</formula>
    </cfRule>
    <cfRule type="cellIs" dxfId="0" priority="2" operator="lessThan">
      <formula>0</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1F8E-791D-461C-9EC3-7EAC786DCCE8}">
  <dimension ref="A1:O13"/>
  <sheetViews>
    <sheetView workbookViewId="0">
      <selection activeCell="O21" sqref="O21"/>
    </sheetView>
  </sheetViews>
  <sheetFormatPr defaultRowHeight="15" x14ac:dyDescent="0.25"/>
  <cols>
    <col min="1" max="1" width="19" customWidth="1"/>
    <col min="2" max="2" width="13" bestFit="1" customWidth="1"/>
    <col min="3" max="3" width="15.85546875" bestFit="1" customWidth="1"/>
    <col min="4" max="4" width="14.5703125" bestFit="1" customWidth="1"/>
    <col min="5" max="7" width="15.85546875" bestFit="1" customWidth="1"/>
    <col min="8" max="10" width="14.5703125" bestFit="1" customWidth="1"/>
    <col min="12" max="13" width="13" bestFit="1" customWidth="1"/>
    <col min="14" max="14" width="14.5703125" bestFit="1" customWidth="1"/>
    <col min="15" max="15" width="13" bestFit="1" customWidth="1"/>
  </cols>
  <sheetData>
    <row r="1" spans="1:15" ht="15.75" thickBot="1" x14ac:dyDescent="0.3"/>
    <row r="2" spans="1:15" ht="15.75" thickBot="1" x14ac:dyDescent="0.3">
      <c r="A2" s="605" t="s">
        <v>552</v>
      </c>
      <c r="B2" s="606">
        <f>'Deal Details'!C3</f>
        <v>0</v>
      </c>
      <c r="C2" s="605" t="s">
        <v>560</v>
      </c>
      <c r="D2" s="609">
        <f ca="1">'Deal Details'!C31</f>
        <v>46105</v>
      </c>
      <c r="E2" s="605" t="s">
        <v>559</v>
      </c>
      <c r="F2" s="610" t="str">
        <f>'Deal Details'!F36</f>
        <v/>
      </c>
    </row>
    <row r="3" spans="1:15" ht="15.75" thickBot="1" x14ac:dyDescent="0.3">
      <c r="A3" s="583"/>
      <c r="B3" s="607"/>
      <c r="C3" s="69"/>
      <c r="D3" s="608"/>
      <c r="E3" s="69"/>
      <c r="F3" s="611"/>
      <c r="G3" s="605" t="s">
        <v>562</v>
      </c>
      <c r="H3" s="741" t="s">
        <v>557</v>
      </c>
      <c r="I3" s="742"/>
      <c r="J3" s="743"/>
      <c r="L3" s="605" t="s">
        <v>561</v>
      </c>
      <c r="M3" s="741" t="s">
        <v>557</v>
      </c>
      <c r="N3" s="742"/>
      <c r="O3" s="743"/>
    </row>
    <row r="4" spans="1:15" ht="15.75" thickBot="1" x14ac:dyDescent="0.3">
      <c r="A4" s="600" t="s">
        <v>549</v>
      </c>
      <c r="B4" s="586" t="s">
        <v>550</v>
      </c>
      <c r="C4" s="612" t="s">
        <v>77</v>
      </c>
      <c r="D4" s="612" t="s">
        <v>551</v>
      </c>
      <c r="E4" s="613" t="s">
        <v>553</v>
      </c>
      <c r="G4" s="600" t="s">
        <v>555</v>
      </c>
      <c r="H4" s="614">
        <v>0.2</v>
      </c>
      <c r="I4" s="615">
        <v>0.25</v>
      </c>
      <c r="J4" s="616">
        <v>0.3</v>
      </c>
      <c r="L4" s="600" t="s">
        <v>556</v>
      </c>
      <c r="M4" s="617">
        <v>0.2</v>
      </c>
      <c r="N4" s="618">
        <v>0.25</v>
      </c>
      <c r="O4" s="619">
        <v>0.3</v>
      </c>
    </row>
    <row r="5" spans="1:15" ht="15.75" thickBot="1" x14ac:dyDescent="0.3">
      <c r="E5" s="587"/>
      <c r="F5" s="130"/>
      <c r="G5" s="597"/>
      <c r="J5" s="48"/>
      <c r="L5" s="46"/>
      <c r="O5" s="48"/>
    </row>
    <row r="6" spans="1:15" ht="15.75" thickBot="1" x14ac:dyDescent="0.3">
      <c r="A6">
        <f>Valuation!A2</f>
        <v>0</v>
      </c>
      <c r="B6" s="160">
        <f>Valuation!B2</f>
        <v>0</v>
      </c>
      <c r="C6">
        <f>Valuation!C2</f>
        <v>0</v>
      </c>
      <c r="D6" s="160">
        <f>Valuation!D2</f>
        <v>0</v>
      </c>
      <c r="E6" s="589" t="e">
        <f>D6/$D$13</f>
        <v>#DIV/0!</v>
      </c>
      <c r="G6" s="594" t="e">
        <f>'Deal Details'!$C$29*'Release Price'!E6</f>
        <v>#DIV/0!</v>
      </c>
      <c r="H6" s="595" t="e">
        <f>G6*(1+$H$4)</f>
        <v>#DIV/0!</v>
      </c>
      <c r="I6" s="595" t="e">
        <f>G6*(1+$I$4)</f>
        <v>#DIV/0!</v>
      </c>
      <c r="J6" s="596" t="e">
        <f>I6*(1+$J$4)</f>
        <v>#DIV/0!</v>
      </c>
      <c r="L6" s="594" t="e">
        <f>G6/C6</f>
        <v>#DIV/0!</v>
      </c>
      <c r="M6" s="595" t="e">
        <f>L6*(1+$M$4)</f>
        <v>#DIV/0!</v>
      </c>
      <c r="N6" s="595" t="e">
        <f>L6*(1+$N$4)</f>
        <v>#DIV/0!</v>
      </c>
      <c r="O6" s="596" t="e">
        <f>L6*(1+$O$4)</f>
        <v>#DIV/0!</v>
      </c>
    </row>
    <row r="7" spans="1:15" x14ac:dyDescent="0.25">
      <c r="A7">
        <f>Valuation!A3</f>
        <v>0</v>
      </c>
      <c r="B7" s="160">
        <f>Valuation!B3</f>
        <v>0</v>
      </c>
      <c r="C7">
        <f>Valuation!C3</f>
        <v>0</v>
      </c>
      <c r="D7" s="160">
        <f>Valuation!D3</f>
        <v>0</v>
      </c>
      <c r="E7" s="589" t="e">
        <f t="shared" ref="E7:E9" si="0">D7/$D$13</f>
        <v>#DIV/0!</v>
      </c>
      <c r="G7" s="597" t="e">
        <f>'Deal Details'!$C$29*'Release Price'!E7</f>
        <v>#DIV/0!</v>
      </c>
      <c r="H7" s="160" t="e">
        <f t="shared" ref="H7:H11" si="1">G7*(1+$H$4)</f>
        <v>#DIV/0!</v>
      </c>
      <c r="I7" s="160" t="e">
        <f t="shared" ref="I7:I11" si="2">G7*(1+$I$4)</f>
        <v>#DIV/0!</v>
      </c>
      <c r="J7" s="598" t="e">
        <f t="shared" ref="J7:J11" si="3">I7*(1+$J$4)</f>
        <v>#DIV/0!</v>
      </c>
      <c r="L7" s="594">
        <f>IF($B$7&gt;0,G7/$C$7,0)</f>
        <v>0</v>
      </c>
      <c r="M7" s="595">
        <f t="shared" ref="M7:O7" si="4">IF($B$7&gt;0,H7/$C$7,0)</f>
        <v>0</v>
      </c>
      <c r="N7" s="595">
        <f t="shared" si="4"/>
        <v>0</v>
      </c>
      <c r="O7" s="596">
        <f t="shared" si="4"/>
        <v>0</v>
      </c>
    </row>
    <row r="8" spans="1:15" ht="15.75" thickBot="1" x14ac:dyDescent="0.3">
      <c r="A8" s="69">
        <f>Valuation!A4</f>
        <v>0</v>
      </c>
      <c r="B8" s="591">
        <f>Valuation!B4</f>
        <v>0</v>
      </c>
      <c r="C8" s="69">
        <f>Valuation!C4</f>
        <v>0</v>
      </c>
      <c r="D8" s="591">
        <f>Valuation!D4</f>
        <v>0</v>
      </c>
      <c r="E8" s="593" t="e">
        <f t="shared" si="0"/>
        <v>#DIV/0!</v>
      </c>
      <c r="G8" s="599" t="e">
        <f>'Deal Details'!$C$29*'Release Price'!E8</f>
        <v>#DIV/0!</v>
      </c>
      <c r="H8" s="591" t="e">
        <f t="shared" si="1"/>
        <v>#DIV/0!</v>
      </c>
      <c r="I8" s="591" t="e">
        <f t="shared" si="2"/>
        <v>#DIV/0!</v>
      </c>
      <c r="J8" s="588" t="e">
        <f t="shared" si="3"/>
        <v>#DIV/0!</v>
      </c>
      <c r="L8" s="599">
        <f>IF($B$8&gt;0,G8/$C$8,0)</f>
        <v>0</v>
      </c>
      <c r="M8" s="591">
        <f t="shared" ref="M8:O8" si="5">IF($B$8&gt;0,H8/$C$8,0)</f>
        <v>0</v>
      </c>
      <c r="N8" s="591">
        <f t="shared" si="5"/>
        <v>0</v>
      </c>
      <c r="O8" s="588">
        <f t="shared" si="5"/>
        <v>0</v>
      </c>
    </row>
    <row r="9" spans="1:15" x14ac:dyDescent="0.25">
      <c r="A9" t="s">
        <v>558</v>
      </c>
      <c r="B9" s="160"/>
      <c r="C9">
        <f>SUM(C6:C8)</f>
        <v>0</v>
      </c>
      <c r="D9" s="160">
        <f>SUM(D6:D8)</f>
        <v>0</v>
      </c>
      <c r="E9" s="589" t="e">
        <f t="shared" si="0"/>
        <v>#DIV/0!</v>
      </c>
      <c r="G9" s="597" t="e">
        <f>SUM(G6:G8)</f>
        <v>#DIV/0!</v>
      </c>
      <c r="H9" s="160" t="e">
        <f t="shared" si="1"/>
        <v>#DIV/0!</v>
      </c>
      <c r="I9" s="160" t="e">
        <f t="shared" si="2"/>
        <v>#DIV/0!</v>
      </c>
      <c r="J9" s="598" t="e">
        <f t="shared" si="3"/>
        <v>#DIV/0!</v>
      </c>
      <c r="L9" s="597" t="e">
        <f t="shared" ref="L9" si="6">G9/C9</f>
        <v>#DIV/0!</v>
      </c>
      <c r="M9" s="160" t="e">
        <f>L9*(1+$M$4)</f>
        <v>#DIV/0!</v>
      </c>
      <c r="N9" s="160" t="e">
        <f>L9*(1+$N$4)</f>
        <v>#DIV/0!</v>
      </c>
      <c r="O9" s="598" t="e">
        <f>L9*(1+$O$4)</f>
        <v>#DIV/0!</v>
      </c>
    </row>
    <row r="10" spans="1:15" ht="15.75" thickBot="1" x14ac:dyDescent="0.3">
      <c r="B10" s="160"/>
      <c r="D10" s="160"/>
      <c r="E10" s="587"/>
      <c r="G10" s="46"/>
      <c r="H10" s="160"/>
      <c r="I10" s="160"/>
      <c r="J10" s="598"/>
      <c r="L10" s="597"/>
      <c r="M10" s="160"/>
      <c r="N10" s="160"/>
      <c r="O10" s="598"/>
    </row>
    <row r="11" spans="1:15" ht="15.75" thickBot="1" x14ac:dyDescent="0.3">
      <c r="A11" s="69" t="s">
        <v>554</v>
      </c>
      <c r="B11" s="591">
        <f>Valuation!B5</f>
        <v>0</v>
      </c>
      <c r="C11" s="69">
        <f>Valuation!C5</f>
        <v>0</v>
      </c>
      <c r="D11" s="591">
        <f>Valuation!D5</f>
        <v>0</v>
      </c>
      <c r="E11" s="592" t="e">
        <f>D11/D13</f>
        <v>#DIV/0!</v>
      </c>
      <c r="G11" s="599">
        <f>D11</f>
        <v>0</v>
      </c>
      <c r="H11" s="591">
        <f t="shared" si="1"/>
        <v>0</v>
      </c>
      <c r="I11" s="591">
        <f t="shared" si="2"/>
        <v>0</v>
      </c>
      <c r="J11" s="588">
        <f t="shared" si="3"/>
        <v>0</v>
      </c>
      <c r="L11" s="675">
        <f>IF($B$11&gt;0,G11/$C$11,0)</f>
        <v>0</v>
      </c>
      <c r="M11" s="676">
        <f t="shared" ref="M11:O11" si="7">IF($B$11&gt;0,H11/$C$11,0)</f>
        <v>0</v>
      </c>
      <c r="N11" s="676">
        <f t="shared" si="7"/>
        <v>0</v>
      </c>
      <c r="O11" s="677">
        <f t="shared" si="7"/>
        <v>0</v>
      </c>
    </row>
    <row r="12" spans="1:15" x14ac:dyDescent="0.25">
      <c r="E12" s="587"/>
      <c r="G12" s="46"/>
      <c r="J12" s="48"/>
      <c r="L12" s="46"/>
      <c r="O12" s="48"/>
    </row>
    <row r="13" spans="1:15" ht="15.75" thickBot="1" x14ac:dyDescent="0.3">
      <c r="A13" s="583" t="s">
        <v>551</v>
      </c>
      <c r="B13" s="69"/>
      <c r="C13" s="583">
        <f>SUM(C11,C9)</f>
        <v>0</v>
      </c>
      <c r="D13" s="601">
        <f>SUM(D9,D11)</f>
        <v>0</v>
      </c>
      <c r="E13" s="602" t="e">
        <f>SUM(E9,E11)</f>
        <v>#DIV/0!</v>
      </c>
      <c r="F13" s="1"/>
      <c r="G13" s="603" t="e">
        <f>SUM(G9,G11)</f>
        <v>#DIV/0!</v>
      </c>
      <c r="H13" s="604" t="e">
        <f t="shared" ref="H13:J13" si="8">SUM(H9,H11)</f>
        <v>#DIV/0!</v>
      </c>
      <c r="I13" s="604" t="e">
        <f t="shared" si="8"/>
        <v>#DIV/0!</v>
      </c>
      <c r="J13" s="601" t="e">
        <f t="shared" si="8"/>
        <v>#DIV/0!</v>
      </c>
      <c r="K13" s="1"/>
      <c r="L13" s="603" t="e">
        <f>IF($B$13&gt;0,SUM(L9+L11),L9)</f>
        <v>#DIV/0!</v>
      </c>
      <c r="M13" s="604" t="e">
        <f>IF($B$13&gt;0,SUM(M9+M11),M9)</f>
        <v>#DIV/0!</v>
      </c>
      <c r="N13" s="604" t="e">
        <f t="shared" ref="N13:O13" si="9">IF($B$13&gt;0,SUM(N9+N11),N9)</f>
        <v>#DIV/0!</v>
      </c>
      <c r="O13" s="601" t="e">
        <f t="shared" si="9"/>
        <v>#DIV/0!</v>
      </c>
    </row>
  </sheetData>
  <mergeCells count="2">
    <mergeCell ref="H3:J3"/>
    <mergeCell ref="M3:O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dimension ref="B3:E39"/>
  <sheetViews>
    <sheetView showGridLines="0" workbookViewId="0"/>
  </sheetViews>
  <sheetFormatPr defaultColWidth="8.85546875" defaultRowHeight="15" x14ac:dyDescent="0.25"/>
  <cols>
    <col min="2" max="2" width="3" customWidth="1"/>
    <col min="3" max="3" width="8.42578125" customWidth="1"/>
    <col min="4" max="4" width="2.5703125" customWidth="1"/>
  </cols>
  <sheetData>
    <row r="3" spans="2:5" x14ac:dyDescent="0.25">
      <c r="C3" t="s">
        <v>364</v>
      </c>
    </row>
    <row r="4" spans="2:5" x14ac:dyDescent="0.25">
      <c r="B4" s="111"/>
      <c r="C4">
        <v>1</v>
      </c>
      <c r="D4" t="s">
        <v>365</v>
      </c>
    </row>
    <row r="5" spans="2:5" x14ac:dyDescent="0.25">
      <c r="B5" s="111"/>
      <c r="C5">
        <v>2</v>
      </c>
      <c r="D5" t="s">
        <v>366</v>
      </c>
    </row>
    <row r="6" spans="2:5" x14ac:dyDescent="0.25">
      <c r="B6" s="111"/>
      <c r="C6">
        <v>3</v>
      </c>
      <c r="D6" t="s">
        <v>367</v>
      </c>
    </row>
    <row r="7" spans="2:5" x14ac:dyDescent="0.25">
      <c r="B7" s="111"/>
      <c r="C7">
        <v>4</v>
      </c>
      <c r="D7" t="s">
        <v>368</v>
      </c>
    </row>
    <row r="8" spans="2:5" x14ac:dyDescent="0.25">
      <c r="B8" s="111"/>
      <c r="C8">
        <v>5</v>
      </c>
      <c r="D8" t="s">
        <v>369</v>
      </c>
    </row>
    <row r="9" spans="2:5" x14ac:dyDescent="0.25">
      <c r="B9" s="111"/>
      <c r="C9">
        <v>6</v>
      </c>
      <c r="D9" t="s">
        <v>370</v>
      </c>
    </row>
    <row r="10" spans="2:5" x14ac:dyDescent="0.25">
      <c r="C10">
        <v>7</v>
      </c>
      <c r="D10" t="s">
        <v>371</v>
      </c>
    </row>
    <row r="11" spans="2:5" x14ac:dyDescent="0.25">
      <c r="B11" s="111"/>
      <c r="D11" t="s">
        <v>372</v>
      </c>
      <c r="E11" t="s">
        <v>373</v>
      </c>
    </row>
    <row r="12" spans="2:5" x14ac:dyDescent="0.25">
      <c r="B12" s="111"/>
      <c r="D12" t="s">
        <v>374</v>
      </c>
      <c r="E12" t="s">
        <v>375</v>
      </c>
    </row>
    <row r="13" spans="2:5" x14ac:dyDescent="0.25">
      <c r="B13" s="111"/>
      <c r="D13" t="s">
        <v>376</v>
      </c>
      <c r="E13" t="s">
        <v>377</v>
      </c>
    </row>
    <row r="14" spans="2:5" x14ac:dyDescent="0.25">
      <c r="B14" s="111"/>
      <c r="D14" t="s">
        <v>378</v>
      </c>
      <c r="E14" t="s">
        <v>379</v>
      </c>
    </row>
    <row r="15" spans="2:5" x14ac:dyDescent="0.25">
      <c r="B15" s="111"/>
      <c r="D15" t="s">
        <v>380</v>
      </c>
      <c r="E15" t="s">
        <v>381</v>
      </c>
    </row>
    <row r="16" spans="2:5" x14ac:dyDescent="0.25">
      <c r="B16" s="111"/>
      <c r="D16" t="s">
        <v>382</v>
      </c>
      <c r="E16" t="s">
        <v>383</v>
      </c>
    </row>
    <row r="17" spans="2:5" x14ac:dyDescent="0.25">
      <c r="B17" s="111"/>
      <c r="D17" t="s">
        <v>384</v>
      </c>
      <c r="E17" t="s">
        <v>385</v>
      </c>
    </row>
    <row r="18" spans="2:5" x14ac:dyDescent="0.25">
      <c r="B18" s="111"/>
      <c r="D18" t="s">
        <v>386</v>
      </c>
    </row>
    <row r="19" spans="2:5" x14ac:dyDescent="0.25">
      <c r="B19" s="111"/>
      <c r="D19" t="s">
        <v>387</v>
      </c>
      <c r="E19" t="s">
        <v>388</v>
      </c>
    </row>
    <row r="20" spans="2:5" x14ac:dyDescent="0.25">
      <c r="B20" s="111"/>
      <c r="D20" t="s">
        <v>389</v>
      </c>
      <c r="E20" s="251" t="s">
        <v>390</v>
      </c>
    </row>
    <row r="21" spans="2:5" x14ac:dyDescent="0.25">
      <c r="B21" s="111"/>
      <c r="C21">
        <v>8</v>
      </c>
      <c r="D21" t="s">
        <v>391</v>
      </c>
    </row>
    <row r="22" spans="2:5" x14ac:dyDescent="0.25">
      <c r="B22" s="111"/>
      <c r="C22">
        <v>9</v>
      </c>
      <c r="D22" t="s">
        <v>392</v>
      </c>
    </row>
    <row r="23" spans="2:5" x14ac:dyDescent="0.25">
      <c r="B23" s="111"/>
      <c r="C23">
        <v>10</v>
      </c>
      <c r="D23" t="s">
        <v>393</v>
      </c>
    </row>
    <row r="25" spans="2:5" x14ac:dyDescent="0.25">
      <c r="C25" t="s">
        <v>394</v>
      </c>
    </row>
    <row r="26" spans="2:5" x14ac:dyDescent="0.25">
      <c r="B26" s="111"/>
      <c r="C26">
        <v>1</v>
      </c>
      <c r="D26" t="s">
        <v>395</v>
      </c>
    </row>
    <row r="27" spans="2:5" x14ac:dyDescent="0.25">
      <c r="B27" s="111"/>
      <c r="C27">
        <v>2</v>
      </c>
      <c r="D27" t="s">
        <v>396</v>
      </c>
    </row>
    <row r="28" spans="2:5" x14ac:dyDescent="0.25">
      <c r="B28" s="111"/>
      <c r="C28">
        <v>3</v>
      </c>
      <c r="D28" t="s">
        <v>397</v>
      </c>
    </row>
    <row r="29" spans="2:5" x14ac:dyDescent="0.25">
      <c r="C29">
        <v>4</v>
      </c>
      <c r="D29" t="s">
        <v>398</v>
      </c>
    </row>
    <row r="30" spans="2:5" x14ac:dyDescent="0.25">
      <c r="B30" s="111"/>
      <c r="D30" t="s">
        <v>372</v>
      </c>
      <c r="E30" t="s">
        <v>399</v>
      </c>
    </row>
    <row r="31" spans="2:5" x14ac:dyDescent="0.25">
      <c r="B31" s="111"/>
      <c r="D31" t="s">
        <v>374</v>
      </c>
      <c r="E31" t="s">
        <v>400</v>
      </c>
    </row>
    <row r="32" spans="2:5" x14ac:dyDescent="0.25">
      <c r="B32" s="111"/>
      <c r="D32" t="s">
        <v>376</v>
      </c>
      <c r="E32" t="s">
        <v>401</v>
      </c>
    </row>
    <row r="33" spans="2:5" x14ac:dyDescent="0.25">
      <c r="B33" s="111"/>
      <c r="D33" t="s">
        <v>378</v>
      </c>
      <c r="E33" t="s">
        <v>402</v>
      </c>
    </row>
    <row r="34" spans="2:5" x14ac:dyDescent="0.25">
      <c r="B34" s="111"/>
      <c r="D34" t="s">
        <v>380</v>
      </c>
      <c r="E34" t="s">
        <v>403</v>
      </c>
    </row>
    <row r="35" spans="2:5" x14ac:dyDescent="0.25">
      <c r="B35" s="111"/>
      <c r="C35">
        <v>5</v>
      </c>
      <c r="D35" t="s">
        <v>404</v>
      </c>
    </row>
    <row r="36" spans="2:5" x14ac:dyDescent="0.25">
      <c r="B36" s="111"/>
      <c r="C36">
        <v>6</v>
      </c>
      <c r="D36" t="s">
        <v>405</v>
      </c>
    </row>
    <row r="37" spans="2:5" x14ac:dyDescent="0.25">
      <c r="B37" s="111"/>
      <c r="D37" t="s">
        <v>406</v>
      </c>
      <c r="E37" t="s">
        <v>407</v>
      </c>
    </row>
    <row r="38" spans="2:5" x14ac:dyDescent="0.25">
      <c r="B38" s="111"/>
      <c r="C38">
        <v>7</v>
      </c>
      <c r="D38" t="s">
        <v>408</v>
      </c>
    </row>
    <row r="39" spans="2:5" x14ac:dyDescent="0.25">
      <c r="B39" s="111"/>
      <c r="C39">
        <v>8</v>
      </c>
      <c r="D39" t="s">
        <v>409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b2cbc5f-25f3-47ca-b5e2-0306e29a84a9">
      <UserInfo>
        <DisplayName/>
        <AccountId xsi:nil="true"/>
        <AccountType/>
      </UserInfo>
    </SharedWithUsers>
    <lcf76f155ced4ddcb4097134ff3c332f xmlns="0d1fe1a8-2892-4569-9f86-4a37f4ecdda8">
      <Terms xmlns="http://schemas.microsoft.com/office/infopath/2007/PartnerControls"/>
    </lcf76f155ced4ddcb4097134ff3c332f>
    <TaxCatchAll xmlns="9b2cbc5f-25f3-47ca-b5e2-0306e29a84a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694B5FE474C94CB91C8FC4D2C4C365" ma:contentTypeVersion="15" ma:contentTypeDescription="Create a new document." ma:contentTypeScope="" ma:versionID="3184630b4bbb579c71ea141d49724a92">
  <xsd:schema xmlns:xsd="http://www.w3.org/2001/XMLSchema" xmlns:xs="http://www.w3.org/2001/XMLSchema" xmlns:p="http://schemas.microsoft.com/office/2006/metadata/properties" xmlns:ns2="0d1fe1a8-2892-4569-9f86-4a37f4ecdda8" xmlns:ns3="9b2cbc5f-25f3-47ca-b5e2-0306e29a84a9" targetNamespace="http://schemas.microsoft.com/office/2006/metadata/properties" ma:root="true" ma:fieldsID="8f26f84133f3a67a2302369260c65db5" ns2:_="" ns3:_="">
    <xsd:import namespace="0d1fe1a8-2892-4569-9f86-4a37f4ecdda8"/>
    <xsd:import namespace="9b2cbc5f-25f3-47ca-b5e2-0306e29a8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fe1a8-2892-4569-9f86-4a37f4ecdd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42631b5-c8f0-4ece-94fd-5607c5b813d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2cbc5f-25f3-47ca-b5e2-0306e29a84a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d37425c-964a-49ef-a1b0-1cf9ba68b60c}" ma:internalName="TaxCatchAll" ma:showField="CatchAllData" ma:web="9b2cbc5f-25f3-47ca-b5e2-0306e29a8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6CE577-FDC5-4F51-8183-2C93B71ECE69}">
  <ds:schemaRefs>
    <ds:schemaRef ds:uri="http://schemas.microsoft.com/office/2006/metadata/properties"/>
    <ds:schemaRef ds:uri="http://purl.org/dc/elements/1.1/"/>
    <ds:schemaRef ds:uri="http://schemas.microsoft.com/office/2006/documentManagement/types"/>
    <ds:schemaRef ds:uri="http://www.w3.org/XML/1998/namespace"/>
    <ds:schemaRef ds:uri="0d1fe1a8-2892-4569-9f86-4a37f4ecdda8"/>
    <ds:schemaRef ds:uri="http://schemas.openxmlformats.org/package/2006/metadata/core-properties"/>
    <ds:schemaRef ds:uri="http://purl.org/dc/terms/"/>
    <ds:schemaRef ds:uri="9b2cbc5f-25f3-47ca-b5e2-0306e29a84a9"/>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EF09EE27-243A-44CC-91EB-63C44D637044}">
  <ds:schemaRefs>
    <ds:schemaRef ds:uri="http://schemas.microsoft.com/sharepoint/v3/contenttype/forms"/>
  </ds:schemaRefs>
</ds:datastoreItem>
</file>

<file path=customXml/itemProps3.xml><?xml version="1.0" encoding="utf-8"?>
<ds:datastoreItem xmlns:ds="http://schemas.openxmlformats.org/officeDocument/2006/customXml" ds:itemID="{4023E9BB-376E-46DA-8686-5EF01EBB05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fe1a8-2892-4569-9f86-4a37f4ecdda8"/>
    <ds:schemaRef ds:uri="9b2cbc5f-25f3-47ca-b5e2-0306e29a84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Version Control</vt:lpstr>
      <vt:lpstr>LOI</vt:lpstr>
      <vt:lpstr>Deal Details</vt:lpstr>
      <vt:lpstr>Drawn</vt:lpstr>
      <vt:lpstr>Notes</vt:lpstr>
      <vt:lpstr>Deal Tracker</vt:lpstr>
      <vt:lpstr>Visuals</vt:lpstr>
      <vt:lpstr>Data</vt:lpstr>
      <vt:lpstr>Valuation</vt:lpstr>
      <vt:lpstr>ProForma</vt:lpstr>
      <vt:lpstr>Senior Amort</vt:lpstr>
      <vt:lpstr>Mezz Amort</vt:lpstr>
      <vt:lpstr>Summary</vt:lpstr>
      <vt:lpstr>Release Price</vt:lpstr>
      <vt:lpstr>Process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Christensen</dc:creator>
  <cp:keywords/>
  <dc:description/>
  <cp:lastModifiedBy>Grant Southwick</cp:lastModifiedBy>
  <cp:revision/>
  <dcterms:created xsi:type="dcterms:W3CDTF">2015-03-25T16:41:32Z</dcterms:created>
  <dcterms:modified xsi:type="dcterms:W3CDTF">2026-03-24T21:24:43Z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0x010100C6694B5FE474C94CB91C8FC4D2C4C365</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{"FileActivityType":"6","FileActivityTimeStamp":"2024-04-11T20:51:02.170Z","FileActivityUsersOnPage":[{"DisplayName":"Jaden Mellott","Id":"jadenmellott@mesabridgecapital.com"}],"FileActivityNavigationId":null}</vt:lpwstr>
  </property>
  <property fmtid="{D5CDD505-2E9C-101B-9397-08002B2CF9AE}" pid="7" name="TriggerFlowInfo">
    <vt:lpwstr/>
  </property>
</Properties>
</file>