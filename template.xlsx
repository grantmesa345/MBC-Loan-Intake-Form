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90" firstSheet="2" autoFilterDateGrouping="1"/>
  </bookViews>
  <sheets>
    <sheet xmlns:r="http://schemas.openxmlformats.org/officeDocument/2006/relationships" name="Deal Details" sheetId="1" state="visible" r:id="rId1"/>
  </sheets>
  <definedNames>
    <definedName name="balance">#REF!</definedName>
    <definedName name="cashrisk">#REF!</definedName>
    <definedName name="fees">#REF!</definedName>
    <definedName name="feespd">#REF!</definedName>
    <definedName name="interest">#REF!</definedName>
    <definedName name="payments">#REF!</definedName>
    <definedName name="points">#REF!</definedName>
    <definedName name="Principal">#REF!</definedName>
    <definedName name="principaloutstd">#REF!</definedName>
    <definedName name="projectdays">#REF!</definedName>
    <definedName name="riskcash">#REF!</definedName>
    <definedName name="riskcash2">#REF!</definedName>
  </definedNames>
  <calcPr calcId="191028" fullCalcOnLoad="1" iterate="1"/>
</workbook>
</file>

<file path=xl/styles.xml><?xml version="1.0" encoding="utf-8"?>
<styleSheet xmlns="http://schemas.openxmlformats.org/spreadsheetml/2006/main">
  <numFmts count="17">
    <numFmt numFmtId="164" formatCode="_(&quot;$&quot;* #,##0.00_);_(&quot;$&quot;* \(#,##0.00\);_(&quot;$&quot;* &quot;-&quot;??_);_(@_)"/>
    <numFmt numFmtId="165" formatCode="0.000%"/>
    <numFmt numFmtId="166" formatCode="_(* #,##0_);_(* \(#,##0\);_(* &quot;-&quot;??_);_(@_)"/>
    <numFmt numFmtId="167" formatCode="&quot;$&quot;#,##0.00"/>
    <numFmt numFmtId="168" formatCode="&quot;$&quot;#,##0_);\(&quot;$&quot;#,##0\)"/>
    <numFmt numFmtId="169" formatCode="&quot;$&quot;#,##0_);[Red]\(&quot;$&quot;#,##0\)"/>
    <numFmt numFmtId="170" formatCode="&quot;$&quot;#,##0.00_);[Red]\(&quot;$&quot;#,##0.00\)"/>
    <numFmt numFmtId="171" formatCode="&quot;$&quot;#,##0"/>
    <numFmt numFmtId="172" formatCode="&quot;$&quot;#,##0;[Red]\-&quot;$&quot;#,##0"/>
    <numFmt numFmtId="173" formatCode="&quot;$&quot;#,##0.00;[Red]\-&quot;$&quot;#,##0.00"/>
    <numFmt numFmtId="174" formatCode="_-* #,##0_-;\-* #,##0_-;_-* &quot;-&quot;??_-;_-@_-"/>
    <numFmt numFmtId="175" formatCode="0.0%"/>
    <numFmt numFmtId="176" formatCode="_(&quot;$&quot;* #,##0_);_(&quot;$&quot;* \(#,##0\);_(&quot;$&quot;* &quot;-&quot;??_);_(@_)"/>
    <numFmt numFmtId="177" formatCode="_([$$-409]* #,##0.00_);_([$$-409]* \(#,##0.00\);_([$$-409]* &quot;-&quot;??_);_(@_)"/>
    <numFmt numFmtId="178" formatCode="0\ &quot;months&quot;"/>
    <numFmt numFmtId="179" formatCode="_([$$-409]* #,##0_);_([$$-409]* \(#,##0\);_([$$-409]* &quot;-&quot;??_);_(@_)"/>
    <numFmt numFmtId="180" formatCode="#\ &quot;Months&quot;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 Light"/>
      <family val="1"/>
      <color theme="1"/>
      <sz val="11"/>
      <scheme val="major"/>
    </font>
    <font>
      <name val="Calibri Light"/>
      <family val="1"/>
      <b val="1"/>
      <sz val="11"/>
      <scheme val="maj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2060"/>
      <sz val="11"/>
      <scheme val="minor"/>
    </font>
    <font>
      <name val="Arial"/>
      <family val="2"/>
      <sz val="10"/>
    </font>
    <font>
      <name val="Calibri"/>
      <family val="2"/>
      <color rgb="FF000000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22"/>
      <u val="single"/>
      <scheme val="minor"/>
    </font>
    <font>
      <name val="Arial"/>
      <family val="2"/>
      <color theme="1"/>
      <sz val="12"/>
    </font>
    <font>
      <name val="Calibri"/>
      <family val="2"/>
      <b val="1"/>
      <color rgb="FFFF0000"/>
      <sz val="11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b val="1"/>
      <color theme="6" tint="-0.249977111117893"/>
      <sz val="14"/>
      <scheme val="minor"/>
    </font>
    <font>
      <name val="Calibri"/>
      <family val="2"/>
      <color theme="8" tint="-0.24997711111789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8"/>
      <scheme val="minor"/>
    </font>
    <font>
      <name val="Arial"/>
      <family val="2"/>
      <color rgb="FF000000"/>
      <sz val="10"/>
    </font>
    <font>
      <name val="Calibri"/>
      <family val="2"/>
      <sz val="10"/>
      <scheme val="minor"/>
    </font>
    <font>
      <name val="Calibri"/>
      <family val="2"/>
      <color rgb="FF000000"/>
      <sz val="10.5"/>
      <scheme val="minor"/>
    </font>
    <font>
      <name val="Calibri"/>
      <family val="2"/>
      <sz val="8"/>
      <scheme val="minor"/>
    </font>
    <font>
      <name val="Calibri"/>
      <family val="2"/>
      <color theme="1" tint="0.0499893185216834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color rgb="FF0000FF"/>
      <sz val="11"/>
      <scheme val="minor"/>
    </font>
    <font>
      <name val="Palatino Linotype"/>
      <family val="1"/>
      <color theme="1"/>
      <sz val="11"/>
    </font>
    <font>
      <name val="Palatino Linotype"/>
      <family val="1"/>
      <b val="1"/>
      <color theme="1"/>
      <sz val="11"/>
    </font>
    <font>
      <name val="Palatino Linotype"/>
      <family val="1"/>
      <color rgb="FF0000FF"/>
      <sz val="11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Calibri"/>
      <family val="2"/>
      <color rgb="FFFF0000"/>
      <sz val="11"/>
      <scheme val="minor"/>
    </font>
    <font>
      <name val="Palatino Linotype"/>
      <family val="1"/>
      <sz val="11"/>
    </font>
  </fonts>
  <fills count="25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499984740745262"/>
        <bgColor indexed="64"/>
      </patternFill>
    </fill>
  </fills>
  <borders count="7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</borders>
  <cellStyleXfs count="15">
    <xf numFmtId="0" fontId="1" fillId="0" borderId="0"/>
    <xf numFmtId="44" fontId="1" fillId="0" borderId="0"/>
    <xf numFmtId="9" fontId="1" fillId="0" borderId="0"/>
    <xf numFmtId="43" fontId="1" fillId="0" borderId="0"/>
    <xf numFmtId="0" fontId="11" fillId="0" borderId="0"/>
    <xf numFmtId="43" fontId="11" fillId="0" borderId="0"/>
    <xf numFmtId="44" fontId="11" fillId="0" borderId="0"/>
    <xf numFmtId="9" fontId="11" fillId="0" borderId="0"/>
    <xf numFmtId="0" fontId="12" fillId="0" borderId="0"/>
    <xf numFmtId="0" fontId="13" fillId="0" borderId="0"/>
    <xf numFmtId="0" fontId="11" fillId="0" borderId="0"/>
    <xf numFmtId="0" fontId="15" fillId="0" borderId="0"/>
    <xf numFmtId="9" fontId="15" fillId="0" borderId="0"/>
    <xf numFmtId="0" fontId="1" fillId="0" borderId="0"/>
    <xf numFmtId="0" fontId="28" fillId="0" borderId="0"/>
  </cellStyleXfs>
  <cellXfs count="806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/>
    </xf>
    <xf numFmtId="164" fontId="0" fillId="0" borderId="0" pivotButton="0" quotePrefix="0" xfId="0"/>
    <xf numFmtId="0" fontId="5" fillId="0" borderId="0" pivotButton="0" quotePrefix="0" xfId="0"/>
    <xf numFmtId="9" fontId="0" fillId="2" borderId="3" applyAlignment="1" pivotButton="0" quotePrefix="0" xfId="2">
      <alignment horizontal="center"/>
    </xf>
    <xf numFmtId="10" fontId="0" fillId="2" borderId="6" applyAlignment="1" pivotButton="0" quotePrefix="0" xfId="2">
      <alignment horizontal="center"/>
    </xf>
    <xf numFmtId="164" fontId="0" fillId="0" borderId="7" pivotButton="0" quotePrefix="0" xfId="0"/>
    <xf numFmtId="164" fontId="0" fillId="2" borderId="0" pivotButton="0" quotePrefix="0" xfId="1"/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1"/>
    <xf numFmtId="164" fontId="2" fillId="0" borderId="4" pivotButton="0" quotePrefix="0" xfId="0"/>
    <xf numFmtId="164" fontId="2" fillId="0" borderId="0" pivotButton="0" quotePrefix="0" xfId="0"/>
    <xf numFmtId="0" fontId="3" fillId="0" borderId="1" applyAlignment="1" pivotButton="0" quotePrefix="0" xfId="0">
      <alignment horizontal="left"/>
    </xf>
    <xf numFmtId="164" fontId="6" fillId="0" borderId="1" applyAlignment="1" pivotButton="0" quotePrefix="0" xfId="1">
      <alignment horizontal="center"/>
    </xf>
    <xf numFmtId="0" fontId="6" fillId="0" borderId="1" applyAlignment="1" pivotButton="0" quotePrefix="0" xfId="0">
      <alignment horizontal="center"/>
    </xf>
    <xf numFmtId="9" fontId="2" fillId="2" borderId="0" applyAlignment="1" pivotButton="0" quotePrefix="0" xfId="2">
      <alignment horizontal="center"/>
    </xf>
    <xf numFmtId="164" fontId="2" fillId="0" borderId="0" pivotButton="0" quotePrefix="0" xfId="1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1" xfId="0">
      <alignment horizontal="left" vertical="center"/>
    </xf>
    <xf numFmtId="9" fontId="0" fillId="2" borderId="6" applyAlignment="1" pivotButton="0" quotePrefix="0" xfId="2">
      <alignment horizontal="center"/>
    </xf>
    <xf numFmtId="164" fontId="0" fillId="0" borderId="7" pivotButton="0" quotePrefix="0" xfId="1"/>
    <xf numFmtId="10" fontId="2" fillId="0" borderId="6" applyAlignment="1" pivotButton="0" quotePrefix="0" xfId="2">
      <alignment horizontal="center"/>
    </xf>
    <xf numFmtId="10" fontId="0" fillId="0" borderId="6" applyAlignment="1" pivotButton="0" quotePrefix="0" xfId="2">
      <alignment horizontal="center"/>
    </xf>
    <xf numFmtId="10" fontId="0" fillId="0" borderId="9" applyAlignment="1" pivotButton="0" quotePrefix="0" xfId="2">
      <alignment horizontal="center"/>
    </xf>
    <xf numFmtId="0" fontId="0" fillId="0" borderId="10" pivotButton="0" quotePrefix="0" xfId="0"/>
    <xf numFmtId="164" fontId="2" fillId="0" borderId="4" pivotButton="0" quotePrefix="0" xfId="2"/>
    <xf numFmtId="164" fontId="2" fillId="0" borderId="4" applyAlignment="1" pivotButton="0" quotePrefix="0" xfId="0">
      <alignment horizontal="center"/>
    </xf>
    <xf numFmtId="164" fontId="2" fillId="0" borderId="2" pivotButton="0" quotePrefix="0" xfId="1"/>
    <xf numFmtId="164" fontId="2" fillId="0" borderId="2" pivotButton="0" quotePrefix="0" xfId="0"/>
    <xf numFmtId="164" fontId="2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4" pivotButton="0" quotePrefix="0" xfId="1"/>
    <xf numFmtId="164" fontId="3" fillId="0" borderId="4" applyAlignment="1" pivotButton="0" quotePrefix="0" xfId="1">
      <alignment horizontal="left"/>
    </xf>
    <xf numFmtId="164" fontId="2" fillId="0" borderId="0" applyAlignment="1" pivotButton="0" quotePrefix="0" xfId="0">
      <alignment horizontal="left"/>
    </xf>
    <xf numFmtId="164" fontId="2" fillId="0" borderId="8" pivotButton="0" quotePrefix="0" xfId="1"/>
    <xf numFmtId="0" fontId="7" fillId="0" borderId="0" pivotButton="0" quotePrefix="0" xfId="0"/>
    <xf numFmtId="0" fontId="0" fillId="0" borderId="0" pivotButton="0" quotePrefix="0" xfId="1"/>
    <xf numFmtId="0" fontId="2" fillId="0" borderId="19" pivotButton="0" quotePrefix="0" xfId="0"/>
    <xf numFmtId="0" fontId="2" fillId="0" borderId="16" applyAlignment="1" pivotButton="0" quotePrefix="0" xfId="0">
      <alignment horizontal="center"/>
    </xf>
    <xf numFmtId="0" fontId="2" fillId="0" borderId="20" pivotButton="0" quotePrefix="0" xfId="0"/>
    <xf numFmtId="0" fontId="0" fillId="0" borderId="11" pivotButton="0" quotePrefix="0" xfId="0"/>
    <xf numFmtId="0" fontId="5" fillId="0" borderId="12" pivotButton="0" quotePrefix="0" xfId="0"/>
    <xf numFmtId="0" fontId="0" fillId="0" borderId="12" pivotButton="0" quotePrefix="0" xfId="0"/>
    <xf numFmtId="0" fontId="2" fillId="0" borderId="18" pivotButton="0" quotePrefix="0" xfId="0"/>
    <xf numFmtId="0" fontId="2" fillId="0" borderId="21" pivotButton="0" quotePrefix="0" xfId="0"/>
    <xf numFmtId="0" fontId="2" fillId="0" borderId="11" pivotButton="0" quotePrefix="0" xfId="0"/>
    <xf numFmtId="0" fontId="2" fillId="0" borderId="12" pivotButton="0" quotePrefix="0" xfId="0"/>
    <xf numFmtId="0" fontId="2" fillId="0" borderId="17" pivotButton="0" quotePrefix="0" xfId="0"/>
    <xf numFmtId="0" fontId="3" fillId="0" borderId="22" pivotButton="0" quotePrefix="0" xfId="0"/>
    <xf numFmtId="164" fontId="4" fillId="0" borderId="12" pivotButton="0" quotePrefix="0" xfId="0"/>
    <xf numFmtId="0" fontId="4" fillId="0" borderId="12" applyAlignment="1" pivotButton="0" quotePrefix="0" xfId="0">
      <alignment horizontal="left" indent="2"/>
    </xf>
    <xf numFmtId="0" fontId="0" fillId="0" borderId="11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pivotButton="0" quotePrefix="0" xfId="0"/>
    <xf numFmtId="0" fontId="2" fillId="0" borderId="11" applyAlignment="1" pivotButton="0" quotePrefix="0" xfId="0">
      <alignment horizontal="left"/>
    </xf>
    <xf numFmtId="0" fontId="2" fillId="0" borderId="25" pivotButton="0" quotePrefix="0" xfId="0"/>
    <xf numFmtId="0" fontId="2" fillId="0" borderId="26" pivotButton="0" quotePrefix="0" xfId="0"/>
    <xf numFmtId="0" fontId="0" fillId="0" borderId="22" pivotButton="0" quotePrefix="0" xfId="0"/>
    <xf numFmtId="0" fontId="2" fillId="0" borderId="23" pivotButton="0" quotePrefix="0" xfId="0"/>
    <xf numFmtId="0" fontId="2" fillId="0" borderId="13" pivotButton="0" quotePrefix="0" xfId="0"/>
    <xf numFmtId="10" fontId="2" fillId="0" borderId="14" pivotButton="0" quotePrefix="0" xfId="2"/>
    <xf numFmtId="10" fontId="0" fillId="0" borderId="14" pivotButton="0" quotePrefix="0" xfId="2"/>
    <xf numFmtId="0" fontId="0" fillId="0" borderId="15" pivotButton="0" quotePrefix="0" xfId="0"/>
    <xf numFmtId="0" fontId="0" fillId="0" borderId="14" pivotButton="0" quotePrefix="0" xfId="0"/>
    <xf numFmtId="0" fontId="2" fillId="0" borderId="20" applyAlignment="1" pivotButton="0" quotePrefix="0" xfId="0">
      <alignment horizontal="center"/>
    </xf>
    <xf numFmtId="0" fontId="0" fillId="0" borderId="24" pivotButton="0" quotePrefix="0" xfId="0"/>
    <xf numFmtId="164" fontId="2" fillId="0" borderId="14" pivotButton="0" quotePrefix="0" xfId="0"/>
    <xf numFmtId="164" fontId="2" fillId="2" borderId="0" pivotButton="0" quotePrefix="0" xfId="0"/>
    <xf numFmtId="164" fontId="0" fillId="0" borderId="12" pivotButton="0" quotePrefix="0" xfId="0"/>
    <xf numFmtId="10" fontId="0" fillId="0" borderId="12" pivotButton="0" quotePrefix="0" xfId="2"/>
    <xf numFmtId="0" fontId="0" fillId="0" borderId="11" applyAlignment="1" pivotButton="0" quotePrefix="0" xfId="0">
      <alignment horizontal="left" indent="2"/>
    </xf>
    <xf numFmtId="0" fontId="2" fillId="0" borderId="13" applyAlignment="1" pivotButton="0" quotePrefix="0" xfId="0">
      <alignment horizontal="left"/>
    </xf>
    <xf numFmtId="164" fontId="2" fillId="0" borderId="1" pivotButton="0" quotePrefix="0" xfId="0"/>
    <xf numFmtId="164" fontId="4" fillId="0" borderId="0" applyAlignment="1" pivotButton="0" quotePrefix="0" xfId="1">
      <alignment horizontal="left"/>
    </xf>
    <xf numFmtId="9" fontId="4" fillId="0" borderId="12" applyAlignment="1" pivotButton="0" quotePrefix="0" xfId="2">
      <alignment horizontal="center"/>
    </xf>
    <xf numFmtId="0" fontId="4" fillId="0" borderId="0" applyAlignment="1" pivotButton="0" quotePrefix="0" xfId="1">
      <alignment horizontal="center"/>
    </xf>
    <xf numFmtId="164" fontId="0" fillId="0" borderId="5" pivotButton="0" quotePrefix="0" xfId="0"/>
    <xf numFmtId="9" fontId="2" fillId="0" borderId="0" pivotButton="0" quotePrefix="0" xfId="2"/>
    <xf numFmtId="0" fontId="0" fillId="0" borderId="0" applyAlignment="1" pivotButton="0" quotePrefix="0" xfId="0">
      <alignment horizontal="left" wrapText="1"/>
    </xf>
    <xf numFmtId="9" fontId="0" fillId="0" borderId="0" pivotButton="0" quotePrefix="0" xfId="2"/>
    <xf numFmtId="9" fontId="0" fillId="0" borderId="14" pivotButton="0" quotePrefix="0" xfId="2"/>
    <xf numFmtId="0" fontId="8" fillId="0" borderId="0" applyAlignment="1" pivotButton="0" quotePrefix="0" xfId="0">
      <alignment horizontal="center"/>
    </xf>
    <xf numFmtId="164" fontId="2" fillId="5" borderId="14" pivotButton="0" quotePrefix="0" xfId="0"/>
    <xf numFmtId="0" fontId="0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8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4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/>
    </xf>
    <xf numFmtId="0" fontId="10" fillId="2" borderId="0" applyAlignment="1" pivotButton="0" quotePrefix="0" xfId="1">
      <alignment horizontal="center"/>
    </xf>
    <xf numFmtId="0" fontId="10" fillId="6" borderId="0" pivotButton="0" quotePrefix="0" xfId="0"/>
    <xf numFmtId="164" fontId="10" fillId="6" borderId="0" pivotButton="0" quotePrefix="0" xfId="1"/>
    <xf numFmtId="164" fontId="0" fillId="0" borderId="0" applyAlignment="1" pivotButton="0" quotePrefix="0" xfId="0">
      <alignment horizontal="left"/>
    </xf>
    <xf numFmtId="166" fontId="0" fillId="0" borderId="0" applyAlignment="1" pivotButton="0" quotePrefix="0" xfId="3">
      <alignment horizontal="center"/>
    </xf>
    <xf numFmtId="166" fontId="0" fillId="0" borderId="0" pivotButton="0" quotePrefix="0" xfId="3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7" pivotButton="0" quotePrefix="0" xfId="0"/>
    <xf numFmtId="9" fontId="0" fillId="0" borderId="0" applyAlignment="1" pivotButton="0" quotePrefix="0" xfId="2">
      <alignment horizontal="center"/>
    </xf>
    <xf numFmtId="0" fontId="0" fillId="0" borderId="6" pivotButton="0" quotePrefix="0" xfId="0"/>
    <xf numFmtId="164" fontId="4" fillId="4" borderId="0" pivotButton="0" quotePrefix="0" xfId="1"/>
    <xf numFmtId="9" fontId="10" fillId="0" borderId="3" applyAlignment="1" pivotButton="0" quotePrefix="0" xfId="2">
      <alignment horizontal="center"/>
    </xf>
    <xf numFmtId="10" fontId="10" fillId="2" borderId="9" applyAlignment="1" pivotButton="0" quotePrefix="0" xfId="2">
      <alignment horizontal="center"/>
    </xf>
    <xf numFmtId="0" fontId="13" fillId="0" borderId="0" pivotButton="0" quotePrefix="0" xfId="9"/>
    <xf numFmtId="0" fontId="0" fillId="0" borderId="27" pivotButton="0" quotePrefix="0" xfId="0"/>
    <xf numFmtId="0" fontId="14" fillId="0" borderId="0" pivotButton="0" quotePrefix="0" xfId="0"/>
    <xf numFmtId="164" fontId="4" fillId="0" borderId="0" applyAlignment="1" pivotButton="0" quotePrefix="0" xfId="1">
      <alignment horizontal="center"/>
    </xf>
    <xf numFmtId="164" fontId="10" fillId="6" borderId="0" pivotButton="0" quotePrefix="0" xfId="0"/>
    <xf numFmtId="167" fontId="0" fillId="0" borderId="0" pivotButton="0" quotePrefix="0" xfId="0"/>
    <xf numFmtId="167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 wrapText="1"/>
    </xf>
    <xf numFmtId="166" fontId="0" fillId="0" borderId="7" applyAlignment="1" pivotButton="0" quotePrefix="0" xfId="3">
      <alignment horizontal="center"/>
    </xf>
    <xf numFmtId="0" fontId="1" fillId="0" borderId="0" pivotButton="0" quotePrefix="0" xfId="13"/>
    <xf numFmtId="0" fontId="7" fillId="0" borderId="0" pivotButton="0" quotePrefix="0" xfId="13"/>
    <xf numFmtId="0" fontId="0" fillId="0" borderId="0" pivotButton="0" quotePrefix="0" xfId="13"/>
    <xf numFmtId="15" fontId="1" fillId="0" borderId="0" pivotButton="0" quotePrefix="0" xfId="13"/>
    <xf numFmtId="9" fontId="1" fillId="0" borderId="0" pivotButton="0" quotePrefix="0" xfId="2"/>
    <xf numFmtId="14" fontId="1" fillId="3" borderId="0" pivotButton="0" quotePrefix="0" xfId="13"/>
    <xf numFmtId="9" fontId="1" fillId="3" borderId="0" pivotButton="0" quotePrefix="0" xfId="13"/>
    <xf numFmtId="14" fontId="1" fillId="0" borderId="0" pivotButton="0" quotePrefix="0" xfId="13"/>
    <xf numFmtId="0" fontId="16" fillId="0" borderId="0" pivotButton="0" quotePrefix="0" xfId="13"/>
    <xf numFmtId="167" fontId="1" fillId="0" borderId="0" pivotButton="0" quotePrefix="0" xfId="13"/>
    <xf numFmtId="168" fontId="0" fillId="0" borderId="0" pivotButton="0" quotePrefix="0" xfId="13"/>
    <xf numFmtId="14" fontId="0" fillId="0" borderId="0" pivotButton="0" quotePrefix="0" xfId="0"/>
    <xf numFmtId="14" fontId="2" fillId="0" borderId="27" applyAlignment="1" pivotButton="0" quotePrefix="0" xfId="0">
      <alignment horizontal="center"/>
    </xf>
    <xf numFmtId="167" fontId="2" fillId="0" borderId="27" pivotButton="0" quotePrefix="0" xfId="0"/>
    <xf numFmtId="0" fontId="17" fillId="0" borderId="45" applyAlignment="1" pivotButton="0" quotePrefix="0" xfId="0">
      <alignment horizontal="center" vertical="center"/>
    </xf>
    <xf numFmtId="14" fontId="0" fillId="0" borderId="0" pivotButton="0" quotePrefix="0" xfId="13"/>
    <xf numFmtId="167" fontId="2" fillId="0" borderId="27" pivotButton="0" quotePrefix="0" xfId="13"/>
    <xf numFmtId="169" fontId="17" fillId="0" borderId="46" applyAlignment="1" pivotButton="0" quotePrefix="0" xfId="0">
      <alignment horizontal="center" vertical="center"/>
    </xf>
    <xf numFmtId="0" fontId="3" fillId="0" borderId="0" pivotButton="0" quotePrefix="0" xfId="13"/>
    <xf numFmtId="0" fontId="2" fillId="0" borderId="27" pivotButton="0" quotePrefix="0" xfId="13"/>
    <xf numFmtId="10" fontId="17" fillId="0" borderId="46" applyAlignment="1" pivotButton="0" quotePrefix="0" xfId="0">
      <alignment horizontal="center" vertical="center"/>
    </xf>
    <xf numFmtId="9" fontId="17" fillId="0" borderId="46" applyAlignment="1" pivotButton="0" quotePrefix="0" xfId="2">
      <alignment horizontal="center" vertical="center"/>
    </xf>
    <xf numFmtId="168" fontId="1" fillId="0" borderId="0" pivotButton="0" quotePrefix="0" xfId="13"/>
    <xf numFmtId="170" fontId="17" fillId="0" borderId="46" applyAlignment="1" pivotButton="0" quotePrefix="0" xfId="0">
      <alignment horizontal="center" vertical="center"/>
    </xf>
    <xf numFmtId="14" fontId="17" fillId="0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horizontal="center" vertical="center" wrapText="1"/>
    </xf>
    <xf numFmtId="171" fontId="1" fillId="11" borderId="3" applyAlignment="1" pivotButton="0" quotePrefix="0" xfId="13">
      <alignment horizontal="center"/>
    </xf>
    <xf numFmtId="0" fontId="18" fillId="0" borderId="45" applyAlignment="1" pivotButton="0" quotePrefix="0" xfId="0">
      <alignment horizontal="center" vertical="center" wrapText="1"/>
    </xf>
    <xf numFmtId="0" fontId="2" fillId="0" borderId="46" pivotButton="0" quotePrefix="0" xfId="13"/>
    <xf numFmtId="9" fontId="0" fillId="0" borderId="45" applyAlignment="1" pivotButton="0" quotePrefix="0" xfId="2">
      <alignment horizontal="center"/>
    </xf>
    <xf numFmtId="0" fontId="19" fillId="0" borderId="0" pivotButton="0" quotePrefix="0" xfId="0"/>
    <xf numFmtId="167" fontId="1" fillId="0" borderId="6" applyAlignment="1" pivotButton="0" quotePrefix="0" xfId="13">
      <alignment horizontal="center"/>
    </xf>
    <xf numFmtId="0" fontId="20" fillId="0" borderId="0" pivotButton="0" quotePrefix="0" xfId="0"/>
    <xf numFmtId="9" fontId="0" fillId="0" borderId="0" pivotButton="0" quotePrefix="0" xfId="0"/>
    <xf numFmtId="14" fontId="1" fillId="0" borderId="6" applyAlignment="1" pivotButton="0" quotePrefix="0" xfId="13">
      <alignment horizontal="center"/>
    </xf>
    <xf numFmtId="0" fontId="1" fillId="0" borderId="0" pivotButton="0" quotePrefix="0" xfId="0"/>
    <xf numFmtId="172" fontId="0" fillId="0" borderId="0" pivotButton="0" quotePrefix="0" xfId="0"/>
    <xf numFmtId="0" fontId="0" fillId="0" borderId="6" applyAlignment="1" pivotButton="0" quotePrefix="0" xfId="13">
      <alignment horizontal="center"/>
    </xf>
    <xf numFmtId="9" fontId="20" fillId="0" borderId="0" pivotButton="0" quotePrefix="0" xfId="2"/>
    <xf numFmtId="171" fontId="1" fillId="0" borderId="27" applyAlignment="1" pivotButton="0" quotePrefix="0" xfId="13">
      <alignment horizontal="center"/>
    </xf>
    <xf numFmtId="172" fontId="20" fillId="0" borderId="0" pivotButton="0" quotePrefix="0" xfId="0"/>
    <xf numFmtId="170" fontId="0" fillId="0" borderId="0" pivotButton="0" quotePrefix="0" xfId="0"/>
    <xf numFmtId="0" fontId="0" fillId="0" borderId="47" pivotButton="0" quotePrefix="0" xfId="13"/>
    <xf numFmtId="0" fontId="0" fillId="0" borderId="27" applyAlignment="1" pivotButton="0" quotePrefix="0" xfId="13">
      <alignment horizontal="center"/>
    </xf>
    <xf numFmtId="10" fontId="20" fillId="0" borderId="0" pivotButton="0" quotePrefix="0" xfId="2"/>
    <xf numFmtId="167" fontId="0" fillId="0" borderId="27" applyAlignment="1" pivotButton="0" quotePrefix="0" xfId="0">
      <alignment horizontal="center"/>
    </xf>
    <xf numFmtId="10" fontId="1" fillId="0" borderId="0" pivotButton="0" quotePrefix="0" xfId="2"/>
    <xf numFmtId="0" fontId="13" fillId="0" borderId="27" applyAlignment="1" pivotButton="0" quotePrefix="0" xfId="9">
      <alignment horizontal="center"/>
    </xf>
    <xf numFmtId="15" fontId="20" fillId="0" borderId="0" pivotButton="0" quotePrefix="0" xfId="0"/>
    <xf numFmtId="43" fontId="20" fillId="0" borderId="0" pivotButton="0" quotePrefix="0" xfId="3"/>
    <xf numFmtId="15" fontId="0" fillId="0" borderId="0" pivotButton="0" quotePrefix="0" xfId="3"/>
    <xf numFmtId="0" fontId="22" fillId="0" borderId="48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33" applyAlignment="1" pivotButton="0" quotePrefix="0" xfId="0">
      <alignment horizontal="center"/>
    </xf>
    <xf numFmtId="14" fontId="0" fillId="0" borderId="3" pivotButton="0" quotePrefix="0" xfId="0"/>
    <xf numFmtId="173" fontId="22" fillId="0" borderId="0" applyAlignment="1" pivotButton="0" quotePrefix="0" xfId="0">
      <alignment horizontal="center"/>
    </xf>
    <xf numFmtId="0" fontId="9" fillId="0" borderId="7" applyAlignment="1" pivotButton="0" quotePrefix="0" xfId="0">
      <alignment horizontal="center"/>
    </xf>
    <xf numFmtId="14" fontId="0" fillId="0" borderId="6" pivotButton="0" quotePrefix="0" xfId="0"/>
    <xf numFmtId="167" fontId="1" fillId="0" borderId="0" applyAlignment="1" pivotButton="0" quotePrefix="0" xfId="1">
      <alignment horizontal="right"/>
    </xf>
    <xf numFmtId="0" fontId="2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4" fontId="21" fillId="0" borderId="0" pivotButton="0" quotePrefix="0" xfId="0"/>
    <xf numFmtId="174" fontId="21" fillId="0" borderId="0" pivotButton="0" quotePrefix="0" xfId="3"/>
    <xf numFmtId="173" fontId="21" fillId="0" borderId="0" pivotButton="0" quotePrefix="0" xfId="0"/>
    <xf numFmtId="170" fontId="21" fillId="0" borderId="0" pivotButton="0" quotePrefix="0" xfId="0"/>
    <xf numFmtId="0" fontId="23" fillId="0" borderId="0" pivotButton="0" quotePrefix="0" xfId="0"/>
    <xf numFmtId="0" fontId="21" fillId="0" borderId="0" pivotButton="0" quotePrefix="0" xfId="0"/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14" fontId="22" fillId="0" borderId="38" applyAlignment="1" pivotButton="0" quotePrefix="0" xfId="0">
      <alignment horizontal="left" indent="1"/>
    </xf>
    <xf numFmtId="167" fontId="22" fillId="0" borderId="2" pivotButton="0" quotePrefix="0" xfId="0"/>
    <xf numFmtId="166" fontId="22" fillId="0" borderId="37" pivotButton="0" quotePrefix="0" xfId="0"/>
    <xf numFmtId="0" fontId="22" fillId="0" borderId="38" applyAlignment="1" pivotButton="0" quotePrefix="0" xfId="0">
      <alignment horizontal="left" indent="1"/>
    </xf>
    <xf numFmtId="0" fontId="22" fillId="0" borderId="0" applyAlignment="1" pivotButton="0" quotePrefix="0" xfId="0">
      <alignment horizontal="left" indent="1"/>
    </xf>
    <xf numFmtId="10" fontId="22" fillId="0" borderId="0" pivotButton="0" quotePrefix="0" xfId="2"/>
    <xf numFmtId="166" fontId="22" fillId="0" borderId="0" pivotButton="0" quotePrefix="0" xfId="0"/>
    <xf numFmtId="43" fontId="21" fillId="0" borderId="0" pivotButton="0" quotePrefix="0" xfId="3"/>
    <xf numFmtId="14" fontId="20" fillId="0" borderId="0" pivotButton="0" quotePrefix="0" xfId="0"/>
    <xf numFmtId="167" fontId="21" fillId="0" borderId="0" pivotButton="0" quotePrefix="0" xfId="0"/>
    <xf numFmtId="167" fontId="21" fillId="0" borderId="27" pivotButton="0" quotePrefix="0" xfId="1"/>
    <xf numFmtId="167" fontId="21" fillId="0" borderId="0" pivotButton="0" quotePrefix="0" xfId="3"/>
    <xf numFmtId="166" fontId="0" fillId="0" borderId="0" applyAlignment="1" pivotButton="0" quotePrefix="0" xfId="3">
      <alignment horizontal="left"/>
    </xf>
    <xf numFmtId="14" fontId="23" fillId="0" borderId="0" pivotButton="0" quotePrefix="0" xfId="0"/>
    <xf numFmtId="170" fontId="23" fillId="0" borderId="0" pivotButton="0" quotePrefix="0" xfId="0"/>
    <xf numFmtId="173" fontId="0" fillId="0" borderId="0" pivotButton="0" quotePrefix="0" xfId="0"/>
    <xf numFmtId="173" fontId="1" fillId="0" borderId="0" pivotButton="0" quotePrefix="0" xfId="0"/>
    <xf numFmtId="167" fontId="0" fillId="0" borderId="6" pivotButton="0" quotePrefix="0" xfId="0"/>
    <xf numFmtId="167" fontId="0" fillId="0" borderId="4" pivotButton="0" quotePrefix="0" xfId="0"/>
    <xf numFmtId="10" fontId="0" fillId="0" borderId="0" pivotButton="0" quotePrefix="0" xfId="0"/>
    <xf numFmtId="43" fontId="0" fillId="0" borderId="0" pivotButton="0" quotePrefix="0" xfId="3"/>
    <xf numFmtId="167" fontId="0" fillId="13" borderId="0" pivotButton="0" quotePrefix="1" xfId="0"/>
    <xf numFmtId="167" fontId="0" fillId="13" borderId="0" pivotButton="0" quotePrefix="0" xfId="0"/>
    <xf numFmtId="167" fontId="21" fillId="0" borderId="0" pivotButton="0" quotePrefix="0" xfId="1"/>
    <xf numFmtId="0" fontId="2" fillId="0" borderId="27" pivotButton="0" quotePrefix="0" xfId="0"/>
    <xf numFmtId="14" fontId="0" fillId="0" borderId="0" applyAlignment="1" pivotButton="0" quotePrefix="0" xfId="0">
      <alignment horizontal="center"/>
    </xf>
    <xf numFmtId="0" fontId="0" fillId="0" borderId="0" pivotButton="0" quotePrefix="1" xfId="0"/>
    <xf numFmtId="175" fontId="0" fillId="0" borderId="0" pivotButton="0" quotePrefix="0" xfId="2"/>
    <xf numFmtId="14" fontId="21" fillId="3" borderId="0" pivotButton="0" quotePrefix="0" xfId="0"/>
    <xf numFmtId="173" fontId="21" fillId="3" borderId="0" pivotButton="0" quotePrefix="0" xfId="0"/>
    <xf numFmtId="170" fontId="21" fillId="3" borderId="0" pivotButton="0" quotePrefix="0" xfId="0"/>
    <xf numFmtId="0" fontId="18" fillId="0" borderId="27" applyAlignment="1" pivotButton="0" quotePrefix="0" xfId="0">
      <alignment horizontal="center" vertical="center" wrapText="1"/>
    </xf>
    <xf numFmtId="167" fontId="0" fillId="0" borderId="4" applyAlignment="1" pivotButton="0" quotePrefix="0" xfId="0">
      <alignment horizontal="center"/>
    </xf>
    <xf numFmtId="14" fontId="0" fillId="12" borderId="0" pivotButton="0" quotePrefix="0" xfId="0"/>
    <xf numFmtId="14" fontId="0" fillId="0" borderId="0" pivotButton="0" quotePrefix="0" xfId="3"/>
    <xf numFmtId="0" fontId="1" fillId="0" borderId="4" pivotButton="0" quotePrefix="0" xfId="13"/>
    <xf numFmtId="168" fontId="17" fillId="0" borderId="46" applyAlignment="1" pivotButton="0" quotePrefix="0" xfId="0">
      <alignment horizontal="center" vertical="center"/>
    </xf>
    <xf numFmtId="164" fontId="1" fillId="0" borderId="0" pivotButton="0" quotePrefix="0" xfId="13"/>
    <xf numFmtId="168" fontId="0" fillId="0" borderId="0" pivotButton="0" quotePrefix="0" xfId="0"/>
    <xf numFmtId="169" fontId="25" fillId="0" borderId="46" applyAlignment="1" pivotButton="0" quotePrefix="0" xfId="0">
      <alignment horizontal="center" vertical="center"/>
    </xf>
    <xf numFmtId="169" fontId="25" fillId="0" borderId="47" applyAlignment="1" pivotButton="0" quotePrefix="0" xfId="0">
      <alignment horizontal="center" vertical="center"/>
    </xf>
    <xf numFmtId="9" fontId="0" fillId="8" borderId="0" applyAlignment="1" pivotButton="0" quotePrefix="0" xfId="0">
      <alignment horizontal="center"/>
    </xf>
    <xf numFmtId="167" fontId="2" fillId="0" borderId="4" applyAlignment="1" pivotButton="0" quotePrefix="0" xfId="0">
      <alignment horizontal="center"/>
    </xf>
    <xf numFmtId="10" fontId="1" fillId="0" borderId="0" applyAlignment="1" pivotButton="0" quotePrefix="0" xfId="2">
      <alignment horizontal="center"/>
    </xf>
    <xf numFmtId="175" fontId="1" fillId="0" borderId="0" applyAlignment="1" pivotButton="0" quotePrefix="0" xfId="2">
      <alignment horizontal="center"/>
    </xf>
    <xf numFmtId="167" fontId="0" fillId="14" borderId="0" applyAlignment="1" pivotButton="0" quotePrefix="0" xfId="0">
      <alignment horizontal="center"/>
    </xf>
    <xf numFmtId="14" fontId="0" fillId="16" borderId="0" applyAlignment="1" pivotButton="0" quotePrefix="0" xfId="0">
      <alignment horizontal="center"/>
    </xf>
    <xf numFmtId="10" fontId="1" fillId="15" borderId="0" applyAlignment="1" pivotButton="0" quotePrefix="0" xfId="2">
      <alignment horizontal="center"/>
    </xf>
    <xf numFmtId="167" fontId="2" fillId="11" borderId="4" applyAlignment="1" pivotButton="0" quotePrefix="0" xfId="0">
      <alignment horizontal="center"/>
    </xf>
    <xf numFmtId="14" fontId="21" fillId="0" borderId="0" applyAlignment="1" pivotButton="0" quotePrefix="0" xfId="0">
      <alignment horizontal="center"/>
    </xf>
    <xf numFmtId="0" fontId="25" fillId="0" borderId="45" applyAlignment="1" pivotButton="0" quotePrefix="0" xfId="0">
      <alignment horizontal="center" vertical="center"/>
    </xf>
    <xf numFmtId="171" fontId="25" fillId="0" borderId="45" applyAlignment="1" pivotButton="0" quotePrefix="0" xfId="0">
      <alignment horizontal="center" vertical="center"/>
    </xf>
    <xf numFmtId="9" fontId="25" fillId="0" borderId="45" applyAlignment="1" pivotButton="0" quotePrefix="0" xfId="2">
      <alignment horizontal="center" vertical="center"/>
    </xf>
    <xf numFmtId="171" fontId="25" fillId="0" borderId="27" applyAlignment="1" pivotButton="0" quotePrefix="0" xfId="0">
      <alignment horizontal="center" vertical="center"/>
    </xf>
    <xf numFmtId="10" fontId="18" fillId="0" borderId="45" applyAlignment="1" pivotButton="0" quotePrefix="0" xfId="2">
      <alignment horizontal="center" vertical="center" wrapText="1"/>
    </xf>
    <xf numFmtId="175" fontId="25" fillId="0" borderId="45" applyAlignment="1" pivotButton="0" quotePrefix="0" xfId="2">
      <alignment horizontal="center" vertical="center"/>
    </xf>
    <xf numFmtId="10" fontId="0" fillId="0" borderId="0" applyAlignment="1" pivotButton="0" quotePrefix="0" xfId="2">
      <alignment horizontal="center"/>
    </xf>
    <xf numFmtId="37" fontId="0" fillId="0" borderId="0" applyAlignment="1" pivotButton="0" quotePrefix="0" xfId="3">
      <alignment horizontal="center" vertical="center"/>
    </xf>
    <xf numFmtId="166" fontId="0" fillId="2" borderId="0" applyAlignment="1" pivotButton="0" quotePrefix="0" xfId="3">
      <alignment horizontal="center"/>
    </xf>
    <xf numFmtId="14" fontId="29" fillId="0" borderId="0" pivotButton="0" quotePrefix="0" xfId="0"/>
    <xf numFmtId="174" fontId="29" fillId="0" borderId="0" pivotButton="0" quotePrefix="0" xfId="3"/>
    <xf numFmtId="173" fontId="29" fillId="0" borderId="0" pivotButton="0" quotePrefix="0" xfId="0"/>
    <xf numFmtId="170" fontId="29" fillId="0" borderId="0" pivotButton="0" quotePrefix="0" xfId="0"/>
    <xf numFmtId="0" fontId="30" fillId="0" borderId="0" pivotButton="0" quotePrefix="0" xfId="0"/>
    <xf numFmtId="14" fontId="0" fillId="0" borderId="27" applyAlignment="1" pivotButton="0" quotePrefix="0" xfId="0">
      <alignment horizontal="center"/>
    </xf>
    <xf numFmtId="0" fontId="2" fillId="0" borderId="50" pivotButton="0" quotePrefix="0" xfId="0"/>
    <xf numFmtId="0" fontId="0" fillId="0" borderId="51" applyAlignment="1" pivotButton="0" quotePrefix="0" xfId="0">
      <alignment horizontal="center"/>
    </xf>
    <xf numFmtId="0" fontId="2" fillId="0" borderId="52" pivotButton="0" quotePrefix="0" xfId="0"/>
    <xf numFmtId="167" fontId="0" fillId="0" borderId="53" applyAlignment="1" pivotButton="0" quotePrefix="0" xfId="0">
      <alignment horizontal="center"/>
    </xf>
    <xf numFmtId="167" fontId="0" fillId="3" borderId="53" applyAlignment="1" pivotButton="0" quotePrefix="0" xfId="0">
      <alignment horizontal="center"/>
    </xf>
    <xf numFmtId="0" fontId="0" fillId="0" borderId="53" applyAlignment="1" pivotButton="0" quotePrefix="0" xfId="0">
      <alignment horizontal="center"/>
    </xf>
    <xf numFmtId="0" fontId="2" fillId="0" borderId="54" pivotButton="0" quotePrefix="0" xfId="0"/>
    <xf numFmtId="167" fontId="0" fillId="0" borderId="40" applyAlignment="1" pivotButton="0" quotePrefix="0" xfId="0">
      <alignment horizontal="center"/>
    </xf>
    <xf numFmtId="0" fontId="0" fillId="0" borderId="40" pivotButton="0" quotePrefix="0" xfId="0"/>
    <xf numFmtId="0" fontId="0" fillId="0" borderId="55" pivotButton="0" quotePrefix="0" xfId="0"/>
    <xf numFmtId="164" fontId="21" fillId="0" borderId="0" pivotButton="0" quotePrefix="0" xfId="1"/>
    <xf numFmtId="164" fontId="0" fillId="0" borderId="0" pivotButton="0" quotePrefix="0" xfId="6"/>
    <xf numFmtId="176" fontId="0" fillId="0" borderId="27" pivotButton="0" quotePrefix="0" xfId="1"/>
    <xf numFmtId="9" fontId="0" fillId="0" borderId="27" pivotButton="0" quotePrefix="0" xfId="0"/>
    <xf numFmtId="0" fontId="0" fillId="0" borderId="27" applyAlignment="1" pivotButton="0" quotePrefix="0" xfId="0">
      <alignment horizontal="center"/>
    </xf>
    <xf numFmtId="0" fontId="0" fillId="0" borderId="7" pivotButton="0" quotePrefix="0" xfId="1"/>
    <xf numFmtId="164" fontId="10" fillId="2" borderId="0" pivotButton="0" quotePrefix="0" xfId="1"/>
    <xf numFmtId="164" fontId="0" fillId="2" borderId="0" pivotButton="0" quotePrefix="0" xfId="1"/>
    <xf numFmtId="164" fontId="2" fillId="0" borderId="37" pivotButton="0" quotePrefix="0" xfId="0"/>
    <xf numFmtId="164" fontId="2" fillId="0" borderId="0" pivotButton="0" quotePrefix="0" xfId="1"/>
    <xf numFmtId="164" fontId="2" fillId="0" borderId="7" pivotButton="0" quotePrefix="0" xfId="0"/>
    <xf numFmtId="0" fontId="2" fillId="0" borderId="10" applyAlignment="1" pivotButton="0" quotePrefix="0" xfId="0">
      <alignment horizontal="center"/>
    </xf>
    <xf numFmtId="164" fontId="10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left"/>
    </xf>
    <xf numFmtId="164" fontId="4" fillId="0" borderId="0" applyAlignment="1" pivotButton="0" quotePrefix="0" xfId="1">
      <alignment horizontal="left"/>
    </xf>
    <xf numFmtId="164" fontId="2" fillId="0" borderId="5" pivotButton="0" quotePrefix="0" xfId="0"/>
    <xf numFmtId="164" fontId="2" fillId="0" borderId="5" pivotButton="0" quotePrefix="0" xfId="1"/>
    <xf numFmtId="0" fontId="2" fillId="0" borderId="59" applyAlignment="1" pivotButton="0" quotePrefix="0" xfId="0">
      <alignment horizontal="center"/>
    </xf>
    <xf numFmtId="10" fontId="0" fillId="0" borderId="41" pivotButton="0" quotePrefix="0" xfId="2"/>
    <xf numFmtId="0" fontId="0" fillId="6" borderId="11" pivotButton="0" quotePrefix="0" xfId="0"/>
    <xf numFmtId="0" fontId="0" fillId="6" borderId="0" pivotButton="0" quotePrefix="0" xfId="0"/>
    <xf numFmtId="0" fontId="0" fillId="6" borderId="12" pivotButton="0" quotePrefix="0" xfId="0"/>
    <xf numFmtId="43" fontId="0" fillId="6" borderId="0" pivotButton="0" quotePrefix="0" xfId="0"/>
    <xf numFmtId="43" fontId="0" fillId="6" borderId="7" pivotButton="0" quotePrefix="0" xfId="0"/>
    <xf numFmtId="166" fontId="0" fillId="6" borderId="0" pivotButton="0" quotePrefix="0" xfId="3"/>
    <xf numFmtId="166" fontId="0" fillId="6" borderId="0" pivotButton="0" quotePrefix="0" xfId="0"/>
    <xf numFmtId="166" fontId="0" fillId="6" borderId="7" pivotButton="0" quotePrefix="0" xfId="0"/>
    <xf numFmtId="166" fontId="0" fillId="6" borderId="7" pivotButton="0" quotePrefix="0" xfId="3"/>
    <xf numFmtId="0" fontId="0" fillId="6" borderId="13" pivotButton="0" quotePrefix="0" xfId="0"/>
    <xf numFmtId="166" fontId="0" fillId="6" borderId="14" pivotButton="0" quotePrefix="0" xfId="3"/>
    <xf numFmtId="0" fontId="0" fillId="6" borderId="14" pivotButton="0" quotePrefix="0" xfId="0"/>
    <xf numFmtId="0" fontId="0" fillId="6" borderId="15" pivotButton="0" quotePrefix="0" xfId="0"/>
    <xf numFmtId="170" fontId="0" fillId="3" borderId="0" pivotButton="0" quotePrefix="0" xfId="0"/>
    <xf numFmtId="164" fontId="33" fillId="20" borderId="0" pivotButton="0" quotePrefix="0" xfId="0"/>
    <xf numFmtId="0" fontId="33" fillId="20" borderId="0" pivotButton="0" quotePrefix="0" xfId="0"/>
    <xf numFmtId="0" fontId="0" fillId="20" borderId="27" applyAlignment="1" pivotButton="0" quotePrefix="0" xfId="0">
      <alignment horizontal="center" vertical="top" wrapText="1"/>
    </xf>
    <xf numFmtId="167" fontId="0" fillId="20" borderId="27" applyAlignment="1" pivotButton="0" quotePrefix="0" xfId="0">
      <alignment horizontal="center" vertical="top" wrapText="1"/>
    </xf>
    <xf numFmtId="171" fontId="0" fillId="20" borderId="27" applyAlignment="1" pivotButton="0" quotePrefix="0" xfId="0">
      <alignment horizontal="center" vertical="top" wrapText="1"/>
    </xf>
    <xf numFmtId="9" fontId="0" fillId="20" borderId="27" applyAlignment="1" pivotButton="0" quotePrefix="0" xfId="2">
      <alignment horizontal="center" vertical="top" wrapText="1"/>
    </xf>
    <xf numFmtId="0" fontId="0" fillId="20" borderId="27" applyAlignment="1" pivotButton="0" quotePrefix="0" xfId="0">
      <alignment horizontal="center" vertical="center" wrapText="1"/>
    </xf>
    <xf numFmtId="14" fontId="0" fillId="0" borderId="27" pivotButton="0" quotePrefix="0" xfId="0"/>
    <xf numFmtId="0" fontId="2" fillId="10" borderId="27" applyAlignment="1" pivotButton="0" quotePrefix="0" xfId="0">
      <alignment horizontal="right"/>
    </xf>
    <xf numFmtId="176" fontId="0" fillId="20" borderId="27" pivotButton="0" quotePrefix="0" xfId="1"/>
    <xf numFmtId="0" fontId="2" fillId="10" borderId="27" applyAlignment="1" pivotButton="0" quotePrefix="0" xfId="0">
      <alignment horizontal="center"/>
    </xf>
    <xf numFmtId="0" fontId="2" fillId="10" borderId="27" pivotButton="0" quotePrefix="0" xfId="0"/>
    <xf numFmtId="0" fontId="2" fillId="10" borderId="45" pivotButton="0" quotePrefix="0" xfId="0"/>
    <xf numFmtId="0" fontId="0" fillId="20" borderId="44" pivotButton="0" quotePrefix="0" xfId="0"/>
    <xf numFmtId="166" fontId="0" fillId="20" borderId="0" pivotButton="0" quotePrefix="0" xfId="3"/>
    <xf numFmtId="166" fontId="0" fillId="21" borderId="0" pivotButton="0" quotePrefix="0" xfId="3"/>
    <xf numFmtId="9" fontId="0" fillId="21" borderId="0" pivotButton="0" quotePrefix="0" xfId="0"/>
    <xf numFmtId="9" fontId="0" fillId="21" borderId="14" pivotButton="0" quotePrefix="0" xfId="0"/>
    <xf numFmtId="166" fontId="0" fillId="21" borderId="14" pivotButton="0" quotePrefix="0" xfId="3"/>
    <xf numFmtId="0" fontId="2" fillId="4" borderId="27" pivotButton="0" quotePrefix="0" xfId="0"/>
    <xf numFmtId="0" fontId="0" fillId="6" borderId="32" pivotButton="0" quotePrefix="0" xfId="0"/>
    <xf numFmtId="0" fontId="0" fillId="0" borderId="67" pivotButton="0" quotePrefix="0" xfId="0"/>
    <xf numFmtId="0" fontId="0" fillId="0" borderId="27" applyAlignment="1" pivotButton="0" quotePrefix="1" xfId="0">
      <alignment horizontal="right"/>
    </xf>
    <xf numFmtId="0" fontId="0" fillId="6" borderId="39" pivotButton="0" quotePrefix="0" xfId="0"/>
    <xf numFmtId="0" fontId="0" fillId="6" borderId="34" pivotButton="0" quotePrefix="0" xfId="0"/>
    <xf numFmtId="9" fontId="0" fillId="6" borderId="0" pivotButton="0" quotePrefix="0" xfId="0"/>
    <xf numFmtId="0" fontId="0" fillId="6" borderId="69" pivotButton="0" quotePrefix="0" xfId="0"/>
    <xf numFmtId="0" fontId="21" fillId="0" borderId="27" applyAlignment="1" pivotButton="0" quotePrefix="0" xfId="0">
      <alignment wrapText="1"/>
    </xf>
    <xf numFmtId="0" fontId="21" fillId="0" borderId="27" pivotButton="0" quotePrefix="0" xfId="0"/>
    <xf numFmtId="164" fontId="2" fillId="0" borderId="58" pivotButton="0" quotePrefix="0" xfId="0"/>
    <xf numFmtId="0" fontId="0" fillId="0" borderId="2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2" fillId="0" borderId="8" applyAlignment="1" pivotButton="0" quotePrefix="0" xfId="0">
      <alignment horizontal="left"/>
    </xf>
    <xf numFmtId="10" fontId="2" fillId="0" borderId="0" pivotButton="0" quotePrefix="0" xfId="2"/>
    <xf numFmtId="14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177" fontId="0" fillId="20" borderId="14" pivotButton="0" quotePrefix="0" xfId="1"/>
    <xf numFmtId="177" fontId="0" fillId="20" borderId="36" pivotButton="0" quotePrefix="0" xfId="0"/>
    <xf numFmtId="0" fontId="0" fillId="7" borderId="31" pivotButton="0" quotePrefix="0" xfId="0"/>
    <xf numFmtId="177" fontId="0" fillId="7" borderId="35" pivotButton="0" quotePrefix="0" xfId="0"/>
    <xf numFmtId="10" fontId="0" fillId="0" borderId="67" pivotButton="0" quotePrefix="0" xfId="2"/>
    <xf numFmtId="0" fontId="0" fillId="19" borderId="60" applyAlignment="1" pivotButton="0" quotePrefix="0" xfId="0">
      <alignment horizontal="centerContinuous"/>
    </xf>
    <xf numFmtId="0" fontId="0" fillId="19" borderId="61" applyAlignment="1" pivotButton="0" quotePrefix="0" xfId="0">
      <alignment horizontal="centerContinuous"/>
    </xf>
    <xf numFmtId="0" fontId="0" fillId="19" borderId="62" applyAlignment="1" pivotButton="0" quotePrefix="0" xfId="0">
      <alignment horizontal="centerContinuous"/>
    </xf>
    <xf numFmtId="0" fontId="0" fillId="19" borderId="63" applyAlignment="1" pivotButton="0" quotePrefix="0" xfId="0">
      <alignment horizontal="centerContinuous"/>
    </xf>
    <xf numFmtId="0" fontId="0" fillId="19" borderId="28" applyAlignment="1" pivotButton="0" quotePrefix="0" xfId="0">
      <alignment horizontal="centerContinuous"/>
    </xf>
    <xf numFmtId="0" fontId="0" fillId="19" borderId="29" applyAlignment="1" pivotButton="0" quotePrefix="0" xfId="0">
      <alignment horizontal="centerContinuous"/>
    </xf>
    <xf numFmtId="0" fontId="0" fillId="19" borderId="30" applyAlignment="1" pivotButton="0" quotePrefix="0" xfId="0">
      <alignment horizontal="centerContinuous"/>
    </xf>
    <xf numFmtId="0" fontId="0" fillId="6" borderId="0" applyAlignment="1" pivotButton="0" quotePrefix="0" xfId="0">
      <alignment horizontal="right"/>
    </xf>
    <xf numFmtId="0" fontId="0" fillId="6" borderId="0" applyAlignment="1" pivotButton="0" quotePrefix="0" xfId="0">
      <alignment horizontal="center"/>
    </xf>
    <xf numFmtId="0" fontId="0" fillId="6" borderId="27" pivotButton="0" quotePrefix="0" xfId="0"/>
    <xf numFmtId="176" fontId="0" fillId="6" borderId="0" pivotButton="0" quotePrefix="0" xfId="1"/>
    <xf numFmtId="175" fontId="0" fillId="6" borderId="0" pivotButton="0" quotePrefix="0" xfId="2"/>
    <xf numFmtId="176" fontId="0" fillId="6" borderId="0" pivotButton="0" quotePrefix="0" xfId="1"/>
    <xf numFmtId="171" fontId="0" fillId="6" borderId="0" pivotButton="0" quotePrefix="0" xfId="0"/>
    <xf numFmtId="175" fontId="0" fillId="6" borderId="0" pivotButton="0" quotePrefix="0" xfId="2"/>
    <xf numFmtId="9" fontId="0" fillId="6" borderId="0" pivotButton="0" quotePrefix="0" xfId="2"/>
    <xf numFmtId="10" fontId="0" fillId="6" borderId="0" pivotButton="0" quotePrefix="0" xfId="2"/>
    <xf numFmtId="0" fontId="2" fillId="6" borderId="0" pivotButton="0" quotePrefix="0" xfId="0"/>
    <xf numFmtId="171" fontId="2" fillId="6" borderId="0" pivotButton="0" quotePrefix="0" xfId="0"/>
    <xf numFmtId="171" fontId="0" fillId="6" borderId="0" applyAlignment="1" pivotButton="0" quotePrefix="0" xfId="0">
      <alignment horizontal="right" vertical="center"/>
    </xf>
    <xf numFmtId="171" fontId="2" fillId="6" borderId="0" applyAlignment="1" pivotButton="0" quotePrefix="0" xfId="0">
      <alignment horizontal="right" vertical="center"/>
    </xf>
    <xf numFmtId="167" fontId="2" fillId="6" borderId="0" applyAlignment="1" pivotButton="0" quotePrefix="0" xfId="0">
      <alignment horizontal="right" vertical="center"/>
    </xf>
    <xf numFmtId="43" fontId="2" fillId="6" borderId="0" applyAlignment="1" pivotButton="0" quotePrefix="0" xfId="3">
      <alignment horizontal="right" vertical="center"/>
    </xf>
    <xf numFmtId="167" fontId="0" fillId="6" borderId="0" pivotButton="0" quotePrefix="0" xfId="0"/>
    <xf numFmtId="10" fontId="0" fillId="6" borderId="0" pivotButton="0" quotePrefix="0" xfId="2"/>
    <xf numFmtId="176" fontId="0" fillId="6" borderId="0" pivotButton="0" quotePrefix="0" xfId="0"/>
    <xf numFmtId="164" fontId="0" fillId="6" borderId="0" pivotButton="0" quotePrefix="0" xfId="0"/>
    <xf numFmtId="0" fontId="0" fillId="6" borderId="68" pivotButton="0" quotePrefix="0" xfId="0"/>
    <xf numFmtId="0" fontId="32" fillId="6" borderId="0" pivotButton="0" quotePrefix="0" xfId="0"/>
    <xf numFmtId="164" fontId="32" fillId="6" borderId="0" pivotButton="0" quotePrefix="0" xfId="0"/>
    <xf numFmtId="177" fontId="0" fillId="6" borderId="0" pivotButton="0" quotePrefix="0" xfId="0"/>
    <xf numFmtId="176" fontId="32" fillId="6" borderId="0" pivotButton="0" quotePrefix="0" xfId="0"/>
    <xf numFmtId="0" fontId="2" fillId="6" borderId="0" applyAlignment="1" pivotButton="0" quotePrefix="0" xfId="0">
      <alignment horizontal="center"/>
    </xf>
    <xf numFmtId="0" fontId="0" fillId="6" borderId="4" pivotButton="0" quotePrefix="0" xfId="0"/>
    <xf numFmtId="0" fontId="0" fillId="6" borderId="63" applyAlignment="1" pivotButton="0" quotePrefix="0" xfId="0">
      <alignment horizontal="centerContinuous"/>
    </xf>
    <xf numFmtId="164" fontId="0" fillId="6" borderId="5" pivotButton="0" quotePrefix="0" xfId="1"/>
    <xf numFmtId="164" fontId="0" fillId="6" borderId="0" pivotButton="0" quotePrefix="0" xfId="1"/>
    <xf numFmtId="164" fontId="0" fillId="6" borderId="0" applyAlignment="1" pivotButton="0" quotePrefix="1" xfId="1">
      <alignment horizontal="right"/>
    </xf>
    <xf numFmtId="164" fontId="0" fillId="6" borderId="0" pivotButton="0" quotePrefix="0" xfId="1"/>
    <xf numFmtId="166" fontId="0" fillId="6" borderId="41" pivotButton="0" quotePrefix="0" xfId="3"/>
    <xf numFmtId="165" fontId="0" fillId="6" borderId="0" pivotButton="0" quotePrefix="0" xfId="2"/>
    <xf numFmtId="0" fontId="2" fillId="6" borderId="0" applyAlignment="1" pivotButton="0" quotePrefix="0" xfId="0">
      <alignment horizontal="right"/>
    </xf>
    <xf numFmtId="0" fontId="0" fillId="6" borderId="27" applyAlignment="1" pivotButton="0" quotePrefix="0" xfId="0">
      <alignment horizontal="center" vertical="top" wrapText="1"/>
    </xf>
    <xf numFmtId="14" fontId="0" fillId="6" borderId="27" applyAlignment="1" pivotButton="0" quotePrefix="0" xfId="0">
      <alignment vertical="top" wrapText="1"/>
    </xf>
    <xf numFmtId="0" fontId="0" fillId="6" borderId="27" applyAlignment="1" pivotButton="0" quotePrefix="0" xfId="0">
      <alignment vertical="top" wrapText="1"/>
    </xf>
    <xf numFmtId="0" fontId="0" fillId="6" borderId="27" applyAlignment="1" pivotButton="0" quotePrefix="0" xfId="0">
      <alignment horizontal="left" vertical="top" wrapText="1"/>
    </xf>
    <xf numFmtId="167" fontId="0" fillId="6" borderId="27" applyAlignment="1" pivotButton="0" quotePrefix="0" xfId="0">
      <alignment vertical="top" wrapText="1"/>
    </xf>
    <xf numFmtId="171" fontId="0" fillId="6" borderId="27" applyAlignment="1" pivotButton="0" quotePrefix="0" xfId="0">
      <alignment horizontal="right" vertical="top" wrapText="1"/>
    </xf>
    <xf numFmtId="9" fontId="0" fillId="6" borderId="27" applyAlignment="1" pivotButton="0" quotePrefix="0" xfId="0">
      <alignment horizontal="right" vertical="top" wrapText="1"/>
    </xf>
    <xf numFmtId="9" fontId="0" fillId="6" borderId="27" applyAlignment="1" pivotButton="0" quotePrefix="0" xfId="2">
      <alignment horizontal="right" vertical="top" wrapText="1"/>
    </xf>
    <xf numFmtId="178" fontId="0" fillId="6" borderId="27" applyAlignment="1" pivotButton="0" quotePrefix="0" xfId="0">
      <alignment horizontal="right" vertical="top" wrapText="1"/>
    </xf>
    <xf numFmtId="15" fontId="0" fillId="6" borderId="27" applyAlignment="1" pivotButton="0" quotePrefix="0" xfId="0">
      <alignment vertical="top" wrapText="1"/>
    </xf>
    <xf numFmtId="14" fontId="0" fillId="6" borderId="27" applyAlignment="1" pivotButton="0" quotePrefix="0" xfId="0">
      <alignment horizontal="center" vertical="top" wrapText="1"/>
    </xf>
    <xf numFmtId="14" fontId="0" fillId="6" borderId="27" applyAlignment="1" pivotButton="0" quotePrefix="0" xfId="0">
      <alignment horizontal="center" vertical="center" wrapText="1"/>
    </xf>
    <xf numFmtId="0" fontId="34" fillId="0" borderId="27" applyAlignment="1" pivotButton="0" quotePrefix="0" xfId="0">
      <alignment horizontal="center" vertical="center"/>
    </xf>
    <xf numFmtId="9" fontId="2" fillId="6" borderId="0" applyAlignment="1" pivotButton="0" quotePrefix="0" xfId="0">
      <alignment horizontal="center"/>
    </xf>
    <xf numFmtId="169" fontId="10" fillId="2" borderId="0" applyAlignment="1" pivotButton="0" quotePrefix="0" xfId="1">
      <alignment horizontal="center"/>
    </xf>
    <xf numFmtId="170" fontId="0" fillId="0" borderId="0" applyAlignment="1" pivotButton="0" quotePrefix="0" xfId="0">
      <alignment horizontal="center"/>
    </xf>
    <xf numFmtId="164" fontId="9" fillId="0" borderId="0" pivotButton="0" quotePrefix="0" xfId="0"/>
    <xf numFmtId="0" fontId="35" fillId="6" borderId="0" applyAlignment="1" pivotButton="0" quotePrefix="0" xfId="0">
      <alignment horizontal="right"/>
    </xf>
    <xf numFmtId="0" fontId="35" fillId="6" borderId="0" pivotButton="0" quotePrefix="0" xfId="0"/>
    <xf numFmtId="0" fontId="35" fillId="6" borderId="0" applyAlignment="1" pivotButton="0" quotePrefix="0" xfId="0">
      <alignment horizontal="center" wrapText="1"/>
    </xf>
    <xf numFmtId="0" fontId="35" fillId="6" borderId="0" applyAlignment="1" pivotButton="0" quotePrefix="0" xfId="0">
      <alignment horizontal="center"/>
    </xf>
    <xf numFmtId="0" fontId="35" fillId="6" borderId="27" applyAlignment="1" pivotButton="0" quotePrefix="0" xfId="0">
      <alignment horizontal="center"/>
    </xf>
    <xf numFmtId="0" fontId="35" fillId="6" borderId="27" pivotButton="0" quotePrefix="0" xfId="0"/>
    <xf numFmtId="9" fontId="35" fillId="6" borderId="27" pivotButton="0" quotePrefix="0" xfId="2"/>
    <xf numFmtId="176" fontId="35" fillId="6" borderId="0" pivotButton="0" quotePrefix="0" xfId="1"/>
    <xf numFmtId="175" fontId="35" fillId="6" borderId="0" pivotButton="0" quotePrefix="0" xfId="2"/>
    <xf numFmtId="9" fontId="35" fillId="6" borderId="0" pivotButton="0" quotePrefix="0" xfId="2"/>
    <xf numFmtId="0" fontId="36" fillId="6" borderId="1" pivotButton="0" quotePrefix="0" xfId="0"/>
    <xf numFmtId="0" fontId="35" fillId="6" borderId="1" pivotButton="0" quotePrefix="0" xfId="0"/>
    <xf numFmtId="171" fontId="35" fillId="6" borderId="0" pivotButton="0" quotePrefix="0" xfId="0"/>
    <xf numFmtId="0" fontId="35" fillId="6" borderId="32" pivotButton="0" quotePrefix="0" xfId="0"/>
    <xf numFmtId="171" fontId="35" fillId="6" borderId="34" pivotButton="0" quotePrefix="0" xfId="0"/>
    <xf numFmtId="9" fontId="35" fillId="6" borderId="0" pivotButton="0" quotePrefix="0" xfId="0"/>
    <xf numFmtId="176" fontId="35" fillId="6" borderId="0" pivotButton="0" quotePrefix="0" xfId="0"/>
    <xf numFmtId="0" fontId="35" fillId="6" borderId="11" pivotButton="0" quotePrefix="0" xfId="0"/>
    <xf numFmtId="171" fontId="35" fillId="6" borderId="12" pivotButton="0" quotePrefix="0" xfId="0"/>
    <xf numFmtId="171" fontId="35" fillId="6" borderId="0" pivotButton="0" quotePrefix="0" xfId="1"/>
    <xf numFmtId="169" fontId="35" fillId="0" borderId="0" pivotButton="0" quotePrefix="0" xfId="0"/>
    <xf numFmtId="169" fontId="35" fillId="6" borderId="0" pivotButton="0" quotePrefix="0" xfId="0"/>
    <xf numFmtId="176" fontId="35" fillId="6" borderId="0" pivotButton="0" quotePrefix="0" xfId="1"/>
    <xf numFmtId="0" fontId="35" fillId="6" borderId="13" pivotButton="0" quotePrefix="0" xfId="0"/>
    <xf numFmtId="171" fontId="35" fillId="6" borderId="15" pivotButton="0" quotePrefix="0" xfId="0"/>
    <xf numFmtId="0" fontId="35" fillId="18" borderId="49" pivotButton="0" quotePrefix="0" xfId="0"/>
    <xf numFmtId="167" fontId="35" fillId="18" borderId="50" applyAlignment="1" pivotButton="0" quotePrefix="0" xfId="0">
      <alignment horizontal="center"/>
    </xf>
    <xf numFmtId="0" fontId="35" fillId="18" borderId="50" pivotButton="0" quotePrefix="0" xfId="0"/>
    <xf numFmtId="0" fontId="35" fillId="18" borderId="51" pivotButton="0" quotePrefix="0" xfId="0"/>
    <xf numFmtId="170" fontId="35" fillId="6" borderId="0" pivotButton="0" quotePrefix="0" xfId="0"/>
    <xf numFmtId="0" fontId="35" fillId="18" borderId="52" pivotButton="0" quotePrefix="0" xfId="0"/>
    <xf numFmtId="171" fontId="35" fillId="6" borderId="27" pivotButton="0" quotePrefix="0" xfId="1"/>
    <xf numFmtId="171" fontId="35" fillId="6" borderId="53" pivotButton="0" quotePrefix="0" xfId="1"/>
    <xf numFmtId="175" fontId="35" fillId="6" borderId="0" pivotButton="0" quotePrefix="0" xfId="2"/>
    <xf numFmtId="9" fontId="35" fillId="6" borderId="27" pivotButton="0" quotePrefix="0" xfId="0"/>
    <xf numFmtId="9" fontId="35" fillId="6" borderId="53" pivotButton="0" quotePrefix="0" xfId="0"/>
    <xf numFmtId="14" fontId="35" fillId="6" borderId="0" pivotButton="0" quotePrefix="0" xfId="2"/>
    <xf numFmtId="0" fontId="35" fillId="6" borderId="53" applyAlignment="1" pivotButton="0" quotePrefix="0" xfId="0">
      <alignment horizontal="center"/>
    </xf>
    <xf numFmtId="175" fontId="35" fillId="6" borderId="0" pivotButton="0" quotePrefix="0" xfId="0"/>
    <xf numFmtId="175" fontId="35" fillId="6" borderId="27" pivotButton="0" quotePrefix="0" xfId="2"/>
    <xf numFmtId="175" fontId="35" fillId="6" borderId="53" pivotButton="0" quotePrefix="0" xfId="2"/>
    <xf numFmtId="0" fontId="35" fillId="18" borderId="56" pivotButton="0" quotePrefix="0" xfId="0"/>
    <xf numFmtId="175" fontId="35" fillId="6" borderId="45" pivotButton="0" quotePrefix="0" xfId="2"/>
    <xf numFmtId="0" fontId="35" fillId="6" borderId="45" pivotButton="0" quotePrefix="0" xfId="0"/>
    <xf numFmtId="175" fontId="35" fillId="6" borderId="57" pivotButton="0" quotePrefix="0" xfId="2"/>
    <xf numFmtId="0" fontId="35" fillId="18" borderId="54" pivotButton="0" quotePrefix="0" xfId="0"/>
    <xf numFmtId="0" fontId="35" fillId="6" borderId="40" pivotButton="0" quotePrefix="0" xfId="0"/>
    <xf numFmtId="175" fontId="35" fillId="6" borderId="55" pivotButton="0" quotePrefix="0" xfId="2"/>
    <xf numFmtId="175" fontId="35" fillId="6" borderId="34" pivotButton="0" quotePrefix="0" xfId="0"/>
    <xf numFmtId="0" fontId="35" fillId="18" borderId="64" pivotButton="0" quotePrefix="0" xfId="0"/>
    <xf numFmtId="9" fontId="35" fillId="6" borderId="65" pivotButton="0" quotePrefix="0" xfId="2"/>
    <xf numFmtId="0" fontId="35" fillId="18" borderId="65" pivotButton="0" quotePrefix="0" xfId="0"/>
    <xf numFmtId="9" fontId="35" fillId="6" borderId="40" pivotButton="0" quotePrefix="0" xfId="2"/>
    <xf numFmtId="0" fontId="35" fillId="18" borderId="40" pivotButton="0" quotePrefix="0" xfId="0"/>
    <xf numFmtId="0" fontId="36" fillId="6" borderId="0" pivotButton="0" quotePrefix="0" xfId="0"/>
    <xf numFmtId="0" fontId="37" fillId="6" borderId="0" pivotButton="0" quotePrefix="0" xfId="0"/>
    <xf numFmtId="10" fontId="37" fillId="6" borderId="0" pivotButton="0" quotePrefix="0" xfId="2"/>
    <xf numFmtId="167" fontId="37" fillId="6" borderId="0" pivotButton="0" quotePrefix="0" xfId="0"/>
    <xf numFmtId="164" fontId="37" fillId="6" borderId="0" applyAlignment="1" pivotButton="0" quotePrefix="0" xfId="1">
      <alignment horizontal="center" vertical="center"/>
    </xf>
    <xf numFmtId="16" fontId="37" fillId="6" borderId="0" pivotButton="0" quotePrefix="0" xfId="0"/>
    <xf numFmtId="179" fontId="37" fillId="6" borderId="0" pivotButton="0" quotePrefix="0" xfId="0"/>
    <xf numFmtId="9" fontId="37" fillId="6" borderId="0" pivotButton="0" quotePrefix="0" xfId="2"/>
    <xf numFmtId="169" fontId="35" fillId="6" borderId="0" pivotButton="0" quotePrefix="0" xfId="1"/>
    <xf numFmtId="0" fontId="36" fillId="6" borderId="1" applyAlignment="1" pivotButton="0" quotePrefix="0" xfId="0">
      <alignment horizontal="centerContinuous"/>
    </xf>
    <xf numFmtId="0" fontId="35" fillId="6" borderId="1" applyAlignment="1" pivotButton="0" quotePrefix="0" xfId="0">
      <alignment horizontal="centerContinuous"/>
    </xf>
    <xf numFmtId="0" fontId="37" fillId="6" borderId="1" applyAlignment="1" pivotButton="0" quotePrefix="0" xfId="0">
      <alignment horizontal="centerContinuous"/>
    </xf>
    <xf numFmtId="9" fontId="36" fillId="6" borderId="1" applyAlignment="1" pivotButton="0" quotePrefix="0" xfId="2">
      <alignment horizontal="centerContinuous"/>
    </xf>
    <xf numFmtId="9" fontId="37" fillId="6" borderId="1" applyAlignment="1" pivotButton="0" quotePrefix="0" xfId="2">
      <alignment horizontal="centerContinuous"/>
    </xf>
    <xf numFmtId="0" fontId="35" fillId="21" borderId="1" pivotButton="0" quotePrefix="0" xfId="0"/>
    <xf numFmtId="169" fontId="35" fillId="21" borderId="1" pivotButton="0" quotePrefix="0" xfId="0"/>
    <xf numFmtId="169" fontId="35" fillId="6" borderId="1" pivotButton="0" quotePrefix="0" xfId="0"/>
    <xf numFmtId="0" fontId="35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left"/>
    </xf>
    <xf numFmtId="171" fontId="37" fillId="6" borderId="27" pivotButton="0" quotePrefix="0" xfId="1"/>
    <xf numFmtId="9" fontId="35" fillId="6" borderId="66" pivotButton="0" quotePrefix="0" xfId="2"/>
    <xf numFmtId="9" fontId="35" fillId="6" borderId="55" pivotButton="0" quotePrefix="0" xfId="2"/>
    <xf numFmtId="175" fontId="0" fillId="6" borderId="27" pivotButton="0" quotePrefix="0" xfId="2"/>
    <xf numFmtId="14" fontId="38" fillId="6" borderId="0" applyAlignment="1" pivotButton="0" quotePrefix="0" xfId="0">
      <alignment horizontal="left" vertical="center"/>
    </xf>
    <xf numFmtId="0" fontId="38" fillId="6" borderId="0" pivotButton="0" quotePrefix="0" xfId="0"/>
    <xf numFmtId="0" fontId="38" fillId="6" borderId="0" applyAlignment="1" pivotButton="0" quotePrefix="0" xfId="0">
      <alignment vertical="center"/>
    </xf>
    <xf numFmtId="0" fontId="38" fillId="6" borderId="0" applyAlignment="1" pivotButton="0" quotePrefix="0" xfId="0">
      <alignment horizontal="left" vertical="center"/>
    </xf>
    <xf numFmtId="0" fontId="38" fillId="6" borderId="0" applyAlignment="1" pivotButton="0" quotePrefix="0" xfId="0">
      <alignment horizontal="center" wrapText="1"/>
    </xf>
    <xf numFmtId="0" fontId="39" fillId="6" borderId="0" applyAlignment="1" pivotButton="0" quotePrefix="0" xfId="0">
      <alignment horizontal="left"/>
    </xf>
    <xf numFmtId="171" fontId="38" fillId="6" borderId="0" pivotButton="0" quotePrefix="0" xfId="0"/>
    <xf numFmtId="169" fontId="38" fillId="6" borderId="0" pivotButton="0" quotePrefix="0" xfId="0"/>
    <xf numFmtId="171" fontId="38" fillId="6" borderId="1" pivotButton="0" quotePrefix="0" xfId="0"/>
    <xf numFmtId="171" fontId="39" fillId="6" borderId="0" pivotButton="0" quotePrefix="0" xfId="0"/>
    <xf numFmtId="0" fontId="39" fillId="6" borderId="0" pivotButton="0" quotePrefix="0" xfId="0"/>
    <xf numFmtId="0" fontId="39" fillId="6" borderId="0" applyAlignment="1" pivotButton="0" quotePrefix="0" xfId="0">
      <alignment horizontal="left" vertical="center"/>
    </xf>
    <xf numFmtId="0" fontId="38" fillId="6" borderId="0" applyAlignment="1" pivotButton="0" quotePrefix="0" xfId="0">
      <alignment horizontal="left" vertical="top"/>
    </xf>
    <xf numFmtId="0" fontId="39" fillId="6" borderId="0" applyAlignment="1" pivotButton="0" quotePrefix="0" xfId="0">
      <alignment horizontal="left" vertical="top"/>
    </xf>
    <xf numFmtId="0" fontId="38" fillId="6" borderId="0" applyAlignment="1" pivotButton="0" quotePrefix="0" xfId="0">
      <alignment wrapText="1"/>
    </xf>
    <xf numFmtId="171" fontId="0" fillId="20" borderId="0" pivotButton="0" quotePrefix="0" xfId="0"/>
    <xf numFmtId="9" fontId="34" fillId="6" borderId="0" applyAlignment="1" pivotButton="0" quotePrefix="0" xfId="0">
      <alignment horizontal="center"/>
    </xf>
    <xf numFmtId="176" fontId="0" fillId="0" borderId="0" pivotButton="0" quotePrefix="0" xfId="0"/>
    <xf numFmtId="0" fontId="34" fillId="6" borderId="0" applyAlignment="1" pivotButton="0" quotePrefix="0" xfId="0">
      <alignment horizontal="center"/>
    </xf>
    <xf numFmtId="176" fontId="0" fillId="20" borderId="0" pivotButton="0" quotePrefix="0" xfId="0"/>
    <xf numFmtId="176" fontId="2" fillId="0" borderId="0" pivotButton="0" quotePrefix="0" xfId="0"/>
    <xf numFmtId="177" fontId="0" fillId="20" borderId="0" pivotButton="0" quotePrefix="0" xfId="0"/>
    <xf numFmtId="171" fontId="0" fillId="6" borderId="17" pivotButton="0" quotePrefix="0" xfId="0"/>
    <xf numFmtId="171" fontId="0" fillId="6" borderId="22" pivotButton="0" quotePrefix="0" xfId="0"/>
    <xf numFmtId="171" fontId="35" fillId="6" borderId="0" applyAlignment="1" pivotButton="0" quotePrefix="0" xfId="0">
      <alignment horizontal="right"/>
    </xf>
    <xf numFmtId="171" fontId="37" fillId="6" borderId="0" pivotButton="0" quotePrefix="0" xfId="0"/>
    <xf numFmtId="164" fontId="0" fillId="0" borderId="0" pivotButton="0" quotePrefix="0" xfId="13"/>
    <xf numFmtId="43" fontId="0" fillId="0" borderId="0" pivotButton="0" quotePrefix="0" xfId="3"/>
    <xf numFmtId="43" fontId="0" fillId="0" borderId="0" pivotButton="0" quotePrefix="0" xfId="0"/>
    <xf numFmtId="0" fontId="2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175" fontId="0" fillId="23" borderId="0" pivotButton="0" quotePrefix="0" xfId="3"/>
    <xf numFmtId="14" fontId="0" fillId="23" borderId="32" pivotButton="0" quotePrefix="0" xfId="0"/>
    <xf numFmtId="0" fontId="0" fillId="23" borderId="34" pivotButton="0" quotePrefix="0" xfId="0"/>
    <xf numFmtId="170" fontId="0" fillId="23" borderId="34" pivotButton="0" quotePrefix="0" xfId="3"/>
    <xf numFmtId="14" fontId="0" fillId="23" borderId="11" pivotButton="0" quotePrefix="0" xfId="0"/>
    <xf numFmtId="0" fontId="0" fillId="23" borderId="12" pivotButton="0" quotePrefix="0" xfId="0"/>
    <xf numFmtId="170" fontId="0" fillId="23" borderId="12" pivotButton="0" quotePrefix="0" xfId="3"/>
    <xf numFmtId="14" fontId="0" fillId="6" borderId="11" pivotButton="0" quotePrefix="0" xfId="0"/>
    <xf numFmtId="169" fontId="0" fillId="0" borderId="0" applyAlignment="1" pivotButton="0" quotePrefix="0" xfId="0">
      <alignment horizontal="center"/>
    </xf>
    <xf numFmtId="175" fontId="0" fillId="23" borderId="0" applyAlignment="1" pivotButton="0" quotePrefix="0" xfId="0">
      <alignment horizontal="left"/>
    </xf>
    <xf numFmtId="14" fontId="0" fillId="6" borderId="13" pivotButton="0" quotePrefix="0" xfId="0"/>
    <xf numFmtId="43" fontId="0" fillId="6" borderId="34" pivotButton="0" quotePrefix="0" xfId="0"/>
    <xf numFmtId="43" fontId="0" fillId="6" borderId="12" pivotButton="0" quotePrefix="0" xfId="0"/>
    <xf numFmtId="43" fontId="2" fillId="0" borderId="0" pivotButton="0" quotePrefix="0" xfId="0"/>
    <xf numFmtId="169" fontId="0" fillId="23" borderId="0" pivotButton="0" quotePrefix="0" xfId="3"/>
    <xf numFmtId="169" fontId="0" fillId="0" borderId="0" pivotButton="0" quotePrefix="0" xfId="0"/>
    <xf numFmtId="14" fontId="0" fillId="23" borderId="0" pivotButton="0" quotePrefix="0" xfId="3"/>
    <xf numFmtId="14" fontId="0" fillId="23" borderId="13" pivotButton="0" quotePrefix="0" xfId="0"/>
    <xf numFmtId="0" fontId="0" fillId="23" borderId="15" pivotButton="0" quotePrefix="0" xfId="0"/>
    <xf numFmtId="170" fontId="0" fillId="23" borderId="15" pivotButton="0" quotePrefix="0" xfId="3"/>
    <xf numFmtId="43" fontId="40" fillId="0" borderId="0" pivotButton="0" quotePrefix="0" xfId="0"/>
    <xf numFmtId="43" fontId="0" fillId="0" borderId="0" pivotButton="0" quotePrefix="0" xfId="3"/>
    <xf numFmtId="0" fontId="0" fillId="0" borderId="1" pivotButton="0" quotePrefix="0" xfId="0"/>
    <xf numFmtId="43" fontId="2" fillId="0" borderId="1" pivotButton="0" quotePrefix="0" xfId="3"/>
    <xf numFmtId="0" fontId="2" fillId="0" borderId="1" pivotButton="0" quotePrefix="0" xfId="0"/>
    <xf numFmtId="43" fontId="0" fillId="24" borderId="0" pivotButton="0" quotePrefix="0" xfId="3"/>
    <xf numFmtId="43" fontId="0" fillId="6" borderId="15" pivotButton="0" quotePrefix="0" xfId="0"/>
    <xf numFmtId="14" fontId="0" fillId="6" borderId="32" pivotButton="0" quotePrefix="0" xfId="0"/>
    <xf numFmtId="14" fontId="35" fillId="6" borderId="45" pivotButton="0" quotePrefix="0" xfId="2"/>
    <xf numFmtId="171" fontId="0" fillId="0" borderId="27" pivotButton="0" quotePrefix="0" xfId="1"/>
    <xf numFmtId="171" fontId="0" fillId="0" borderId="45" pivotButton="0" quotePrefix="0" xfId="1"/>
    <xf numFmtId="171" fontId="0" fillId="0" borderId="27" pivotButton="0" quotePrefix="0" xfId="0"/>
    <xf numFmtId="171" fontId="0" fillId="20" borderId="27" applyAlignment="1" pivotButton="0" quotePrefix="0" xfId="0">
      <alignment horizontal="center"/>
    </xf>
    <xf numFmtId="0" fontId="0" fillId="6" borderId="18" pivotButton="0" quotePrefix="0" xfId="0"/>
    <xf numFmtId="171" fontId="0" fillId="20" borderId="2" pivotButton="0" quotePrefix="0" xfId="0"/>
    <xf numFmtId="9" fontId="34" fillId="6" borderId="2" applyAlignment="1" pivotButton="0" quotePrefix="0" xfId="0">
      <alignment horizontal="center"/>
    </xf>
    <xf numFmtId="0" fontId="0" fillId="6" borderId="2" pivotButton="0" quotePrefix="0" xfId="0"/>
    <xf numFmtId="0" fontId="0" fillId="6" borderId="21" pivotButton="0" quotePrefix="0" xfId="0"/>
    <xf numFmtId="166" fontId="0" fillId="6" borderId="0" applyAlignment="1" pivotButton="0" quotePrefix="0" xfId="0">
      <alignment horizontal="center"/>
    </xf>
    <xf numFmtId="10" fontId="0" fillId="6" borderId="68" pivotButton="0" quotePrefix="0" xfId="2"/>
    <xf numFmtId="167" fontId="0" fillId="0" borderId="0" pivotButton="0" quotePrefix="0" xfId="2"/>
    <xf numFmtId="9" fontId="37" fillId="6" borderId="0" pivotButton="0" quotePrefix="0" xfId="0"/>
    <xf numFmtId="0" fontId="0" fillId="6" borderId="1" applyAlignment="1" pivotButton="0" quotePrefix="0" xfId="0">
      <alignment horizontal="centerContinuous"/>
    </xf>
    <xf numFmtId="0" fontId="35" fillId="6" borderId="0" applyAlignment="1" pivotButton="0" quotePrefix="0" xfId="0">
      <alignment horizontal="centerContinuous"/>
    </xf>
    <xf numFmtId="171" fontId="41" fillId="6" borderId="0" applyAlignment="1" pivotButton="0" quotePrefix="0" xfId="0">
      <alignment horizontal="right"/>
    </xf>
    <xf numFmtId="0" fontId="35" fillId="21" borderId="27" applyAlignment="1" pivotButton="0" quotePrefix="0" xfId="0">
      <alignment horizontal="right"/>
    </xf>
    <xf numFmtId="0" fontId="0" fillId="21" borderId="27" pivotButton="0" quotePrefix="0" xfId="0"/>
    <xf numFmtId="0" fontId="0" fillId="21" borderId="43" pivotButton="0" quotePrefix="0" xfId="0"/>
    <xf numFmtId="0" fontId="0" fillId="21" borderId="67" pivotButton="0" quotePrefix="0" xfId="0"/>
    <xf numFmtId="0" fontId="0" fillId="21" borderId="44" pivotButton="0" quotePrefix="0" xfId="0"/>
    <xf numFmtId="171" fontId="41" fillId="6" borderId="27" pivotButton="0" quotePrefix="0" xfId="0"/>
    <xf numFmtId="171" fontId="35" fillId="6" borderId="44" pivotButton="0" quotePrefix="0" xfId="0"/>
    <xf numFmtId="171" fontId="35" fillId="6" borderId="27" pivotButton="0" quotePrefix="0" xfId="0"/>
    <xf numFmtId="10" fontId="35" fillId="21" borderId="44" applyAlignment="1" pivotButton="0" quotePrefix="0" xfId="2">
      <alignment horizontal="center"/>
    </xf>
    <xf numFmtId="171" fontId="41" fillId="6" borderId="45" pivotButton="0" quotePrefix="0" xfId="0"/>
    <xf numFmtId="171" fontId="35" fillId="6" borderId="5" pivotButton="0" quotePrefix="0" xfId="0"/>
    <xf numFmtId="171" fontId="35" fillId="6" borderId="45" pivotButton="0" quotePrefix="0" xfId="0"/>
    <xf numFmtId="10" fontId="35" fillId="21" borderId="5" applyAlignment="1" pivotButton="0" quotePrefix="0" xfId="2">
      <alignment horizontal="center"/>
    </xf>
    <xf numFmtId="171" fontId="41" fillId="6" borderId="67" pivotButton="0" quotePrefix="0" xfId="0"/>
    <xf numFmtId="171" fontId="35" fillId="6" borderId="70" pivotButton="0" quotePrefix="0" xfId="0"/>
    <xf numFmtId="171" fontId="35" fillId="6" borderId="71" pivotButton="0" quotePrefix="0" xfId="0"/>
    <xf numFmtId="10" fontId="35" fillId="21" borderId="29" applyAlignment="1" pivotButton="0" quotePrefix="0" xfId="2">
      <alignment horizontal="center"/>
    </xf>
    <xf numFmtId="171" fontId="41" fillId="6" borderId="47" pivotButton="0" quotePrefix="0" xfId="0"/>
    <xf numFmtId="171" fontId="35" fillId="6" borderId="10" pivotButton="0" quotePrefix="0" xfId="0"/>
    <xf numFmtId="171" fontId="35" fillId="6" borderId="47" pivotButton="0" quotePrefix="0" xfId="0"/>
    <xf numFmtId="10" fontId="35" fillId="21" borderId="10" applyAlignment="1" pivotButton="0" quotePrefix="0" xfId="0">
      <alignment horizontal="center"/>
    </xf>
    <xf numFmtId="9" fontId="35" fillId="6" borderId="0" applyAlignment="1" pivotButton="0" quotePrefix="0" xfId="0">
      <alignment horizontal="center"/>
    </xf>
    <xf numFmtId="164" fontId="35" fillId="6" borderId="0" pivotButton="0" quotePrefix="0" xfId="1"/>
    <xf numFmtId="180" fontId="35" fillId="6" borderId="0" applyAlignment="1" pivotButton="0" quotePrefix="0" xfId="0">
      <alignment horizontal="center"/>
    </xf>
    <xf numFmtId="175" fontId="0" fillId="6" borderId="45" pivotButton="0" quotePrefix="0" xfId="2"/>
    <xf numFmtId="175" fontId="0" fillId="22" borderId="67" pivotButton="0" quotePrefix="0" xfId="2"/>
    <xf numFmtId="175" fontId="0" fillId="6" borderId="44" pivotButton="0" quotePrefix="0" xfId="2"/>
    <xf numFmtId="175" fontId="35" fillId="6" borderId="47" pivotButton="0" quotePrefix="0" xfId="2"/>
    <xf numFmtId="175" fontId="0" fillId="6" borderId="47" pivotButton="0" quotePrefix="0" xfId="2"/>
    <xf numFmtId="0" fontId="0" fillId="6" borderId="30" pivotButton="0" quotePrefix="0" xfId="0"/>
    <xf numFmtId="0" fontId="0" fillId="6" borderId="28" applyAlignment="1" pivotButton="0" quotePrefix="0" xfId="0">
      <alignment horizontal="centerContinuous"/>
    </xf>
    <xf numFmtId="0" fontId="0" fillId="6" borderId="29" applyAlignment="1" pivotButton="0" quotePrefix="0" xfId="0">
      <alignment horizontal="centerContinuous"/>
    </xf>
    <xf numFmtId="169" fontId="0" fillId="0" borderId="27" applyAlignment="1" pivotButton="0" quotePrefix="0" xfId="0">
      <alignment horizontal="right"/>
    </xf>
    <xf numFmtId="0" fontId="2" fillId="0" borderId="14" pivotButton="0" quotePrefix="0" xfId="0"/>
    <xf numFmtId="171" fontId="0" fillId="0" borderId="5" pivotButton="0" quotePrefix="0" xfId="1"/>
    <xf numFmtId="0" fontId="34" fillId="0" borderId="4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5" pivotButton="0" quotePrefix="0" xfId="0"/>
    <xf numFmtId="170" fontId="0" fillId="0" borderId="15" pivotButton="0" quotePrefix="0" xfId="0"/>
    <xf numFmtId="10" fontId="0" fillId="0" borderId="35" pivotButton="0" quotePrefix="0" xfId="2"/>
    <xf numFmtId="170" fontId="0" fillId="5" borderId="27" pivotButton="0" quotePrefix="0" xfId="1"/>
    <xf numFmtId="170" fontId="0" fillId="0" borderId="14" pivotButton="0" quotePrefix="0" xfId="0"/>
    <xf numFmtId="9" fontId="0" fillId="0" borderId="36" pivotButton="0" quotePrefix="0" xfId="0"/>
    <xf numFmtId="10" fontId="0" fillId="0" borderId="36" pivotButton="0" quotePrefix="0" xfId="2"/>
    <xf numFmtId="170" fontId="0" fillId="0" borderId="32" pivotButton="0" quotePrefix="0" xfId="0"/>
    <xf numFmtId="170" fontId="0" fillId="0" borderId="39" pivotButton="0" quotePrefix="0" xfId="0"/>
    <xf numFmtId="170" fontId="0" fillId="0" borderId="34" pivotButton="0" quotePrefix="0" xfId="0"/>
    <xf numFmtId="170" fontId="0" fillId="0" borderId="11" pivotButton="0" quotePrefix="0" xfId="0"/>
    <xf numFmtId="170" fontId="0" fillId="0" borderId="12" pivotButton="0" quotePrefix="0" xfId="0"/>
    <xf numFmtId="170" fontId="0" fillId="0" borderId="13" pivotButton="0" quotePrefix="0" xfId="0"/>
    <xf numFmtId="0" fontId="0" fillId="0" borderId="28" pivotButton="0" quotePrefix="0" xfId="0"/>
    <xf numFmtId="170" fontId="2" fillId="0" borderId="15" pivotButton="0" quotePrefix="0" xfId="0"/>
    <xf numFmtId="10" fontId="2" fillId="0" borderId="36" pivotButton="0" quotePrefix="0" xfId="0"/>
    <xf numFmtId="170" fontId="2" fillId="0" borderId="13" pivotButton="0" quotePrefix="0" xfId="0"/>
    <xf numFmtId="170" fontId="2" fillId="0" borderId="14" pivotButton="0" quotePrefix="0" xfId="0"/>
    <xf numFmtId="0" fontId="2" fillId="0" borderId="28" pivotButton="0" quotePrefix="0" xfId="0"/>
    <xf numFmtId="0" fontId="2" fillId="0" borderId="30" pivotButton="0" quotePrefix="0" xfId="0"/>
    <xf numFmtId="0" fontId="2" fillId="0" borderId="29" pivotButton="0" quotePrefix="0" xfId="0"/>
    <xf numFmtId="14" fontId="0" fillId="0" borderId="14" pivotButton="0" quotePrefix="0" xfId="0"/>
    <xf numFmtId="14" fontId="2" fillId="0" borderId="30" pivotButton="0" quotePrefix="0" xfId="0"/>
    <xf numFmtId="175" fontId="2" fillId="0" borderId="30" pivotButton="0" quotePrefix="0" xfId="2"/>
    <xf numFmtId="175" fontId="0" fillId="0" borderId="0" pivotButton="0" quotePrefix="0" xfId="2"/>
    <xf numFmtId="0" fontId="0" fillId="0" borderId="72" pivotButton="0" quotePrefix="0" xfId="0"/>
    <xf numFmtId="0" fontId="0" fillId="0" borderId="71" pivotButton="0" quotePrefix="0" xfId="0"/>
    <xf numFmtId="9" fontId="34" fillId="0" borderId="13" pivotButton="0" quotePrefix="0" xfId="2"/>
    <xf numFmtId="9" fontId="34" fillId="0" borderId="14" pivotButton="0" quotePrefix="0" xfId="2"/>
    <xf numFmtId="9" fontId="34" fillId="0" borderId="15" pivotButton="0" quotePrefix="0" xfId="2"/>
    <xf numFmtId="9" fontId="34" fillId="0" borderId="13" pivotButton="0" quotePrefix="0" xfId="0"/>
    <xf numFmtId="9" fontId="34" fillId="0" borderId="14" pivotButton="0" quotePrefix="0" xfId="0"/>
    <xf numFmtId="9" fontId="34" fillId="0" borderId="15" pivotButton="0" quotePrefix="0" xfId="0"/>
    <xf numFmtId="10" fontId="0" fillId="0" borderId="73" pivotButton="0" quotePrefix="0" xfId="2"/>
    <xf numFmtId="0" fontId="33" fillId="0" borderId="0" pivotButton="0" quotePrefix="0" xfId="0"/>
    <xf numFmtId="164" fontId="0" fillId="6" borderId="68" pivotButton="0" quotePrefix="0" xfId="1"/>
    <xf numFmtId="0" fontId="0" fillId="6" borderId="68" applyAlignment="1" pivotButton="0" quotePrefix="0" xfId="0">
      <alignment horizontal="right"/>
    </xf>
    <xf numFmtId="171" fontId="34" fillId="6" borderId="12" pivotButton="0" quotePrefix="0" xfId="0"/>
    <xf numFmtId="171" fontId="37" fillId="22" borderId="0" pivotButton="0" quotePrefix="0" xfId="1"/>
    <xf numFmtId="164" fontId="0" fillId="0" borderId="5" pivotButton="0" quotePrefix="0" xfId="1"/>
    <xf numFmtId="164" fontId="0" fillId="0" borderId="10" pivotButton="0" quotePrefix="0" xfId="1"/>
    <xf numFmtId="164" fontId="0" fillId="23" borderId="0" pivotButton="0" quotePrefix="0" xfId="1"/>
    <xf numFmtId="0" fontId="0" fillId="23" borderId="0" pivotButton="0" quotePrefix="0" xfId="3"/>
    <xf numFmtId="164" fontId="0" fillId="23" borderId="0" pivotButton="0" quotePrefix="0" xfId="1"/>
    <xf numFmtId="164" fontId="0" fillId="23" borderId="14" pivotButton="0" quotePrefix="0" xfId="1"/>
    <xf numFmtId="169" fontId="0" fillId="23" borderId="0" pivotButton="0" quotePrefix="0" xfId="1"/>
    <xf numFmtId="170" fontId="0" fillId="24" borderId="0" pivotButton="0" quotePrefix="0" xfId="3"/>
    <xf numFmtId="164" fontId="0" fillId="6" borderId="14" pivotButton="0" quotePrefix="0" xfId="1"/>
    <xf numFmtId="164" fontId="0" fillId="6" borderId="39" pivotButton="0" quotePrefix="0" xfId="1"/>
    <xf numFmtId="169" fontId="0" fillId="6" borderId="14" pivotButton="0" quotePrefix="0" xfId="1"/>
    <xf numFmtId="0" fontId="0" fillId="0" borderId="32" pivotButton="0" quotePrefix="0" xfId="0"/>
    <xf numFmtId="43" fontId="0" fillId="0" borderId="39" pivotButton="0" quotePrefix="0" xfId="3"/>
    <xf numFmtId="43" fontId="0" fillId="0" borderId="34" pivotButton="0" quotePrefix="0" xfId="0"/>
    <xf numFmtId="175" fontId="0" fillId="23" borderId="0" pivotButton="0" quotePrefix="0" xfId="3"/>
    <xf numFmtId="167" fontId="0" fillId="0" borderId="12" pivotButton="0" quotePrefix="0" xfId="2"/>
    <xf numFmtId="164" fontId="0" fillId="0" borderId="0" pivotButton="0" quotePrefix="0" xfId="1"/>
    <xf numFmtId="9" fontId="0" fillId="0" borderId="12" pivotButton="0" quotePrefix="0" xfId="2"/>
    <xf numFmtId="175" fontId="0" fillId="23" borderId="12" applyAlignment="1" pivotButton="0" quotePrefix="0" xfId="0">
      <alignment horizontal="left"/>
    </xf>
    <xf numFmtId="169" fontId="0" fillId="23" borderId="0" pivotButton="0" quotePrefix="0" xfId="1"/>
    <xf numFmtId="0" fontId="0" fillId="23" borderId="0" pivotButton="0" quotePrefix="0" xfId="3"/>
    <xf numFmtId="169" fontId="0" fillId="23" borderId="0" pivotButton="0" quotePrefix="0" xfId="3"/>
    <xf numFmtId="14" fontId="0" fillId="23" borderId="0" pivotButton="0" quotePrefix="0" xfId="3"/>
    <xf numFmtId="0" fontId="0" fillId="0" borderId="13" pivotButton="0" quotePrefix="0" xfId="0"/>
    <xf numFmtId="14" fontId="0" fillId="0" borderId="9" pivotButton="0" quotePrefix="0" xfId="0"/>
    <xf numFmtId="0" fontId="22" fillId="0" borderId="74" applyAlignment="1" pivotButton="0" quotePrefix="0" xfId="0">
      <alignment horizontal="left" indent="1"/>
    </xf>
    <xf numFmtId="164" fontId="22" fillId="0" borderId="2" pivotButton="0" quotePrefix="0" xfId="1"/>
    <xf numFmtId="166" fontId="22" fillId="0" borderId="7" pivotButton="0" quotePrefix="0" xfId="0"/>
    <xf numFmtId="166" fontId="0" fillId="0" borderId="10" applyAlignment="1" pivotButton="0" quotePrefix="0" xfId="3">
      <alignment horizontal="center"/>
    </xf>
    <xf numFmtId="0" fontId="22" fillId="0" borderId="75" applyAlignment="1" pivotButton="0" quotePrefix="0" xfId="0">
      <alignment horizontal="center"/>
    </xf>
    <xf numFmtId="0" fontId="22" fillId="0" borderId="39" applyAlignment="1" pivotButton="0" quotePrefix="0" xfId="0">
      <alignment horizontal="center"/>
    </xf>
    <xf numFmtId="14" fontId="0" fillId="0" borderId="32" pivotButton="0" quotePrefix="0" xfId="0"/>
    <xf numFmtId="164" fontId="22" fillId="0" borderId="39" applyAlignment="1" pivotButton="0" quotePrefix="0" xfId="1">
      <alignment horizontal="center"/>
    </xf>
    <xf numFmtId="0" fontId="9" fillId="0" borderId="34" applyAlignment="1" pivotButton="0" quotePrefix="0" xfId="0">
      <alignment horizontal="center"/>
    </xf>
    <xf numFmtId="167" fontId="1" fillId="0" borderId="0" applyAlignment="1" pivotButton="0" quotePrefix="0" xfId="1">
      <alignment horizontal="right"/>
    </xf>
    <xf numFmtId="0" fontId="9" fillId="0" borderId="12" applyAlignment="1" pivotButton="0" quotePrefix="0" xfId="0">
      <alignment horizontal="center"/>
    </xf>
    <xf numFmtId="14" fontId="0" fillId="0" borderId="13" pivotButton="0" quotePrefix="0" xfId="0"/>
    <xf numFmtId="164" fontId="0" fillId="0" borderId="14" pivotButton="0" quotePrefix="0" xfId="1"/>
    <xf numFmtId="166" fontId="0" fillId="0" borderId="15" applyAlignment="1" pivotButton="0" quotePrefix="0" xfId="3">
      <alignment horizontal="center"/>
    </xf>
    <xf numFmtId="14" fontId="0" fillId="0" borderId="11" pivotButton="0" quotePrefix="0" xfId="0"/>
    <xf numFmtId="0" fontId="0" fillId="0" borderId="31" pivotButton="0" quotePrefix="0" xfId="0"/>
    <xf numFmtId="167" fontId="0" fillId="0" borderId="36" pivotButton="0" quotePrefix="0" xfId="0"/>
    <xf numFmtId="0" fontId="0" fillId="0" borderId="46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67" fontId="0" fillId="0" borderId="14" pivotButton="0" quotePrefix="0" xfId="0"/>
    <xf numFmtId="14" fontId="0" fillId="0" borderId="14" pivotButton="0" quotePrefix="0" xfId="3"/>
    <xf numFmtId="167" fontId="0" fillId="0" borderId="0" pivotButton="0" quotePrefix="0" xfId="1"/>
    <xf numFmtId="170" fontId="0" fillId="0" borderId="28" pivotButton="0" quotePrefix="0" xfId="0"/>
    <xf numFmtId="170" fontId="0" fillId="0" borderId="29" pivotButton="0" quotePrefix="0" xfId="0"/>
    <xf numFmtId="170" fontId="0" fillId="0" borderId="30" pivotButton="0" quotePrefix="0" xfId="0"/>
    <xf numFmtId="14" fontId="0" fillId="0" borderId="0" applyAlignment="1" pivotButton="0" quotePrefix="0" xfId="0">
      <alignment wrapText="1"/>
    </xf>
    <xf numFmtId="164" fontId="22" fillId="0" borderId="0" applyAlignment="1" pivotButton="0" quotePrefix="0" xfId="1">
      <alignment horizontal="center"/>
    </xf>
    <xf numFmtId="0" fontId="0" fillId="0" borderId="35" applyAlignment="1" pivotButton="0" quotePrefix="0" xfId="0">
      <alignment wrapText="1"/>
    </xf>
    <xf numFmtId="170" fontId="21" fillId="0" borderId="35" pivotButton="0" quotePrefix="0" xfId="0"/>
    <xf numFmtId="0" fontId="21" fillId="0" borderId="35" pivotButton="0" quotePrefix="0" xfId="0"/>
    <xf numFmtId="0" fontId="21" fillId="0" borderId="3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164" fontId="0" fillId="6" borderId="68" applyAlignment="1" pivotButton="0" quotePrefix="0" xfId="1">
      <alignment horizontal="right"/>
    </xf>
    <xf numFmtId="0" fontId="35" fillId="6" borderId="0" applyAlignment="1" pivotButton="0" quotePrefix="0" xfId="0">
      <alignment horizontal="center" wrapText="1"/>
    </xf>
    <xf numFmtId="0" fontId="38" fillId="6" borderId="0" applyAlignment="1" pivotButton="0" quotePrefix="0" xfId="0">
      <alignment horizontal="left" wrapText="1"/>
    </xf>
    <xf numFmtId="0" fontId="0" fillId="0" borderId="14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0" fillId="2" borderId="3" applyAlignment="1" pivotButton="0" quotePrefix="0" xfId="0">
      <alignment horizontal="left" vertical="top" wrapText="1"/>
    </xf>
    <xf numFmtId="0" fontId="0" fillId="2" borderId="4" applyAlignment="1" pivotButton="0" quotePrefix="0" xfId="0">
      <alignment horizontal="left" vertical="top" wrapText="1"/>
    </xf>
    <xf numFmtId="0" fontId="0" fillId="2" borderId="5" applyAlignment="1" pivotButton="0" quotePrefix="0" xfId="0">
      <alignment horizontal="left" vertical="top" wrapText="1"/>
    </xf>
    <xf numFmtId="0" fontId="0" fillId="2" borderId="6" applyAlignment="1" pivotButton="0" quotePrefix="0" xfId="0">
      <alignment horizontal="left" vertical="top" wrapText="1"/>
    </xf>
    <xf numFmtId="0" fontId="0" fillId="2" borderId="0" applyAlignment="1" pivotButton="0" quotePrefix="0" xfId="0">
      <alignment horizontal="left" vertical="top" wrapText="1"/>
    </xf>
    <xf numFmtId="0" fontId="0" fillId="2" borderId="7" applyAlignment="1" pivotButton="0" quotePrefix="0" xfId="0">
      <alignment horizontal="left" vertical="top" wrapText="1"/>
    </xf>
    <xf numFmtId="0" fontId="0" fillId="2" borderId="9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 wrapText="1"/>
    </xf>
    <xf numFmtId="0" fontId="0" fillId="4" borderId="3" applyAlignment="1" pivotButton="0" quotePrefix="0" xfId="0">
      <alignment horizontal="left" vertical="top" wrapText="1"/>
    </xf>
    <xf numFmtId="0" fontId="0" fillId="4" borderId="4" applyAlignment="1" pivotButton="0" quotePrefix="0" xfId="0">
      <alignment horizontal="left" vertical="top" wrapText="1"/>
    </xf>
    <xf numFmtId="0" fontId="0" fillId="4" borderId="5" applyAlignment="1" pivotButton="0" quotePrefix="0" xfId="0">
      <alignment horizontal="left" vertical="top" wrapText="1"/>
    </xf>
    <xf numFmtId="0" fontId="0" fillId="4" borderId="6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4" borderId="7" applyAlignment="1" pivotButton="0" quotePrefix="0" xfId="0">
      <alignment horizontal="left" vertical="top" wrapText="1"/>
    </xf>
    <xf numFmtId="0" fontId="0" fillId="4" borderId="9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4" borderId="10" applyAlignment="1" pivotButton="0" quotePrefix="0" xfId="0">
      <alignment horizontal="left" vertical="top" wrapText="1"/>
    </xf>
    <xf numFmtId="0" fontId="3" fillId="0" borderId="0" applyAlignment="1" pivotButton="0" quotePrefix="0" xfId="13">
      <alignment horizontal="center"/>
    </xf>
    <xf numFmtId="0" fontId="16" fillId="0" borderId="0" applyAlignment="1" pivotButton="0" quotePrefix="0" xfId="13">
      <alignment horizontal="center"/>
    </xf>
    <xf numFmtId="14" fontId="2" fillId="0" borderId="43" applyAlignment="1" pivotButton="0" quotePrefix="0" xfId="0">
      <alignment horizontal="center"/>
    </xf>
    <xf numFmtId="14" fontId="2" fillId="0" borderId="44" applyAlignment="1" pivotButton="0" quotePrefix="0" xfId="0">
      <alignment horizontal="center"/>
    </xf>
    <xf numFmtId="0" fontId="17" fillId="0" borderId="45" applyAlignment="1" pivotButton="0" quotePrefix="0" xfId="0">
      <alignment horizontal="center" vertical="center" wrapText="1"/>
    </xf>
    <xf numFmtId="0" fontId="17" fillId="0" borderId="46" applyAlignment="1" pivotButton="0" quotePrefix="0" xfId="0">
      <alignment horizontal="center" vertical="center" wrapText="1"/>
    </xf>
    <xf numFmtId="0" fontId="17" fillId="0" borderId="47" applyAlignment="1" pivotButton="0" quotePrefix="0" xfId="0">
      <alignment horizontal="center" vertical="center" wrapText="1"/>
    </xf>
    <xf numFmtId="0" fontId="22" fillId="0" borderId="28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" fillId="0" borderId="49" applyAlignment="1" pivotButton="0" quotePrefix="0" xfId="0">
      <alignment horizontal="center"/>
    </xf>
    <xf numFmtId="0" fontId="2" fillId="0" borderId="50" applyAlignment="1" pivotButton="0" quotePrefix="0" xfId="0">
      <alignment horizontal="center"/>
    </xf>
    <xf numFmtId="0" fontId="2" fillId="9" borderId="27" applyAlignment="1" pivotButton="0" quotePrefix="0" xfId="0">
      <alignment horizontal="center"/>
    </xf>
    <xf numFmtId="0" fontId="0" fillId="7" borderId="3" applyAlignment="1" pivotButton="0" quotePrefix="0" xfId="0">
      <alignment horizontal="left" vertical="top" wrapText="1"/>
    </xf>
    <xf numFmtId="0" fontId="0" fillId="7" borderId="5" applyAlignment="1" pivotButton="0" quotePrefix="0" xfId="0">
      <alignment horizontal="left" vertical="top" wrapText="1"/>
    </xf>
    <xf numFmtId="0" fontId="0" fillId="7" borderId="6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0" fillId="7" borderId="9" applyAlignment="1" pivotButton="0" quotePrefix="0" xfId="0">
      <alignment horizontal="left" vertical="top" wrapText="1"/>
    </xf>
    <xf numFmtId="0" fontId="0" fillId="7" borderId="10" applyAlignment="1" pivotButton="0" quotePrefix="0" xfId="0">
      <alignment horizontal="left" vertical="top" wrapText="1"/>
    </xf>
    <xf numFmtId="0" fontId="2" fillId="9" borderId="43" applyAlignment="1" pivotButton="0" quotePrefix="0" xfId="0">
      <alignment horizontal="center"/>
    </xf>
    <xf numFmtId="0" fontId="2" fillId="9" borderId="44" applyAlignment="1" pivotButton="0" quotePrefix="0" xfId="0">
      <alignment horizontal="center"/>
    </xf>
    <xf numFmtId="0" fontId="2" fillId="17" borderId="43" applyAlignment="1" pivotButton="0" quotePrefix="0" xfId="0">
      <alignment horizontal="center"/>
    </xf>
    <xf numFmtId="0" fontId="2" fillId="17" borderId="44" applyAlignment="1" pivotButton="0" quotePrefix="0" xfId="0">
      <alignment horizontal="center"/>
    </xf>
    <xf numFmtId="0" fontId="27" fillId="0" borderId="0" applyAlignment="1" pivotButton="0" quotePrefix="0" xfId="0">
      <alignment vertical="top" wrapText="1"/>
    </xf>
    <xf numFmtId="0" fontId="0" fillId="9" borderId="42" applyAlignment="1" pivotButton="0" quotePrefix="0" xfId="0">
      <alignment horizontal="center"/>
    </xf>
    <xf numFmtId="0" fontId="0" fillId="9" borderId="44" applyAlignment="1" pivotButton="0" quotePrefix="0" xfId="0">
      <alignment horizontal="center"/>
    </xf>
    <xf numFmtId="0" fontId="26" fillId="0" borderId="0" applyAlignment="1" pivotButton="0" quotePrefix="0" xfId="0">
      <alignment horizontal="left"/>
    </xf>
    <xf numFmtId="0" fontId="0" fillId="7" borderId="4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left" vertical="top" wrapText="1"/>
    </xf>
    <xf numFmtId="0" fontId="2" fillId="9" borderId="42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169" fontId="35" fillId="21" borderId="1" pivotButton="0" quotePrefix="0" xfId="0"/>
    <xf numFmtId="169" fontId="35" fillId="6" borderId="1" pivotButton="0" quotePrefix="0" xfId="0"/>
    <xf numFmtId="169" fontId="35" fillId="6" borderId="0" pivotButton="0" quotePrefix="0" xfId="0"/>
    <xf numFmtId="167" fontId="37" fillId="6" borderId="0" pivotButton="0" quotePrefix="0" xfId="0"/>
    <xf numFmtId="171" fontId="41" fillId="6" borderId="0" applyAlignment="1" pivotButton="0" quotePrefix="0" xfId="0">
      <alignment horizontal="right"/>
    </xf>
    <xf numFmtId="171" fontId="35" fillId="6" borderId="0" pivotButton="0" quotePrefix="0" xfId="0"/>
    <xf numFmtId="171" fontId="41" fillId="6" borderId="27" pivotButton="0" quotePrefix="0" xfId="0"/>
    <xf numFmtId="171" fontId="35" fillId="6" borderId="44" pivotButton="0" quotePrefix="0" xfId="0"/>
    <xf numFmtId="171" fontId="35" fillId="6" borderId="27" pivotButton="0" quotePrefix="0" xfId="0"/>
    <xf numFmtId="175" fontId="0" fillId="6" borderId="27" pivotButton="0" quotePrefix="0" xfId="2"/>
    <xf numFmtId="176" fontId="35" fillId="6" borderId="0" pivotButton="0" quotePrefix="0" xfId="1"/>
    <xf numFmtId="171" fontId="41" fillId="6" borderId="45" pivotButton="0" quotePrefix="0" xfId="0"/>
    <xf numFmtId="171" fontId="35" fillId="6" borderId="5" pivotButton="0" quotePrefix="0" xfId="0"/>
    <xf numFmtId="171" fontId="35" fillId="6" borderId="45" pivotButton="0" quotePrefix="0" xfId="0"/>
    <xf numFmtId="175" fontId="0" fillId="6" borderId="45" pivotButton="0" quotePrefix="0" xfId="2"/>
    <xf numFmtId="171" fontId="41" fillId="6" borderId="67" pivotButton="0" quotePrefix="0" xfId="0"/>
    <xf numFmtId="171" fontId="35" fillId="6" borderId="70" pivotButton="0" quotePrefix="0" xfId="0"/>
    <xf numFmtId="171" fontId="35" fillId="6" borderId="71" pivotButton="0" quotePrefix="0" xfId="0"/>
    <xf numFmtId="175" fontId="0" fillId="22" borderId="67" pivotButton="0" quotePrefix="0" xfId="2"/>
    <xf numFmtId="175" fontId="0" fillId="6" borderId="44" pivotButton="0" quotePrefix="0" xfId="2"/>
    <xf numFmtId="171" fontId="41" fillId="6" borderId="47" pivotButton="0" quotePrefix="0" xfId="0"/>
    <xf numFmtId="171" fontId="35" fillId="6" borderId="10" pivotButton="0" quotePrefix="0" xfId="0"/>
    <xf numFmtId="171" fontId="35" fillId="6" borderId="47" pivotButton="0" quotePrefix="0" xfId="0"/>
    <xf numFmtId="175" fontId="35" fillId="6" borderId="47" pivotButton="0" quotePrefix="0" xfId="2"/>
    <xf numFmtId="175" fontId="0" fillId="6" borderId="47" pivotButton="0" quotePrefix="0" xfId="2"/>
    <xf numFmtId="175" fontId="35" fillId="6" borderId="0" pivotButton="0" quotePrefix="0" xfId="2"/>
    <xf numFmtId="175" fontId="35" fillId="6" borderId="27" pivotButton="0" quotePrefix="0" xfId="2"/>
    <xf numFmtId="171" fontId="35" fillId="6" borderId="0" applyAlignment="1" pivotButton="0" quotePrefix="0" xfId="0">
      <alignment horizontal="right"/>
    </xf>
    <xf numFmtId="171" fontId="37" fillId="6" borderId="0" pivotButton="0" quotePrefix="0" xfId="0"/>
    <xf numFmtId="169" fontId="35" fillId="6" borderId="0" pivotButton="0" quotePrefix="0" xfId="1"/>
    <xf numFmtId="176" fontId="35" fillId="6" borderId="0" pivotButton="0" quotePrefix="0" xfId="0"/>
    <xf numFmtId="164" fontId="35" fillId="6" borderId="0" pivotButton="0" quotePrefix="0" xfId="1"/>
    <xf numFmtId="180" fontId="35" fillId="6" borderId="0" applyAlignment="1" pivotButton="0" quotePrefix="0" xfId="0">
      <alignment horizontal="center"/>
    </xf>
    <xf numFmtId="171" fontId="0" fillId="6" borderId="0" pivotButton="0" quotePrefix="0" xfId="0"/>
    <xf numFmtId="171" fontId="35" fillId="6" borderId="34" pivotButton="0" quotePrefix="0" xfId="0"/>
    <xf numFmtId="170" fontId="35" fillId="6" borderId="0" pivotButton="0" quotePrefix="0" xfId="0"/>
    <xf numFmtId="171" fontId="35" fillId="6" borderId="12" pivotButton="0" quotePrefix="0" xfId="0"/>
    <xf numFmtId="171" fontId="35" fillId="6" borderId="0" pivotButton="0" quotePrefix="0" xfId="1"/>
    <xf numFmtId="169" fontId="35" fillId="0" borderId="0" pivotButton="0" quotePrefix="0" xfId="0"/>
    <xf numFmtId="171" fontId="37" fillId="6" borderId="27" pivotButton="0" quotePrefix="0" xfId="1"/>
    <xf numFmtId="164" fontId="37" fillId="6" borderId="0" applyAlignment="1" pivotButton="0" quotePrefix="0" xfId="1">
      <alignment horizontal="center" vertical="center"/>
    </xf>
    <xf numFmtId="171" fontId="35" fillId="6" borderId="15" pivotButton="0" quotePrefix="0" xfId="0"/>
    <xf numFmtId="167" fontId="35" fillId="18" borderId="50" applyAlignment="1" pivotButton="0" quotePrefix="0" xfId="0">
      <alignment horizontal="center"/>
    </xf>
    <xf numFmtId="175" fontId="0" fillId="6" borderId="0" pivotButton="0" quotePrefix="0" xfId="2"/>
    <xf numFmtId="171" fontId="35" fillId="6" borderId="27" pivotButton="0" quotePrefix="0" xfId="1"/>
    <xf numFmtId="171" fontId="35" fillId="6" borderId="53" pivotButton="0" quotePrefix="0" xfId="1"/>
    <xf numFmtId="167" fontId="37" fillId="6" borderId="1" applyAlignment="1" pivotButton="0" quotePrefix="0" xfId="2">
      <alignment horizontal="centerContinuous"/>
    </xf>
    <xf numFmtId="171" fontId="37" fillId="22" borderId="0" pivotButton="0" quotePrefix="0" xfId="1"/>
    <xf numFmtId="175" fontId="35" fillId="6" borderId="53" pivotButton="0" quotePrefix="0" xfId="2"/>
    <xf numFmtId="175" fontId="35" fillId="6" borderId="0" pivotButton="0" quotePrefix="0" xfId="0"/>
    <xf numFmtId="175" fontId="35" fillId="6" borderId="45" pivotButton="0" quotePrefix="0" xfId="2"/>
    <xf numFmtId="175" fontId="35" fillId="6" borderId="57" pivotButton="0" quotePrefix="0" xfId="2"/>
    <xf numFmtId="175" fontId="35" fillId="6" borderId="55" pivotButton="0" quotePrefix="0" xfId="2"/>
    <xf numFmtId="175" fontId="35" fillId="6" borderId="34" pivotButton="0" quotePrefix="0" xfId="0"/>
    <xf numFmtId="171" fontId="0" fillId="6" borderId="0" applyAlignment="1" pivotButton="0" quotePrefix="0" xfId="0">
      <alignment horizontal="right" vertical="center"/>
    </xf>
    <xf numFmtId="171" fontId="2" fillId="6" borderId="0" pivotButton="0" quotePrefix="0" xfId="0"/>
    <xf numFmtId="171" fontId="2" fillId="6" borderId="0" applyAlignment="1" pivotButton="0" quotePrefix="0" xfId="0">
      <alignment horizontal="right" vertical="center"/>
    </xf>
    <xf numFmtId="167" fontId="2" fillId="6" borderId="0" applyAlignment="1" pivotButton="0" quotePrefix="0" xfId="0">
      <alignment horizontal="right" vertical="center"/>
    </xf>
    <xf numFmtId="167" fontId="0" fillId="6" borderId="0" pivotButton="0" quotePrefix="0" xfId="0"/>
    <xf numFmtId="176" fontId="0" fillId="6" borderId="0" pivotButton="0" quotePrefix="0" xfId="1"/>
    <xf numFmtId="176" fontId="0" fillId="6" borderId="0" pivotButton="0" quotePrefix="0" xfId="0"/>
    <xf numFmtId="164" fontId="0" fillId="6" borderId="0" pivotButton="0" quotePrefix="0" xfId="0"/>
  </cellXfs>
  <cellStyles count="15">
    <cellStyle name="Normal" xfId="0" builtinId="0"/>
    <cellStyle name="Currency" xfId="1" builtinId="4"/>
    <cellStyle name="Percent" xfId="2" builtinId="5"/>
    <cellStyle name="Comma" xfId="3" builtinId="3"/>
    <cellStyle name="Normal 2" xfId="4"/>
    <cellStyle name="Comma 2" xfId="5"/>
    <cellStyle name="Currency 2" xfId="6"/>
    <cellStyle name="Percent 2" xfId="7"/>
    <cellStyle name="Normal 3" xfId="8"/>
    <cellStyle name="Hyperlink" xfId="9" builtinId="8"/>
    <cellStyle name="Normal 2 2" xfId="10"/>
    <cellStyle name="Normal 4" xfId="11"/>
    <cellStyle name="Percent 3" xfId="12"/>
    <cellStyle name="Normal 2 3" xfId="13"/>
    <cellStyle name="Normal 5" xfId="14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tabColor theme="4" tint="0.5999938962981048"/>
    <outlinePr summaryBelow="1" summaryRight="1"/>
    <pageSetUpPr/>
  </sheetPr>
  <dimension ref="A1:V100"/>
  <sheetViews>
    <sheetView tabSelected="1" zoomScale="80" zoomScaleNormal="80" workbookViewId="0">
      <selection activeCell="C3" sqref="C3"/>
    </sheetView>
  </sheetViews>
  <sheetFormatPr baseColWidth="8" defaultColWidth="8.85546875" defaultRowHeight="15"/>
  <cols>
    <col width="8.85546875" customWidth="1" style="283" min="1" max="1"/>
    <col width="33.140625" customWidth="1" style="283" min="2" max="2"/>
    <col width="26.5703125" bestFit="1" customWidth="1" style="283" min="3" max="3"/>
    <col width="12.85546875" bestFit="1" customWidth="1" style="283" min="4" max="4"/>
    <col width="20.140625" bestFit="1" customWidth="1" style="283" min="5" max="5"/>
    <col width="13" customWidth="1" style="283" min="6" max="6"/>
    <col width="17.85546875" customWidth="1" style="283" min="7" max="7"/>
    <col width="15.140625" bestFit="1" customWidth="1" style="283" min="8" max="8"/>
    <col width="13.28515625" bestFit="1" customWidth="1" style="283" min="9" max="9"/>
    <col width="15.85546875" customWidth="1" style="283" min="10" max="10"/>
    <col width="16.42578125" bestFit="1" customWidth="1" style="283" min="11" max="11"/>
    <col width="13.42578125" bestFit="1" customWidth="1" style="283" min="12" max="12"/>
    <col width="14.5703125" customWidth="1" style="283" min="13" max="13"/>
    <col width="13.42578125" customWidth="1" style="283" min="14" max="14"/>
    <col width="12.42578125" bestFit="1" customWidth="1" style="283" min="15" max="15"/>
    <col width="11.5703125" customWidth="1" style="283" min="16" max="16"/>
    <col width="24.140625" customWidth="1" style="283" min="17" max="17"/>
    <col width="14.85546875" customWidth="1" style="283" min="18" max="18"/>
    <col width="13.140625" customWidth="1" style="283" min="19" max="19"/>
    <col width="11.85546875" customWidth="1" style="283" min="20" max="20"/>
    <col width="17.85546875" bestFit="1" customWidth="1" style="283" min="21" max="21"/>
    <col width="11.5703125" bestFit="1" customWidth="1" style="283" min="22" max="22"/>
    <col width="9.42578125" bestFit="1" customWidth="1" style="283" min="23" max="23"/>
    <col width="6.42578125" bestFit="1" customWidth="1" style="283" min="24" max="24"/>
    <col width="8.85546875" customWidth="1" style="283" min="25" max="16384"/>
  </cols>
  <sheetData>
    <row r="1" ht="16.5" customHeight="1">
      <c r="A1" s="283" t="n"/>
      <c r="B1" s="397" t="n"/>
      <c r="C1" s="398" t="n"/>
      <c r="D1" s="398" t="n"/>
      <c r="E1" s="398" t="n"/>
      <c r="F1" s="398" t="n"/>
      <c r="G1" s="398" t="n"/>
      <c r="H1" s="398" t="n"/>
      <c r="I1" s="398" t="n"/>
      <c r="J1" s="398" t="n"/>
      <c r="K1" s="398" t="n"/>
      <c r="L1" s="398" t="n"/>
      <c r="M1" s="398" t="n"/>
      <c r="N1" s="398" t="n"/>
      <c r="O1" s="398" t="n"/>
    </row>
    <row r="2" ht="17.25" customHeight="1">
      <c r="B2" s="460" t="inlineStr">
        <is>
          <t>Property</t>
        </is>
      </c>
      <c r="C2" s="461" t="n"/>
      <c r="D2" s="398" t="n"/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</row>
    <row r="3" ht="16.5" customHeight="1">
      <c r="B3" s="398" t="inlineStr">
        <is>
          <t>Project Name</t>
        </is>
      </c>
      <c r="C3" s="398" t="n"/>
      <c r="D3" s="398" t="n"/>
      <c r="E3" s="687" t="n"/>
      <c r="J3" s="398" t="n"/>
      <c r="K3" s="398" t="n"/>
      <c r="L3" s="398" t="n"/>
      <c r="M3" s="398" t="n"/>
      <c r="N3" s="398" t="n"/>
      <c r="O3" s="398" t="n"/>
    </row>
    <row r="4" ht="16.5" customHeight="1">
      <c r="B4" s="398" t="inlineStr">
        <is>
          <t>State</t>
        </is>
      </c>
      <c r="C4" s="398" t="n"/>
      <c r="D4" s="398" t="n"/>
      <c r="J4" s="398" t="n"/>
      <c r="K4" s="398" t="n"/>
      <c r="L4" s="398" t="n"/>
      <c r="M4" s="398" t="n"/>
      <c r="N4" s="398" t="n"/>
      <c r="O4" s="398" t="n"/>
    </row>
    <row r="5" ht="16.5" customHeight="1">
      <c r="B5" s="398" t="inlineStr">
        <is>
          <t>City</t>
        </is>
      </c>
      <c r="C5" s="398" t="n"/>
      <c r="D5" s="398" t="n"/>
      <c r="J5" s="398" t="n"/>
      <c r="K5" s="398" t="n"/>
      <c r="L5" s="398" t="n"/>
      <c r="M5" s="398" t="n"/>
      <c r="N5" s="398" t="n"/>
      <c r="O5" s="398" t="n"/>
    </row>
    <row r="6" ht="16.5" customHeight="1">
      <c r="B6" s="398" t="inlineStr">
        <is>
          <t>Address</t>
        </is>
      </c>
      <c r="C6" s="398" t="n"/>
      <c r="D6" s="398" t="n"/>
      <c r="J6" s="398" t="n"/>
      <c r="K6" s="398" t="n"/>
      <c r="L6" s="398" t="n"/>
      <c r="M6" s="398" t="n"/>
      <c r="N6" s="398" t="n"/>
      <c r="O6" s="398" t="n"/>
    </row>
    <row r="7" ht="16.5" customHeight="1">
      <c r="B7" s="398" t="inlineStr">
        <is>
          <t>Cross Streets</t>
        </is>
      </c>
      <c r="C7" s="398" t="n"/>
      <c r="D7" s="398" t="n"/>
      <c r="J7" s="398" t="n"/>
      <c r="K7" s="398" t="n"/>
      <c r="L7" s="398" t="n"/>
      <c r="M7" s="398" t="n"/>
      <c r="N7" s="398" t="n"/>
      <c r="O7" s="398" t="n"/>
    </row>
    <row r="8" ht="16.5" customHeight="1">
      <c r="B8" s="398" t="inlineStr">
        <is>
          <t>Project County</t>
        </is>
      </c>
      <c r="C8" s="398" t="n"/>
      <c r="D8" s="398" t="n"/>
      <c r="J8" s="398" t="n"/>
      <c r="K8" s="398" t="n"/>
      <c r="L8" s="398" t="n"/>
      <c r="M8" s="398" t="n"/>
      <c r="N8" s="398" t="n"/>
      <c r="O8" s="398" t="n"/>
    </row>
    <row r="9" ht="16.5" customHeight="1">
      <c r="B9" s="398" t="inlineStr">
        <is>
          <t>Acres</t>
        </is>
      </c>
      <c r="C9" s="468" t="n"/>
      <c r="D9" s="398" t="n"/>
      <c r="J9" s="398" t="n"/>
      <c r="K9" s="398" t="n"/>
      <c r="L9" s="398" t="n"/>
      <c r="M9" s="398" t="n"/>
      <c r="N9" s="398" t="n"/>
      <c r="O9" s="398" t="n"/>
    </row>
    <row r="10" ht="16.5" customHeight="1">
      <c r="B10" s="398" t="inlineStr">
        <is>
          <t>Units</t>
        </is>
      </c>
      <c r="C10" s="469" t="n"/>
      <c r="D10" s="398" t="n"/>
      <c r="J10" s="398" t="n"/>
      <c r="K10" s="398" t="n"/>
      <c r="L10" s="398" t="n"/>
      <c r="M10" s="398" t="n"/>
      <c r="N10" s="398" t="n"/>
      <c r="O10" s="398" t="n"/>
    </row>
    <row r="11" ht="16.5" customHeight="1">
      <c r="B11" s="398" t="inlineStr">
        <is>
          <t>Product Type</t>
        </is>
      </c>
      <c r="C11" s="398" t="n"/>
      <c r="D11" s="398" t="n"/>
      <c r="J11" s="398" t="n"/>
      <c r="K11" s="398" t="n"/>
      <c r="L11" s="398" t="n"/>
      <c r="M11" s="398" t="n"/>
      <c r="N11" s="398" t="n"/>
      <c r="O11" s="398" t="n"/>
    </row>
    <row r="12" ht="17.25" customHeight="1">
      <c r="B12" s="398" t="inlineStr">
        <is>
          <t>Current State</t>
        </is>
      </c>
      <c r="C12" s="398" t="n"/>
      <c r="D12" s="398" t="n"/>
      <c r="E12" s="687" t="n"/>
      <c r="F12" s="687" t="n"/>
      <c r="G12" s="687" t="n"/>
      <c r="H12" s="687" t="n"/>
      <c r="I12" s="687" t="n"/>
      <c r="J12" s="398" t="n"/>
      <c r="K12" s="398" t="n"/>
      <c r="L12" s="398" t="n"/>
      <c r="M12" s="398" t="n"/>
      <c r="N12" s="460" t="n"/>
      <c r="O12" s="461" t="n"/>
      <c r="P12" s="461" t="n"/>
      <c r="Q12" s="461" t="n"/>
      <c r="R12" s="461" t="n"/>
      <c r="S12" s="547" t="n"/>
      <c r="T12" s="547" t="n"/>
      <c r="U12" s="547" t="n"/>
      <c r="V12" s="547" t="n"/>
    </row>
    <row r="13" ht="18" customHeight="1" thickBot="1">
      <c r="B13" s="398" t="inlineStr">
        <is>
          <t>Project Type</t>
        </is>
      </c>
      <c r="C13" s="398" t="n"/>
      <c r="D13" s="398" t="n"/>
      <c r="E13" s="465" t="n"/>
      <c r="F13" s="744" t="n"/>
      <c r="G13" s="400" t="n"/>
      <c r="H13" s="408" t="n"/>
      <c r="I13" s="745" t="n"/>
      <c r="J13" s="398" t="n"/>
      <c r="K13" s="460" t="n"/>
      <c r="L13" s="461" t="n"/>
      <c r="M13" s="398" t="n"/>
      <c r="N13" s="548" t="n"/>
      <c r="O13" s="398" t="n"/>
      <c r="P13" s="398" t="n"/>
      <c r="Q13" s="398" t="n"/>
      <c r="R13" s="398" t="n"/>
    </row>
    <row r="14" ht="18" customHeight="1" thickBot="1">
      <c r="B14" s="460" t="inlineStr">
        <is>
          <t>Borrower</t>
        </is>
      </c>
      <c r="C14" s="462" t="n"/>
      <c r="D14" s="398" t="n"/>
      <c r="E14" s="398" t="n"/>
      <c r="F14" s="746" t="n"/>
      <c r="G14" s="400" t="n"/>
      <c r="H14" s="398" t="n"/>
      <c r="I14" s="746" t="n"/>
      <c r="J14" s="398" t="n"/>
      <c r="K14" s="398" t="n"/>
      <c r="L14" s="747" t="n">
        <v>0</v>
      </c>
      <c r="M14" s="398" t="n"/>
      <c r="N14" s="748" t="n"/>
      <c r="O14" s="397" t="n"/>
      <c r="P14" s="397" t="n"/>
      <c r="Q14" s="550" t="n"/>
      <c r="R14" s="551" t="n"/>
      <c r="S14" s="552" t="n"/>
      <c r="T14" s="553" t="n"/>
      <c r="U14" s="554" t="n"/>
      <c r="V14" s="551" t="n"/>
    </row>
    <row r="15" ht="16.5" customHeight="1">
      <c r="B15" s="398" t="inlineStr">
        <is>
          <t>Sponsor</t>
        </is>
      </c>
      <c r="C15" s="398" t="n"/>
      <c r="D15" s="398" t="n"/>
      <c r="E15" s="749" t="n"/>
      <c r="F15" s="746" t="n"/>
      <c r="G15" s="400" t="n"/>
      <c r="H15" s="398" t="n"/>
      <c r="I15" s="746" t="n"/>
      <c r="J15" s="400" t="n"/>
      <c r="K15" s="400" t="n"/>
      <c r="L15" s="747" t="n">
        <v>0</v>
      </c>
      <c r="M15" s="749" t="n"/>
      <c r="N15" s="750" t="n"/>
      <c r="O15" s="751" t="n"/>
      <c r="P15" s="752" t="n"/>
      <c r="Q15" s="558" t="n"/>
      <c r="R15" s="753" t="n"/>
      <c r="S15" s="753" t="n"/>
      <c r="T15" s="753" t="n"/>
      <c r="U15" s="753" t="n"/>
      <c r="V15" s="753" t="n"/>
    </row>
    <row r="16" ht="17.25" customHeight="1" thickBot="1">
      <c r="B16" s="398" t="inlineStr">
        <is>
          <t>Project Entity</t>
        </is>
      </c>
      <c r="C16" s="398" t="n"/>
      <c r="D16" s="398" t="n"/>
      <c r="E16" s="749" t="n"/>
      <c r="F16" s="746" t="n"/>
      <c r="G16" s="400" t="n"/>
      <c r="H16" s="398" t="n"/>
      <c r="I16" s="746" t="n"/>
      <c r="J16" s="754" t="n"/>
      <c r="K16" s="398" t="n"/>
      <c r="L16" s="406" t="n"/>
      <c r="M16" s="406" t="n"/>
      <c r="N16" s="755" t="n"/>
      <c r="O16" s="756" t="n"/>
      <c r="P16" s="757" t="n"/>
      <c r="Q16" s="562" t="n"/>
      <c r="R16" s="753" t="n"/>
      <c r="S16" s="753" t="n"/>
      <c r="T16" s="753" t="n"/>
      <c r="U16" s="758" t="n"/>
      <c r="V16" s="758" t="n"/>
    </row>
    <row r="17" ht="17.25" customHeight="1" thickBot="1">
      <c r="B17" s="398" t="inlineStr">
        <is>
          <t>Deal Broker</t>
        </is>
      </c>
      <c r="C17" s="398" t="n"/>
      <c r="D17" s="398" t="n"/>
      <c r="E17" s="749" t="n"/>
      <c r="F17" s="746" t="n"/>
      <c r="G17" s="400" t="n"/>
      <c r="H17" s="398" t="n"/>
      <c r="I17" s="746" t="n"/>
      <c r="J17" s="754" t="n"/>
      <c r="K17" s="398" t="n"/>
      <c r="L17" s="406" t="n"/>
      <c r="M17" s="406" t="n"/>
      <c r="N17" s="759" t="n"/>
      <c r="O17" s="760" t="n"/>
      <c r="P17" s="761" t="n"/>
      <c r="Q17" s="566" t="n"/>
      <c r="R17" s="753" t="n"/>
      <c r="S17" s="753" t="n"/>
      <c r="T17" s="762" t="n"/>
      <c r="U17" s="763" t="n"/>
      <c r="V17" s="753" t="n"/>
    </row>
    <row r="18" ht="16.5" customHeight="1">
      <c r="B18" s="398" t="inlineStr">
        <is>
          <t>Liquidity</t>
        </is>
      </c>
      <c r="C18" s="398" t="n"/>
      <c r="D18" s="398" t="n"/>
      <c r="E18" s="400" t="n"/>
      <c r="F18" s="400" t="n"/>
      <c r="G18" s="400" t="n"/>
      <c r="H18" s="398" t="n"/>
      <c r="I18" s="400" t="n"/>
      <c r="J18" s="754" t="n"/>
      <c r="K18" s="398" t="n"/>
      <c r="L18" s="398" t="n"/>
      <c r="M18" s="398" t="n"/>
      <c r="N18" s="764" t="n"/>
      <c r="O18" s="765" t="n"/>
      <c r="P18" s="766" t="n"/>
      <c r="Q18" s="570" t="n"/>
      <c r="R18" s="767" t="n"/>
      <c r="S18" s="768" t="n"/>
      <c r="T18" s="768" t="n"/>
      <c r="U18" s="768" t="n"/>
      <c r="V18" s="768" t="n"/>
    </row>
    <row r="19" ht="17.25" customHeight="1">
      <c r="B19" s="463" t="inlineStr">
        <is>
          <t>Loan</t>
        </is>
      </c>
      <c r="C19" s="464" t="n"/>
      <c r="D19" s="769" t="n"/>
      <c r="E19" s="407" t="n"/>
      <c r="F19" s="408" t="n"/>
      <c r="G19" s="407" t="n"/>
      <c r="H19" s="408" t="n"/>
      <c r="I19" s="754" t="n"/>
      <c r="J19" s="407" t="inlineStr">
        <is>
          <t>Spent to Date:</t>
        </is>
      </c>
      <c r="K19" s="407" t="inlineStr">
        <is>
          <t>Remaining:</t>
        </is>
      </c>
      <c r="L19" s="398" t="n"/>
      <c r="M19" s="398" t="n"/>
      <c r="N19" s="750" t="n"/>
      <c r="O19" s="751" t="n"/>
      <c r="P19" s="752" t="n"/>
      <c r="Q19" s="558" t="n"/>
      <c r="R19" s="770" t="n"/>
      <c r="S19" s="753" t="n"/>
      <c r="T19" s="753" t="n"/>
      <c r="U19" s="753" t="n"/>
      <c r="V19" s="753" t="n"/>
    </row>
    <row r="20" ht="16.5" customHeight="1">
      <c r="B20" s="398" t="inlineStr">
        <is>
          <t>MB Broker Fee</t>
        </is>
      </c>
      <c r="C20" s="453" t="n">
        <v>0.01</v>
      </c>
      <c r="D20" s="398" t="n"/>
      <c r="E20" s="398" t="n"/>
      <c r="F20" s="749" t="n"/>
      <c r="G20" s="398" t="n"/>
      <c r="H20" s="771" t="n"/>
      <c r="I20" s="398" t="n"/>
      <c r="J20" s="772" t="n">
        <v>0</v>
      </c>
      <c r="K20" s="772" t="n">
        <v>0</v>
      </c>
      <c r="L20" s="406" t="n"/>
      <c r="M20" s="406" t="n"/>
      <c r="N20" s="406" t="n"/>
      <c r="O20" s="406" t="n"/>
      <c r="P20" s="406" t="n"/>
      <c r="Q20" s="406" t="n"/>
      <c r="R20" s="398" t="n"/>
    </row>
    <row r="21" ht="16.5" customHeight="1">
      <c r="B21" s="398" t="inlineStr">
        <is>
          <t>Inspection Reserve</t>
        </is>
      </c>
      <c r="C21" s="773" t="n">
        <v>3500</v>
      </c>
      <c r="D21" s="398" t="n"/>
      <c r="E21" s="398" t="n"/>
      <c r="F21" s="774" t="n"/>
      <c r="G21" s="398" t="n"/>
      <c r="H21" s="771" t="n"/>
      <c r="I21" s="398" t="n"/>
      <c r="J21" s="772" t="n">
        <v>0</v>
      </c>
      <c r="K21" s="772" t="n">
        <v>0</v>
      </c>
      <c r="L21" s="406" t="n"/>
      <c r="M21" s="406" t="n"/>
      <c r="N21" s="406" t="n"/>
      <c r="O21" s="406" t="n"/>
      <c r="P21" s="406" t="n"/>
      <c r="Q21" s="406" t="n"/>
      <c r="R21" s="571" t="n"/>
    </row>
    <row r="22" ht="16.5" customHeight="1">
      <c r="B22" s="398" t="inlineStr">
        <is>
          <t>Processing Fee</t>
        </is>
      </c>
      <c r="C22" s="773" t="n">
        <v>3500</v>
      </c>
      <c r="D22" s="398" t="n"/>
      <c r="E22" s="746" t="n"/>
      <c r="F22" s="771" t="n"/>
      <c r="G22" s="746" t="n"/>
      <c r="H22" s="771" t="n"/>
      <c r="I22" s="746" t="n"/>
      <c r="J22" s="772" t="n">
        <v>0</v>
      </c>
      <c r="K22" s="772" t="n">
        <v>0</v>
      </c>
      <c r="L22" s="406" t="n"/>
      <c r="M22" s="406" t="n"/>
      <c r="N22" s="775" t="n"/>
      <c r="O22" s="406" t="n"/>
      <c r="P22" s="406" t="n"/>
      <c r="Q22" s="406" t="n"/>
      <c r="R22" s="776" t="n"/>
    </row>
    <row r="23" ht="16.5" customHeight="1">
      <c r="B23" s="398" t="inlineStr">
        <is>
          <t>Legal Fees</t>
        </is>
      </c>
      <c r="C23" s="773" t="n">
        <v>10000</v>
      </c>
      <c r="D23" s="398" t="n"/>
      <c r="E23" s="398" t="n"/>
      <c r="F23" s="749" t="n"/>
      <c r="G23" s="398" t="n"/>
      <c r="H23" s="749" t="n"/>
      <c r="I23" s="746" t="n"/>
      <c r="J23" s="749" t="n"/>
      <c r="K23" s="749" t="n"/>
      <c r="L23" s="406" t="n"/>
      <c r="M23" s="406" t="n"/>
      <c r="N23" s="406" t="n"/>
      <c r="O23" s="398" t="n"/>
    </row>
    <row r="24" ht="17.25" customHeight="1">
      <c r="B24" s="398" t="inlineStr">
        <is>
          <t>Title and Closing Costs</t>
        </is>
      </c>
      <c r="C24" s="773" t="n">
        <v>7500</v>
      </c>
      <c r="D24" s="398" t="n"/>
      <c r="E24" s="398" t="n"/>
      <c r="F24" s="398" t="n"/>
      <c r="G24" s="398" t="n"/>
      <c r="H24" s="398" t="n"/>
      <c r="I24" s="398" t="n"/>
      <c r="J24" s="398" t="n"/>
      <c r="K24" s="398" t="n"/>
      <c r="L24" s="406" t="n"/>
      <c r="M24" s="406" t="n"/>
      <c r="N24" s="406" t="n"/>
      <c r="O24" s="398" t="n"/>
      <c r="Q24" s="463" t="n"/>
      <c r="R24" s="464" t="n"/>
    </row>
    <row r="25" ht="17.25" customHeight="1" thickBot="1">
      <c r="B25" s="398" t="inlineStr">
        <is>
          <t>Senior %</t>
        </is>
      </c>
      <c r="C25" s="406" t="n">
        <v>0.12</v>
      </c>
      <c r="D25" s="398" t="n"/>
      <c r="E25" s="398" t="n"/>
      <c r="F25" s="398" t="n"/>
      <c r="G25" s="398" t="n"/>
      <c r="H25" s="398" t="n"/>
      <c r="I25" s="398" t="n"/>
      <c r="J25" s="398" t="n"/>
      <c r="K25" s="398" t="n"/>
      <c r="L25" s="406" t="n"/>
      <c r="M25" s="406" t="n"/>
      <c r="N25" s="406" t="n"/>
      <c r="O25" s="398" t="n"/>
      <c r="Q25" s="283" t="n"/>
      <c r="R25" s="777" t="n"/>
      <c r="S25" s="283" t="n"/>
    </row>
    <row r="26" ht="16.5" customHeight="1">
      <c r="B26" s="398" t="inlineStr">
        <is>
          <t>Senior points</t>
        </is>
      </c>
      <c r="C26" s="406" t="n">
        <v>0.03</v>
      </c>
      <c r="D26" s="398" t="n"/>
      <c r="E26" s="410" t="n"/>
      <c r="F26" s="778" t="n"/>
      <c r="G26" s="400" t="n"/>
      <c r="H26" s="400" t="n"/>
      <c r="I26" s="779" t="n"/>
      <c r="L26" s="353" t="n"/>
      <c r="M26" s="353" t="n"/>
      <c r="N26" s="353" t="n"/>
      <c r="Q26" s="283" t="n"/>
      <c r="R26" s="777" t="n"/>
      <c r="S26" s="283" t="n"/>
    </row>
    <row r="27" ht="16.5" customHeight="1">
      <c r="B27" s="398" t="inlineStr">
        <is>
          <t>Senior Length</t>
        </is>
      </c>
      <c r="C27" s="452" t="n">
        <v>12</v>
      </c>
      <c r="D27" s="398" t="n"/>
      <c r="E27" s="414" t="n"/>
      <c r="F27" s="780" t="n"/>
      <c r="G27" s="781" t="n"/>
      <c r="H27" s="781" t="n"/>
      <c r="I27" s="398" t="n"/>
      <c r="K27" s="321" t="n"/>
      <c r="L27" s="346" t="n"/>
      <c r="M27" s="777" t="n"/>
      <c r="N27" s="777" t="n"/>
      <c r="Q27" s="283" t="n"/>
      <c r="R27" s="777" t="n"/>
      <c r="S27" s="283" t="n"/>
    </row>
    <row r="28" ht="16.5" customHeight="1">
      <c r="B28" s="398" t="inlineStr">
        <is>
          <t>Loan Request</t>
        </is>
      </c>
      <c r="C28" s="747" t="n"/>
      <c r="D28" s="782" t="n"/>
      <c r="E28" s="414" t="n"/>
      <c r="F28" s="780" t="n"/>
      <c r="G28" s="754" t="n"/>
      <c r="H28" s="754" t="n"/>
      <c r="I28" s="412" t="n"/>
      <c r="K28" s="321" t="n"/>
      <c r="L28" s="346" t="n"/>
      <c r="N28" s="777" t="n"/>
    </row>
    <row r="29" ht="16.5" customHeight="1">
      <c r="B29" s="398" t="inlineStr">
        <is>
          <t>Senior Loan Amount</t>
        </is>
      </c>
      <c r="C29" s="783" t="n"/>
      <c r="D29" s="746" t="n"/>
      <c r="E29" s="414" t="n"/>
      <c r="F29" s="780" t="n"/>
      <c r="G29" s="754" t="n"/>
      <c r="H29" s="754" t="n"/>
      <c r="I29" s="412" t="n"/>
      <c r="K29" s="321" t="n"/>
      <c r="L29" s="346" t="n"/>
      <c r="N29" s="777" t="n"/>
    </row>
    <row r="30" ht="17.25" customHeight="1" thickBot="1">
      <c r="B30" s="398" t="inlineStr">
        <is>
          <t>Senior Lender</t>
        </is>
      </c>
      <c r="C30" s="784" t="inlineStr">
        <is>
          <t>MBC</t>
        </is>
      </c>
      <c r="D30" s="398" t="n"/>
      <c r="E30" s="420" t="n"/>
      <c r="F30" s="785" t="n"/>
      <c r="G30" s="754" t="n"/>
      <c r="H30" s="754" t="n"/>
      <c r="I30" s="412" t="n"/>
      <c r="K30" s="346" t="n"/>
      <c r="L30" s="346" t="n"/>
      <c r="N30" s="777" t="n"/>
    </row>
    <row r="31" ht="16.5" customHeight="1">
      <c r="B31" s="398" t="inlineStr">
        <is>
          <t>Start Date</t>
        </is>
      </c>
      <c r="C31" s="456">
        <f>TODAY()</f>
        <v/>
      </c>
      <c r="D31" s="398" t="n"/>
      <c r="E31" s="422" t="n"/>
      <c r="F31" s="786" t="n"/>
      <c r="G31" s="424" t="n"/>
      <c r="H31" s="425" t="n"/>
      <c r="I31" s="412" t="n"/>
      <c r="J31" s="283" t="n"/>
      <c r="K31" s="787" t="n"/>
      <c r="L31" s="346" t="n"/>
    </row>
    <row r="32" ht="16.5" customHeight="1">
      <c r="B32" s="398" t="inlineStr">
        <is>
          <t>Additional Cash Required</t>
        </is>
      </c>
      <c r="C32" s="749" t="n"/>
      <c r="D32" s="779" t="n"/>
      <c r="E32" s="427" t="n"/>
      <c r="F32" s="788" t="n"/>
      <c r="G32" s="402" t="n"/>
      <c r="H32" s="789" t="n"/>
      <c r="I32" s="400" t="n"/>
      <c r="K32" s="753" t="n"/>
      <c r="L32" s="346" t="n"/>
    </row>
    <row r="33" ht="17.25" customHeight="1">
      <c r="B33" s="463" t="inlineStr">
        <is>
          <t>Value</t>
        </is>
      </c>
      <c r="C33" s="790" t="n"/>
      <c r="D33" s="398" t="n"/>
      <c r="E33" s="427" t="n"/>
      <c r="F33" s="431" t="n"/>
      <c r="G33" s="402" t="n"/>
      <c r="H33" s="432" t="n"/>
      <c r="I33" s="769" t="n"/>
      <c r="J33" s="777" t="n"/>
      <c r="K33" s="353" t="n"/>
      <c r="L33" s="346" t="n"/>
    </row>
    <row r="34" ht="16.5" customHeight="1">
      <c r="B34" s="398" t="inlineStr">
        <is>
          <t>Borrower's Value</t>
        </is>
      </c>
      <c r="C34" s="747" t="n"/>
      <c r="D34" s="398" t="n"/>
      <c r="E34" s="427" t="n"/>
      <c r="F34" s="431" t="n"/>
      <c r="G34" s="402" t="n"/>
      <c r="H34" s="432" t="n"/>
      <c r="I34" s="769" t="n"/>
      <c r="J34" s="777" t="n"/>
      <c r="K34" s="321" t="n"/>
      <c r="L34" s="346" t="n"/>
    </row>
    <row r="35" ht="16.5" customHeight="1">
      <c r="B35" s="398" t="inlineStr">
        <is>
          <t>Per Unit</t>
        </is>
      </c>
      <c r="C35" s="398">
        <f>C34/C10</f>
        <v/>
      </c>
      <c r="D35" s="749" t="n"/>
      <c r="E35" s="427" t="n"/>
      <c r="F35" s="401" t="n"/>
      <c r="G35" s="402" t="n"/>
      <c r="H35" s="434" t="n"/>
      <c r="I35" s="433" t="n"/>
      <c r="K35" s="353" t="n"/>
      <c r="L35" s="346" t="n"/>
    </row>
    <row r="36" ht="16.5" customHeight="1">
      <c r="B36" s="398" t="inlineStr">
        <is>
          <t>Per Unit Sales Price</t>
        </is>
      </c>
      <c r="C36" s="791" t="n">
        <v>0</v>
      </c>
      <c r="D36" s="398" t="n"/>
      <c r="E36" s="427" t="n"/>
      <c r="F36" s="770" t="n"/>
      <c r="G36" s="402" t="n"/>
      <c r="H36" s="792" t="n"/>
      <c r="I36" s="793" t="n"/>
      <c r="K36" s="353" t="n"/>
      <c r="L36" s="346" t="n"/>
    </row>
    <row r="37" ht="16.5" customHeight="1">
      <c r="B37" s="398" t="inlineStr">
        <is>
          <t>% Difference</t>
        </is>
      </c>
      <c r="C37" s="406">
        <f>IFERROR((F13-C34)/C34,"")</f>
        <v/>
      </c>
      <c r="D37" s="398" t="n"/>
      <c r="E37" s="438" t="n"/>
      <c r="F37" s="794" t="n"/>
      <c r="G37" s="440" t="n"/>
      <c r="H37" s="795" t="n"/>
      <c r="I37" s="406" t="n"/>
      <c r="J37" s="346" t="n"/>
      <c r="K37" s="346" t="n"/>
      <c r="L37" s="346" t="n"/>
    </row>
    <row r="38" ht="17.25" customHeight="1" thickBot="1">
      <c r="B38" s="398" t="inlineStr">
        <is>
          <t>Sales Cost</t>
        </is>
      </c>
      <c r="C38" s="458" t="n">
        <v>0</v>
      </c>
      <c r="D38" s="398" t="n"/>
      <c r="E38" s="442" t="n"/>
      <c r="F38" s="533" t="n"/>
      <c r="G38" s="443" t="n"/>
      <c r="H38" s="796" t="n"/>
      <c r="I38" s="406" t="n"/>
    </row>
    <row r="39" ht="17.25" customHeight="1" thickBot="1">
      <c r="B39" s="398" t="inlineStr">
        <is>
          <t>Risk Spread:</t>
        </is>
      </c>
      <c r="C39" s="546" t="n">
        <v>0.1</v>
      </c>
      <c r="D39" s="398" t="n"/>
      <c r="E39" s="410" t="n"/>
      <c r="F39" s="797" t="n"/>
      <c r="G39" s="398" t="n"/>
      <c r="H39" s="398" t="n"/>
      <c r="I39" s="400" t="n"/>
    </row>
    <row r="40" ht="16.5" customHeight="1">
      <c r="B40" s="398" t="n"/>
      <c r="C40" s="398" t="n"/>
      <c r="D40" s="398" t="n"/>
      <c r="E40" s="446" t="n"/>
      <c r="F40" s="447" t="n"/>
      <c r="G40" s="448" t="n"/>
      <c r="H40" s="471" t="n"/>
      <c r="I40" s="398" t="n"/>
      <c r="N40" s="362" t="n"/>
    </row>
    <row r="41" ht="17.25" customHeight="1" thickBot="1">
      <c r="B41" s="398" t="n"/>
      <c r="C41" s="398" t="n"/>
      <c r="D41" s="398" t="n"/>
      <c r="E41" s="442" t="n"/>
      <c r="F41" s="449" t="n"/>
      <c r="G41" s="450" t="n"/>
      <c r="H41" s="472" t="n"/>
      <c r="I41" s="398" t="n"/>
      <c r="J41" s="398" t="n"/>
      <c r="K41" s="398" t="n"/>
      <c r="L41" s="398" t="n"/>
      <c r="M41" s="398" t="n"/>
      <c r="N41" s="398" t="n"/>
      <c r="O41" s="398" t="n"/>
    </row>
    <row r="42" ht="18" customHeight="1" thickBot="1">
      <c r="D42" s="451" t="n"/>
      <c r="E42" s="580" t="n"/>
      <c r="F42" s="581" t="n"/>
      <c r="G42" s="581" t="n"/>
      <c r="H42" s="579" t="n"/>
      <c r="I42" s="398" t="n"/>
      <c r="J42" s="398" t="n"/>
      <c r="K42" s="398" t="n"/>
      <c r="L42" s="398" t="n"/>
      <c r="M42" s="398" t="n"/>
      <c r="N42" s="398" t="n"/>
      <c r="O42" s="398" t="n"/>
    </row>
    <row r="43">
      <c r="I43" s="777" t="n"/>
    </row>
    <row r="44">
      <c r="C44" s="355" t="n"/>
    </row>
    <row r="45">
      <c r="C45" s="355" t="n"/>
      <c r="E45" s="355" t="n"/>
      <c r="F45" s="355" t="n"/>
      <c r="G45" s="355" t="n"/>
      <c r="H45" s="355" t="n"/>
    </row>
    <row r="46">
      <c r="C46" s="355" t="n"/>
      <c r="D46" s="355" t="n"/>
      <c r="J46" s="355" t="n"/>
      <c r="K46" s="355" t="n"/>
      <c r="L46" s="355" t="n"/>
      <c r="M46" s="355" t="n"/>
      <c r="N46" s="355" t="n"/>
      <c r="O46" s="355" t="n"/>
    </row>
    <row r="47">
      <c r="C47" s="355" t="n"/>
      <c r="D47" s="355" t="n"/>
      <c r="E47" s="798" t="n"/>
      <c r="F47" s="798" t="n"/>
      <c r="G47" s="798" t="n"/>
      <c r="H47" s="798" t="n"/>
      <c r="I47" s="355" t="n"/>
      <c r="J47" s="355" t="n"/>
      <c r="K47" s="355" t="n"/>
      <c r="L47" s="355" t="n"/>
      <c r="M47" s="355" t="n"/>
      <c r="N47" s="355" t="n"/>
      <c r="O47" s="355" t="n"/>
    </row>
    <row r="48">
      <c r="C48" s="355" t="n"/>
      <c r="E48" s="798" t="n"/>
      <c r="F48" s="798" t="n"/>
      <c r="G48" s="798" t="n"/>
      <c r="H48" s="798" t="n"/>
      <c r="J48" s="777" t="n"/>
      <c r="K48" s="777" t="n"/>
      <c r="L48" s="777" t="n"/>
      <c r="M48" s="777" t="n"/>
      <c r="N48" s="777" t="n"/>
      <c r="O48" s="799" t="n"/>
    </row>
    <row r="49">
      <c r="C49" s="355" t="n"/>
      <c r="E49" s="798" t="n"/>
      <c r="F49" s="798" t="n"/>
      <c r="G49" s="798" t="n"/>
      <c r="H49" s="798" t="n"/>
      <c r="I49" s="798" t="n"/>
      <c r="J49" s="777" t="n"/>
      <c r="K49" s="777" t="n"/>
      <c r="L49" s="777" t="n"/>
      <c r="M49" s="777" t="n"/>
      <c r="N49" s="777" t="n"/>
      <c r="O49" s="777" t="n"/>
    </row>
    <row r="50">
      <c r="C50" s="355" t="n"/>
      <c r="E50" s="798" t="n"/>
      <c r="F50" s="798" t="n"/>
      <c r="G50" s="798" t="n"/>
      <c r="H50" s="798" t="n"/>
      <c r="I50" s="798" t="n"/>
    </row>
    <row r="51">
      <c r="E51" s="798" t="n"/>
      <c r="F51" s="798" t="n"/>
      <c r="G51" s="798" t="n"/>
      <c r="H51" s="798" t="n"/>
      <c r="I51" s="798" t="n"/>
    </row>
    <row r="52">
      <c r="C52" s="355" t="n"/>
      <c r="E52" s="798" t="n"/>
      <c r="F52" s="798" t="n"/>
      <c r="G52" s="798" t="n"/>
      <c r="H52" s="798" t="n"/>
      <c r="I52" s="798" t="n"/>
    </row>
    <row r="53">
      <c r="D53" s="355" t="n"/>
      <c r="E53" s="800" t="n"/>
      <c r="F53" s="800" t="n"/>
      <c r="G53" s="800" t="n"/>
      <c r="H53" s="800" t="n"/>
      <c r="I53" s="798" t="n"/>
      <c r="J53" s="355" t="n"/>
      <c r="K53" s="355" t="n"/>
      <c r="L53" s="355" t="n"/>
      <c r="M53" s="355" t="n"/>
      <c r="N53" s="355" t="n"/>
    </row>
    <row r="54">
      <c r="E54" s="800" t="n"/>
      <c r="F54" s="800" t="n"/>
      <c r="G54" s="801" t="n"/>
      <c r="H54" s="801" t="n"/>
      <c r="I54" s="798" t="n"/>
      <c r="O54" s="355" t="n"/>
    </row>
    <row r="55">
      <c r="D55" s="798" t="n"/>
      <c r="E55" s="800" t="n"/>
      <c r="F55" s="800" t="n"/>
      <c r="G55" s="800" t="n"/>
      <c r="H55" s="800" t="n"/>
      <c r="I55" s="800" t="n"/>
      <c r="J55" s="798" t="n"/>
      <c r="K55" s="798" t="n"/>
      <c r="L55" s="798" t="n"/>
      <c r="M55" s="798" t="n"/>
      <c r="N55" s="798" t="n"/>
      <c r="O55" s="800" t="n"/>
    </row>
    <row r="56">
      <c r="D56" s="798" t="n"/>
      <c r="E56" s="800" t="n"/>
      <c r="F56" s="800" t="n"/>
      <c r="G56" s="800" t="n"/>
      <c r="H56" s="800" t="n"/>
      <c r="I56" s="801" t="n"/>
      <c r="J56" s="798" t="n"/>
      <c r="K56" s="798" t="n"/>
      <c r="L56" s="798" t="n"/>
      <c r="M56" s="798" t="n"/>
      <c r="N56" s="798" t="n"/>
      <c r="O56" s="800" t="n"/>
    </row>
    <row r="57">
      <c r="D57" s="798" t="n"/>
      <c r="E57" s="800" t="n"/>
      <c r="F57" s="800" t="n"/>
      <c r="G57" s="800" t="n"/>
      <c r="H57" s="800" t="n"/>
      <c r="I57" s="800" t="n"/>
      <c r="J57" s="798" t="n"/>
      <c r="K57" s="798" t="n"/>
      <c r="L57" s="798" t="n"/>
      <c r="M57" s="798" t="n"/>
      <c r="N57" s="798" t="n"/>
      <c r="O57" s="800" t="n"/>
    </row>
    <row r="58">
      <c r="C58" s="355" t="n"/>
      <c r="D58" s="798" t="n"/>
      <c r="E58" s="800" t="n"/>
      <c r="F58" s="800" t="n"/>
      <c r="G58" s="800" t="n"/>
      <c r="H58" s="800" t="n"/>
      <c r="I58" s="800" t="n"/>
      <c r="J58" s="798" t="n"/>
      <c r="K58" s="798" t="n"/>
      <c r="L58" s="798" t="n"/>
      <c r="M58" s="798" t="n"/>
      <c r="N58" s="798" t="n"/>
      <c r="O58" s="800" t="n"/>
    </row>
    <row r="59">
      <c r="C59" s="355" t="n"/>
      <c r="D59" s="798" t="n"/>
      <c r="I59" s="800" t="n"/>
      <c r="J59" s="798" t="n"/>
      <c r="K59" s="798" t="n"/>
      <c r="L59" s="798" t="n"/>
      <c r="M59" s="798" t="n"/>
      <c r="N59" s="798" t="n"/>
      <c r="O59" s="800" t="n"/>
    </row>
    <row r="60">
      <c r="C60" s="355" t="n"/>
      <c r="D60" s="798" t="n"/>
      <c r="I60" s="800" t="n"/>
      <c r="J60" s="798" t="n"/>
      <c r="K60" s="798" t="n"/>
      <c r="L60" s="798" t="n"/>
      <c r="M60" s="798" t="n"/>
      <c r="N60" s="798" t="n"/>
      <c r="O60" s="800" t="n"/>
    </row>
    <row r="61">
      <c r="C61" s="355" t="n"/>
      <c r="D61" s="800" t="n"/>
      <c r="J61" s="800" t="n"/>
      <c r="K61" s="800" t="n"/>
      <c r="L61" s="800" t="n"/>
      <c r="M61" s="800" t="n"/>
      <c r="N61" s="800" t="n"/>
      <c r="O61" s="800" t="n"/>
    </row>
    <row r="62">
      <c r="C62" s="355" t="n"/>
      <c r="D62" s="800" t="n"/>
      <c r="J62" s="801" t="n"/>
      <c r="K62" s="801" t="n"/>
      <c r="L62" s="801" t="n"/>
      <c r="M62" s="801" t="n"/>
      <c r="N62" s="801" t="n"/>
      <c r="O62" s="800" t="n"/>
    </row>
    <row r="63">
      <c r="C63" s="355" t="n"/>
      <c r="D63" s="800" t="n"/>
      <c r="G63" s="798" t="n"/>
      <c r="H63" s="798" t="n"/>
      <c r="J63" s="800" t="n"/>
      <c r="K63" s="800" t="n"/>
      <c r="L63" s="800" t="n"/>
      <c r="M63" s="800" t="n"/>
      <c r="N63" s="800" t="n"/>
      <c r="O63" s="800" t="n"/>
    </row>
    <row r="64">
      <c r="D64" s="800" t="n"/>
      <c r="G64" s="798" t="n"/>
      <c r="H64" s="798" t="n"/>
      <c r="J64" s="800" t="n"/>
      <c r="K64" s="800" t="n"/>
      <c r="L64" s="800" t="n"/>
      <c r="M64" s="800" t="n"/>
      <c r="N64" s="800" t="n"/>
      <c r="O64" s="800" t="n"/>
    </row>
    <row r="65">
      <c r="D65" s="800" t="n"/>
      <c r="G65" s="798" t="n"/>
      <c r="H65" s="798" t="n"/>
      <c r="I65" s="798" t="n"/>
      <c r="J65" s="800" t="n"/>
      <c r="K65" s="800" t="n"/>
      <c r="L65" s="800" t="n"/>
      <c r="M65" s="800" t="n"/>
      <c r="N65" s="800" t="n"/>
      <c r="O65" s="800" t="n"/>
    </row>
    <row r="66">
      <c r="C66" s="355" t="n"/>
      <c r="D66" s="800" t="n"/>
      <c r="G66" s="802" t="n"/>
      <c r="H66" s="802" t="n"/>
      <c r="I66" s="798" t="n"/>
      <c r="J66" s="800" t="n"/>
      <c r="K66" s="800" t="n"/>
      <c r="L66" s="800" t="n"/>
      <c r="M66" s="800" t="n"/>
      <c r="N66" s="800" t="n"/>
      <c r="O66" s="800" t="n"/>
    </row>
    <row r="67">
      <c r="I67" s="798" t="n"/>
    </row>
    <row r="68">
      <c r="G68" s="777" t="n"/>
      <c r="H68" s="777" t="n"/>
      <c r="I68" s="802" t="n"/>
    </row>
    <row r="69">
      <c r="G69" s="362" t="n"/>
      <c r="H69" s="362" t="n"/>
      <c r="O69" s="360" t="n"/>
    </row>
    <row r="70">
      <c r="I70" s="777" t="n"/>
    </row>
    <row r="71">
      <c r="I71" s="362" t="n"/>
      <c r="J71" s="798" t="n"/>
      <c r="K71" s="798" t="n"/>
      <c r="L71" s="798" t="n"/>
      <c r="M71" s="798" t="n"/>
      <c r="N71" s="798" t="n"/>
    </row>
    <row r="72">
      <c r="J72" s="798" t="n"/>
      <c r="K72" s="798" t="n"/>
      <c r="L72" s="798" t="n"/>
      <c r="M72" s="798" t="n"/>
      <c r="N72" s="798" t="n"/>
      <c r="O72" s="800" t="n"/>
    </row>
    <row r="73">
      <c r="J73" s="798" t="n"/>
      <c r="K73" s="798" t="n"/>
      <c r="L73" s="798" t="n"/>
      <c r="M73" s="798" t="n"/>
      <c r="N73" s="798" t="n"/>
      <c r="O73" s="800" t="n"/>
    </row>
    <row r="74">
      <c r="E74" s="803" t="n"/>
      <c r="J74" s="802" t="n"/>
      <c r="K74" s="802" t="n"/>
      <c r="L74" s="802" t="n"/>
      <c r="M74" s="802" t="n"/>
      <c r="N74" s="802" t="n"/>
    </row>
    <row r="75">
      <c r="E75" s="803" t="n"/>
      <c r="O75" s="777" t="n"/>
    </row>
    <row r="76">
      <c r="E76" s="803" t="n"/>
      <c r="I76" s="803" t="n"/>
      <c r="J76" s="777" t="n"/>
      <c r="K76" s="777" t="n"/>
      <c r="L76" s="777" t="n"/>
      <c r="M76" s="777" t="n"/>
      <c r="N76" s="777" t="n"/>
    </row>
    <row r="77">
      <c r="E77" s="803" t="n"/>
      <c r="I77" s="803" t="n"/>
      <c r="J77" s="362" t="n"/>
      <c r="K77" s="362" t="n"/>
      <c r="L77" s="362" t="n"/>
      <c r="M77" s="362" t="n"/>
      <c r="N77" s="362" t="n"/>
    </row>
    <row r="78">
      <c r="E78" s="803" t="n"/>
      <c r="I78" s="803" t="n"/>
    </row>
    <row r="79">
      <c r="E79" s="803" t="n"/>
      <c r="I79" s="804" t="n"/>
    </row>
    <row r="80"/>
    <row r="81"/>
    <row r="82">
      <c r="E82" s="777" t="n"/>
      <c r="L82" s="803" t="n"/>
    </row>
    <row r="83">
      <c r="E83" s="777" t="n"/>
      <c r="I83" s="803" t="n"/>
      <c r="L83" s="803" t="n"/>
    </row>
    <row r="84">
      <c r="E84" s="777" t="n"/>
      <c r="I84" s="803" t="n"/>
      <c r="L84" s="803" t="n"/>
    </row>
    <row r="85">
      <c r="I85" s="803" t="n"/>
      <c r="L85" s="804" t="n"/>
    </row>
    <row r="86"/>
    <row r="87">
      <c r="I87" s="803" t="n"/>
    </row>
    <row r="88">
      <c r="E88" s="803" t="n"/>
      <c r="I88" s="787" t="n"/>
    </row>
    <row r="89">
      <c r="E89" s="803" t="n"/>
      <c r="L89" s="362" t="n"/>
    </row>
    <row r="90">
      <c r="E90" s="803" t="n"/>
      <c r="J90" s="787" t="n"/>
    </row>
    <row r="91">
      <c r="E91" s="803" t="n"/>
      <c r="J91" s="787" t="n"/>
    </row>
    <row r="92"/>
    <row r="93">
      <c r="L93" s="805" t="n"/>
    </row>
    <row r="94"/>
    <row r="95">
      <c r="E95" s="777" t="n"/>
    </row>
    <row r="96">
      <c r="E96" s="777" t="n"/>
    </row>
    <row r="97">
      <c r="E97" s="777" t="n"/>
    </row>
    <row r="98">
      <c r="E98" s="777" t="n"/>
    </row>
    <row r="99">
      <c r="E99" s="777" t="n"/>
    </row>
    <row r="100">
      <c r="E100" s="777" t="n"/>
    </row>
  </sheetData>
  <dataValidations count="2">
    <dataValidation sqref="C13" showDropDown="0" showInputMessage="1" showErrorMessage="1" allowBlank="1" type="list">
      <formula1>"Bridge,Acquisition,Horizontal,Vertical"</formula1>
    </dataValidation>
    <dataValidation sqref="C12" showDropDown="0" showInputMessage="1" showErrorMessage="1" allowBlank="1" type="list">
      <formula1>"Raw Land,Entitled,Horizontal,Built"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Michael Christensen</dc:creator>
  <dcterms:created xmlns:dcterms="http://purl.org/dc/terms/" xmlns:xsi="http://www.w3.org/2001/XMLSchema-instance" xsi:type="dcterms:W3CDTF">2015-03-25T16:41:32Z</dcterms:created>
  <dcterms:modified xmlns:dcterms="http://purl.org/dc/terms/" xmlns:xsi="http://www.w3.org/2001/XMLSchema-instance" xsi:type="dcterms:W3CDTF">2026-03-28T15:42:28Z</dcterms:modified>
  <cp:lastModifiedBy>Grant Southwick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0x010100C6694B5FE474C94CB91C8FC4D2C4C365</vt:lpwstr>
  </property>
  <property name="MediaServiceImageTags" fmtid="{D5CDD505-2E9C-101B-9397-08002B2CF9AE}" pid="3">
    <vt:lpwstr xmlns:vt="http://schemas.openxmlformats.org/officeDocument/2006/docPropsVTypes"/>
  </property>
  <property name="ComplianceAssetId" fmtid="{D5CDD505-2E9C-101B-9397-08002B2CF9AE}" pid="4">
    <vt:lpwstr xmlns:vt="http://schemas.openxmlformats.org/officeDocument/2006/docPropsVTypes"/>
  </property>
  <property name="_ExtendedDescription" fmtid="{D5CDD505-2E9C-101B-9397-08002B2CF9AE}" pid="5">
    <vt:lpwstr xmlns:vt="http://schemas.openxmlformats.org/officeDocument/2006/docPropsVTypes"/>
  </property>
  <property name="_activity" fmtid="{D5CDD505-2E9C-101B-9397-08002B2CF9AE}" pid="6">
    <vt:lpwstr xmlns:vt="http://schemas.openxmlformats.org/officeDocument/2006/docPropsVTypes">{"FileActivityType":"6","FileActivityTimeStamp":"2024-04-11T20:51:02.170Z","FileActivityUsersOnPage":[{"DisplayName":"Jaden Mellott","Id":"jadenmellott@mesabridgecapital.com"}],"FileActivityNavigationId":null}</vt:lpwstr>
  </property>
  <property name="TriggerFlowInfo" fmtid="{D5CDD505-2E9C-101B-9397-08002B2CF9AE}" pid="7">
    <vt:lpwstr xmlns:vt="http://schemas.openxmlformats.org/officeDocument/2006/docPropsVTypes"/>
  </property>
</Properties>
</file>